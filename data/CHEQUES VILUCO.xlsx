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\\store.grupolucci.local\Carpetas Privadas\Finanzas\Cheques\"/>
    </mc:Choice>
  </mc:AlternateContent>
  <xr:revisionPtr revIDLastSave="0" documentId="13_ncr:1_{166E2E58-5E9C-4BCA-BA56-2D096BB826E9}" xr6:coauthVersionLast="47" xr6:coauthVersionMax="47" xr10:uidLastSave="{00000000-0000-0000-0000-000000000000}"/>
  <bookViews>
    <workbookView xWindow="-21720" yWindow="-2895" windowWidth="21840" windowHeight="13020" tabRatio="859" activeTab="4" xr2:uid="{00000000-000D-0000-FFFF-FFFF00000000}"/>
  </bookViews>
  <sheets>
    <sheet name="sap nuevo" sheetId="23" r:id="rId1"/>
    <sheet name="extracto" sheetId="22" r:id="rId2"/>
    <sheet name="cheques a conf" sheetId="25" r:id="rId3"/>
    <sheet name="resumen viejo" sheetId="24" r:id="rId4"/>
    <sheet name="RESUMEN" sheetId="26" r:id="rId5"/>
    <sheet name="ANALISIS" sheetId="27" r:id="rId6"/>
  </sheets>
  <definedNames>
    <definedName name="_xlnm._FilterDatabase" localSheetId="1" hidden="1">extracto!$A$1:$J$1</definedName>
    <definedName name="_xlnm._FilterDatabase" localSheetId="0" hidden="1">'sap nuevo'!$A$1:$R$1498</definedName>
  </definedNames>
  <calcPr calcId="191029"/>
  <pivotCaches>
    <pivotCache cacheId="0" r:id="rId7"/>
    <pivotCache cacheId="1" r:id="rId8"/>
    <pivotCache cacheId="2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4" l="1"/>
  <c r="F6" i="24"/>
  <c r="F5" i="24"/>
  <c r="I1464" i="23"/>
  <c r="N1464" i="23"/>
  <c r="O1464" i="23"/>
  <c r="P1464" i="23"/>
  <c r="I1465" i="23"/>
  <c r="N1465" i="23"/>
  <c r="O1465" i="23"/>
  <c r="P1465" i="23"/>
  <c r="I1466" i="23"/>
  <c r="N1466" i="23"/>
  <c r="O1466" i="23"/>
  <c r="P1466" i="23"/>
  <c r="I1467" i="23"/>
  <c r="N1467" i="23"/>
  <c r="O1467" i="23"/>
  <c r="P1467" i="23"/>
  <c r="I1468" i="23"/>
  <c r="N1468" i="23"/>
  <c r="O1468" i="23"/>
  <c r="P1468" i="23"/>
  <c r="I1469" i="23"/>
  <c r="N1469" i="23"/>
  <c r="O1469" i="23"/>
  <c r="P1469" i="23"/>
  <c r="I1470" i="23"/>
  <c r="M1470" i="23"/>
  <c r="N1470" i="23"/>
  <c r="O1470" i="23"/>
  <c r="P1470" i="23"/>
  <c r="I1471" i="23"/>
  <c r="M1471" i="23"/>
  <c r="N1471" i="23"/>
  <c r="O1471" i="23"/>
  <c r="P1471" i="23"/>
  <c r="I1472" i="23"/>
  <c r="M1472" i="23"/>
  <c r="N1472" i="23"/>
  <c r="O1472" i="23"/>
  <c r="P1472" i="23"/>
  <c r="I1473" i="23"/>
  <c r="M1473" i="23"/>
  <c r="N1473" i="23"/>
  <c r="O1473" i="23"/>
  <c r="P1473" i="23"/>
  <c r="I1474" i="23"/>
  <c r="M1474" i="23"/>
  <c r="N1474" i="23"/>
  <c r="O1474" i="23"/>
  <c r="P1474" i="23"/>
  <c r="I1475" i="23"/>
  <c r="M1475" i="23"/>
  <c r="N1475" i="23"/>
  <c r="O1475" i="23"/>
  <c r="P1475" i="23"/>
  <c r="I1476" i="23"/>
  <c r="M1476" i="23"/>
  <c r="N1476" i="23"/>
  <c r="O1476" i="23"/>
  <c r="P1476" i="23"/>
  <c r="I1477" i="23"/>
  <c r="M1477" i="23"/>
  <c r="N1477" i="23"/>
  <c r="O1477" i="23"/>
  <c r="P1477" i="23"/>
  <c r="I1478" i="23"/>
  <c r="M1478" i="23"/>
  <c r="N1478" i="23"/>
  <c r="O1478" i="23"/>
  <c r="P1478" i="23"/>
  <c r="I1479" i="23"/>
  <c r="M1479" i="23"/>
  <c r="N1479" i="23"/>
  <c r="O1479" i="23"/>
  <c r="P1479" i="23"/>
  <c r="I1480" i="23"/>
  <c r="M1480" i="23"/>
  <c r="N1480" i="23"/>
  <c r="O1480" i="23"/>
  <c r="P1480" i="23"/>
  <c r="I1481" i="23"/>
  <c r="M1481" i="23"/>
  <c r="N1481" i="23"/>
  <c r="O1481" i="23"/>
  <c r="P1481" i="23"/>
  <c r="I1482" i="23"/>
  <c r="M1482" i="23"/>
  <c r="N1482" i="23"/>
  <c r="O1482" i="23"/>
  <c r="P1482" i="23"/>
  <c r="I1483" i="23"/>
  <c r="M1483" i="23"/>
  <c r="N1483" i="23"/>
  <c r="O1483" i="23"/>
  <c r="P1483" i="23"/>
  <c r="I1484" i="23"/>
  <c r="M1484" i="23"/>
  <c r="N1484" i="23"/>
  <c r="O1484" i="23"/>
  <c r="P1484" i="23"/>
  <c r="I1485" i="23"/>
  <c r="M1485" i="23"/>
  <c r="N1485" i="23"/>
  <c r="O1485" i="23"/>
  <c r="P1485" i="23"/>
  <c r="I1486" i="23"/>
  <c r="M1486" i="23"/>
  <c r="N1486" i="23"/>
  <c r="O1486" i="23"/>
  <c r="P1486" i="23"/>
  <c r="I1487" i="23"/>
  <c r="M1487" i="23"/>
  <c r="N1487" i="23"/>
  <c r="O1487" i="23"/>
  <c r="P1487" i="23"/>
  <c r="I1488" i="23"/>
  <c r="M1488" i="23"/>
  <c r="N1488" i="23"/>
  <c r="O1488" i="23"/>
  <c r="P1488" i="23"/>
  <c r="I1489" i="23"/>
  <c r="M1489" i="23"/>
  <c r="N1489" i="23"/>
  <c r="O1489" i="23"/>
  <c r="P1489" i="23"/>
  <c r="I1490" i="23"/>
  <c r="M1490" i="23"/>
  <c r="N1490" i="23"/>
  <c r="O1490" i="23"/>
  <c r="P1490" i="23"/>
  <c r="I1491" i="23"/>
  <c r="M1491" i="23"/>
  <c r="N1491" i="23"/>
  <c r="O1491" i="23"/>
  <c r="P1491" i="23"/>
  <c r="I1492" i="23"/>
  <c r="M1492" i="23"/>
  <c r="N1492" i="23"/>
  <c r="O1492" i="23"/>
  <c r="P1492" i="23"/>
  <c r="I1493" i="23"/>
  <c r="M1493" i="23"/>
  <c r="N1493" i="23"/>
  <c r="O1493" i="23"/>
  <c r="P1493" i="23"/>
  <c r="I1494" i="23"/>
  <c r="M1494" i="23"/>
  <c r="N1494" i="23"/>
  <c r="O1494" i="23"/>
  <c r="P1494" i="23"/>
  <c r="I1495" i="23"/>
  <c r="M1495" i="23"/>
  <c r="N1495" i="23"/>
  <c r="O1495" i="23"/>
  <c r="P1495" i="23"/>
  <c r="I1496" i="23"/>
  <c r="M1496" i="23"/>
  <c r="N1496" i="23"/>
  <c r="O1496" i="23"/>
  <c r="P1496" i="23"/>
  <c r="I1497" i="23"/>
  <c r="M1497" i="23"/>
  <c r="N1497" i="23"/>
  <c r="O1497" i="23"/>
  <c r="P1497" i="23"/>
  <c r="I1498" i="23"/>
  <c r="M1498" i="23"/>
  <c r="N1498" i="23"/>
  <c r="O1498" i="23"/>
  <c r="P1498" i="23"/>
  <c r="I1499" i="23"/>
  <c r="M1499" i="23"/>
  <c r="N1499" i="23"/>
  <c r="O1499" i="23"/>
  <c r="P1499" i="23"/>
  <c r="I1500" i="23"/>
  <c r="M1500" i="23"/>
  <c r="N1500" i="23"/>
  <c r="O1500" i="23"/>
  <c r="P1500" i="23"/>
  <c r="I1501" i="23"/>
  <c r="M1501" i="23"/>
  <c r="N1501" i="23"/>
  <c r="O1501" i="23"/>
  <c r="P1501" i="23"/>
  <c r="I1502" i="23"/>
  <c r="M1502" i="23"/>
  <c r="N1502" i="23"/>
  <c r="O1502" i="23"/>
  <c r="P1502" i="23"/>
  <c r="I1503" i="23"/>
  <c r="M1503" i="23"/>
  <c r="N1503" i="23"/>
  <c r="O1503" i="23"/>
  <c r="P1503" i="23"/>
  <c r="I1504" i="23"/>
  <c r="M1504" i="23"/>
  <c r="N1504" i="23"/>
  <c r="O1504" i="23"/>
  <c r="P1504" i="23"/>
  <c r="I1505" i="23"/>
  <c r="M1505" i="23"/>
  <c r="N1505" i="23"/>
  <c r="O1505" i="23"/>
  <c r="P1505" i="23"/>
  <c r="I1506" i="23"/>
  <c r="M1506" i="23"/>
  <c r="N1506" i="23"/>
  <c r="O1506" i="23"/>
  <c r="P1506" i="23"/>
  <c r="I1507" i="23"/>
  <c r="M1507" i="23"/>
  <c r="N1507" i="23"/>
  <c r="O1507" i="23"/>
  <c r="P1507" i="23"/>
  <c r="I1508" i="23"/>
  <c r="M1508" i="23"/>
  <c r="N1508" i="23"/>
  <c r="O1508" i="23"/>
  <c r="P1508" i="23"/>
  <c r="I1509" i="23"/>
  <c r="M1509" i="23"/>
  <c r="N1509" i="23"/>
  <c r="O1509" i="23"/>
  <c r="P1509" i="23"/>
  <c r="I1510" i="23"/>
  <c r="M1510" i="23"/>
  <c r="N1510" i="23"/>
  <c r="O1510" i="23"/>
  <c r="P1510" i="23"/>
  <c r="I1511" i="23"/>
  <c r="M1511" i="23"/>
  <c r="N1511" i="23"/>
  <c r="O1511" i="23"/>
  <c r="P1511" i="23"/>
  <c r="I1512" i="23"/>
  <c r="M1512" i="23"/>
  <c r="N1512" i="23"/>
  <c r="O1512" i="23"/>
  <c r="P1512" i="23"/>
  <c r="I1513" i="23"/>
  <c r="M1513" i="23"/>
  <c r="N1513" i="23"/>
  <c r="O1513" i="23"/>
  <c r="P1513" i="23"/>
  <c r="I1514" i="23"/>
  <c r="M1514" i="23"/>
  <c r="N1514" i="23"/>
  <c r="O1514" i="23"/>
  <c r="P1514" i="23"/>
  <c r="I1515" i="23"/>
  <c r="M1515" i="23"/>
  <c r="N1515" i="23"/>
  <c r="O1515" i="23"/>
  <c r="P1515" i="23"/>
  <c r="I1516" i="23"/>
  <c r="M1516" i="23"/>
  <c r="N1516" i="23"/>
  <c r="O1516" i="23"/>
  <c r="P1516" i="23"/>
  <c r="I1517" i="23"/>
  <c r="M1517" i="23"/>
  <c r="N1517" i="23"/>
  <c r="O1517" i="23"/>
  <c r="P1517" i="23"/>
  <c r="I1518" i="23"/>
  <c r="M1518" i="23"/>
  <c r="N1518" i="23"/>
  <c r="O1518" i="23"/>
  <c r="P1518" i="23"/>
  <c r="I1519" i="23"/>
  <c r="M1519" i="23"/>
  <c r="N1519" i="23"/>
  <c r="O1519" i="23"/>
  <c r="P1519" i="23"/>
  <c r="I1520" i="23"/>
  <c r="M1520" i="23"/>
  <c r="N1520" i="23"/>
  <c r="O1520" i="23"/>
  <c r="P1520" i="23"/>
  <c r="I1521" i="23"/>
  <c r="M1521" i="23"/>
  <c r="N1521" i="23"/>
  <c r="O1521" i="23"/>
  <c r="P1521" i="23"/>
  <c r="I1522" i="23"/>
  <c r="M1522" i="23"/>
  <c r="N1522" i="23"/>
  <c r="O1522" i="23"/>
  <c r="P1522" i="23"/>
  <c r="I1523" i="23"/>
  <c r="M1523" i="23"/>
  <c r="N1523" i="23"/>
  <c r="O1523" i="23"/>
  <c r="P1523" i="23"/>
  <c r="I1524" i="23"/>
  <c r="M1524" i="23"/>
  <c r="N1524" i="23"/>
  <c r="O1524" i="23"/>
  <c r="P1524" i="23"/>
  <c r="I1525" i="23"/>
  <c r="M1525" i="23"/>
  <c r="N1525" i="23"/>
  <c r="O1525" i="23"/>
  <c r="P1525" i="23"/>
  <c r="I1526" i="23"/>
  <c r="M1526" i="23"/>
  <c r="N1526" i="23"/>
  <c r="O1526" i="23"/>
  <c r="P1526" i="23"/>
  <c r="I1527" i="23"/>
  <c r="M1527" i="23"/>
  <c r="N1527" i="23"/>
  <c r="O1527" i="23"/>
  <c r="P1527" i="23"/>
  <c r="I1528" i="23"/>
  <c r="M1528" i="23"/>
  <c r="N1528" i="23"/>
  <c r="O1528" i="23"/>
  <c r="P1528" i="23"/>
  <c r="I1529" i="23"/>
  <c r="M1529" i="23"/>
  <c r="N1529" i="23"/>
  <c r="O1529" i="23"/>
  <c r="P1529" i="23"/>
  <c r="I1530" i="23"/>
  <c r="M1530" i="23"/>
  <c r="N1530" i="23"/>
  <c r="O1530" i="23"/>
  <c r="P1530" i="23"/>
  <c r="I1531" i="23"/>
  <c r="M1531" i="23"/>
  <c r="N1531" i="23"/>
  <c r="O1531" i="23"/>
  <c r="P1531" i="23"/>
  <c r="I1532" i="23"/>
  <c r="M1532" i="23"/>
  <c r="N1532" i="23"/>
  <c r="O1532" i="23"/>
  <c r="P1532" i="23"/>
  <c r="I1533" i="23"/>
  <c r="M1533" i="23"/>
  <c r="N1533" i="23"/>
  <c r="O1533" i="23"/>
  <c r="P1533" i="23"/>
  <c r="I1534" i="23"/>
  <c r="M1534" i="23"/>
  <c r="N1534" i="23"/>
  <c r="O1534" i="23"/>
  <c r="P1534" i="23"/>
  <c r="I1535" i="23"/>
  <c r="M1535" i="23"/>
  <c r="N1535" i="23"/>
  <c r="O1535" i="23"/>
  <c r="P1535" i="23"/>
  <c r="I1536" i="23"/>
  <c r="M1536" i="23"/>
  <c r="N1536" i="23"/>
  <c r="O1536" i="23"/>
  <c r="P1536" i="23"/>
  <c r="I1537" i="23"/>
  <c r="M1537" i="23"/>
  <c r="N1537" i="23"/>
  <c r="O1537" i="23"/>
  <c r="P1537" i="23"/>
  <c r="I1538" i="23"/>
  <c r="M1538" i="23"/>
  <c r="N1538" i="23"/>
  <c r="O1538" i="23"/>
  <c r="P1538" i="23"/>
  <c r="I1463" i="23"/>
  <c r="N1463" i="23"/>
  <c r="O1463" i="23"/>
  <c r="P1463" i="23"/>
  <c r="I1461" i="23"/>
  <c r="N1461" i="23"/>
  <c r="O1461" i="23"/>
  <c r="P1461" i="23"/>
  <c r="I1462" i="23"/>
  <c r="N1462" i="23"/>
  <c r="O1462" i="23"/>
  <c r="P1462" i="23"/>
  <c r="I1439" i="23"/>
  <c r="N1439" i="23"/>
  <c r="O1439" i="23"/>
  <c r="P1439" i="23"/>
  <c r="I1440" i="23"/>
  <c r="M1440" i="23"/>
  <c r="N1440" i="23"/>
  <c r="O1440" i="23"/>
  <c r="P1440" i="23"/>
  <c r="I1441" i="23"/>
  <c r="M1441" i="23"/>
  <c r="N1441" i="23"/>
  <c r="O1441" i="23"/>
  <c r="P1441" i="23"/>
  <c r="I1442" i="23"/>
  <c r="M1442" i="23"/>
  <c r="N1442" i="23"/>
  <c r="O1442" i="23"/>
  <c r="P1442" i="23"/>
  <c r="I1443" i="23"/>
  <c r="M1443" i="23"/>
  <c r="N1443" i="23"/>
  <c r="O1443" i="23"/>
  <c r="P1443" i="23"/>
  <c r="I1444" i="23"/>
  <c r="M1444" i="23"/>
  <c r="N1444" i="23"/>
  <c r="O1444" i="23"/>
  <c r="P1444" i="23"/>
  <c r="I1445" i="23"/>
  <c r="M1445" i="23"/>
  <c r="N1445" i="23"/>
  <c r="O1445" i="23"/>
  <c r="P1445" i="23"/>
  <c r="I1446" i="23"/>
  <c r="M1446" i="23"/>
  <c r="N1446" i="23"/>
  <c r="O1446" i="23"/>
  <c r="P1446" i="23"/>
  <c r="I1447" i="23"/>
  <c r="M1447" i="23"/>
  <c r="N1447" i="23"/>
  <c r="O1447" i="23"/>
  <c r="P1447" i="23"/>
  <c r="I1448" i="23"/>
  <c r="M1448" i="23"/>
  <c r="N1448" i="23"/>
  <c r="O1448" i="23"/>
  <c r="P1448" i="23"/>
  <c r="I1449" i="23"/>
  <c r="M1449" i="23"/>
  <c r="N1449" i="23"/>
  <c r="O1449" i="23"/>
  <c r="P1449" i="23"/>
  <c r="I1450" i="23"/>
  <c r="M1450" i="23"/>
  <c r="N1450" i="23"/>
  <c r="O1450" i="23"/>
  <c r="P1450" i="23"/>
  <c r="I1451" i="23"/>
  <c r="M1451" i="23"/>
  <c r="N1451" i="23"/>
  <c r="O1451" i="23"/>
  <c r="P1451" i="23"/>
  <c r="I1452" i="23"/>
  <c r="M1452" i="23"/>
  <c r="N1452" i="23"/>
  <c r="O1452" i="23"/>
  <c r="P1452" i="23"/>
  <c r="I1453" i="23"/>
  <c r="M1453" i="23"/>
  <c r="N1453" i="23"/>
  <c r="O1453" i="23"/>
  <c r="P1453" i="23"/>
  <c r="I1454" i="23"/>
  <c r="M1454" i="23"/>
  <c r="N1454" i="23"/>
  <c r="O1454" i="23"/>
  <c r="P1454" i="23"/>
  <c r="I1455" i="23"/>
  <c r="M1455" i="23"/>
  <c r="N1455" i="23"/>
  <c r="O1455" i="23"/>
  <c r="P1455" i="23"/>
  <c r="I1456" i="23"/>
  <c r="M1456" i="23"/>
  <c r="N1456" i="23"/>
  <c r="O1456" i="23"/>
  <c r="P1456" i="23"/>
  <c r="I1457" i="23"/>
  <c r="M1457" i="23"/>
  <c r="N1457" i="23"/>
  <c r="O1457" i="23"/>
  <c r="P1457" i="23"/>
  <c r="I1458" i="23"/>
  <c r="M1458" i="23"/>
  <c r="N1458" i="23"/>
  <c r="O1458" i="23"/>
  <c r="P1458" i="23"/>
  <c r="I1459" i="23"/>
  <c r="M1459" i="23"/>
  <c r="N1459" i="23"/>
  <c r="O1459" i="23"/>
  <c r="P1459" i="23"/>
  <c r="I1460" i="23"/>
  <c r="M1460" i="23"/>
  <c r="N1460" i="23"/>
  <c r="O1460" i="23"/>
  <c r="P1460" i="23"/>
  <c r="I1421" i="23"/>
  <c r="J1421" i="23" s="1"/>
  <c r="M1421" i="23"/>
  <c r="N1421" i="23"/>
  <c r="O1421" i="23"/>
  <c r="P1421" i="23"/>
  <c r="I1422" i="23"/>
  <c r="M1422" i="23"/>
  <c r="N1422" i="23"/>
  <c r="O1422" i="23"/>
  <c r="P1422" i="23"/>
  <c r="I1423" i="23"/>
  <c r="M1423" i="23"/>
  <c r="N1423" i="23"/>
  <c r="O1423" i="23"/>
  <c r="P1423" i="23"/>
  <c r="I1424" i="23"/>
  <c r="M1424" i="23"/>
  <c r="N1424" i="23"/>
  <c r="O1424" i="23"/>
  <c r="P1424" i="23"/>
  <c r="I1425" i="23"/>
  <c r="M1425" i="23"/>
  <c r="N1425" i="23"/>
  <c r="O1425" i="23"/>
  <c r="P1425" i="23"/>
  <c r="I1426" i="23"/>
  <c r="M1426" i="23"/>
  <c r="N1426" i="23"/>
  <c r="O1426" i="23"/>
  <c r="P1426" i="23"/>
  <c r="I1427" i="23"/>
  <c r="M1427" i="23"/>
  <c r="N1427" i="23"/>
  <c r="O1427" i="23"/>
  <c r="P1427" i="23"/>
  <c r="I1428" i="23"/>
  <c r="N1428" i="23"/>
  <c r="O1428" i="23"/>
  <c r="P1428" i="23"/>
  <c r="I1429" i="23"/>
  <c r="M1429" i="23"/>
  <c r="N1429" i="23"/>
  <c r="O1429" i="23"/>
  <c r="P1429" i="23"/>
  <c r="I1430" i="23"/>
  <c r="N1430" i="23"/>
  <c r="O1430" i="23"/>
  <c r="P1430" i="23"/>
  <c r="I1431" i="23"/>
  <c r="M1431" i="23"/>
  <c r="N1431" i="23"/>
  <c r="O1431" i="23"/>
  <c r="P1431" i="23"/>
  <c r="I1432" i="23"/>
  <c r="N1432" i="23"/>
  <c r="O1432" i="23"/>
  <c r="P1432" i="23"/>
  <c r="I1433" i="23"/>
  <c r="N1433" i="23"/>
  <c r="O1433" i="23"/>
  <c r="P1433" i="23"/>
  <c r="I1434" i="23"/>
  <c r="N1434" i="23"/>
  <c r="O1434" i="23"/>
  <c r="P1434" i="23"/>
  <c r="I1435" i="23"/>
  <c r="N1435" i="23"/>
  <c r="O1435" i="23"/>
  <c r="P1435" i="23"/>
  <c r="I1436" i="23"/>
  <c r="N1436" i="23"/>
  <c r="O1436" i="23"/>
  <c r="P1436" i="23"/>
  <c r="I1437" i="23"/>
  <c r="N1437" i="23"/>
  <c r="O1437" i="23"/>
  <c r="P1437" i="23"/>
  <c r="I1438" i="23"/>
  <c r="N1438" i="23"/>
  <c r="O1438" i="23"/>
  <c r="P1438" i="23"/>
  <c r="I1382" i="23"/>
  <c r="N1382" i="23"/>
  <c r="O1382" i="23"/>
  <c r="P1382" i="23"/>
  <c r="I1383" i="23"/>
  <c r="N1383" i="23"/>
  <c r="O1383" i="23"/>
  <c r="P1383" i="23"/>
  <c r="I1384" i="23"/>
  <c r="N1384" i="23"/>
  <c r="O1384" i="23"/>
  <c r="P1384" i="23"/>
  <c r="I1385" i="23"/>
  <c r="N1385" i="23"/>
  <c r="O1385" i="23"/>
  <c r="P1385" i="23"/>
  <c r="I1386" i="23"/>
  <c r="N1386" i="23"/>
  <c r="O1386" i="23"/>
  <c r="P1386" i="23"/>
  <c r="I1387" i="23"/>
  <c r="N1387" i="23"/>
  <c r="O1387" i="23"/>
  <c r="P1387" i="23"/>
  <c r="I1388" i="23"/>
  <c r="N1388" i="23"/>
  <c r="O1388" i="23"/>
  <c r="P1388" i="23"/>
  <c r="I1389" i="23"/>
  <c r="M1389" i="23"/>
  <c r="N1389" i="23"/>
  <c r="O1389" i="23"/>
  <c r="P1389" i="23"/>
  <c r="I1390" i="23"/>
  <c r="N1390" i="23"/>
  <c r="O1390" i="23"/>
  <c r="P1390" i="23"/>
  <c r="I1391" i="23"/>
  <c r="M1391" i="23"/>
  <c r="N1391" i="23"/>
  <c r="O1391" i="23"/>
  <c r="P1391" i="23"/>
  <c r="I1392" i="23"/>
  <c r="N1392" i="23"/>
  <c r="O1392" i="23"/>
  <c r="P1392" i="23"/>
  <c r="I1393" i="23"/>
  <c r="N1393" i="23"/>
  <c r="O1393" i="23"/>
  <c r="P1393" i="23"/>
  <c r="I1394" i="23"/>
  <c r="N1394" i="23"/>
  <c r="O1394" i="23"/>
  <c r="P1394" i="23"/>
  <c r="I1395" i="23"/>
  <c r="N1395" i="23"/>
  <c r="O1395" i="23"/>
  <c r="P1395" i="23"/>
  <c r="I1396" i="23"/>
  <c r="M1396" i="23"/>
  <c r="N1396" i="23"/>
  <c r="O1396" i="23"/>
  <c r="P1396" i="23"/>
  <c r="I1397" i="23"/>
  <c r="N1397" i="23"/>
  <c r="O1397" i="23"/>
  <c r="P1397" i="23"/>
  <c r="I1398" i="23"/>
  <c r="N1398" i="23"/>
  <c r="O1398" i="23"/>
  <c r="P1398" i="23"/>
  <c r="I1399" i="23"/>
  <c r="M1399" i="23"/>
  <c r="N1399" i="23"/>
  <c r="O1399" i="23"/>
  <c r="P1399" i="23"/>
  <c r="I1400" i="23"/>
  <c r="M1400" i="23"/>
  <c r="N1400" i="23"/>
  <c r="O1400" i="23"/>
  <c r="P1400" i="23"/>
  <c r="I1401" i="23"/>
  <c r="M1401" i="23"/>
  <c r="N1401" i="23"/>
  <c r="O1401" i="23"/>
  <c r="P1401" i="23"/>
  <c r="I1402" i="23"/>
  <c r="M1402" i="23"/>
  <c r="N1402" i="23"/>
  <c r="O1402" i="23"/>
  <c r="P1402" i="23"/>
  <c r="I1403" i="23"/>
  <c r="M1403" i="23"/>
  <c r="N1403" i="23"/>
  <c r="O1403" i="23"/>
  <c r="P1403" i="23"/>
  <c r="I1404" i="23"/>
  <c r="M1404" i="23"/>
  <c r="N1404" i="23"/>
  <c r="O1404" i="23"/>
  <c r="P1404" i="23"/>
  <c r="I1405" i="23"/>
  <c r="M1405" i="23"/>
  <c r="N1405" i="23"/>
  <c r="O1405" i="23"/>
  <c r="P1405" i="23"/>
  <c r="I1406" i="23"/>
  <c r="M1406" i="23"/>
  <c r="N1406" i="23"/>
  <c r="O1406" i="23"/>
  <c r="P1406" i="23"/>
  <c r="I1407" i="23"/>
  <c r="M1407" i="23"/>
  <c r="N1407" i="23"/>
  <c r="O1407" i="23"/>
  <c r="P1407" i="23"/>
  <c r="I1408" i="23"/>
  <c r="M1408" i="23"/>
  <c r="N1408" i="23"/>
  <c r="O1408" i="23"/>
  <c r="P1408" i="23"/>
  <c r="I1409" i="23"/>
  <c r="M1409" i="23"/>
  <c r="N1409" i="23"/>
  <c r="O1409" i="23"/>
  <c r="P1409" i="23"/>
  <c r="I1410" i="23"/>
  <c r="M1410" i="23"/>
  <c r="N1410" i="23"/>
  <c r="O1410" i="23"/>
  <c r="P1410" i="23"/>
  <c r="I1411" i="23"/>
  <c r="M1411" i="23"/>
  <c r="N1411" i="23"/>
  <c r="O1411" i="23"/>
  <c r="P1411" i="23"/>
  <c r="I1412" i="23"/>
  <c r="M1412" i="23"/>
  <c r="N1412" i="23"/>
  <c r="O1412" i="23"/>
  <c r="P1412" i="23"/>
  <c r="I1413" i="23"/>
  <c r="N1413" i="23"/>
  <c r="O1413" i="23"/>
  <c r="P1413" i="23"/>
  <c r="I1414" i="23"/>
  <c r="M1414" i="23"/>
  <c r="N1414" i="23"/>
  <c r="O1414" i="23"/>
  <c r="P1414" i="23"/>
  <c r="I1415" i="23"/>
  <c r="N1415" i="23"/>
  <c r="O1415" i="23"/>
  <c r="P1415" i="23"/>
  <c r="I1416" i="23"/>
  <c r="M1416" i="23"/>
  <c r="N1416" i="23"/>
  <c r="O1416" i="23"/>
  <c r="P1416" i="23"/>
  <c r="I1417" i="23"/>
  <c r="M1417" i="23"/>
  <c r="N1417" i="23"/>
  <c r="O1417" i="23"/>
  <c r="P1417" i="23"/>
  <c r="I1418" i="23"/>
  <c r="M1418" i="23"/>
  <c r="N1418" i="23"/>
  <c r="O1418" i="23"/>
  <c r="P1418" i="23"/>
  <c r="I1419" i="23"/>
  <c r="M1419" i="23"/>
  <c r="N1419" i="23"/>
  <c r="O1419" i="23"/>
  <c r="P1419" i="23"/>
  <c r="I1420" i="23"/>
  <c r="M1420" i="23"/>
  <c r="N1420" i="23"/>
  <c r="O1420" i="23"/>
  <c r="P1420" i="23"/>
  <c r="I1361" i="23"/>
  <c r="M1361" i="23"/>
  <c r="N1361" i="23"/>
  <c r="O1361" i="23"/>
  <c r="P1361" i="23"/>
  <c r="I1362" i="23"/>
  <c r="J1362" i="23" s="1"/>
  <c r="M1362" i="23"/>
  <c r="N1362" i="23"/>
  <c r="O1362" i="23"/>
  <c r="P1362" i="23"/>
  <c r="I1363" i="23"/>
  <c r="J1363" i="23" s="1"/>
  <c r="M1363" i="23"/>
  <c r="N1363" i="23"/>
  <c r="O1363" i="23"/>
  <c r="P1363" i="23"/>
  <c r="I1364" i="23"/>
  <c r="N1364" i="23"/>
  <c r="O1364" i="23"/>
  <c r="P1364" i="23"/>
  <c r="I1365" i="23"/>
  <c r="N1365" i="23"/>
  <c r="O1365" i="23"/>
  <c r="P1365" i="23"/>
  <c r="I1366" i="23"/>
  <c r="N1366" i="23"/>
  <c r="O1366" i="23"/>
  <c r="P1366" i="23"/>
  <c r="I1367" i="23"/>
  <c r="N1367" i="23"/>
  <c r="O1367" i="23"/>
  <c r="P1367" i="23"/>
  <c r="I1368" i="23"/>
  <c r="N1368" i="23"/>
  <c r="O1368" i="23"/>
  <c r="P1368" i="23"/>
  <c r="I1369" i="23"/>
  <c r="N1369" i="23"/>
  <c r="O1369" i="23"/>
  <c r="P1369" i="23"/>
  <c r="I1370" i="23"/>
  <c r="N1370" i="23"/>
  <c r="O1370" i="23"/>
  <c r="P1370" i="23"/>
  <c r="I1371" i="23"/>
  <c r="N1371" i="23"/>
  <c r="O1371" i="23"/>
  <c r="P1371" i="23"/>
  <c r="I1372" i="23"/>
  <c r="N1372" i="23"/>
  <c r="O1372" i="23"/>
  <c r="P1372" i="23"/>
  <c r="I1373" i="23"/>
  <c r="N1373" i="23"/>
  <c r="O1373" i="23"/>
  <c r="P1373" i="23"/>
  <c r="I1374" i="23"/>
  <c r="N1374" i="23"/>
  <c r="O1374" i="23"/>
  <c r="P1374" i="23"/>
  <c r="I1375" i="23"/>
  <c r="N1375" i="23"/>
  <c r="O1375" i="23"/>
  <c r="P1375" i="23"/>
  <c r="I1376" i="23"/>
  <c r="N1376" i="23"/>
  <c r="O1376" i="23"/>
  <c r="P1376" i="23"/>
  <c r="I1377" i="23"/>
  <c r="M1377" i="23"/>
  <c r="N1377" i="23"/>
  <c r="O1377" i="23"/>
  <c r="P1377" i="23"/>
  <c r="I1378" i="23"/>
  <c r="M1378" i="23"/>
  <c r="N1378" i="23"/>
  <c r="O1378" i="23"/>
  <c r="P1378" i="23"/>
  <c r="I1379" i="23"/>
  <c r="M1379" i="23"/>
  <c r="N1379" i="23"/>
  <c r="O1379" i="23"/>
  <c r="P1379" i="23"/>
  <c r="I1380" i="23"/>
  <c r="M1380" i="23"/>
  <c r="N1380" i="23"/>
  <c r="O1380" i="23"/>
  <c r="P1380" i="23"/>
  <c r="I1381" i="23"/>
  <c r="N1381" i="23"/>
  <c r="O1381" i="23"/>
  <c r="P1381" i="23"/>
  <c r="I1359" i="23"/>
  <c r="N1359" i="23"/>
  <c r="O1359" i="23"/>
  <c r="P1359" i="23"/>
  <c r="I1360" i="23"/>
  <c r="M1360" i="23"/>
  <c r="N1360" i="23"/>
  <c r="O1360" i="23"/>
  <c r="P1360" i="23"/>
  <c r="I1340" i="23"/>
  <c r="N1340" i="23"/>
  <c r="O1340" i="23"/>
  <c r="P1340" i="23"/>
  <c r="I1341" i="23"/>
  <c r="J1341" i="23" s="1"/>
  <c r="M1341" i="23"/>
  <c r="N1341" i="23"/>
  <c r="O1341" i="23"/>
  <c r="P1341" i="23"/>
  <c r="I1342" i="23"/>
  <c r="J1342" i="23" s="1"/>
  <c r="M1342" i="23"/>
  <c r="N1342" i="23"/>
  <c r="O1342" i="23"/>
  <c r="P1342" i="23"/>
  <c r="I1343" i="23"/>
  <c r="N1343" i="23"/>
  <c r="O1343" i="23"/>
  <c r="P1343" i="23"/>
  <c r="I1344" i="23"/>
  <c r="M1344" i="23"/>
  <c r="N1344" i="23"/>
  <c r="O1344" i="23"/>
  <c r="P1344" i="23"/>
  <c r="I1345" i="23"/>
  <c r="M1345" i="23"/>
  <c r="N1345" i="23"/>
  <c r="O1345" i="23"/>
  <c r="P1345" i="23"/>
  <c r="I1346" i="23"/>
  <c r="M1346" i="23"/>
  <c r="N1346" i="23"/>
  <c r="O1346" i="23"/>
  <c r="P1346" i="23"/>
  <c r="I1347" i="23"/>
  <c r="N1347" i="23"/>
  <c r="O1347" i="23"/>
  <c r="P1347" i="23"/>
  <c r="I1348" i="23"/>
  <c r="M1348" i="23"/>
  <c r="N1348" i="23"/>
  <c r="O1348" i="23"/>
  <c r="P1348" i="23"/>
  <c r="I1349" i="23"/>
  <c r="M1349" i="23"/>
  <c r="N1349" i="23"/>
  <c r="O1349" i="23"/>
  <c r="P1349" i="23"/>
  <c r="I1350" i="23"/>
  <c r="M1350" i="23"/>
  <c r="N1350" i="23"/>
  <c r="O1350" i="23"/>
  <c r="P1350" i="23"/>
  <c r="I1351" i="23"/>
  <c r="M1351" i="23"/>
  <c r="N1351" i="23"/>
  <c r="O1351" i="23"/>
  <c r="P1351" i="23"/>
  <c r="I1352" i="23"/>
  <c r="M1352" i="23"/>
  <c r="N1352" i="23"/>
  <c r="O1352" i="23"/>
  <c r="P1352" i="23"/>
  <c r="I1353" i="23"/>
  <c r="M1353" i="23"/>
  <c r="N1353" i="23"/>
  <c r="O1353" i="23"/>
  <c r="P1353" i="23"/>
  <c r="I1354" i="23"/>
  <c r="M1354" i="23"/>
  <c r="N1354" i="23"/>
  <c r="O1354" i="23"/>
  <c r="P1354" i="23"/>
  <c r="I1355" i="23"/>
  <c r="M1355" i="23"/>
  <c r="N1355" i="23"/>
  <c r="O1355" i="23"/>
  <c r="P1355" i="23"/>
  <c r="I1356" i="23"/>
  <c r="M1356" i="23"/>
  <c r="N1356" i="23"/>
  <c r="O1356" i="23"/>
  <c r="P1356" i="23"/>
  <c r="I1357" i="23"/>
  <c r="N1357" i="23"/>
  <c r="O1357" i="23"/>
  <c r="P1357" i="23"/>
  <c r="I1358" i="23"/>
  <c r="M1358" i="23"/>
  <c r="N1358" i="23"/>
  <c r="O1358" i="23"/>
  <c r="P1358" i="23"/>
  <c r="I1335" i="23"/>
  <c r="M1335" i="23"/>
  <c r="N1335" i="23"/>
  <c r="O1335" i="23"/>
  <c r="P1335" i="23"/>
  <c r="I1336" i="23"/>
  <c r="M1336" i="23"/>
  <c r="N1336" i="23"/>
  <c r="O1336" i="23"/>
  <c r="P1336" i="23"/>
  <c r="I1337" i="23"/>
  <c r="N1337" i="23"/>
  <c r="O1337" i="23"/>
  <c r="P1337" i="23"/>
  <c r="I1338" i="23"/>
  <c r="M1338" i="23"/>
  <c r="N1338" i="23"/>
  <c r="O1338" i="23"/>
  <c r="P1338" i="23"/>
  <c r="I1339" i="23"/>
  <c r="M1339" i="23"/>
  <c r="N1339" i="23"/>
  <c r="O1339" i="23"/>
  <c r="P1339" i="23"/>
  <c r="M1291" i="23"/>
  <c r="N1291" i="23"/>
  <c r="O1291" i="23"/>
  <c r="P1291" i="23"/>
  <c r="N1292" i="23"/>
  <c r="O1292" i="23"/>
  <c r="P1292" i="23"/>
  <c r="M1293" i="23"/>
  <c r="N1293" i="23"/>
  <c r="O1293" i="23"/>
  <c r="P1293" i="23"/>
  <c r="M1294" i="23"/>
  <c r="N1294" i="23"/>
  <c r="O1294" i="23"/>
  <c r="P1294" i="23"/>
  <c r="M1295" i="23"/>
  <c r="N1295" i="23"/>
  <c r="O1295" i="23"/>
  <c r="P1295" i="23"/>
  <c r="M1296" i="23"/>
  <c r="N1296" i="23"/>
  <c r="O1296" i="23"/>
  <c r="P1296" i="23"/>
  <c r="M1297" i="23"/>
  <c r="N1297" i="23"/>
  <c r="O1297" i="23"/>
  <c r="P1297" i="23"/>
  <c r="M1298" i="23"/>
  <c r="N1298" i="23"/>
  <c r="O1298" i="23"/>
  <c r="P1298" i="23"/>
  <c r="M1299" i="23"/>
  <c r="N1299" i="23"/>
  <c r="O1299" i="23"/>
  <c r="P1299" i="23"/>
  <c r="M1300" i="23"/>
  <c r="N1300" i="23"/>
  <c r="O1300" i="23"/>
  <c r="P1300" i="23"/>
  <c r="M1301" i="23"/>
  <c r="N1301" i="23"/>
  <c r="O1301" i="23"/>
  <c r="P1301" i="23"/>
  <c r="M1302" i="23"/>
  <c r="N1302" i="23"/>
  <c r="O1302" i="23"/>
  <c r="P1302" i="23"/>
  <c r="M1303" i="23"/>
  <c r="N1303" i="23"/>
  <c r="O1303" i="23"/>
  <c r="P1303" i="23"/>
  <c r="M1304" i="23"/>
  <c r="N1304" i="23"/>
  <c r="O1304" i="23"/>
  <c r="P1304" i="23"/>
  <c r="M1305" i="23"/>
  <c r="N1305" i="23"/>
  <c r="O1305" i="23"/>
  <c r="P1305" i="23"/>
  <c r="M1306" i="23"/>
  <c r="N1306" i="23"/>
  <c r="O1306" i="23"/>
  <c r="P1306" i="23"/>
  <c r="M1307" i="23"/>
  <c r="N1307" i="23"/>
  <c r="O1307" i="23"/>
  <c r="P1307" i="23"/>
  <c r="M1308" i="23"/>
  <c r="N1308" i="23"/>
  <c r="O1308" i="23"/>
  <c r="P1308" i="23"/>
  <c r="M1309" i="23"/>
  <c r="N1309" i="23"/>
  <c r="O1309" i="23"/>
  <c r="P1309" i="23"/>
  <c r="M1310" i="23"/>
  <c r="N1310" i="23"/>
  <c r="O1310" i="23"/>
  <c r="P1310" i="23"/>
  <c r="M1311" i="23"/>
  <c r="N1311" i="23"/>
  <c r="O1311" i="23"/>
  <c r="P1311" i="23"/>
  <c r="M1312" i="23"/>
  <c r="N1312" i="23"/>
  <c r="O1312" i="23"/>
  <c r="P1312" i="23"/>
  <c r="M1313" i="23"/>
  <c r="N1313" i="23"/>
  <c r="O1313" i="23"/>
  <c r="P1313" i="23"/>
  <c r="M1314" i="23"/>
  <c r="N1314" i="23"/>
  <c r="O1314" i="23"/>
  <c r="P1314" i="23"/>
  <c r="M1315" i="23"/>
  <c r="N1315" i="23"/>
  <c r="O1315" i="23"/>
  <c r="P1315" i="23"/>
  <c r="M1316" i="23"/>
  <c r="N1316" i="23"/>
  <c r="O1316" i="23"/>
  <c r="P1316" i="23"/>
  <c r="M1317" i="23"/>
  <c r="N1317" i="23"/>
  <c r="O1317" i="23"/>
  <c r="P1317" i="23"/>
  <c r="M1318" i="23"/>
  <c r="N1318" i="23"/>
  <c r="O1318" i="23"/>
  <c r="P1318" i="23"/>
  <c r="M1319" i="23"/>
  <c r="N1319" i="23"/>
  <c r="O1319" i="23"/>
  <c r="P1319" i="23"/>
  <c r="M1320" i="23"/>
  <c r="N1320" i="23"/>
  <c r="O1320" i="23"/>
  <c r="P1320" i="23"/>
  <c r="M1321" i="23"/>
  <c r="N1321" i="23"/>
  <c r="O1321" i="23"/>
  <c r="P1321" i="23"/>
  <c r="N1322" i="23"/>
  <c r="O1322" i="23"/>
  <c r="P1322" i="23"/>
  <c r="M1323" i="23"/>
  <c r="N1323" i="23"/>
  <c r="O1323" i="23"/>
  <c r="P1323" i="23"/>
  <c r="M1324" i="23"/>
  <c r="N1324" i="23"/>
  <c r="O1324" i="23"/>
  <c r="P1324" i="23"/>
  <c r="M1325" i="23"/>
  <c r="N1325" i="23"/>
  <c r="O1325" i="23"/>
  <c r="P1325" i="23"/>
  <c r="M1326" i="23"/>
  <c r="N1326" i="23"/>
  <c r="O1326" i="23"/>
  <c r="P1326" i="23"/>
  <c r="M1327" i="23"/>
  <c r="N1327" i="23"/>
  <c r="O1327" i="23"/>
  <c r="P1327" i="23"/>
  <c r="N1328" i="23"/>
  <c r="O1328" i="23"/>
  <c r="P1328" i="23"/>
  <c r="N1329" i="23"/>
  <c r="O1329" i="23"/>
  <c r="P1329" i="23"/>
  <c r="M1330" i="23"/>
  <c r="N1330" i="23"/>
  <c r="O1330" i="23"/>
  <c r="P1330" i="23"/>
  <c r="M1331" i="23"/>
  <c r="N1331" i="23"/>
  <c r="O1331" i="23"/>
  <c r="P1331" i="23"/>
  <c r="N1332" i="23"/>
  <c r="O1332" i="23"/>
  <c r="P1332" i="23"/>
  <c r="M1333" i="23"/>
  <c r="N1333" i="23"/>
  <c r="O1333" i="23"/>
  <c r="P1333" i="23"/>
  <c r="M1334" i="23"/>
  <c r="N1334" i="23"/>
  <c r="O1334" i="23"/>
  <c r="P1334" i="23"/>
  <c r="P1625" i="23"/>
  <c r="O1625" i="23"/>
  <c r="N1625" i="23"/>
  <c r="M1625" i="23"/>
  <c r="I1625" i="23"/>
  <c r="P1624" i="23"/>
  <c r="O1624" i="23"/>
  <c r="N1624" i="23"/>
  <c r="M1624" i="23"/>
  <c r="I1624" i="23"/>
  <c r="P1623" i="23"/>
  <c r="O1623" i="23"/>
  <c r="N1623" i="23"/>
  <c r="M1623" i="23"/>
  <c r="I1623" i="23"/>
  <c r="P1622" i="23"/>
  <c r="O1622" i="23"/>
  <c r="N1622" i="23"/>
  <c r="M1622" i="23"/>
  <c r="I1622" i="23"/>
  <c r="P1621" i="23"/>
  <c r="O1621" i="23"/>
  <c r="N1621" i="23"/>
  <c r="M1621" i="23"/>
  <c r="I1621" i="23"/>
  <c r="P1620" i="23"/>
  <c r="O1620" i="23"/>
  <c r="N1620" i="23"/>
  <c r="M1620" i="23"/>
  <c r="I1620" i="23"/>
  <c r="P1619" i="23"/>
  <c r="O1619" i="23"/>
  <c r="N1619" i="23"/>
  <c r="M1619" i="23"/>
  <c r="I1619" i="23"/>
  <c r="P1618" i="23"/>
  <c r="O1618" i="23"/>
  <c r="N1618" i="23"/>
  <c r="M1618" i="23"/>
  <c r="I1618" i="23"/>
  <c r="P1617" i="23"/>
  <c r="O1617" i="23"/>
  <c r="N1617" i="23"/>
  <c r="M1617" i="23"/>
  <c r="I1617" i="23"/>
  <c r="P1616" i="23"/>
  <c r="O1616" i="23"/>
  <c r="N1616" i="23"/>
  <c r="M1616" i="23"/>
  <c r="I1616" i="23"/>
  <c r="P1615" i="23"/>
  <c r="O1615" i="23"/>
  <c r="N1615" i="23"/>
  <c r="M1615" i="23"/>
  <c r="I1615" i="23"/>
  <c r="P1614" i="23"/>
  <c r="O1614" i="23"/>
  <c r="N1614" i="23"/>
  <c r="M1614" i="23"/>
  <c r="I1614" i="23"/>
  <c r="P1613" i="23"/>
  <c r="O1613" i="23"/>
  <c r="N1613" i="23"/>
  <c r="M1613" i="23"/>
  <c r="I1613" i="23"/>
  <c r="P1612" i="23"/>
  <c r="O1612" i="23"/>
  <c r="N1612" i="23"/>
  <c r="M1612" i="23"/>
  <c r="I1612" i="23"/>
  <c r="P1611" i="23"/>
  <c r="O1611" i="23"/>
  <c r="N1611" i="23"/>
  <c r="M1611" i="23"/>
  <c r="I1611" i="23"/>
  <c r="P1610" i="23"/>
  <c r="O1610" i="23"/>
  <c r="N1610" i="23"/>
  <c r="M1610" i="23"/>
  <c r="I1610" i="23"/>
  <c r="P1609" i="23"/>
  <c r="O1609" i="23"/>
  <c r="N1609" i="23"/>
  <c r="M1609" i="23"/>
  <c r="I1609" i="23"/>
  <c r="P1608" i="23"/>
  <c r="O1608" i="23"/>
  <c r="N1608" i="23"/>
  <c r="M1608" i="23"/>
  <c r="I1608" i="23"/>
  <c r="P1607" i="23"/>
  <c r="O1607" i="23"/>
  <c r="N1607" i="23"/>
  <c r="M1607" i="23"/>
  <c r="I1607" i="23"/>
  <c r="P1606" i="23"/>
  <c r="O1606" i="23"/>
  <c r="N1606" i="23"/>
  <c r="M1606" i="23"/>
  <c r="I1606" i="23"/>
  <c r="P1605" i="23"/>
  <c r="O1605" i="23"/>
  <c r="N1605" i="23"/>
  <c r="M1605" i="23"/>
  <c r="I1605" i="23"/>
  <c r="P1604" i="23"/>
  <c r="O1604" i="23"/>
  <c r="N1604" i="23"/>
  <c r="M1604" i="23"/>
  <c r="I1604" i="23"/>
  <c r="P1603" i="23"/>
  <c r="O1603" i="23"/>
  <c r="N1603" i="23"/>
  <c r="M1603" i="23"/>
  <c r="I1603" i="23"/>
  <c r="P1602" i="23"/>
  <c r="O1602" i="23"/>
  <c r="N1602" i="23"/>
  <c r="M1602" i="23"/>
  <c r="I1602" i="23"/>
  <c r="P1601" i="23"/>
  <c r="O1601" i="23"/>
  <c r="N1601" i="23"/>
  <c r="M1601" i="23"/>
  <c r="I1601" i="23"/>
  <c r="P1600" i="23"/>
  <c r="O1600" i="23"/>
  <c r="N1600" i="23"/>
  <c r="M1600" i="23"/>
  <c r="I1600" i="23"/>
  <c r="P1599" i="23"/>
  <c r="O1599" i="23"/>
  <c r="N1599" i="23"/>
  <c r="M1599" i="23"/>
  <c r="I1599" i="23"/>
  <c r="P1598" i="23"/>
  <c r="O1598" i="23"/>
  <c r="N1598" i="23"/>
  <c r="M1598" i="23"/>
  <c r="I1598" i="23"/>
  <c r="P1597" i="23"/>
  <c r="O1597" i="23"/>
  <c r="N1597" i="23"/>
  <c r="M1597" i="23"/>
  <c r="I1597" i="23"/>
  <c r="P1596" i="23"/>
  <c r="O1596" i="23"/>
  <c r="N1596" i="23"/>
  <c r="M1596" i="23"/>
  <c r="I1596" i="23"/>
  <c r="P1595" i="23"/>
  <c r="O1595" i="23"/>
  <c r="N1595" i="23"/>
  <c r="M1595" i="23"/>
  <c r="I1595" i="23"/>
  <c r="P1594" i="23"/>
  <c r="O1594" i="23"/>
  <c r="N1594" i="23"/>
  <c r="M1594" i="23"/>
  <c r="I1594" i="23"/>
  <c r="P1593" i="23"/>
  <c r="O1593" i="23"/>
  <c r="N1593" i="23"/>
  <c r="M1593" i="23"/>
  <c r="I1593" i="23"/>
  <c r="P1592" i="23"/>
  <c r="O1592" i="23"/>
  <c r="N1592" i="23"/>
  <c r="M1592" i="23"/>
  <c r="I1592" i="23"/>
  <c r="P1591" i="23"/>
  <c r="O1591" i="23"/>
  <c r="N1591" i="23"/>
  <c r="M1591" i="23"/>
  <c r="I1591" i="23"/>
  <c r="P1590" i="23"/>
  <c r="O1590" i="23"/>
  <c r="N1590" i="23"/>
  <c r="M1590" i="23"/>
  <c r="I1590" i="23"/>
  <c r="P1589" i="23"/>
  <c r="O1589" i="23"/>
  <c r="N1589" i="23"/>
  <c r="M1589" i="23"/>
  <c r="I1589" i="23"/>
  <c r="P1588" i="23"/>
  <c r="O1588" i="23"/>
  <c r="N1588" i="23"/>
  <c r="M1588" i="23"/>
  <c r="I1588" i="23"/>
  <c r="P1587" i="23"/>
  <c r="O1587" i="23"/>
  <c r="N1587" i="23"/>
  <c r="M1587" i="23"/>
  <c r="I1587" i="23"/>
  <c r="P1586" i="23"/>
  <c r="O1586" i="23"/>
  <c r="N1586" i="23"/>
  <c r="M1586" i="23"/>
  <c r="I1586" i="23"/>
  <c r="P1585" i="23"/>
  <c r="O1585" i="23"/>
  <c r="N1585" i="23"/>
  <c r="M1585" i="23"/>
  <c r="I1585" i="23"/>
  <c r="P1584" i="23"/>
  <c r="O1584" i="23"/>
  <c r="N1584" i="23"/>
  <c r="M1584" i="23"/>
  <c r="I1584" i="23"/>
  <c r="P1583" i="23"/>
  <c r="O1583" i="23"/>
  <c r="N1583" i="23"/>
  <c r="M1583" i="23"/>
  <c r="I1583" i="23"/>
  <c r="P1582" i="23"/>
  <c r="O1582" i="23"/>
  <c r="N1582" i="23"/>
  <c r="M1582" i="23"/>
  <c r="I1582" i="23"/>
  <c r="P1581" i="23"/>
  <c r="O1581" i="23"/>
  <c r="N1581" i="23"/>
  <c r="M1581" i="23"/>
  <c r="I1581" i="23"/>
  <c r="P1580" i="23"/>
  <c r="O1580" i="23"/>
  <c r="N1580" i="23"/>
  <c r="M1580" i="23"/>
  <c r="I1580" i="23"/>
  <c r="P1579" i="23"/>
  <c r="O1579" i="23"/>
  <c r="N1579" i="23"/>
  <c r="M1579" i="23"/>
  <c r="I1579" i="23"/>
  <c r="P1578" i="23"/>
  <c r="O1578" i="23"/>
  <c r="N1578" i="23"/>
  <c r="M1578" i="23"/>
  <c r="I1578" i="23"/>
  <c r="P1577" i="23"/>
  <c r="O1577" i="23"/>
  <c r="N1577" i="23"/>
  <c r="M1577" i="23"/>
  <c r="I1577" i="23"/>
  <c r="P1576" i="23"/>
  <c r="O1576" i="23"/>
  <c r="N1576" i="23"/>
  <c r="M1576" i="23"/>
  <c r="I1576" i="23"/>
  <c r="P1575" i="23"/>
  <c r="O1575" i="23"/>
  <c r="N1575" i="23"/>
  <c r="M1575" i="23"/>
  <c r="I1575" i="23"/>
  <c r="P1574" i="23"/>
  <c r="O1574" i="23"/>
  <c r="N1574" i="23"/>
  <c r="M1574" i="23"/>
  <c r="I1574" i="23"/>
  <c r="P1573" i="23"/>
  <c r="O1573" i="23"/>
  <c r="N1573" i="23"/>
  <c r="M1573" i="23"/>
  <c r="I1573" i="23"/>
  <c r="P1572" i="23"/>
  <c r="O1572" i="23"/>
  <c r="N1572" i="23"/>
  <c r="M1572" i="23"/>
  <c r="I1572" i="23"/>
  <c r="P1571" i="23"/>
  <c r="O1571" i="23"/>
  <c r="N1571" i="23"/>
  <c r="M1571" i="23"/>
  <c r="I1571" i="23"/>
  <c r="P1570" i="23"/>
  <c r="O1570" i="23"/>
  <c r="N1570" i="23"/>
  <c r="M1570" i="23"/>
  <c r="I1570" i="23"/>
  <c r="P1569" i="23"/>
  <c r="O1569" i="23"/>
  <c r="N1569" i="23"/>
  <c r="M1569" i="23"/>
  <c r="I1569" i="23"/>
  <c r="P1568" i="23"/>
  <c r="O1568" i="23"/>
  <c r="N1568" i="23"/>
  <c r="M1568" i="23"/>
  <c r="I1568" i="23"/>
  <c r="P1567" i="23"/>
  <c r="O1567" i="23"/>
  <c r="N1567" i="23"/>
  <c r="M1567" i="23"/>
  <c r="I1567" i="23"/>
  <c r="P1566" i="23"/>
  <c r="O1566" i="23"/>
  <c r="N1566" i="23"/>
  <c r="M1566" i="23"/>
  <c r="I1566" i="23"/>
  <c r="P1565" i="23"/>
  <c r="O1565" i="23"/>
  <c r="N1565" i="23"/>
  <c r="M1565" i="23"/>
  <c r="I1565" i="23"/>
  <c r="P1564" i="23"/>
  <c r="O1564" i="23"/>
  <c r="N1564" i="23"/>
  <c r="M1564" i="23"/>
  <c r="I1564" i="23"/>
  <c r="P1563" i="23"/>
  <c r="O1563" i="23"/>
  <c r="N1563" i="23"/>
  <c r="M1563" i="23"/>
  <c r="I1563" i="23"/>
  <c r="P1562" i="23"/>
  <c r="O1562" i="23"/>
  <c r="N1562" i="23"/>
  <c r="M1562" i="23"/>
  <c r="I1562" i="23"/>
  <c r="P1561" i="23"/>
  <c r="O1561" i="23"/>
  <c r="N1561" i="23"/>
  <c r="M1561" i="23"/>
  <c r="I1561" i="23"/>
  <c r="P1560" i="23"/>
  <c r="O1560" i="23"/>
  <c r="N1560" i="23"/>
  <c r="M1560" i="23"/>
  <c r="I1560" i="23"/>
  <c r="P1559" i="23"/>
  <c r="O1559" i="23"/>
  <c r="N1559" i="23"/>
  <c r="M1559" i="23"/>
  <c r="I1559" i="23"/>
  <c r="P1558" i="23"/>
  <c r="O1558" i="23"/>
  <c r="N1558" i="23"/>
  <c r="M1558" i="23"/>
  <c r="I1558" i="23"/>
  <c r="P1557" i="23"/>
  <c r="O1557" i="23"/>
  <c r="N1557" i="23"/>
  <c r="M1557" i="23"/>
  <c r="I1557" i="23"/>
  <c r="P1556" i="23"/>
  <c r="O1556" i="23"/>
  <c r="N1556" i="23"/>
  <c r="M1556" i="23"/>
  <c r="I1556" i="23"/>
  <c r="P1555" i="23"/>
  <c r="O1555" i="23"/>
  <c r="N1555" i="23"/>
  <c r="M1555" i="23"/>
  <c r="I1555" i="23"/>
  <c r="P1554" i="23"/>
  <c r="O1554" i="23"/>
  <c r="N1554" i="23"/>
  <c r="M1554" i="23"/>
  <c r="I1554" i="23"/>
  <c r="P1553" i="23"/>
  <c r="O1553" i="23"/>
  <c r="N1553" i="23"/>
  <c r="M1553" i="23"/>
  <c r="I1553" i="23"/>
  <c r="P1552" i="23"/>
  <c r="O1552" i="23"/>
  <c r="N1552" i="23"/>
  <c r="M1552" i="23"/>
  <c r="I1552" i="23"/>
  <c r="P1551" i="23"/>
  <c r="O1551" i="23"/>
  <c r="N1551" i="23"/>
  <c r="M1551" i="23"/>
  <c r="I1551" i="23"/>
  <c r="P1550" i="23"/>
  <c r="O1550" i="23"/>
  <c r="N1550" i="23"/>
  <c r="M1550" i="23"/>
  <c r="I1550" i="23"/>
  <c r="P1549" i="23"/>
  <c r="O1549" i="23"/>
  <c r="N1549" i="23"/>
  <c r="M1549" i="23"/>
  <c r="I1549" i="23"/>
  <c r="P1548" i="23"/>
  <c r="O1548" i="23"/>
  <c r="N1548" i="23"/>
  <c r="M1548" i="23"/>
  <c r="I1548" i="23"/>
  <c r="P1547" i="23"/>
  <c r="O1547" i="23"/>
  <c r="N1547" i="23"/>
  <c r="M1547" i="23"/>
  <c r="I1547" i="23"/>
  <c r="P1546" i="23"/>
  <c r="O1546" i="23"/>
  <c r="N1546" i="23"/>
  <c r="M1546" i="23"/>
  <c r="I1546" i="23"/>
  <c r="P1545" i="23"/>
  <c r="O1545" i="23"/>
  <c r="N1545" i="23"/>
  <c r="M1545" i="23"/>
  <c r="I1545" i="23"/>
  <c r="P1544" i="23"/>
  <c r="O1544" i="23"/>
  <c r="N1544" i="23"/>
  <c r="M1544" i="23"/>
  <c r="I1544" i="23"/>
  <c r="P1543" i="23"/>
  <c r="O1543" i="23"/>
  <c r="N1543" i="23"/>
  <c r="M1543" i="23"/>
  <c r="I1543" i="23"/>
  <c r="P1542" i="23"/>
  <c r="O1542" i="23"/>
  <c r="N1542" i="23"/>
  <c r="M1542" i="23"/>
  <c r="I1542" i="23"/>
  <c r="P1541" i="23"/>
  <c r="O1541" i="23"/>
  <c r="N1541" i="23"/>
  <c r="M1541" i="23"/>
  <c r="I1541" i="23"/>
  <c r="P1540" i="23"/>
  <c r="O1540" i="23"/>
  <c r="N1540" i="23"/>
  <c r="M1540" i="23"/>
  <c r="I1540" i="23"/>
  <c r="P1539" i="23"/>
  <c r="O1539" i="23"/>
  <c r="N1539" i="23"/>
  <c r="M1539" i="23"/>
  <c r="I1539" i="23"/>
  <c r="I1334" i="23"/>
  <c r="I1333" i="23"/>
  <c r="I1332" i="23"/>
  <c r="I1331" i="23"/>
  <c r="I1330" i="23"/>
  <c r="I1329" i="23"/>
  <c r="I1328" i="23"/>
  <c r="I1327" i="23"/>
  <c r="I1326" i="23"/>
  <c r="I1325" i="23"/>
  <c r="I1324" i="23"/>
  <c r="I1323" i="23"/>
  <c r="I1322" i="23"/>
  <c r="I1321" i="23"/>
  <c r="I1320" i="23"/>
  <c r="I1319" i="23"/>
  <c r="I1318" i="23"/>
  <c r="J1318" i="23" s="1"/>
  <c r="I1317" i="23"/>
  <c r="J1317" i="23" s="1"/>
  <c r="I1316" i="23"/>
  <c r="I1315" i="23"/>
  <c r="J1315" i="23" s="1"/>
  <c r="I1314" i="23"/>
  <c r="J1314" i="23" s="1"/>
  <c r="I1313" i="23"/>
  <c r="J1313" i="23" s="1"/>
  <c r="I1312" i="23"/>
  <c r="J1312" i="23" s="1"/>
  <c r="I1311" i="23"/>
  <c r="J1311" i="23" s="1"/>
  <c r="I1310" i="23"/>
  <c r="J1310" i="23" s="1"/>
  <c r="I1309" i="23"/>
  <c r="J1309" i="23" s="1"/>
  <c r="I1308" i="23"/>
  <c r="J1308" i="23" s="1"/>
  <c r="I1307" i="23"/>
  <c r="J1307" i="23" s="1"/>
  <c r="E7" i="24" l="1"/>
  <c r="J4" i="27" l="1"/>
  <c r="D26" i="26"/>
  <c r="D25" i="26"/>
  <c r="D24" i="26"/>
  <c r="D23" i="26"/>
  <c r="D22" i="26"/>
  <c r="D21" i="26"/>
  <c r="D20" i="26"/>
  <c r="D19" i="26"/>
  <c r="D18" i="26"/>
  <c r="A14" i="26"/>
  <c r="B14" i="26"/>
  <c r="C14" i="26"/>
  <c r="A15" i="26"/>
  <c r="B15" i="26"/>
  <c r="C15" i="26"/>
  <c r="A16" i="26"/>
  <c r="B16" i="26"/>
  <c r="C16" i="26"/>
  <c r="A17" i="26"/>
  <c r="B17" i="26"/>
  <c r="C17" i="26"/>
  <c r="A18" i="26"/>
  <c r="B18" i="26"/>
  <c r="C18" i="26"/>
  <c r="A19" i="26"/>
  <c r="B19" i="26"/>
  <c r="C19" i="26"/>
  <c r="A20" i="26"/>
  <c r="B20" i="26"/>
  <c r="C20" i="26"/>
  <c r="A21" i="26"/>
  <c r="B21" i="26"/>
  <c r="C21" i="26"/>
  <c r="A22" i="26"/>
  <c r="B22" i="26"/>
  <c r="C22" i="26"/>
  <c r="A23" i="26"/>
  <c r="B23" i="26"/>
  <c r="C23" i="26"/>
  <c r="A24" i="26"/>
  <c r="B24" i="26"/>
  <c r="C24" i="26"/>
  <c r="A25" i="26"/>
  <c r="B25" i="26"/>
  <c r="C25" i="26"/>
  <c r="A26" i="26"/>
  <c r="B26" i="26"/>
  <c r="C26" i="26"/>
  <c r="E43" i="25"/>
  <c r="E42" i="25"/>
  <c r="E41" i="25"/>
  <c r="E40" i="25"/>
  <c r="E39" i="25"/>
  <c r="E38" i="25"/>
  <c r="E37" i="25"/>
  <c r="E36" i="25"/>
  <c r="E35" i="25"/>
  <c r="E34" i="25"/>
  <c r="E33" i="25"/>
  <c r="E32" i="25"/>
  <c r="E31" i="25"/>
  <c r="E30" i="25"/>
  <c r="E29" i="25"/>
  <c r="E28" i="25"/>
  <c r="E27" i="25"/>
  <c r="E26" i="25"/>
  <c r="E25" i="25"/>
  <c r="E24" i="25"/>
  <c r="E23" i="25"/>
  <c r="E22" i="25"/>
  <c r="E21" i="25"/>
  <c r="E20" i="25"/>
  <c r="E19" i="25"/>
  <c r="E18" i="25"/>
  <c r="E17" i="25"/>
  <c r="E16" i="25"/>
  <c r="E15" i="25"/>
  <c r="E14" i="25"/>
  <c r="E13" i="25"/>
  <c r="E12" i="25"/>
  <c r="D17" i="26" s="1"/>
  <c r="E11" i="25"/>
  <c r="D16" i="26" s="1"/>
  <c r="E10" i="25"/>
  <c r="D15" i="26" s="1"/>
  <c r="E9" i="25"/>
  <c r="D14" i="26" s="1"/>
  <c r="E8" i="25"/>
  <c r="D13" i="26" s="1"/>
  <c r="E7" i="25"/>
  <c r="D12" i="26" s="1"/>
  <c r="E6" i="25"/>
  <c r="D11" i="26" s="1"/>
  <c r="E5" i="25"/>
  <c r="D10" i="26" s="1"/>
  <c r="E4" i="25"/>
  <c r="D9" i="26" s="1"/>
  <c r="E3" i="25"/>
  <c r="D8" i="26" s="1"/>
  <c r="E2" i="25"/>
  <c r="D7" i="26" s="1"/>
  <c r="A3" i="26"/>
  <c r="H16" i="27"/>
  <c r="H15" i="27"/>
  <c r="H14" i="27"/>
  <c r="H13" i="27"/>
  <c r="G16" i="27"/>
  <c r="G15" i="27"/>
  <c r="G14" i="27"/>
  <c r="G13" i="27"/>
  <c r="C27" i="26"/>
  <c r="C13" i="26"/>
  <c r="C12" i="26"/>
  <c r="C11" i="26"/>
  <c r="C10" i="26"/>
  <c r="C9" i="26"/>
  <c r="C8" i="26"/>
  <c r="C7" i="26"/>
  <c r="B13" i="26"/>
  <c r="B12" i="26"/>
  <c r="B11" i="26"/>
  <c r="B10" i="26"/>
  <c r="B9" i="26"/>
  <c r="B8" i="26"/>
  <c r="B7" i="26"/>
  <c r="A13" i="26"/>
  <c r="A12" i="26"/>
  <c r="A11" i="26"/>
  <c r="A10" i="26"/>
  <c r="A9" i="26"/>
  <c r="A8" i="26"/>
  <c r="A7" i="26"/>
  <c r="B34" i="27"/>
  <c r="B20" i="27"/>
  <c r="B18" i="27"/>
  <c r="F8" i="27"/>
  <c r="F7" i="27"/>
  <c r="F6" i="27"/>
  <c r="B4" i="27"/>
  <c r="B2" i="27"/>
  <c r="I1704" i="22"/>
  <c r="J1704" i="22"/>
  <c r="I1705" i="22"/>
  <c r="J1705" i="22"/>
  <c r="I1706" i="22"/>
  <c r="J1706" i="22"/>
  <c r="I1707" i="22"/>
  <c r="J1707" i="22"/>
  <c r="I1708" i="22"/>
  <c r="J1708" i="22"/>
  <c r="I1709" i="22"/>
  <c r="J1709" i="22"/>
  <c r="I1710" i="22"/>
  <c r="J1710" i="22"/>
  <c r="I1711" i="22"/>
  <c r="J1711" i="22"/>
  <c r="I1712" i="22"/>
  <c r="J1712" i="22"/>
  <c r="I1713" i="22"/>
  <c r="J1713" i="22"/>
  <c r="I1714" i="22"/>
  <c r="J1714" i="22"/>
  <c r="I1715" i="22"/>
  <c r="J1715" i="22"/>
  <c r="I1716" i="22"/>
  <c r="J1716" i="22"/>
  <c r="I1717" i="22"/>
  <c r="J1717" i="22"/>
  <c r="I1718" i="22"/>
  <c r="J1718" i="22"/>
  <c r="I1719" i="22"/>
  <c r="J1719" i="22"/>
  <c r="I1720" i="22"/>
  <c r="J1720" i="22"/>
  <c r="I1739" i="23"/>
  <c r="N1739" i="23"/>
  <c r="O1739" i="23"/>
  <c r="P1739" i="23"/>
  <c r="I1740" i="23"/>
  <c r="M1740" i="23"/>
  <c r="N1740" i="23"/>
  <c r="O1740" i="23"/>
  <c r="P1740" i="23"/>
  <c r="I1741" i="23"/>
  <c r="M1741" i="23"/>
  <c r="N1741" i="23"/>
  <c r="O1741" i="23"/>
  <c r="P1741" i="23"/>
  <c r="I1742" i="23"/>
  <c r="N1742" i="23"/>
  <c r="O1742" i="23"/>
  <c r="P1742" i="23"/>
  <c r="I1743" i="23"/>
  <c r="N1743" i="23"/>
  <c r="O1743" i="23"/>
  <c r="P1743" i="23"/>
  <c r="I1744" i="23"/>
  <c r="M1744" i="23"/>
  <c r="N1744" i="23"/>
  <c r="O1744" i="23"/>
  <c r="P1744" i="23"/>
  <c r="I1745" i="23"/>
  <c r="M1745" i="23"/>
  <c r="N1745" i="23"/>
  <c r="O1745" i="23"/>
  <c r="P1745" i="23"/>
  <c r="I1746" i="23"/>
  <c r="M1746" i="23"/>
  <c r="N1746" i="23"/>
  <c r="O1746" i="23"/>
  <c r="P1746" i="23"/>
  <c r="I1747" i="23"/>
  <c r="M1747" i="23"/>
  <c r="N1747" i="23"/>
  <c r="O1747" i="23"/>
  <c r="P1747" i="23"/>
  <c r="I1748" i="23"/>
  <c r="M1748" i="23"/>
  <c r="N1748" i="23"/>
  <c r="O1748" i="23"/>
  <c r="P1748" i="23"/>
  <c r="I1749" i="23"/>
  <c r="M1749" i="23"/>
  <c r="N1749" i="23"/>
  <c r="O1749" i="23"/>
  <c r="P1749" i="23"/>
  <c r="I1750" i="23"/>
  <c r="M1750" i="23"/>
  <c r="N1750" i="23"/>
  <c r="O1750" i="23"/>
  <c r="P1750" i="23"/>
  <c r="I1751" i="23"/>
  <c r="M1751" i="23"/>
  <c r="N1751" i="23"/>
  <c r="O1751" i="23"/>
  <c r="P1751" i="23"/>
  <c r="I1752" i="23"/>
  <c r="M1752" i="23"/>
  <c r="N1752" i="23"/>
  <c r="O1752" i="23"/>
  <c r="P1752" i="23"/>
  <c r="I1753" i="23"/>
  <c r="M1753" i="23"/>
  <c r="N1753" i="23"/>
  <c r="O1753" i="23"/>
  <c r="P1753" i="23"/>
  <c r="I1736" i="23"/>
  <c r="M1736" i="23"/>
  <c r="N1736" i="23"/>
  <c r="O1736" i="23"/>
  <c r="P1736" i="23"/>
  <c r="I1737" i="23"/>
  <c r="M1737" i="23"/>
  <c r="N1737" i="23"/>
  <c r="O1737" i="23"/>
  <c r="P1737" i="23"/>
  <c r="I1738" i="23"/>
  <c r="M1738" i="23"/>
  <c r="N1738" i="23"/>
  <c r="O1738" i="23"/>
  <c r="P1738" i="23"/>
  <c r="I1691" i="22"/>
  <c r="J1691" i="22"/>
  <c r="I1692" i="22"/>
  <c r="J1692" i="22"/>
  <c r="I1693" i="22"/>
  <c r="J1693" i="22"/>
  <c r="I1694" i="22"/>
  <c r="J1694" i="22"/>
  <c r="I1695" i="22"/>
  <c r="J1695" i="22"/>
  <c r="I1696" i="22"/>
  <c r="J1696" i="22"/>
  <c r="I1697" i="22"/>
  <c r="J1697" i="22"/>
  <c r="I1698" i="22"/>
  <c r="J1698" i="22"/>
  <c r="I1699" i="22"/>
  <c r="J1699" i="22"/>
  <c r="I1700" i="22"/>
  <c r="J1700" i="22"/>
  <c r="I1701" i="22"/>
  <c r="J1701" i="22"/>
  <c r="I1702" i="22"/>
  <c r="J1702" i="22"/>
  <c r="I1703" i="22"/>
  <c r="J1703" i="22"/>
  <c r="I1678" i="22"/>
  <c r="J1678" i="22"/>
  <c r="I1679" i="22"/>
  <c r="J1679" i="22"/>
  <c r="I1680" i="22"/>
  <c r="J1680" i="22"/>
  <c r="I1681" i="22"/>
  <c r="J1681" i="22"/>
  <c r="I1682" i="22"/>
  <c r="J1682" i="22"/>
  <c r="I1683" i="22"/>
  <c r="J1683" i="22"/>
  <c r="I1684" i="22"/>
  <c r="J1684" i="22"/>
  <c r="I1685" i="22"/>
  <c r="J1685" i="22"/>
  <c r="I1686" i="22"/>
  <c r="J1686" i="22"/>
  <c r="I1687" i="22"/>
  <c r="J1687" i="22"/>
  <c r="I1688" i="22"/>
  <c r="J1688" i="22"/>
  <c r="I1689" i="22"/>
  <c r="J1689" i="22"/>
  <c r="I1690" i="22"/>
  <c r="J1690" i="22"/>
  <c r="I1735" i="23"/>
  <c r="M1735" i="23"/>
  <c r="N1735" i="23"/>
  <c r="O1735" i="23"/>
  <c r="P1735" i="23"/>
  <c r="I1726" i="23"/>
  <c r="M1726" i="23"/>
  <c r="N1726" i="23"/>
  <c r="O1726" i="23"/>
  <c r="P1726" i="23"/>
  <c r="I1727" i="23"/>
  <c r="M1727" i="23"/>
  <c r="N1727" i="23"/>
  <c r="O1727" i="23"/>
  <c r="P1727" i="23"/>
  <c r="I1728" i="23"/>
  <c r="N1728" i="23"/>
  <c r="O1728" i="23"/>
  <c r="P1728" i="23"/>
  <c r="I1729" i="23"/>
  <c r="N1729" i="23"/>
  <c r="O1729" i="23"/>
  <c r="P1729" i="23"/>
  <c r="I1730" i="23"/>
  <c r="M1730" i="23"/>
  <c r="N1730" i="23"/>
  <c r="O1730" i="23"/>
  <c r="P1730" i="23"/>
  <c r="I1731" i="23"/>
  <c r="M1731" i="23"/>
  <c r="N1731" i="23"/>
  <c r="O1731" i="23"/>
  <c r="P1731" i="23"/>
  <c r="I1732" i="23"/>
  <c r="M1732" i="23"/>
  <c r="N1732" i="23"/>
  <c r="O1732" i="23"/>
  <c r="P1732" i="23"/>
  <c r="I1733" i="23"/>
  <c r="M1733" i="23"/>
  <c r="N1733" i="23"/>
  <c r="O1733" i="23"/>
  <c r="P1733" i="23"/>
  <c r="I1734" i="23"/>
  <c r="M1734" i="23"/>
  <c r="N1734" i="23"/>
  <c r="O1734" i="23"/>
  <c r="P1734" i="23"/>
  <c r="I1662" i="22"/>
  <c r="J1662" i="22"/>
  <c r="I1663" i="22"/>
  <c r="J1663" i="22"/>
  <c r="I1664" i="22"/>
  <c r="J1664" i="22"/>
  <c r="I1665" i="22"/>
  <c r="J1665" i="22"/>
  <c r="I1666" i="22"/>
  <c r="J1666" i="22"/>
  <c r="I1667" i="22"/>
  <c r="J1667" i="22"/>
  <c r="I1668" i="22"/>
  <c r="J1668" i="22"/>
  <c r="I1669" i="22"/>
  <c r="J1669" i="22"/>
  <c r="I1670" i="22"/>
  <c r="J1670" i="22"/>
  <c r="I1671" i="22"/>
  <c r="J1671" i="22"/>
  <c r="I1672" i="22"/>
  <c r="J1672" i="22"/>
  <c r="I1673" i="22"/>
  <c r="J1673" i="22"/>
  <c r="I1674" i="22"/>
  <c r="J1674" i="22"/>
  <c r="I1675" i="22"/>
  <c r="J1675" i="22"/>
  <c r="I1676" i="22"/>
  <c r="J1676" i="22"/>
  <c r="I1677" i="22"/>
  <c r="J1677" i="22"/>
  <c r="I1656" i="22"/>
  <c r="J1656" i="22"/>
  <c r="I1657" i="22"/>
  <c r="J1657" i="22"/>
  <c r="I1658" i="22"/>
  <c r="J1658" i="22"/>
  <c r="I1659" i="22"/>
  <c r="J1659" i="22"/>
  <c r="I1660" i="22"/>
  <c r="J1660" i="22"/>
  <c r="I1661" i="22"/>
  <c r="J1661" i="22"/>
  <c r="N1716" i="23"/>
  <c r="O1716" i="23"/>
  <c r="P1716" i="23"/>
  <c r="M1717" i="23"/>
  <c r="N1717" i="23"/>
  <c r="O1717" i="23"/>
  <c r="P1717" i="23"/>
  <c r="N1718" i="23"/>
  <c r="O1718" i="23"/>
  <c r="P1718" i="23"/>
  <c r="N1719" i="23"/>
  <c r="O1719" i="23"/>
  <c r="P1719" i="23"/>
  <c r="M1720" i="23"/>
  <c r="N1720" i="23"/>
  <c r="O1720" i="23"/>
  <c r="P1720" i="23"/>
  <c r="M1721" i="23"/>
  <c r="N1721" i="23"/>
  <c r="O1721" i="23"/>
  <c r="P1721" i="23"/>
  <c r="M1722" i="23"/>
  <c r="N1722" i="23"/>
  <c r="O1722" i="23"/>
  <c r="P1722" i="23"/>
  <c r="N1723" i="23"/>
  <c r="O1723" i="23"/>
  <c r="P1723" i="23"/>
  <c r="N1724" i="23"/>
  <c r="O1724" i="23"/>
  <c r="P1724" i="23"/>
  <c r="N1725" i="23"/>
  <c r="O1725" i="23"/>
  <c r="P1725" i="23"/>
  <c r="I1655" i="22"/>
  <c r="J1655" i="22"/>
  <c r="I1653" i="22"/>
  <c r="J1653" i="22"/>
  <c r="I1654" i="22"/>
  <c r="J1654" i="22"/>
  <c r="P1715" i="23"/>
  <c r="O1715" i="23"/>
  <c r="N1715" i="23"/>
  <c r="M1715" i="23"/>
  <c r="P1714" i="23"/>
  <c r="O1714" i="23"/>
  <c r="N1714" i="23"/>
  <c r="M1714" i="23"/>
  <c r="P1713" i="23"/>
  <c r="O1713" i="23"/>
  <c r="N1713" i="23"/>
  <c r="P1712" i="23"/>
  <c r="O1712" i="23"/>
  <c r="N1712" i="23"/>
  <c r="P1711" i="23"/>
  <c r="O1711" i="23"/>
  <c r="N1711" i="23"/>
  <c r="P1710" i="23"/>
  <c r="O1710" i="23"/>
  <c r="N1710" i="23"/>
  <c r="P1709" i="23"/>
  <c r="O1709" i="23"/>
  <c r="N1709" i="23"/>
  <c r="M1709" i="23"/>
  <c r="P1708" i="23"/>
  <c r="O1708" i="23"/>
  <c r="N1708" i="23"/>
  <c r="P1707" i="23"/>
  <c r="O1707" i="23"/>
  <c r="N1707" i="23"/>
  <c r="P1706" i="23"/>
  <c r="O1706" i="23"/>
  <c r="N1706" i="23"/>
  <c r="M1706" i="23"/>
  <c r="P1705" i="23"/>
  <c r="O1705" i="23"/>
  <c r="N1705" i="23"/>
  <c r="P1704" i="23"/>
  <c r="O1704" i="23"/>
  <c r="N1704" i="23"/>
  <c r="P1703" i="23"/>
  <c r="O1703" i="23"/>
  <c r="N1703" i="23"/>
  <c r="P1702" i="23"/>
  <c r="O1702" i="23"/>
  <c r="N1702" i="23"/>
  <c r="P1701" i="23"/>
  <c r="O1701" i="23"/>
  <c r="N1701" i="23"/>
  <c r="P1700" i="23"/>
  <c r="O1700" i="23"/>
  <c r="N1700" i="23"/>
  <c r="P1699" i="23"/>
  <c r="O1699" i="23"/>
  <c r="N1699" i="23"/>
  <c r="P1698" i="23"/>
  <c r="O1698" i="23"/>
  <c r="N1698" i="23"/>
  <c r="P1697" i="23"/>
  <c r="O1697" i="23"/>
  <c r="N1697" i="23"/>
  <c r="P1696" i="23"/>
  <c r="O1696" i="23"/>
  <c r="N1696" i="23"/>
  <c r="P1695" i="23"/>
  <c r="O1695" i="23"/>
  <c r="N1695" i="23"/>
  <c r="P1694" i="23"/>
  <c r="O1694" i="23"/>
  <c r="N1694" i="23"/>
  <c r="P1693" i="23"/>
  <c r="O1693" i="23"/>
  <c r="N1693" i="23"/>
  <c r="P1692" i="23"/>
  <c r="O1692" i="23"/>
  <c r="N1692" i="23"/>
  <c r="P1691" i="23"/>
  <c r="O1691" i="23"/>
  <c r="N1691" i="23"/>
  <c r="I1643" i="22"/>
  <c r="J1643" i="22"/>
  <c r="I1644" i="22"/>
  <c r="J1644" i="22"/>
  <c r="I1645" i="22"/>
  <c r="J1645" i="22"/>
  <c r="I1646" i="22"/>
  <c r="J1646" i="22"/>
  <c r="I1647" i="22"/>
  <c r="J1647" i="22"/>
  <c r="I1648" i="22"/>
  <c r="J1648" i="22"/>
  <c r="I1649" i="22"/>
  <c r="J1649" i="22"/>
  <c r="I1650" i="22"/>
  <c r="J1650" i="22"/>
  <c r="I1651" i="22"/>
  <c r="J1651" i="22"/>
  <c r="I1652" i="22"/>
  <c r="J1652" i="22"/>
  <c r="N1672" i="23"/>
  <c r="O1672" i="23"/>
  <c r="P1672" i="23"/>
  <c r="N1673" i="23"/>
  <c r="O1673" i="23"/>
  <c r="P1673" i="23"/>
  <c r="N1674" i="23"/>
  <c r="O1674" i="23"/>
  <c r="P1674" i="23"/>
  <c r="N1675" i="23"/>
  <c r="O1675" i="23"/>
  <c r="P1675" i="23"/>
  <c r="M1676" i="23"/>
  <c r="N1676" i="23"/>
  <c r="O1676" i="23"/>
  <c r="P1676" i="23"/>
  <c r="M1677" i="23"/>
  <c r="N1677" i="23"/>
  <c r="O1677" i="23"/>
  <c r="P1677" i="23"/>
  <c r="M1678" i="23"/>
  <c r="N1678" i="23"/>
  <c r="O1678" i="23"/>
  <c r="P1678" i="23"/>
  <c r="M1679" i="23"/>
  <c r="N1679" i="23"/>
  <c r="O1679" i="23"/>
  <c r="P1679" i="23"/>
  <c r="M1680" i="23"/>
  <c r="N1680" i="23"/>
  <c r="O1680" i="23"/>
  <c r="P1680" i="23"/>
  <c r="M1681" i="23"/>
  <c r="N1681" i="23"/>
  <c r="O1681" i="23"/>
  <c r="P1681" i="23"/>
  <c r="M1682" i="23"/>
  <c r="N1682" i="23"/>
  <c r="O1682" i="23"/>
  <c r="P1682" i="23"/>
  <c r="M1683" i="23"/>
  <c r="N1683" i="23"/>
  <c r="O1683" i="23"/>
  <c r="P1683" i="23"/>
  <c r="N1684" i="23"/>
  <c r="O1684" i="23"/>
  <c r="P1684" i="23"/>
  <c r="N1685" i="23"/>
  <c r="O1685" i="23"/>
  <c r="P1685" i="23"/>
  <c r="M1686" i="23"/>
  <c r="N1686" i="23"/>
  <c r="O1686" i="23"/>
  <c r="P1686" i="23"/>
  <c r="M1687" i="23"/>
  <c r="N1687" i="23"/>
  <c r="O1687" i="23"/>
  <c r="P1687" i="23"/>
  <c r="M1688" i="23"/>
  <c r="N1688" i="23"/>
  <c r="O1688" i="23"/>
  <c r="P1688" i="23"/>
  <c r="M1689" i="23"/>
  <c r="N1689" i="23"/>
  <c r="O1689" i="23"/>
  <c r="P1689" i="23"/>
  <c r="M1690" i="23"/>
  <c r="N1690" i="23"/>
  <c r="O1690" i="23"/>
  <c r="P1690" i="23"/>
  <c r="E5" i="24"/>
  <c r="E6" i="24"/>
  <c r="I1633" i="22"/>
  <c r="J1633" i="22"/>
  <c r="I1634" i="22"/>
  <c r="J1634" i="22"/>
  <c r="I1635" i="22"/>
  <c r="J1635" i="22"/>
  <c r="I1636" i="22"/>
  <c r="J1636" i="22"/>
  <c r="I1637" i="22"/>
  <c r="J1637" i="22"/>
  <c r="I1638" i="22"/>
  <c r="J1638" i="22"/>
  <c r="I1639" i="22"/>
  <c r="J1639" i="22"/>
  <c r="I1640" i="22"/>
  <c r="J1640" i="22"/>
  <c r="I1641" i="22"/>
  <c r="J1641" i="22"/>
  <c r="I1642" i="22"/>
  <c r="J1642" i="22"/>
  <c r="C31" i="26" l="1"/>
  <c r="B31" i="26"/>
  <c r="I1609" i="22"/>
  <c r="J1609" i="22"/>
  <c r="I1610" i="22"/>
  <c r="J1610" i="22"/>
  <c r="I1611" i="22"/>
  <c r="J1611" i="22"/>
  <c r="I1612" i="22"/>
  <c r="J1612" i="22"/>
  <c r="I1613" i="22"/>
  <c r="J1613" i="22"/>
  <c r="I1614" i="22"/>
  <c r="J1614" i="22"/>
  <c r="I1615" i="22"/>
  <c r="J1615" i="22"/>
  <c r="I1616" i="22"/>
  <c r="J1616" i="22"/>
  <c r="I1617" i="22"/>
  <c r="J1617" i="22"/>
  <c r="I1618" i="22"/>
  <c r="J1618" i="22"/>
  <c r="I1619" i="22"/>
  <c r="J1619" i="22"/>
  <c r="I1620" i="22"/>
  <c r="J1620" i="22"/>
  <c r="I1621" i="22"/>
  <c r="J1621" i="22"/>
  <c r="I1622" i="22"/>
  <c r="J1622" i="22"/>
  <c r="I1623" i="22"/>
  <c r="J1623" i="22"/>
  <c r="I1624" i="22"/>
  <c r="J1624" i="22"/>
  <c r="I1625" i="22"/>
  <c r="J1625" i="22"/>
  <c r="I1626" i="22"/>
  <c r="J1626" i="22"/>
  <c r="I1627" i="22"/>
  <c r="J1627" i="22"/>
  <c r="I1628" i="22"/>
  <c r="J1628" i="22"/>
  <c r="I1629" i="22"/>
  <c r="J1629" i="22"/>
  <c r="I1630" i="22"/>
  <c r="J1630" i="22"/>
  <c r="I1631" i="22"/>
  <c r="J1631" i="22"/>
  <c r="I1632" i="22"/>
  <c r="J1632" i="22"/>
  <c r="N1655" i="23"/>
  <c r="O1655" i="23"/>
  <c r="P1655" i="23"/>
  <c r="M1656" i="23"/>
  <c r="N1656" i="23"/>
  <c r="O1656" i="23"/>
  <c r="P1656" i="23"/>
  <c r="N1657" i="23"/>
  <c r="O1657" i="23"/>
  <c r="P1657" i="23"/>
  <c r="M1658" i="23"/>
  <c r="N1658" i="23"/>
  <c r="O1658" i="23"/>
  <c r="P1658" i="23"/>
  <c r="M1659" i="23"/>
  <c r="N1659" i="23"/>
  <c r="O1659" i="23"/>
  <c r="P1659" i="23"/>
  <c r="M1660" i="23"/>
  <c r="N1660" i="23"/>
  <c r="O1660" i="23"/>
  <c r="P1660" i="23"/>
  <c r="M1661" i="23"/>
  <c r="N1661" i="23"/>
  <c r="O1661" i="23"/>
  <c r="P1661" i="23"/>
  <c r="N1662" i="23"/>
  <c r="O1662" i="23"/>
  <c r="P1662" i="23"/>
  <c r="N1663" i="23"/>
  <c r="O1663" i="23"/>
  <c r="P1663" i="23"/>
  <c r="N1664" i="23"/>
  <c r="O1664" i="23"/>
  <c r="P1664" i="23"/>
  <c r="N1665" i="23"/>
  <c r="O1665" i="23"/>
  <c r="P1665" i="23"/>
  <c r="N1666" i="23"/>
  <c r="O1666" i="23"/>
  <c r="P1666" i="23"/>
  <c r="N1667" i="23"/>
  <c r="O1667" i="23"/>
  <c r="P1667" i="23"/>
  <c r="N1668" i="23"/>
  <c r="O1668" i="23"/>
  <c r="P1668" i="23"/>
  <c r="N1669" i="23"/>
  <c r="O1669" i="23"/>
  <c r="P1669" i="23"/>
  <c r="M1670" i="23"/>
  <c r="N1670" i="23"/>
  <c r="O1670" i="23"/>
  <c r="P1670" i="23"/>
  <c r="N1671" i="23"/>
  <c r="O1671" i="23"/>
  <c r="P1671" i="23"/>
  <c r="I1604" i="22"/>
  <c r="J1604" i="22"/>
  <c r="I1605" i="22"/>
  <c r="J1605" i="22"/>
  <c r="I1606" i="22"/>
  <c r="J1606" i="22"/>
  <c r="I1607" i="22"/>
  <c r="J1607" i="22"/>
  <c r="I1608" i="22"/>
  <c r="J1608" i="22"/>
  <c r="I1602" i="22"/>
  <c r="J1602" i="22"/>
  <c r="I1603" i="22"/>
  <c r="J1603" i="22"/>
  <c r="I1601" i="22"/>
  <c r="J1601" i="22"/>
  <c r="I1581" i="22"/>
  <c r="J1581" i="22"/>
  <c r="I1582" i="22"/>
  <c r="J1582" i="22"/>
  <c r="I1583" i="22"/>
  <c r="J1583" i="22"/>
  <c r="I1584" i="22"/>
  <c r="J1584" i="22"/>
  <c r="I1585" i="22"/>
  <c r="J1585" i="22"/>
  <c r="I1586" i="22"/>
  <c r="J1586" i="22"/>
  <c r="I1587" i="22"/>
  <c r="J1587" i="22"/>
  <c r="I1588" i="22"/>
  <c r="J1588" i="22"/>
  <c r="I1589" i="22"/>
  <c r="J1589" i="22"/>
  <c r="I1590" i="22"/>
  <c r="J1590" i="22"/>
  <c r="I1591" i="22"/>
  <c r="J1591" i="22"/>
  <c r="I1592" i="22"/>
  <c r="J1592" i="22"/>
  <c r="I1593" i="22"/>
  <c r="J1593" i="22"/>
  <c r="I1594" i="22"/>
  <c r="J1594" i="22"/>
  <c r="I1595" i="22"/>
  <c r="J1595" i="22"/>
  <c r="I1596" i="22"/>
  <c r="J1596" i="22"/>
  <c r="I1597" i="22"/>
  <c r="J1597" i="22"/>
  <c r="I1598" i="22"/>
  <c r="J1598" i="22"/>
  <c r="I1599" i="22"/>
  <c r="J1599" i="22"/>
  <c r="I1600" i="22"/>
  <c r="J1600" i="22"/>
  <c r="P1654" i="23"/>
  <c r="O1654" i="23"/>
  <c r="N1654" i="23"/>
  <c r="P1653" i="23"/>
  <c r="O1653" i="23"/>
  <c r="N1653" i="23"/>
  <c r="M1653" i="23"/>
  <c r="P1652" i="23"/>
  <c r="O1652" i="23"/>
  <c r="N1652" i="23"/>
  <c r="M1652" i="23"/>
  <c r="P1651" i="23"/>
  <c r="O1651" i="23"/>
  <c r="N1651" i="23"/>
  <c r="M1651" i="23"/>
  <c r="P1650" i="23"/>
  <c r="O1650" i="23"/>
  <c r="N1650" i="23"/>
  <c r="M1650" i="23"/>
  <c r="P1649" i="23"/>
  <c r="O1649" i="23"/>
  <c r="N1649" i="23"/>
  <c r="M1649" i="23"/>
  <c r="P1648" i="23"/>
  <c r="O1648" i="23"/>
  <c r="N1648" i="23"/>
  <c r="M1648" i="23"/>
  <c r="P1647" i="23"/>
  <c r="O1647" i="23"/>
  <c r="N1647" i="23"/>
  <c r="M1647" i="23"/>
  <c r="P1646" i="23"/>
  <c r="O1646" i="23"/>
  <c r="N1646" i="23"/>
  <c r="M1646" i="23"/>
  <c r="P1645" i="23"/>
  <c r="O1645" i="23"/>
  <c r="N1645" i="23"/>
  <c r="M1645" i="23"/>
  <c r="P1644" i="23"/>
  <c r="O1644" i="23"/>
  <c r="N1644" i="23"/>
  <c r="P1643" i="23"/>
  <c r="O1643" i="23"/>
  <c r="N1643" i="23"/>
  <c r="P1642" i="23"/>
  <c r="O1642" i="23"/>
  <c r="N1642" i="23"/>
  <c r="P1641" i="23"/>
  <c r="O1641" i="23"/>
  <c r="N1641" i="23"/>
  <c r="P1640" i="23"/>
  <c r="O1640" i="23"/>
  <c r="N1640" i="23"/>
  <c r="P1639" i="23"/>
  <c r="O1639" i="23"/>
  <c r="N1639" i="23"/>
  <c r="P1638" i="23"/>
  <c r="O1638" i="23"/>
  <c r="N1638" i="23"/>
  <c r="M1638" i="23"/>
  <c r="P1637" i="23"/>
  <c r="O1637" i="23"/>
  <c r="N1637" i="23"/>
  <c r="P1636" i="23"/>
  <c r="O1636" i="23"/>
  <c r="N1636" i="23"/>
  <c r="P1635" i="23"/>
  <c r="O1635" i="23"/>
  <c r="N1635" i="23"/>
  <c r="M1635" i="23"/>
  <c r="P1634" i="23"/>
  <c r="O1634" i="23"/>
  <c r="N1634" i="23"/>
  <c r="M1634" i="23"/>
  <c r="P1633" i="23"/>
  <c r="O1633" i="23"/>
  <c r="N1633" i="23"/>
  <c r="P1632" i="23"/>
  <c r="O1632" i="23"/>
  <c r="N1632" i="23"/>
  <c r="P1631" i="23"/>
  <c r="O1631" i="23"/>
  <c r="N1631" i="23"/>
  <c r="M1631" i="23"/>
  <c r="P1630" i="23"/>
  <c r="O1630" i="23"/>
  <c r="N1630" i="23"/>
  <c r="P1629" i="23"/>
  <c r="O1629" i="23"/>
  <c r="N1629" i="23"/>
  <c r="P1628" i="23"/>
  <c r="O1628" i="23"/>
  <c r="N1628" i="23"/>
  <c r="I1579" i="22"/>
  <c r="J1579" i="22"/>
  <c r="I1580" i="22"/>
  <c r="J1580" i="22"/>
  <c r="M1626" i="23"/>
  <c r="N1626" i="23"/>
  <c r="O1626" i="23"/>
  <c r="P1626" i="23"/>
  <c r="M1627" i="23"/>
  <c r="N1627" i="23"/>
  <c r="O1627" i="23"/>
  <c r="P1627" i="23"/>
  <c r="I1563" i="22"/>
  <c r="J1563" i="22"/>
  <c r="I1564" i="22"/>
  <c r="J1564" i="22"/>
  <c r="I1565" i="22"/>
  <c r="J1565" i="22"/>
  <c r="I1566" i="22"/>
  <c r="J1566" i="22"/>
  <c r="I1567" i="22"/>
  <c r="J1567" i="22"/>
  <c r="I1568" i="22"/>
  <c r="J1568" i="22"/>
  <c r="I1569" i="22"/>
  <c r="J1569" i="22"/>
  <c r="I1570" i="22"/>
  <c r="J1570" i="22"/>
  <c r="I1571" i="22"/>
  <c r="J1571" i="22"/>
  <c r="I1572" i="22"/>
  <c r="J1572" i="22"/>
  <c r="I1573" i="22"/>
  <c r="J1573" i="22"/>
  <c r="I1574" i="22"/>
  <c r="J1574" i="22"/>
  <c r="I1575" i="22"/>
  <c r="J1575" i="22"/>
  <c r="I1576" i="22"/>
  <c r="J1576" i="22"/>
  <c r="I1577" i="22"/>
  <c r="J1577" i="22"/>
  <c r="I1578" i="22"/>
  <c r="J1578" i="22"/>
  <c r="I1547" i="22" l="1"/>
  <c r="J1547" i="22"/>
  <c r="I1548" i="22"/>
  <c r="J1548" i="22"/>
  <c r="I1549" i="22"/>
  <c r="J1549" i="22"/>
  <c r="I1550" i="22"/>
  <c r="J1550" i="22"/>
  <c r="I1551" i="22"/>
  <c r="J1551" i="22"/>
  <c r="I1552" i="22"/>
  <c r="J1552" i="22"/>
  <c r="I1553" i="22"/>
  <c r="J1553" i="22"/>
  <c r="I1554" i="22"/>
  <c r="J1554" i="22"/>
  <c r="I1555" i="22"/>
  <c r="J1555" i="22"/>
  <c r="I1556" i="22"/>
  <c r="J1556" i="22"/>
  <c r="I1557" i="22"/>
  <c r="J1557" i="22"/>
  <c r="I1558" i="22"/>
  <c r="J1558" i="22"/>
  <c r="I1559" i="22"/>
  <c r="J1559" i="22"/>
  <c r="I1560" i="22"/>
  <c r="J1560" i="22"/>
  <c r="I1561" i="22"/>
  <c r="J1561" i="22"/>
  <c r="I1562" i="22"/>
  <c r="J1562" i="22"/>
  <c r="I1539" i="22"/>
  <c r="J1539" i="22"/>
  <c r="I1540" i="22"/>
  <c r="J1540" i="22"/>
  <c r="I1541" i="22"/>
  <c r="J1541" i="22"/>
  <c r="I1542" i="22"/>
  <c r="J1542" i="22"/>
  <c r="I1543" i="22"/>
  <c r="J1543" i="22"/>
  <c r="I1544" i="22"/>
  <c r="J1544" i="22"/>
  <c r="I1545" i="22"/>
  <c r="J1545" i="22"/>
  <c r="I1546" i="22"/>
  <c r="J1546" i="22"/>
  <c r="I1519" i="22"/>
  <c r="J1519" i="22"/>
  <c r="I1520" i="22"/>
  <c r="J1520" i="22"/>
  <c r="I1521" i="22"/>
  <c r="J1521" i="22"/>
  <c r="I1522" i="22"/>
  <c r="J1522" i="22"/>
  <c r="I1523" i="22"/>
  <c r="J1523" i="22"/>
  <c r="I1524" i="22"/>
  <c r="J1524" i="22"/>
  <c r="I1525" i="22"/>
  <c r="J1525" i="22"/>
  <c r="I1526" i="22"/>
  <c r="J1526" i="22"/>
  <c r="I1527" i="22"/>
  <c r="J1527" i="22"/>
  <c r="I1528" i="22"/>
  <c r="J1528" i="22"/>
  <c r="I1529" i="22"/>
  <c r="J1529" i="22"/>
  <c r="I1530" i="22"/>
  <c r="J1530" i="22"/>
  <c r="I1531" i="22"/>
  <c r="J1531" i="22"/>
  <c r="I1532" i="22"/>
  <c r="J1532" i="22"/>
  <c r="I1533" i="22"/>
  <c r="J1533" i="22"/>
  <c r="I1534" i="22"/>
  <c r="J1534" i="22"/>
  <c r="I1535" i="22"/>
  <c r="J1535" i="22"/>
  <c r="I1536" i="22"/>
  <c r="J1536" i="22"/>
  <c r="I1537" i="22"/>
  <c r="J1537" i="22"/>
  <c r="I1538" i="22"/>
  <c r="J1538" i="22"/>
  <c r="I1488" i="22" l="1"/>
  <c r="J1488" i="22"/>
  <c r="I1489" i="22"/>
  <c r="J1489" i="22"/>
  <c r="I1490" i="22"/>
  <c r="J1490" i="22"/>
  <c r="I1491" i="22"/>
  <c r="J1491" i="22"/>
  <c r="I1492" i="22"/>
  <c r="J1492" i="22"/>
  <c r="I1493" i="22"/>
  <c r="J1493" i="22"/>
  <c r="I1494" i="22"/>
  <c r="J1494" i="22"/>
  <c r="I1495" i="22"/>
  <c r="J1495" i="22"/>
  <c r="I1496" i="22"/>
  <c r="J1496" i="22"/>
  <c r="I1497" i="22"/>
  <c r="J1497" i="22"/>
  <c r="I1498" i="22"/>
  <c r="J1498" i="22"/>
  <c r="I1499" i="22"/>
  <c r="J1499" i="22"/>
  <c r="I1500" i="22"/>
  <c r="J1500" i="22"/>
  <c r="I1501" i="22"/>
  <c r="J1501" i="22"/>
  <c r="I1502" i="22"/>
  <c r="J1502" i="22"/>
  <c r="I1503" i="22"/>
  <c r="J1503" i="22"/>
  <c r="I1504" i="22"/>
  <c r="J1504" i="22"/>
  <c r="I1505" i="22"/>
  <c r="J1505" i="22"/>
  <c r="I1506" i="22"/>
  <c r="J1506" i="22"/>
  <c r="I1507" i="22"/>
  <c r="J1507" i="22"/>
  <c r="I1508" i="22"/>
  <c r="J1508" i="22"/>
  <c r="I1509" i="22"/>
  <c r="J1509" i="22"/>
  <c r="I1510" i="22"/>
  <c r="J1510" i="22"/>
  <c r="I1511" i="22"/>
  <c r="J1511" i="22"/>
  <c r="I1512" i="22"/>
  <c r="J1512" i="22"/>
  <c r="I1513" i="22"/>
  <c r="J1513" i="22"/>
  <c r="I1514" i="22"/>
  <c r="J1514" i="22"/>
  <c r="I1515" i="22"/>
  <c r="J1515" i="22"/>
  <c r="I1516" i="22"/>
  <c r="J1516" i="22"/>
  <c r="I1517" i="22"/>
  <c r="J1517" i="22"/>
  <c r="I1518" i="22"/>
  <c r="J1518" i="22"/>
  <c r="I1479" i="22"/>
  <c r="J1479" i="22"/>
  <c r="I1480" i="22"/>
  <c r="J1480" i="22"/>
  <c r="I1481" i="22"/>
  <c r="J1481" i="22"/>
  <c r="I1482" i="22"/>
  <c r="J1482" i="22"/>
  <c r="I1483" i="22"/>
  <c r="J1483" i="22"/>
  <c r="I1484" i="22"/>
  <c r="J1484" i="22"/>
  <c r="I1485" i="22"/>
  <c r="J1485" i="22"/>
  <c r="I1486" i="22"/>
  <c r="J1486" i="22"/>
  <c r="I1487" i="22"/>
  <c r="J1487" i="22"/>
  <c r="I1450" i="22"/>
  <c r="J1450" i="22"/>
  <c r="I1451" i="22"/>
  <c r="J1451" i="22"/>
  <c r="I1452" i="22"/>
  <c r="J1452" i="22"/>
  <c r="I1453" i="22"/>
  <c r="J1453" i="22"/>
  <c r="I1454" i="22"/>
  <c r="J1454" i="22"/>
  <c r="I1455" i="22"/>
  <c r="J1455" i="22"/>
  <c r="I1456" i="22"/>
  <c r="J1456" i="22"/>
  <c r="I1457" i="22"/>
  <c r="J1457" i="22"/>
  <c r="I1458" i="22"/>
  <c r="J1458" i="22"/>
  <c r="I1459" i="22"/>
  <c r="J1459" i="22"/>
  <c r="I1460" i="22"/>
  <c r="J1460" i="22"/>
  <c r="I1461" i="22"/>
  <c r="J1461" i="22"/>
  <c r="I1462" i="22"/>
  <c r="J1462" i="22"/>
  <c r="I1463" i="22"/>
  <c r="J1463" i="22"/>
  <c r="I1464" i="22"/>
  <c r="J1464" i="22"/>
  <c r="I1465" i="22"/>
  <c r="J1465" i="22"/>
  <c r="I1466" i="22"/>
  <c r="J1466" i="22"/>
  <c r="I1467" i="22"/>
  <c r="J1467" i="22"/>
  <c r="I1468" i="22"/>
  <c r="J1468" i="22"/>
  <c r="I1469" i="22"/>
  <c r="J1469" i="22"/>
  <c r="I1470" i="22"/>
  <c r="J1470" i="22"/>
  <c r="I1471" i="22"/>
  <c r="J1471" i="22"/>
  <c r="I1472" i="22"/>
  <c r="J1472" i="22"/>
  <c r="I1473" i="22"/>
  <c r="J1473" i="22"/>
  <c r="I1474" i="22"/>
  <c r="J1474" i="22"/>
  <c r="I1475" i="22"/>
  <c r="J1475" i="22"/>
  <c r="I1476" i="22"/>
  <c r="J1476" i="22"/>
  <c r="I1477" i="22"/>
  <c r="J1477" i="22"/>
  <c r="I1478" i="22"/>
  <c r="J1478" i="22"/>
  <c r="I1414" i="22"/>
  <c r="J1414" i="22"/>
  <c r="I1415" i="22"/>
  <c r="J1415" i="22"/>
  <c r="I1416" i="22"/>
  <c r="J1416" i="22"/>
  <c r="I1417" i="22"/>
  <c r="J1417" i="22"/>
  <c r="I1418" i="22"/>
  <c r="J1418" i="22"/>
  <c r="I1419" i="22"/>
  <c r="J1419" i="22"/>
  <c r="I1420" i="22"/>
  <c r="J1420" i="22"/>
  <c r="I1421" i="22"/>
  <c r="J1421" i="22"/>
  <c r="I1422" i="22"/>
  <c r="J1422" i="22"/>
  <c r="I1423" i="22"/>
  <c r="J1423" i="22"/>
  <c r="I1424" i="22"/>
  <c r="J1424" i="22"/>
  <c r="I1425" i="22"/>
  <c r="J1425" i="22"/>
  <c r="I1426" i="22"/>
  <c r="J1426" i="22"/>
  <c r="I1427" i="22"/>
  <c r="J1427" i="22"/>
  <c r="I1428" i="22"/>
  <c r="J1428" i="22"/>
  <c r="I1429" i="22"/>
  <c r="J1429" i="22"/>
  <c r="I1430" i="22"/>
  <c r="J1430" i="22"/>
  <c r="I1431" i="22"/>
  <c r="J1431" i="22"/>
  <c r="I1432" i="22"/>
  <c r="J1432" i="22"/>
  <c r="I1433" i="22"/>
  <c r="J1433" i="22"/>
  <c r="I1434" i="22"/>
  <c r="J1434" i="22"/>
  <c r="I1435" i="22"/>
  <c r="J1435" i="22"/>
  <c r="I1436" i="22"/>
  <c r="J1436" i="22"/>
  <c r="I1437" i="22"/>
  <c r="J1437" i="22"/>
  <c r="I1438" i="22"/>
  <c r="J1438" i="22"/>
  <c r="I1439" i="22"/>
  <c r="J1439" i="22"/>
  <c r="I1440" i="22"/>
  <c r="J1440" i="22"/>
  <c r="I1441" i="22"/>
  <c r="J1441" i="22"/>
  <c r="I1442" i="22"/>
  <c r="J1442" i="22"/>
  <c r="I1443" i="22"/>
  <c r="J1443" i="22"/>
  <c r="I1444" i="22"/>
  <c r="J1444" i="22"/>
  <c r="I1445" i="22"/>
  <c r="J1445" i="22"/>
  <c r="I1446" i="22"/>
  <c r="J1446" i="22"/>
  <c r="I1447" i="22"/>
  <c r="J1447" i="22"/>
  <c r="I1448" i="22"/>
  <c r="J1448" i="22"/>
  <c r="I1449" i="22"/>
  <c r="J1449" i="22"/>
  <c r="I1397" i="22"/>
  <c r="J1397" i="22"/>
  <c r="I1398" i="22"/>
  <c r="J1398" i="22"/>
  <c r="I1399" i="22"/>
  <c r="J1399" i="22"/>
  <c r="I1400" i="22"/>
  <c r="J1400" i="22"/>
  <c r="I1401" i="22"/>
  <c r="J1401" i="22"/>
  <c r="I1402" i="22"/>
  <c r="J1402" i="22"/>
  <c r="I1403" i="22"/>
  <c r="J1403" i="22"/>
  <c r="I1404" i="22"/>
  <c r="J1404" i="22"/>
  <c r="I1405" i="22"/>
  <c r="J1405" i="22"/>
  <c r="I1406" i="22"/>
  <c r="J1406" i="22"/>
  <c r="I1407" i="22"/>
  <c r="J1407" i="22"/>
  <c r="I1408" i="22"/>
  <c r="J1408" i="22"/>
  <c r="I1409" i="22"/>
  <c r="J1409" i="22"/>
  <c r="I1410" i="22"/>
  <c r="J1410" i="22"/>
  <c r="I1411" i="22"/>
  <c r="J1411" i="22"/>
  <c r="I1412" i="22"/>
  <c r="J1412" i="22"/>
  <c r="I1413" i="22"/>
  <c r="J1413" i="22"/>
  <c r="I1383" i="22"/>
  <c r="J1383" i="22"/>
  <c r="I1384" i="22"/>
  <c r="J1384" i="22"/>
  <c r="I1385" i="22"/>
  <c r="J1385" i="22"/>
  <c r="I1386" i="22"/>
  <c r="J1386" i="22"/>
  <c r="I1387" i="22"/>
  <c r="J1387" i="22"/>
  <c r="I1388" i="22"/>
  <c r="J1388" i="22"/>
  <c r="I1389" i="22"/>
  <c r="J1389" i="22"/>
  <c r="I1390" i="22"/>
  <c r="J1390" i="22"/>
  <c r="I1391" i="22"/>
  <c r="J1391" i="22"/>
  <c r="I1392" i="22"/>
  <c r="J1392" i="22"/>
  <c r="I1393" i="22"/>
  <c r="J1393" i="22"/>
  <c r="I1394" i="22"/>
  <c r="J1394" i="22"/>
  <c r="I1395" i="22"/>
  <c r="J1395" i="22"/>
  <c r="I1396" i="22"/>
  <c r="J1396" i="22"/>
  <c r="I1382" i="22"/>
  <c r="J1382" i="22"/>
  <c r="I1375" i="22"/>
  <c r="J1375" i="22"/>
  <c r="I1376" i="22"/>
  <c r="J1376" i="22"/>
  <c r="I1377" i="22"/>
  <c r="J1377" i="22"/>
  <c r="I1378" i="22"/>
  <c r="J1378" i="22"/>
  <c r="I1379" i="22"/>
  <c r="J1379" i="22"/>
  <c r="I1380" i="22"/>
  <c r="J1380" i="22"/>
  <c r="I1381" i="22"/>
  <c r="J1381" i="22"/>
  <c r="I1359" i="22"/>
  <c r="J1359" i="22"/>
  <c r="I1360" i="22"/>
  <c r="J1360" i="22"/>
  <c r="I1361" i="22"/>
  <c r="J1361" i="22"/>
  <c r="I1362" i="22"/>
  <c r="J1362" i="22"/>
  <c r="I1363" i="22"/>
  <c r="J1363" i="22"/>
  <c r="I1364" i="22"/>
  <c r="J1364" i="22"/>
  <c r="I1365" i="22"/>
  <c r="J1365" i="22"/>
  <c r="I1366" i="22"/>
  <c r="J1366" i="22"/>
  <c r="I1367" i="22"/>
  <c r="J1367" i="22"/>
  <c r="I1368" i="22"/>
  <c r="J1368" i="22"/>
  <c r="I1369" i="22"/>
  <c r="J1369" i="22"/>
  <c r="I1370" i="22"/>
  <c r="J1370" i="22"/>
  <c r="I1371" i="22"/>
  <c r="J1371" i="22"/>
  <c r="I1372" i="22"/>
  <c r="J1372" i="22"/>
  <c r="I1373" i="22"/>
  <c r="J1373" i="22"/>
  <c r="I1374" i="22"/>
  <c r="J1374" i="22"/>
  <c r="I1356" i="22"/>
  <c r="J1356" i="22"/>
  <c r="I1357" i="22"/>
  <c r="J1357" i="22"/>
  <c r="I1358" i="22"/>
  <c r="J1358" i="22"/>
  <c r="I1349" i="22"/>
  <c r="J1349" i="22"/>
  <c r="I1350" i="22"/>
  <c r="J1350" i="22"/>
  <c r="I1351" i="22"/>
  <c r="J1351" i="22"/>
  <c r="I1352" i="22"/>
  <c r="J1352" i="22"/>
  <c r="I1353" i="22"/>
  <c r="J1353" i="22"/>
  <c r="I1354" i="22"/>
  <c r="J1354" i="22"/>
  <c r="I1355" i="22"/>
  <c r="J1355" i="22"/>
  <c r="I1336" i="22"/>
  <c r="J1336" i="22"/>
  <c r="I1337" i="22"/>
  <c r="J1337" i="22"/>
  <c r="I1338" i="22"/>
  <c r="J1338" i="22"/>
  <c r="I1339" i="22"/>
  <c r="J1339" i="22"/>
  <c r="I1340" i="22"/>
  <c r="J1340" i="22"/>
  <c r="I1341" i="22"/>
  <c r="J1341" i="22"/>
  <c r="I1342" i="22"/>
  <c r="J1342" i="22"/>
  <c r="I1343" i="22"/>
  <c r="J1343" i="22"/>
  <c r="I1344" i="22"/>
  <c r="J1344" i="22"/>
  <c r="I1345" i="22"/>
  <c r="J1345" i="22"/>
  <c r="I1346" i="22"/>
  <c r="J1346" i="22"/>
  <c r="I1347" i="22"/>
  <c r="J1347" i="22"/>
  <c r="I1348" i="22"/>
  <c r="J1348" i="22"/>
  <c r="I1334" i="22"/>
  <c r="J1334" i="22"/>
  <c r="I1335" i="22"/>
  <c r="J1335" i="22"/>
  <c r="I1322" i="22"/>
  <c r="J1322" i="22"/>
  <c r="I1323" i="22"/>
  <c r="J1323" i="22"/>
  <c r="I1324" i="22"/>
  <c r="J1324" i="22"/>
  <c r="I1325" i="22"/>
  <c r="J1325" i="22"/>
  <c r="I1326" i="22"/>
  <c r="J1326" i="22"/>
  <c r="I1327" i="22"/>
  <c r="J1327" i="22"/>
  <c r="I1328" i="22"/>
  <c r="J1328" i="22"/>
  <c r="I1329" i="22"/>
  <c r="J1329" i="22"/>
  <c r="I1330" i="22"/>
  <c r="J1330" i="22"/>
  <c r="I1331" i="22"/>
  <c r="J1331" i="22"/>
  <c r="I1332" i="22"/>
  <c r="J1332" i="22"/>
  <c r="I1333" i="22"/>
  <c r="J1333" i="22"/>
  <c r="I1318" i="22"/>
  <c r="J1318" i="22"/>
  <c r="I1319" i="22"/>
  <c r="J1319" i="22"/>
  <c r="I1320" i="22"/>
  <c r="J1320" i="22"/>
  <c r="I1321" i="22"/>
  <c r="J1321" i="22"/>
  <c r="I1311" i="22"/>
  <c r="J1311" i="22"/>
  <c r="I1312" i="22"/>
  <c r="J1312" i="22"/>
  <c r="I1313" i="22"/>
  <c r="J1313" i="22"/>
  <c r="I1314" i="22"/>
  <c r="J1314" i="22"/>
  <c r="I1315" i="22"/>
  <c r="J1315" i="22"/>
  <c r="I1316" i="22"/>
  <c r="J1316" i="22"/>
  <c r="I1317" i="22"/>
  <c r="J1317" i="22"/>
  <c r="I1276" i="22"/>
  <c r="J1276" i="22"/>
  <c r="I1277" i="22"/>
  <c r="J1277" i="22"/>
  <c r="I1278" i="22"/>
  <c r="J1278" i="22"/>
  <c r="I1279" i="22"/>
  <c r="J1279" i="22"/>
  <c r="I1280" i="22"/>
  <c r="J1280" i="22"/>
  <c r="I1281" i="22"/>
  <c r="J1281" i="22"/>
  <c r="I1282" i="22"/>
  <c r="J1282" i="22"/>
  <c r="I1283" i="22"/>
  <c r="J1283" i="22"/>
  <c r="I1284" i="22"/>
  <c r="J1284" i="22"/>
  <c r="I1285" i="22"/>
  <c r="J1285" i="22"/>
  <c r="I1286" i="22"/>
  <c r="J1286" i="22"/>
  <c r="I1287" i="22"/>
  <c r="J1287" i="22"/>
  <c r="I1288" i="22"/>
  <c r="J1288" i="22"/>
  <c r="I1289" i="22"/>
  <c r="J1289" i="22"/>
  <c r="I1290" i="22"/>
  <c r="J1290" i="22"/>
  <c r="I1291" i="22"/>
  <c r="J1291" i="22"/>
  <c r="I1292" i="22"/>
  <c r="J1292" i="22"/>
  <c r="I1293" i="22"/>
  <c r="J1293" i="22"/>
  <c r="I1294" i="22"/>
  <c r="J1294" i="22"/>
  <c r="I1295" i="22"/>
  <c r="J1295" i="22"/>
  <c r="I1296" i="22"/>
  <c r="J1296" i="22"/>
  <c r="I1297" i="22"/>
  <c r="J1297" i="22"/>
  <c r="I1298" i="22"/>
  <c r="J1298" i="22"/>
  <c r="I1299" i="22"/>
  <c r="J1299" i="22"/>
  <c r="I1300" i="22"/>
  <c r="J1300" i="22"/>
  <c r="I1301" i="22"/>
  <c r="J1301" i="22"/>
  <c r="I1302" i="22"/>
  <c r="J1302" i="22"/>
  <c r="I1303" i="22"/>
  <c r="J1303" i="22"/>
  <c r="I1304" i="22"/>
  <c r="J1304" i="22"/>
  <c r="I1305" i="22"/>
  <c r="J1305" i="22"/>
  <c r="I1306" i="22"/>
  <c r="J1306" i="22"/>
  <c r="I1307" i="22"/>
  <c r="J1307" i="22"/>
  <c r="I1308" i="22"/>
  <c r="J1308" i="22"/>
  <c r="I1309" i="22"/>
  <c r="J1309" i="22"/>
  <c r="I1310" i="22"/>
  <c r="J1310" i="22"/>
  <c r="I1271" i="22"/>
  <c r="J1271" i="22"/>
  <c r="I1272" i="22"/>
  <c r="J1272" i="22"/>
  <c r="I1273" i="22"/>
  <c r="J1273" i="22"/>
  <c r="I1274" i="22"/>
  <c r="J1274" i="22"/>
  <c r="I1275" i="22"/>
  <c r="J1275" i="22"/>
  <c r="I1247" i="22"/>
  <c r="J1247" i="22"/>
  <c r="I1248" i="22"/>
  <c r="J1248" i="22"/>
  <c r="I1249" i="22"/>
  <c r="J1249" i="22"/>
  <c r="I1250" i="22"/>
  <c r="J1250" i="22"/>
  <c r="I1251" i="22"/>
  <c r="J1251" i="22"/>
  <c r="I1252" i="22"/>
  <c r="J1252" i="22"/>
  <c r="I1253" i="22"/>
  <c r="J1253" i="22"/>
  <c r="I1254" i="22"/>
  <c r="J1254" i="22"/>
  <c r="I1255" i="22"/>
  <c r="J1255" i="22"/>
  <c r="I1256" i="22"/>
  <c r="J1256" i="22"/>
  <c r="I1257" i="22"/>
  <c r="J1257" i="22"/>
  <c r="I1258" i="22"/>
  <c r="J1258" i="22"/>
  <c r="I1259" i="22"/>
  <c r="J1259" i="22"/>
  <c r="I1260" i="22"/>
  <c r="J1260" i="22"/>
  <c r="I1261" i="22"/>
  <c r="J1261" i="22"/>
  <c r="I1262" i="22"/>
  <c r="J1262" i="22"/>
  <c r="I1263" i="22"/>
  <c r="J1263" i="22"/>
  <c r="I1264" i="22"/>
  <c r="J1264" i="22"/>
  <c r="I1265" i="22"/>
  <c r="J1265" i="22"/>
  <c r="I1266" i="22"/>
  <c r="J1266" i="22"/>
  <c r="I1267" i="22"/>
  <c r="J1267" i="22"/>
  <c r="I1268" i="22"/>
  <c r="J1268" i="22"/>
  <c r="I1269" i="22"/>
  <c r="J1269" i="22"/>
  <c r="I1270" i="22"/>
  <c r="J1270" i="22"/>
  <c r="I1229" i="22"/>
  <c r="J1229" i="22"/>
  <c r="I1230" i="22"/>
  <c r="J1230" i="22"/>
  <c r="I1231" i="22"/>
  <c r="J1231" i="22"/>
  <c r="I1232" i="22"/>
  <c r="J1232" i="22"/>
  <c r="I1233" i="22"/>
  <c r="J1233" i="22"/>
  <c r="I1234" i="22"/>
  <c r="J1234" i="22"/>
  <c r="I1235" i="22"/>
  <c r="J1235" i="22"/>
  <c r="I1236" i="22"/>
  <c r="J1236" i="22"/>
  <c r="I1237" i="22"/>
  <c r="J1237" i="22"/>
  <c r="I1238" i="22"/>
  <c r="J1238" i="22"/>
  <c r="I1239" i="22"/>
  <c r="J1239" i="22"/>
  <c r="I1240" i="22"/>
  <c r="J1240" i="22"/>
  <c r="I1241" i="22"/>
  <c r="J1241" i="22"/>
  <c r="I1242" i="22"/>
  <c r="J1242" i="22"/>
  <c r="I1243" i="22"/>
  <c r="J1243" i="22"/>
  <c r="I1244" i="22"/>
  <c r="J1244" i="22"/>
  <c r="I1245" i="22"/>
  <c r="J1245" i="22"/>
  <c r="I1246" i="22"/>
  <c r="J1246" i="22"/>
  <c r="I1212" i="22"/>
  <c r="J1212" i="22"/>
  <c r="I1213" i="22"/>
  <c r="J1213" i="22"/>
  <c r="I1214" i="22"/>
  <c r="J1214" i="22"/>
  <c r="I1215" i="22"/>
  <c r="J1215" i="22"/>
  <c r="I1216" i="22"/>
  <c r="J1216" i="22"/>
  <c r="I1217" i="22"/>
  <c r="J1217" i="22"/>
  <c r="I1218" i="22"/>
  <c r="J1218" i="22"/>
  <c r="I1219" i="22"/>
  <c r="J1219" i="22"/>
  <c r="I1220" i="22"/>
  <c r="J1220" i="22"/>
  <c r="I1221" i="22"/>
  <c r="J1221" i="22"/>
  <c r="I1222" i="22"/>
  <c r="J1222" i="22"/>
  <c r="I1223" i="22"/>
  <c r="J1223" i="22"/>
  <c r="I1224" i="22"/>
  <c r="J1224" i="22"/>
  <c r="I1225" i="22"/>
  <c r="J1225" i="22"/>
  <c r="I1226" i="22"/>
  <c r="J1226" i="22"/>
  <c r="I1227" i="22"/>
  <c r="J1227" i="22"/>
  <c r="I1228" i="22"/>
  <c r="J1228" i="22"/>
  <c r="I1191" i="22"/>
  <c r="J1191" i="22"/>
  <c r="I1192" i="22"/>
  <c r="J1192" i="22"/>
  <c r="I1193" i="22"/>
  <c r="J1193" i="22"/>
  <c r="I1194" i="22"/>
  <c r="J1194" i="22"/>
  <c r="I1195" i="22"/>
  <c r="J1195" i="22"/>
  <c r="I1196" i="22"/>
  <c r="J1196" i="22"/>
  <c r="I1197" i="22"/>
  <c r="J1197" i="22"/>
  <c r="I1198" i="22"/>
  <c r="J1198" i="22"/>
  <c r="I1199" i="22"/>
  <c r="J1199" i="22"/>
  <c r="I1200" i="22"/>
  <c r="J1200" i="22"/>
  <c r="I1201" i="22"/>
  <c r="J1201" i="22"/>
  <c r="I1202" i="22"/>
  <c r="J1202" i="22"/>
  <c r="I1203" i="22"/>
  <c r="J1203" i="22"/>
  <c r="I1204" i="22"/>
  <c r="J1204" i="22"/>
  <c r="I1205" i="22"/>
  <c r="J1205" i="22"/>
  <c r="I1206" i="22"/>
  <c r="J1206" i="22"/>
  <c r="I1207" i="22"/>
  <c r="J1207" i="22"/>
  <c r="I1208" i="22"/>
  <c r="J1208" i="22"/>
  <c r="I1209" i="22"/>
  <c r="J1209" i="22"/>
  <c r="I1210" i="22"/>
  <c r="J1210" i="22"/>
  <c r="I1211" i="22"/>
  <c r="J1211" i="22"/>
  <c r="N1287" i="23"/>
  <c r="O1287" i="23"/>
  <c r="P1287" i="23"/>
  <c r="N1288" i="23"/>
  <c r="O1288" i="23"/>
  <c r="P1288" i="23"/>
  <c r="M1289" i="23"/>
  <c r="N1289" i="23"/>
  <c r="O1289" i="23"/>
  <c r="P1289" i="23"/>
  <c r="N1290" i="23"/>
  <c r="O1290" i="23"/>
  <c r="P1290" i="23"/>
  <c r="N1278" i="23"/>
  <c r="O1278" i="23"/>
  <c r="P1278" i="23"/>
  <c r="N1279" i="23"/>
  <c r="O1279" i="23"/>
  <c r="P1279" i="23"/>
  <c r="N1280" i="23"/>
  <c r="O1280" i="23"/>
  <c r="P1280" i="23"/>
  <c r="N1281" i="23"/>
  <c r="O1281" i="23"/>
  <c r="P1281" i="23"/>
  <c r="M1282" i="23"/>
  <c r="N1282" i="23"/>
  <c r="O1282" i="23"/>
  <c r="P1282" i="23"/>
  <c r="N1283" i="23"/>
  <c r="O1283" i="23"/>
  <c r="P1283" i="23"/>
  <c r="N1284" i="23"/>
  <c r="O1284" i="23"/>
  <c r="P1284" i="23"/>
  <c r="N1285" i="23"/>
  <c r="O1285" i="23"/>
  <c r="P1285" i="23"/>
  <c r="N1286" i="23"/>
  <c r="O1286" i="23"/>
  <c r="P1286" i="23"/>
  <c r="N1275" i="23"/>
  <c r="O1275" i="23"/>
  <c r="P1275" i="23"/>
  <c r="M1276" i="23"/>
  <c r="N1276" i="23"/>
  <c r="O1276" i="23"/>
  <c r="P1276" i="23"/>
  <c r="M1277" i="23"/>
  <c r="N1277" i="23"/>
  <c r="O1277" i="23"/>
  <c r="P1277" i="23"/>
  <c r="I1160" i="22"/>
  <c r="J1160" i="22"/>
  <c r="I1161" i="22"/>
  <c r="J1161" i="22"/>
  <c r="I1162" i="22"/>
  <c r="J1162" i="22"/>
  <c r="I1163" i="22"/>
  <c r="J1163" i="22"/>
  <c r="I1164" i="22"/>
  <c r="J1164" i="22"/>
  <c r="I1165" i="22"/>
  <c r="J1165" i="22"/>
  <c r="I1166" i="22"/>
  <c r="J1166" i="22"/>
  <c r="I1167" i="22"/>
  <c r="J1167" i="22"/>
  <c r="I1168" i="22"/>
  <c r="J1168" i="22"/>
  <c r="I1169" i="22"/>
  <c r="J1169" i="22"/>
  <c r="I1170" i="22"/>
  <c r="J1170" i="22"/>
  <c r="I1171" i="22"/>
  <c r="J1171" i="22"/>
  <c r="I1172" i="22"/>
  <c r="J1172" i="22"/>
  <c r="I1173" i="22"/>
  <c r="J1173" i="22"/>
  <c r="I1174" i="22"/>
  <c r="J1174" i="22"/>
  <c r="I1175" i="22"/>
  <c r="J1175" i="22"/>
  <c r="I1176" i="22"/>
  <c r="J1176" i="22"/>
  <c r="I1177" i="22"/>
  <c r="J1177" i="22"/>
  <c r="I1178" i="22"/>
  <c r="J1178" i="22"/>
  <c r="I1179" i="22"/>
  <c r="J1179" i="22"/>
  <c r="I1180" i="22"/>
  <c r="J1180" i="22"/>
  <c r="I1181" i="22"/>
  <c r="J1181" i="22"/>
  <c r="I1182" i="22"/>
  <c r="J1182" i="22"/>
  <c r="I1183" i="22"/>
  <c r="J1183" i="22"/>
  <c r="I1184" i="22"/>
  <c r="J1184" i="22"/>
  <c r="I1185" i="22"/>
  <c r="J1185" i="22"/>
  <c r="I1186" i="22"/>
  <c r="J1186" i="22"/>
  <c r="I1187" i="22"/>
  <c r="J1187" i="22"/>
  <c r="I1188" i="22"/>
  <c r="J1188" i="22"/>
  <c r="I1189" i="22"/>
  <c r="J1189" i="22"/>
  <c r="I1190" i="22"/>
  <c r="J1190" i="22"/>
  <c r="N1264" i="23"/>
  <c r="O1264" i="23"/>
  <c r="P1264" i="23"/>
  <c r="N1265" i="23"/>
  <c r="O1265" i="23"/>
  <c r="P1265" i="23"/>
  <c r="N1266" i="23"/>
  <c r="O1266" i="23"/>
  <c r="P1266" i="23"/>
  <c r="N1267" i="23"/>
  <c r="O1267" i="23"/>
  <c r="P1267" i="23"/>
  <c r="N1268" i="23"/>
  <c r="O1268" i="23"/>
  <c r="P1268" i="23"/>
  <c r="N1269" i="23"/>
  <c r="O1269" i="23"/>
  <c r="P1269" i="23"/>
  <c r="M1270" i="23"/>
  <c r="N1270" i="23"/>
  <c r="O1270" i="23"/>
  <c r="P1270" i="23"/>
  <c r="N1271" i="23"/>
  <c r="O1271" i="23"/>
  <c r="P1271" i="23"/>
  <c r="N1272" i="23"/>
  <c r="O1272" i="23"/>
  <c r="P1272" i="23"/>
  <c r="N1273" i="23"/>
  <c r="O1273" i="23"/>
  <c r="P1273" i="23"/>
  <c r="N1274" i="23"/>
  <c r="O1274" i="23"/>
  <c r="P1274" i="23"/>
  <c r="N1263" i="23"/>
  <c r="O1263" i="23"/>
  <c r="P1263" i="23"/>
  <c r="N1240" i="23"/>
  <c r="O1240" i="23"/>
  <c r="P1240" i="23"/>
  <c r="N1241" i="23"/>
  <c r="O1241" i="23"/>
  <c r="P1241" i="23"/>
  <c r="N1242" i="23"/>
  <c r="O1242" i="23"/>
  <c r="P1242" i="23"/>
  <c r="N1243" i="23"/>
  <c r="O1243" i="23"/>
  <c r="P1243" i="23"/>
  <c r="N1244" i="23"/>
  <c r="O1244" i="23"/>
  <c r="P1244" i="23"/>
  <c r="N1245" i="23"/>
  <c r="O1245" i="23"/>
  <c r="P1245" i="23"/>
  <c r="N1246" i="23"/>
  <c r="O1246" i="23"/>
  <c r="P1246" i="23"/>
  <c r="N1247" i="23"/>
  <c r="O1247" i="23"/>
  <c r="P1247" i="23"/>
  <c r="N1248" i="23"/>
  <c r="O1248" i="23"/>
  <c r="P1248" i="23"/>
  <c r="N1249" i="23"/>
  <c r="O1249" i="23"/>
  <c r="P1249" i="23"/>
  <c r="N1250" i="23"/>
  <c r="O1250" i="23"/>
  <c r="P1250" i="23"/>
  <c r="N1251" i="23"/>
  <c r="O1251" i="23"/>
  <c r="P1251" i="23"/>
  <c r="N1252" i="23"/>
  <c r="O1252" i="23"/>
  <c r="P1252" i="23"/>
  <c r="N1253" i="23"/>
  <c r="O1253" i="23"/>
  <c r="P1253" i="23"/>
  <c r="N1254" i="23"/>
  <c r="O1254" i="23"/>
  <c r="P1254" i="23"/>
  <c r="N1255" i="23"/>
  <c r="O1255" i="23"/>
  <c r="P1255" i="23"/>
  <c r="N1256" i="23"/>
  <c r="O1256" i="23"/>
  <c r="P1256" i="23"/>
  <c r="N1257" i="23"/>
  <c r="O1257" i="23"/>
  <c r="P1257" i="23"/>
  <c r="N1258" i="23"/>
  <c r="O1258" i="23"/>
  <c r="P1258" i="23"/>
  <c r="N1259" i="23"/>
  <c r="O1259" i="23"/>
  <c r="P1259" i="23"/>
  <c r="N1260" i="23"/>
  <c r="O1260" i="23"/>
  <c r="P1260" i="23"/>
  <c r="N1261" i="23"/>
  <c r="O1261" i="23"/>
  <c r="P1261" i="23"/>
  <c r="N1262" i="23"/>
  <c r="O1262" i="23"/>
  <c r="P1262" i="23"/>
  <c r="M1239" i="23"/>
  <c r="N1239" i="23"/>
  <c r="O1239" i="23"/>
  <c r="P1239" i="23"/>
  <c r="I1144" i="22"/>
  <c r="J1144" i="22"/>
  <c r="I1145" i="22"/>
  <c r="J1145" i="22"/>
  <c r="I1146" i="22"/>
  <c r="J1146" i="22"/>
  <c r="I1147" i="22"/>
  <c r="J1147" i="22"/>
  <c r="I1148" i="22"/>
  <c r="J1148" i="22"/>
  <c r="I1149" i="22"/>
  <c r="J1149" i="22"/>
  <c r="I1150" i="22"/>
  <c r="J1150" i="22"/>
  <c r="I1151" i="22"/>
  <c r="J1151" i="22"/>
  <c r="I1152" i="22"/>
  <c r="J1152" i="22"/>
  <c r="I1153" i="22"/>
  <c r="J1153" i="22"/>
  <c r="I1154" i="22"/>
  <c r="J1154" i="22"/>
  <c r="I1155" i="22"/>
  <c r="J1155" i="22"/>
  <c r="I1156" i="22"/>
  <c r="J1156" i="22"/>
  <c r="I1157" i="22"/>
  <c r="J1157" i="22"/>
  <c r="I1158" i="22"/>
  <c r="J1158" i="22"/>
  <c r="I1159" i="22"/>
  <c r="J1159" i="22"/>
  <c r="I1140" i="22"/>
  <c r="J1140" i="22"/>
  <c r="I1141" i="22"/>
  <c r="J1141" i="22"/>
  <c r="I1142" i="22"/>
  <c r="J1142" i="22"/>
  <c r="I1143" i="22"/>
  <c r="J1143" i="22"/>
  <c r="I1139" i="22"/>
  <c r="J1139" i="22"/>
  <c r="N1238" i="23"/>
  <c r="O1238" i="23"/>
  <c r="P1238" i="23"/>
  <c r="I1119" i="22"/>
  <c r="J1119" i="22"/>
  <c r="I1120" i="22"/>
  <c r="J1120" i="22"/>
  <c r="I1121" i="22"/>
  <c r="J1121" i="22"/>
  <c r="I1122" i="22"/>
  <c r="J1122" i="22"/>
  <c r="I1123" i="22"/>
  <c r="J1123" i="22"/>
  <c r="I1124" i="22"/>
  <c r="J1124" i="22"/>
  <c r="I1125" i="22"/>
  <c r="J1125" i="22"/>
  <c r="I1126" i="22"/>
  <c r="J1126" i="22"/>
  <c r="I1127" i="22"/>
  <c r="J1127" i="22"/>
  <c r="I1128" i="22"/>
  <c r="J1128" i="22"/>
  <c r="I1129" i="22"/>
  <c r="J1129" i="22"/>
  <c r="I1130" i="22"/>
  <c r="J1130" i="22"/>
  <c r="I1131" i="22"/>
  <c r="J1131" i="22"/>
  <c r="I1132" i="22"/>
  <c r="J1132" i="22"/>
  <c r="I1133" i="22"/>
  <c r="J1133" i="22"/>
  <c r="I1134" i="22"/>
  <c r="J1134" i="22"/>
  <c r="I1135" i="22"/>
  <c r="J1135" i="22"/>
  <c r="I1136" i="22"/>
  <c r="J1136" i="22"/>
  <c r="I1137" i="22"/>
  <c r="J1137" i="22"/>
  <c r="I1138" i="22"/>
  <c r="J1138" i="22"/>
  <c r="N1228" i="23"/>
  <c r="O1228" i="23"/>
  <c r="P1228" i="23"/>
  <c r="N1229" i="23"/>
  <c r="O1229" i="23"/>
  <c r="P1229" i="23"/>
  <c r="N1230" i="23"/>
  <c r="O1230" i="23"/>
  <c r="P1230" i="23"/>
  <c r="N1231" i="23"/>
  <c r="O1231" i="23"/>
  <c r="P1231" i="23"/>
  <c r="N1232" i="23"/>
  <c r="O1232" i="23"/>
  <c r="P1232" i="23"/>
  <c r="M1233" i="23"/>
  <c r="N1233" i="23"/>
  <c r="O1233" i="23"/>
  <c r="P1233" i="23"/>
  <c r="N1234" i="23"/>
  <c r="O1234" i="23"/>
  <c r="P1234" i="23"/>
  <c r="M1235" i="23"/>
  <c r="N1235" i="23"/>
  <c r="O1235" i="23"/>
  <c r="P1235" i="23"/>
  <c r="M1236" i="23"/>
  <c r="N1236" i="23"/>
  <c r="O1236" i="23"/>
  <c r="P1236" i="23"/>
  <c r="M1237" i="23"/>
  <c r="N1237" i="23"/>
  <c r="O1237" i="23"/>
  <c r="P1237" i="23"/>
  <c r="M1196" i="23"/>
  <c r="N1196" i="23"/>
  <c r="O1196" i="23"/>
  <c r="P1196" i="23"/>
  <c r="N1197" i="23"/>
  <c r="O1197" i="23"/>
  <c r="P1197" i="23"/>
  <c r="M1198" i="23"/>
  <c r="N1198" i="23"/>
  <c r="O1198" i="23"/>
  <c r="P1198" i="23"/>
  <c r="N1199" i="23"/>
  <c r="O1199" i="23"/>
  <c r="P1199" i="23"/>
  <c r="N1200" i="23"/>
  <c r="O1200" i="23"/>
  <c r="P1200" i="23"/>
  <c r="N1201" i="23"/>
  <c r="O1201" i="23"/>
  <c r="P1201" i="23"/>
  <c r="N1202" i="23"/>
  <c r="O1202" i="23"/>
  <c r="P1202" i="23"/>
  <c r="N1203" i="23"/>
  <c r="O1203" i="23"/>
  <c r="P1203" i="23"/>
  <c r="N1204" i="23"/>
  <c r="O1204" i="23"/>
  <c r="P1204" i="23"/>
  <c r="N1205" i="23"/>
  <c r="O1205" i="23"/>
  <c r="P1205" i="23"/>
  <c r="N1206" i="23"/>
  <c r="O1206" i="23"/>
  <c r="P1206" i="23"/>
  <c r="N1207" i="23"/>
  <c r="O1207" i="23"/>
  <c r="P1207" i="23"/>
  <c r="N1208" i="23"/>
  <c r="O1208" i="23"/>
  <c r="P1208" i="23"/>
  <c r="N1209" i="23"/>
  <c r="O1209" i="23"/>
  <c r="P1209" i="23"/>
  <c r="M1210" i="23"/>
  <c r="N1210" i="23"/>
  <c r="O1210" i="23"/>
  <c r="P1210" i="23"/>
  <c r="N1211" i="23"/>
  <c r="O1211" i="23"/>
  <c r="P1211" i="23"/>
  <c r="N1212" i="23"/>
  <c r="O1212" i="23"/>
  <c r="P1212" i="23"/>
  <c r="N1213" i="23"/>
  <c r="O1213" i="23"/>
  <c r="P1213" i="23"/>
  <c r="N1214" i="23"/>
  <c r="O1214" i="23"/>
  <c r="P1214" i="23"/>
  <c r="N1215" i="23"/>
  <c r="O1215" i="23"/>
  <c r="P1215" i="23"/>
  <c r="N1216" i="23"/>
  <c r="O1216" i="23"/>
  <c r="P1216" i="23"/>
  <c r="N1217" i="23"/>
  <c r="O1217" i="23"/>
  <c r="P1217" i="23"/>
  <c r="N1218" i="23"/>
  <c r="O1218" i="23"/>
  <c r="P1218" i="23"/>
  <c r="N1219" i="23"/>
  <c r="O1219" i="23"/>
  <c r="P1219" i="23"/>
  <c r="N1220" i="23"/>
  <c r="O1220" i="23"/>
  <c r="P1220" i="23"/>
  <c r="N1221" i="23"/>
  <c r="O1221" i="23"/>
  <c r="P1221" i="23"/>
  <c r="N1222" i="23"/>
  <c r="O1222" i="23"/>
  <c r="P1222" i="23"/>
  <c r="N1223" i="23"/>
  <c r="O1223" i="23"/>
  <c r="P1223" i="23"/>
  <c r="N1224" i="23"/>
  <c r="O1224" i="23"/>
  <c r="P1224" i="23"/>
  <c r="N1225" i="23"/>
  <c r="O1225" i="23"/>
  <c r="P1225" i="23"/>
  <c r="N1226" i="23"/>
  <c r="O1226" i="23"/>
  <c r="P1226" i="23"/>
  <c r="N1227" i="23"/>
  <c r="O1227" i="23"/>
  <c r="P1227" i="23"/>
  <c r="I1095" i="22"/>
  <c r="J1095" i="22"/>
  <c r="I1096" i="22"/>
  <c r="J1096" i="22"/>
  <c r="I1097" i="22"/>
  <c r="J1097" i="22"/>
  <c r="I1098" i="22"/>
  <c r="J1098" i="22"/>
  <c r="I1099" i="22"/>
  <c r="J1099" i="22"/>
  <c r="I1100" i="22"/>
  <c r="J1100" i="22"/>
  <c r="I1101" i="22"/>
  <c r="J1101" i="22"/>
  <c r="I1102" i="22"/>
  <c r="J1102" i="22"/>
  <c r="I1103" i="22"/>
  <c r="J1103" i="22"/>
  <c r="I1104" i="22"/>
  <c r="J1104" i="22"/>
  <c r="I1105" i="22"/>
  <c r="J1105" i="22"/>
  <c r="I1106" i="22"/>
  <c r="J1106" i="22"/>
  <c r="I1107" i="22"/>
  <c r="J1107" i="22"/>
  <c r="I1108" i="22"/>
  <c r="J1108" i="22"/>
  <c r="I1109" i="22"/>
  <c r="J1109" i="22"/>
  <c r="I1110" i="22"/>
  <c r="J1110" i="22"/>
  <c r="I1111" i="22"/>
  <c r="J1111" i="22"/>
  <c r="I1112" i="22"/>
  <c r="J1112" i="22"/>
  <c r="I1113" i="22"/>
  <c r="J1113" i="22"/>
  <c r="I1114" i="22"/>
  <c r="J1114" i="22"/>
  <c r="I1115" i="22"/>
  <c r="J1115" i="22"/>
  <c r="I1116" i="22"/>
  <c r="J1116" i="22"/>
  <c r="I1117" i="22"/>
  <c r="J1117" i="22"/>
  <c r="I1118" i="22"/>
  <c r="J1118" i="22"/>
  <c r="I1079" i="22"/>
  <c r="J1079" i="22"/>
  <c r="I1080" i="22"/>
  <c r="J1080" i="22"/>
  <c r="I1081" i="22"/>
  <c r="J1081" i="22"/>
  <c r="I1082" i="22"/>
  <c r="J1082" i="22"/>
  <c r="I1083" i="22"/>
  <c r="J1083" i="22"/>
  <c r="I1084" i="22"/>
  <c r="J1084" i="22"/>
  <c r="I1085" i="22"/>
  <c r="J1085" i="22"/>
  <c r="I1086" i="22"/>
  <c r="J1086" i="22"/>
  <c r="I1087" i="22"/>
  <c r="J1087" i="22"/>
  <c r="I1088" i="22"/>
  <c r="J1088" i="22"/>
  <c r="I1089" i="22"/>
  <c r="J1089" i="22"/>
  <c r="I1090" i="22"/>
  <c r="J1090" i="22"/>
  <c r="I1091" i="22"/>
  <c r="J1091" i="22"/>
  <c r="I1092" i="22"/>
  <c r="J1092" i="22"/>
  <c r="I1093" i="22"/>
  <c r="J1093" i="22"/>
  <c r="I1094" i="22"/>
  <c r="J1094" i="22"/>
  <c r="I1062" i="22"/>
  <c r="J1062" i="22"/>
  <c r="I1063" i="22"/>
  <c r="J1063" i="22"/>
  <c r="I1064" i="22"/>
  <c r="J1064" i="22"/>
  <c r="I1065" i="22"/>
  <c r="J1065" i="22"/>
  <c r="I1066" i="22"/>
  <c r="J1066" i="22"/>
  <c r="I1067" i="22"/>
  <c r="J1067" i="22"/>
  <c r="I1068" i="22"/>
  <c r="J1068" i="22"/>
  <c r="I1069" i="22"/>
  <c r="J1069" i="22"/>
  <c r="I1070" i="22"/>
  <c r="J1070" i="22"/>
  <c r="I1071" i="22"/>
  <c r="J1071" i="22"/>
  <c r="I1072" i="22"/>
  <c r="J1072" i="22"/>
  <c r="I1073" i="22"/>
  <c r="J1073" i="22"/>
  <c r="I1074" i="22"/>
  <c r="J1074" i="22"/>
  <c r="I1075" i="22"/>
  <c r="J1075" i="22"/>
  <c r="I1076" i="22"/>
  <c r="J1076" i="22"/>
  <c r="I1077" i="22"/>
  <c r="J1077" i="22"/>
  <c r="I1078" i="22"/>
  <c r="J1078" i="22"/>
  <c r="N1179" i="23"/>
  <c r="O1179" i="23"/>
  <c r="P1179" i="23"/>
  <c r="N1180" i="23"/>
  <c r="O1180" i="23"/>
  <c r="P1180" i="23"/>
  <c r="N1181" i="23"/>
  <c r="O1181" i="23"/>
  <c r="P1181" i="23"/>
  <c r="N1182" i="23"/>
  <c r="O1182" i="23"/>
  <c r="P1182" i="23"/>
  <c r="N1183" i="23"/>
  <c r="O1183" i="23"/>
  <c r="P1183" i="23"/>
  <c r="N1184" i="23"/>
  <c r="O1184" i="23"/>
  <c r="P1184" i="23"/>
  <c r="N1185" i="23"/>
  <c r="O1185" i="23"/>
  <c r="P1185" i="23"/>
  <c r="N1186" i="23"/>
  <c r="O1186" i="23"/>
  <c r="P1186" i="23"/>
  <c r="N1187" i="23"/>
  <c r="O1187" i="23"/>
  <c r="P1187" i="23"/>
  <c r="N1188" i="23"/>
  <c r="O1188" i="23"/>
  <c r="P1188" i="23"/>
  <c r="N1189" i="23"/>
  <c r="O1189" i="23"/>
  <c r="P1189" i="23"/>
  <c r="N1190" i="23"/>
  <c r="O1190" i="23"/>
  <c r="P1190" i="23"/>
  <c r="N1191" i="23"/>
  <c r="O1191" i="23"/>
  <c r="P1191" i="23"/>
  <c r="N1192" i="23"/>
  <c r="O1192" i="23"/>
  <c r="P1192" i="23"/>
  <c r="N1193" i="23"/>
  <c r="O1193" i="23"/>
  <c r="P1193" i="23"/>
  <c r="N1194" i="23"/>
  <c r="O1194" i="23"/>
  <c r="P1194" i="23"/>
  <c r="N1195" i="23"/>
  <c r="O1195" i="23"/>
  <c r="P1195" i="23"/>
  <c r="N1178" i="23"/>
  <c r="O1178" i="23"/>
  <c r="P1178" i="23"/>
  <c r="M1132" i="23"/>
  <c r="N1132" i="23"/>
  <c r="O1132" i="23"/>
  <c r="P1132" i="23"/>
  <c r="N1133" i="23"/>
  <c r="O1133" i="23"/>
  <c r="P1133" i="23"/>
  <c r="N1134" i="23"/>
  <c r="O1134" i="23"/>
  <c r="P1134" i="23"/>
  <c r="N1135" i="23"/>
  <c r="O1135" i="23"/>
  <c r="P1135" i="23"/>
  <c r="N1136" i="23"/>
  <c r="O1136" i="23"/>
  <c r="P1136" i="23"/>
  <c r="N1137" i="23"/>
  <c r="O1137" i="23"/>
  <c r="P1137" i="23"/>
  <c r="N1138" i="23"/>
  <c r="O1138" i="23"/>
  <c r="P1138" i="23"/>
  <c r="N1139" i="23"/>
  <c r="O1139" i="23"/>
  <c r="P1139" i="23"/>
  <c r="N1140" i="23"/>
  <c r="O1140" i="23"/>
  <c r="P1140" i="23"/>
  <c r="N1141" i="23"/>
  <c r="O1141" i="23"/>
  <c r="P1141" i="23"/>
  <c r="N1142" i="23"/>
  <c r="O1142" i="23"/>
  <c r="P1142" i="23"/>
  <c r="N1143" i="23"/>
  <c r="O1143" i="23"/>
  <c r="P1143" i="23"/>
  <c r="N1144" i="23"/>
  <c r="O1144" i="23"/>
  <c r="P1144" i="23"/>
  <c r="N1145" i="23"/>
  <c r="O1145" i="23"/>
  <c r="P1145" i="23"/>
  <c r="N1146" i="23"/>
  <c r="O1146" i="23"/>
  <c r="P1146" i="23"/>
  <c r="N1147" i="23"/>
  <c r="O1147" i="23"/>
  <c r="P1147" i="23"/>
  <c r="N1148" i="23"/>
  <c r="O1148" i="23"/>
  <c r="P1148" i="23"/>
  <c r="N1149" i="23"/>
  <c r="O1149" i="23"/>
  <c r="P1149" i="23"/>
  <c r="N1150" i="23"/>
  <c r="O1150" i="23"/>
  <c r="P1150" i="23"/>
  <c r="N1151" i="23"/>
  <c r="O1151" i="23"/>
  <c r="P1151" i="23"/>
  <c r="N1152" i="23"/>
  <c r="O1152" i="23"/>
  <c r="P1152" i="23"/>
  <c r="N1153" i="23"/>
  <c r="O1153" i="23"/>
  <c r="P1153" i="23"/>
  <c r="N1154" i="23"/>
  <c r="O1154" i="23"/>
  <c r="P1154" i="23"/>
  <c r="N1155" i="23"/>
  <c r="O1155" i="23"/>
  <c r="P1155" i="23"/>
  <c r="N1156" i="23"/>
  <c r="O1156" i="23"/>
  <c r="P1156" i="23"/>
  <c r="N1157" i="23"/>
  <c r="O1157" i="23"/>
  <c r="P1157" i="23"/>
  <c r="N1158" i="23"/>
  <c r="O1158" i="23"/>
  <c r="P1158" i="23"/>
  <c r="N1159" i="23"/>
  <c r="O1159" i="23"/>
  <c r="P1159" i="23"/>
  <c r="N1160" i="23"/>
  <c r="O1160" i="23"/>
  <c r="P1160" i="23"/>
  <c r="N1161" i="23"/>
  <c r="O1161" i="23"/>
  <c r="P1161" i="23"/>
  <c r="M1162" i="23"/>
  <c r="N1162" i="23"/>
  <c r="O1162" i="23"/>
  <c r="P1162" i="23"/>
  <c r="M1163" i="23"/>
  <c r="N1163" i="23"/>
  <c r="O1163" i="23"/>
  <c r="P1163" i="23"/>
  <c r="N1164" i="23"/>
  <c r="O1164" i="23"/>
  <c r="P1164" i="23"/>
  <c r="N1165" i="23"/>
  <c r="O1165" i="23"/>
  <c r="P1165" i="23"/>
  <c r="N1166" i="23"/>
  <c r="O1166" i="23"/>
  <c r="P1166" i="23"/>
  <c r="N1167" i="23"/>
  <c r="O1167" i="23"/>
  <c r="P1167" i="23"/>
  <c r="N1168" i="23"/>
  <c r="O1168" i="23"/>
  <c r="P1168" i="23"/>
  <c r="N1169" i="23"/>
  <c r="O1169" i="23"/>
  <c r="P1169" i="23"/>
  <c r="N1170" i="23"/>
  <c r="O1170" i="23"/>
  <c r="P1170" i="23"/>
  <c r="N1171" i="23"/>
  <c r="O1171" i="23"/>
  <c r="P1171" i="23"/>
  <c r="M1172" i="23"/>
  <c r="N1172" i="23"/>
  <c r="O1172" i="23"/>
  <c r="P1172" i="23"/>
  <c r="N1173" i="23"/>
  <c r="O1173" i="23"/>
  <c r="P1173" i="23"/>
  <c r="N1174" i="23"/>
  <c r="O1174" i="23"/>
  <c r="P1174" i="23"/>
  <c r="N1175" i="23"/>
  <c r="O1175" i="23"/>
  <c r="P1175" i="23"/>
  <c r="N1176" i="23"/>
  <c r="O1176" i="23"/>
  <c r="P1176" i="23"/>
  <c r="N1177" i="23"/>
  <c r="O1177" i="23"/>
  <c r="P1177" i="23"/>
  <c r="I1050" i="22"/>
  <c r="J1050" i="22"/>
  <c r="I1051" i="22"/>
  <c r="J1051" i="22"/>
  <c r="I1052" i="22"/>
  <c r="J1052" i="22"/>
  <c r="I1053" i="22"/>
  <c r="J1053" i="22"/>
  <c r="I1054" i="22"/>
  <c r="J1054" i="22"/>
  <c r="I1055" i="22"/>
  <c r="J1055" i="22"/>
  <c r="I1056" i="22"/>
  <c r="J1056" i="22"/>
  <c r="I1057" i="22"/>
  <c r="J1057" i="22"/>
  <c r="I1058" i="22"/>
  <c r="J1058" i="22"/>
  <c r="I1059" i="22"/>
  <c r="J1059" i="22"/>
  <c r="I1060" i="22"/>
  <c r="J1060" i="22"/>
  <c r="I1061" i="22"/>
  <c r="J1061" i="22"/>
  <c r="I1034" i="22"/>
  <c r="J1034" i="22"/>
  <c r="I1035" i="22"/>
  <c r="J1035" i="22"/>
  <c r="I1036" i="22"/>
  <c r="J1036" i="22"/>
  <c r="I1037" i="22"/>
  <c r="J1037" i="22"/>
  <c r="I1038" i="22"/>
  <c r="J1038" i="22"/>
  <c r="I1039" i="22"/>
  <c r="J1039" i="22"/>
  <c r="I1040" i="22"/>
  <c r="J1040" i="22"/>
  <c r="I1041" i="22"/>
  <c r="J1041" i="22"/>
  <c r="I1042" i="22"/>
  <c r="J1042" i="22"/>
  <c r="I1043" i="22"/>
  <c r="J1043" i="22"/>
  <c r="I1044" i="22"/>
  <c r="J1044" i="22"/>
  <c r="I1045" i="22"/>
  <c r="J1045" i="22"/>
  <c r="I1046" i="22"/>
  <c r="J1046" i="22"/>
  <c r="I1047" i="22"/>
  <c r="J1047" i="22"/>
  <c r="I1048" i="22"/>
  <c r="J1048" i="22"/>
  <c r="I1049" i="22"/>
  <c r="J1049" i="22"/>
  <c r="M1111" i="23"/>
  <c r="N1111" i="23"/>
  <c r="O1111" i="23"/>
  <c r="P1111" i="23"/>
  <c r="M1112" i="23"/>
  <c r="N1112" i="23"/>
  <c r="O1112" i="23"/>
  <c r="P1112" i="23"/>
  <c r="M1113" i="23"/>
  <c r="N1113" i="23"/>
  <c r="O1113" i="23"/>
  <c r="P1113" i="23"/>
  <c r="N1114" i="23"/>
  <c r="O1114" i="23"/>
  <c r="P1114" i="23"/>
  <c r="N1115" i="23"/>
  <c r="O1115" i="23"/>
  <c r="P1115" i="23"/>
  <c r="M1116" i="23"/>
  <c r="N1116" i="23"/>
  <c r="O1116" i="23"/>
  <c r="P1116" i="23"/>
  <c r="M1117" i="23"/>
  <c r="N1117" i="23"/>
  <c r="O1117" i="23"/>
  <c r="P1117" i="23"/>
  <c r="M1118" i="23"/>
  <c r="N1118" i="23"/>
  <c r="O1118" i="23"/>
  <c r="P1118" i="23"/>
  <c r="N1119" i="23"/>
  <c r="O1119" i="23"/>
  <c r="P1119" i="23"/>
  <c r="M1120" i="23"/>
  <c r="N1120" i="23"/>
  <c r="O1120" i="23"/>
  <c r="P1120" i="23"/>
  <c r="M1121" i="23"/>
  <c r="N1121" i="23"/>
  <c r="O1121" i="23"/>
  <c r="P1121" i="23"/>
  <c r="M1122" i="23"/>
  <c r="N1122" i="23"/>
  <c r="O1122" i="23"/>
  <c r="P1122" i="23"/>
  <c r="M1123" i="23"/>
  <c r="N1123" i="23"/>
  <c r="O1123" i="23"/>
  <c r="P1123" i="23"/>
  <c r="N1124" i="23"/>
  <c r="O1124" i="23"/>
  <c r="P1124" i="23"/>
  <c r="N1125" i="23"/>
  <c r="O1125" i="23"/>
  <c r="P1125" i="23"/>
  <c r="M1126" i="23"/>
  <c r="N1126" i="23"/>
  <c r="O1126" i="23"/>
  <c r="P1126" i="23"/>
  <c r="M1127" i="23"/>
  <c r="N1127" i="23"/>
  <c r="O1127" i="23"/>
  <c r="P1127" i="23"/>
  <c r="M1128" i="23"/>
  <c r="N1128" i="23"/>
  <c r="O1128" i="23"/>
  <c r="P1128" i="23"/>
  <c r="M1129" i="23"/>
  <c r="N1129" i="23"/>
  <c r="O1129" i="23"/>
  <c r="P1129" i="23"/>
  <c r="N1130" i="23"/>
  <c r="O1130" i="23"/>
  <c r="P1130" i="23"/>
  <c r="M1131" i="23"/>
  <c r="N1131" i="23"/>
  <c r="O1131" i="23"/>
  <c r="P1131" i="23"/>
  <c r="I1011" i="22"/>
  <c r="J1011" i="22"/>
  <c r="I1012" i="22"/>
  <c r="J1012" i="22"/>
  <c r="I1013" i="22"/>
  <c r="J1013" i="22"/>
  <c r="I1014" i="22"/>
  <c r="J1014" i="22"/>
  <c r="I1015" i="22"/>
  <c r="J1015" i="22"/>
  <c r="I1016" i="22"/>
  <c r="J1016" i="22"/>
  <c r="I1017" i="22"/>
  <c r="J1017" i="22"/>
  <c r="I1018" i="22"/>
  <c r="J1018" i="22"/>
  <c r="I1019" i="22"/>
  <c r="J1019" i="22"/>
  <c r="I1020" i="22"/>
  <c r="J1020" i="22"/>
  <c r="I1021" i="22"/>
  <c r="J1021" i="22"/>
  <c r="I1022" i="22"/>
  <c r="J1022" i="22"/>
  <c r="I1023" i="22"/>
  <c r="J1023" i="22"/>
  <c r="I1024" i="22"/>
  <c r="J1024" i="22"/>
  <c r="I1025" i="22"/>
  <c r="J1025" i="22"/>
  <c r="I1026" i="22"/>
  <c r="J1026" i="22"/>
  <c r="I1027" i="22"/>
  <c r="J1027" i="22"/>
  <c r="I1028" i="22"/>
  <c r="J1028" i="22"/>
  <c r="I1029" i="22"/>
  <c r="J1029" i="22"/>
  <c r="I1030" i="22"/>
  <c r="J1030" i="22"/>
  <c r="I1031" i="22"/>
  <c r="J1031" i="22"/>
  <c r="I1032" i="22"/>
  <c r="J1032" i="22"/>
  <c r="I1033" i="22"/>
  <c r="J1033" i="22"/>
  <c r="M1109" i="23"/>
  <c r="N1109" i="23"/>
  <c r="O1109" i="23"/>
  <c r="P1109" i="23"/>
  <c r="M1110" i="23"/>
  <c r="N1110" i="23"/>
  <c r="O1110" i="23"/>
  <c r="P1110" i="23"/>
  <c r="N1104" i="23"/>
  <c r="O1104" i="23"/>
  <c r="P1104" i="23"/>
  <c r="M1105" i="23"/>
  <c r="N1105" i="23"/>
  <c r="O1105" i="23"/>
  <c r="P1105" i="23"/>
  <c r="M1106" i="23"/>
  <c r="N1106" i="23"/>
  <c r="O1106" i="23"/>
  <c r="P1106" i="23"/>
  <c r="M1107" i="23"/>
  <c r="N1107" i="23"/>
  <c r="O1107" i="23"/>
  <c r="P1107" i="23"/>
  <c r="N1108" i="23"/>
  <c r="O1108" i="23"/>
  <c r="P1108" i="23"/>
  <c r="I985" i="22"/>
  <c r="J985" i="22"/>
  <c r="I986" i="22"/>
  <c r="J986" i="22"/>
  <c r="I987" i="22"/>
  <c r="J987" i="22"/>
  <c r="I988" i="22"/>
  <c r="J988" i="22"/>
  <c r="I989" i="22"/>
  <c r="J989" i="22"/>
  <c r="I990" i="22"/>
  <c r="J990" i="22"/>
  <c r="I991" i="22"/>
  <c r="J991" i="22"/>
  <c r="I992" i="22"/>
  <c r="J992" i="22"/>
  <c r="I993" i="22"/>
  <c r="J993" i="22"/>
  <c r="I994" i="22"/>
  <c r="J994" i="22"/>
  <c r="I995" i="22"/>
  <c r="J995" i="22"/>
  <c r="I996" i="22"/>
  <c r="J996" i="22"/>
  <c r="I997" i="22"/>
  <c r="J997" i="22"/>
  <c r="I998" i="22"/>
  <c r="J998" i="22"/>
  <c r="I999" i="22"/>
  <c r="J999" i="22"/>
  <c r="I1000" i="22"/>
  <c r="J1000" i="22"/>
  <c r="I1001" i="22"/>
  <c r="J1001" i="22"/>
  <c r="I1002" i="22"/>
  <c r="J1002" i="22"/>
  <c r="I1003" i="22"/>
  <c r="J1003" i="22"/>
  <c r="I1004" i="22"/>
  <c r="J1004" i="22"/>
  <c r="I1005" i="22"/>
  <c r="J1005" i="22"/>
  <c r="I1006" i="22"/>
  <c r="J1006" i="22"/>
  <c r="I1007" i="22"/>
  <c r="J1007" i="22"/>
  <c r="I1008" i="22"/>
  <c r="J1008" i="22"/>
  <c r="I1009" i="22"/>
  <c r="J1009" i="22"/>
  <c r="I1010" i="22"/>
  <c r="J1010" i="22"/>
  <c r="M1083" i="23"/>
  <c r="N1083" i="23"/>
  <c r="O1083" i="23"/>
  <c r="P1083" i="23"/>
  <c r="N1084" i="23"/>
  <c r="O1084" i="23"/>
  <c r="P1084" i="23"/>
  <c r="N1085" i="23"/>
  <c r="O1085" i="23"/>
  <c r="P1085" i="23"/>
  <c r="M1086" i="23"/>
  <c r="N1086" i="23"/>
  <c r="O1086" i="23"/>
  <c r="P1086" i="23"/>
  <c r="M1087" i="23"/>
  <c r="N1087" i="23"/>
  <c r="O1087" i="23"/>
  <c r="P1087" i="23"/>
  <c r="M1088" i="23"/>
  <c r="N1088" i="23"/>
  <c r="O1088" i="23"/>
  <c r="P1088" i="23"/>
  <c r="N1089" i="23"/>
  <c r="O1089" i="23"/>
  <c r="P1089" i="23"/>
  <c r="N1090" i="23"/>
  <c r="O1090" i="23"/>
  <c r="P1090" i="23"/>
  <c r="N1091" i="23"/>
  <c r="O1091" i="23"/>
  <c r="P1091" i="23"/>
  <c r="N1092" i="23"/>
  <c r="O1092" i="23"/>
  <c r="P1092" i="23"/>
  <c r="N1093" i="23"/>
  <c r="O1093" i="23"/>
  <c r="P1093" i="23"/>
  <c r="M1094" i="23"/>
  <c r="N1094" i="23"/>
  <c r="O1094" i="23"/>
  <c r="P1094" i="23"/>
  <c r="M1095" i="23"/>
  <c r="N1095" i="23"/>
  <c r="O1095" i="23"/>
  <c r="P1095" i="23"/>
  <c r="M1096" i="23"/>
  <c r="N1096" i="23"/>
  <c r="O1096" i="23"/>
  <c r="P1096" i="23"/>
  <c r="M1097" i="23"/>
  <c r="N1097" i="23"/>
  <c r="O1097" i="23"/>
  <c r="P1097" i="23"/>
  <c r="M1098" i="23"/>
  <c r="N1098" i="23"/>
  <c r="O1098" i="23"/>
  <c r="P1098" i="23"/>
  <c r="M1099" i="23"/>
  <c r="N1099" i="23"/>
  <c r="O1099" i="23"/>
  <c r="P1099" i="23"/>
  <c r="M1100" i="23"/>
  <c r="N1100" i="23"/>
  <c r="O1100" i="23"/>
  <c r="P1100" i="23"/>
  <c r="M1101" i="23"/>
  <c r="N1101" i="23"/>
  <c r="O1101" i="23"/>
  <c r="P1101" i="23"/>
  <c r="M1102" i="23"/>
  <c r="N1102" i="23"/>
  <c r="O1102" i="23"/>
  <c r="P1102" i="23"/>
  <c r="M1103" i="23"/>
  <c r="N1103" i="23"/>
  <c r="O1103" i="23"/>
  <c r="P1103" i="23"/>
  <c r="I984" i="22"/>
  <c r="J984" i="22"/>
  <c r="I959" i="22"/>
  <c r="J959" i="22"/>
  <c r="I960" i="22"/>
  <c r="J960" i="22"/>
  <c r="I961" i="22"/>
  <c r="J961" i="22"/>
  <c r="I962" i="22"/>
  <c r="J962" i="22"/>
  <c r="I963" i="22"/>
  <c r="J963" i="22"/>
  <c r="I964" i="22"/>
  <c r="J964" i="22"/>
  <c r="I965" i="22"/>
  <c r="J965" i="22"/>
  <c r="I966" i="22"/>
  <c r="J966" i="22"/>
  <c r="I967" i="22"/>
  <c r="J967" i="22"/>
  <c r="I968" i="22"/>
  <c r="J968" i="22"/>
  <c r="I969" i="22"/>
  <c r="J969" i="22"/>
  <c r="I970" i="22"/>
  <c r="J970" i="22"/>
  <c r="I971" i="22"/>
  <c r="J971" i="22"/>
  <c r="I972" i="22"/>
  <c r="J972" i="22"/>
  <c r="I973" i="22"/>
  <c r="J973" i="22"/>
  <c r="I974" i="22"/>
  <c r="J974" i="22"/>
  <c r="I975" i="22"/>
  <c r="J975" i="22"/>
  <c r="I976" i="22"/>
  <c r="J976" i="22"/>
  <c r="I977" i="22"/>
  <c r="J977" i="22"/>
  <c r="I978" i="22"/>
  <c r="J978" i="22"/>
  <c r="I979" i="22"/>
  <c r="J979" i="22"/>
  <c r="I980" i="22"/>
  <c r="J980" i="22"/>
  <c r="I981" i="22"/>
  <c r="J981" i="22"/>
  <c r="I982" i="22"/>
  <c r="J982" i="22"/>
  <c r="I983" i="22"/>
  <c r="J983" i="22"/>
  <c r="M1082" i="23"/>
  <c r="N1082" i="23"/>
  <c r="O1082" i="23"/>
  <c r="P1082" i="23"/>
  <c r="M1026" i="23"/>
  <c r="N1026" i="23"/>
  <c r="O1026" i="23"/>
  <c r="P1026" i="23"/>
  <c r="M1027" i="23"/>
  <c r="N1027" i="23"/>
  <c r="O1027" i="23"/>
  <c r="P1027" i="23"/>
  <c r="M1028" i="23"/>
  <c r="N1028" i="23"/>
  <c r="O1028" i="23"/>
  <c r="P1028" i="23"/>
  <c r="M1029" i="23"/>
  <c r="N1029" i="23"/>
  <c r="O1029" i="23"/>
  <c r="P1029" i="23"/>
  <c r="M1030" i="23"/>
  <c r="N1030" i="23"/>
  <c r="O1030" i="23"/>
  <c r="P1030" i="23"/>
  <c r="N1031" i="23"/>
  <c r="O1031" i="23"/>
  <c r="P1031" i="23"/>
  <c r="N1032" i="23"/>
  <c r="O1032" i="23"/>
  <c r="P1032" i="23"/>
  <c r="N1033" i="23"/>
  <c r="O1033" i="23"/>
  <c r="P1033" i="23"/>
  <c r="N1034" i="23"/>
  <c r="O1034" i="23"/>
  <c r="P1034" i="23"/>
  <c r="M1035" i="23"/>
  <c r="N1035" i="23"/>
  <c r="O1035" i="23"/>
  <c r="P1035" i="23"/>
  <c r="N1036" i="23"/>
  <c r="O1036" i="23"/>
  <c r="P1036" i="23"/>
  <c r="M1037" i="23"/>
  <c r="N1037" i="23"/>
  <c r="O1037" i="23"/>
  <c r="P1037" i="23"/>
  <c r="N1038" i="23"/>
  <c r="O1038" i="23"/>
  <c r="P1038" i="23"/>
  <c r="N1039" i="23"/>
  <c r="O1039" i="23"/>
  <c r="P1039" i="23"/>
  <c r="N1040" i="23"/>
  <c r="O1040" i="23"/>
  <c r="P1040" i="23"/>
  <c r="N1041" i="23"/>
  <c r="O1041" i="23"/>
  <c r="P1041" i="23"/>
  <c r="M1042" i="23"/>
  <c r="N1042" i="23"/>
  <c r="O1042" i="23"/>
  <c r="P1042" i="23"/>
  <c r="M1043" i="23"/>
  <c r="N1043" i="23"/>
  <c r="O1043" i="23"/>
  <c r="P1043" i="23"/>
  <c r="N1044" i="23"/>
  <c r="O1044" i="23"/>
  <c r="P1044" i="23"/>
  <c r="M1045" i="23"/>
  <c r="N1045" i="23"/>
  <c r="O1045" i="23"/>
  <c r="P1045" i="23"/>
  <c r="N1046" i="23"/>
  <c r="O1046" i="23"/>
  <c r="P1046" i="23"/>
  <c r="M1047" i="23"/>
  <c r="N1047" i="23"/>
  <c r="O1047" i="23"/>
  <c r="P1047" i="23"/>
  <c r="N1048" i="23"/>
  <c r="O1048" i="23"/>
  <c r="P1048" i="23"/>
  <c r="M1049" i="23"/>
  <c r="N1049" i="23"/>
  <c r="O1049" i="23"/>
  <c r="P1049" i="23"/>
  <c r="N1050" i="23"/>
  <c r="O1050" i="23"/>
  <c r="P1050" i="23"/>
  <c r="N1051" i="23"/>
  <c r="O1051" i="23"/>
  <c r="P1051" i="23"/>
  <c r="N1052" i="23"/>
  <c r="O1052" i="23"/>
  <c r="P1052" i="23"/>
  <c r="N1053" i="23"/>
  <c r="O1053" i="23"/>
  <c r="P1053" i="23"/>
  <c r="N1054" i="23"/>
  <c r="O1054" i="23"/>
  <c r="P1054" i="23"/>
  <c r="M1055" i="23"/>
  <c r="N1055" i="23"/>
  <c r="O1055" i="23"/>
  <c r="P1055" i="23"/>
  <c r="N1056" i="23"/>
  <c r="O1056" i="23"/>
  <c r="P1056" i="23"/>
  <c r="N1057" i="23"/>
  <c r="O1057" i="23"/>
  <c r="P1057" i="23"/>
  <c r="N1058" i="23"/>
  <c r="O1058" i="23"/>
  <c r="P1058" i="23"/>
  <c r="N1059" i="23"/>
  <c r="O1059" i="23"/>
  <c r="P1059" i="23"/>
  <c r="N1060" i="23"/>
  <c r="O1060" i="23"/>
  <c r="P1060" i="23"/>
  <c r="M1061" i="23"/>
  <c r="N1061" i="23"/>
  <c r="O1061" i="23"/>
  <c r="P1061" i="23"/>
  <c r="M1062" i="23"/>
  <c r="N1062" i="23"/>
  <c r="O1062" i="23"/>
  <c r="P1062" i="23"/>
  <c r="N1063" i="23"/>
  <c r="O1063" i="23"/>
  <c r="P1063" i="23"/>
  <c r="N1064" i="23"/>
  <c r="O1064" i="23"/>
  <c r="P1064" i="23"/>
  <c r="M1065" i="23"/>
  <c r="N1065" i="23"/>
  <c r="O1065" i="23"/>
  <c r="P1065" i="23"/>
  <c r="M1066" i="23"/>
  <c r="N1066" i="23"/>
  <c r="O1066" i="23"/>
  <c r="P1066" i="23"/>
  <c r="N1067" i="23"/>
  <c r="O1067" i="23"/>
  <c r="P1067" i="23"/>
  <c r="N1068" i="23"/>
  <c r="O1068" i="23"/>
  <c r="P1068" i="23"/>
  <c r="N1069" i="23"/>
  <c r="O1069" i="23"/>
  <c r="P1069" i="23"/>
  <c r="N1070" i="23"/>
  <c r="O1070" i="23"/>
  <c r="P1070" i="23"/>
  <c r="N1071" i="23"/>
  <c r="O1071" i="23"/>
  <c r="P1071" i="23"/>
  <c r="N1072" i="23"/>
  <c r="O1072" i="23"/>
  <c r="P1072" i="23"/>
  <c r="N1073" i="23"/>
  <c r="O1073" i="23"/>
  <c r="P1073" i="23"/>
  <c r="N1074" i="23"/>
  <c r="O1074" i="23"/>
  <c r="P1074" i="23"/>
  <c r="M1075" i="23"/>
  <c r="N1075" i="23"/>
  <c r="O1075" i="23"/>
  <c r="P1075" i="23"/>
  <c r="N1076" i="23"/>
  <c r="O1076" i="23"/>
  <c r="P1076" i="23"/>
  <c r="M1077" i="23"/>
  <c r="N1077" i="23"/>
  <c r="O1077" i="23"/>
  <c r="P1077" i="23"/>
  <c r="N1078" i="23"/>
  <c r="O1078" i="23"/>
  <c r="P1078" i="23"/>
  <c r="M1079" i="23"/>
  <c r="N1079" i="23"/>
  <c r="O1079" i="23"/>
  <c r="P1079" i="23"/>
  <c r="N1080" i="23"/>
  <c r="O1080" i="23"/>
  <c r="P1080" i="23"/>
  <c r="M1081" i="23"/>
  <c r="N1081" i="23"/>
  <c r="O1081" i="23"/>
  <c r="P1081" i="23"/>
  <c r="N1024" i="23"/>
  <c r="O1024" i="23"/>
  <c r="P1024" i="23"/>
  <c r="M1025" i="23"/>
  <c r="N1025" i="23"/>
  <c r="O1025" i="23"/>
  <c r="P1025" i="23"/>
  <c r="I937" i="22"/>
  <c r="J937" i="22"/>
  <c r="I938" i="22"/>
  <c r="J938" i="22"/>
  <c r="I939" i="22"/>
  <c r="J939" i="22"/>
  <c r="I940" i="22"/>
  <c r="J940" i="22"/>
  <c r="I941" i="22"/>
  <c r="J941" i="22"/>
  <c r="I942" i="22"/>
  <c r="J942" i="22"/>
  <c r="I943" i="22"/>
  <c r="J943" i="22"/>
  <c r="I944" i="22"/>
  <c r="J944" i="22"/>
  <c r="I945" i="22"/>
  <c r="J945" i="22"/>
  <c r="I946" i="22"/>
  <c r="J946" i="22"/>
  <c r="I947" i="22"/>
  <c r="J947" i="22"/>
  <c r="I948" i="22"/>
  <c r="J948" i="22"/>
  <c r="I949" i="22"/>
  <c r="J949" i="22"/>
  <c r="I950" i="22"/>
  <c r="J950" i="22"/>
  <c r="I951" i="22"/>
  <c r="J951" i="22"/>
  <c r="I952" i="22"/>
  <c r="J952" i="22"/>
  <c r="I953" i="22"/>
  <c r="J953" i="22"/>
  <c r="I954" i="22"/>
  <c r="J954" i="22"/>
  <c r="I955" i="22"/>
  <c r="J955" i="22"/>
  <c r="I956" i="22"/>
  <c r="J956" i="22"/>
  <c r="I957" i="22"/>
  <c r="J957" i="22"/>
  <c r="I958" i="22"/>
  <c r="J958" i="22"/>
  <c r="M959" i="23"/>
  <c r="N959" i="23"/>
  <c r="O959" i="23"/>
  <c r="P959" i="23"/>
  <c r="M960" i="23"/>
  <c r="N960" i="23"/>
  <c r="O960" i="23"/>
  <c r="P960" i="23"/>
  <c r="M961" i="23"/>
  <c r="N961" i="23"/>
  <c r="O961" i="23"/>
  <c r="P961" i="23"/>
  <c r="M962" i="23"/>
  <c r="N962" i="23"/>
  <c r="O962" i="23"/>
  <c r="P962" i="23"/>
  <c r="M963" i="23"/>
  <c r="N963" i="23"/>
  <c r="O963" i="23"/>
  <c r="P963" i="23"/>
  <c r="M964" i="23"/>
  <c r="N964" i="23"/>
  <c r="O964" i="23"/>
  <c r="P964" i="23"/>
  <c r="M965" i="23"/>
  <c r="N965" i="23"/>
  <c r="O965" i="23"/>
  <c r="P965" i="23"/>
  <c r="M966" i="23"/>
  <c r="N966" i="23"/>
  <c r="O966" i="23"/>
  <c r="P966" i="23"/>
  <c r="M967" i="23"/>
  <c r="N967" i="23"/>
  <c r="O967" i="23"/>
  <c r="P967" i="23"/>
  <c r="M968" i="23"/>
  <c r="N968" i="23"/>
  <c r="O968" i="23"/>
  <c r="P968" i="23"/>
  <c r="M969" i="23"/>
  <c r="N969" i="23"/>
  <c r="O969" i="23"/>
  <c r="P969" i="23"/>
  <c r="M970" i="23"/>
  <c r="N970" i="23"/>
  <c r="O970" i="23"/>
  <c r="P970" i="23"/>
  <c r="M971" i="23"/>
  <c r="N971" i="23"/>
  <c r="O971" i="23"/>
  <c r="P971" i="23"/>
  <c r="M972" i="23"/>
  <c r="N972" i="23"/>
  <c r="O972" i="23"/>
  <c r="P972" i="23"/>
  <c r="M973" i="23"/>
  <c r="N973" i="23"/>
  <c r="O973" i="23"/>
  <c r="P973" i="23"/>
  <c r="M974" i="23"/>
  <c r="N974" i="23"/>
  <c r="O974" i="23"/>
  <c r="P974" i="23"/>
  <c r="M975" i="23"/>
  <c r="N975" i="23"/>
  <c r="O975" i="23"/>
  <c r="P975" i="23"/>
  <c r="M976" i="23"/>
  <c r="N976" i="23"/>
  <c r="O976" i="23"/>
  <c r="P976" i="23"/>
  <c r="M977" i="23"/>
  <c r="N977" i="23"/>
  <c r="O977" i="23"/>
  <c r="P977" i="23"/>
  <c r="M978" i="23"/>
  <c r="N978" i="23"/>
  <c r="O978" i="23"/>
  <c r="P978" i="23"/>
  <c r="M979" i="23"/>
  <c r="N979" i="23"/>
  <c r="O979" i="23"/>
  <c r="P979" i="23"/>
  <c r="M980" i="23"/>
  <c r="N980" i="23"/>
  <c r="O980" i="23"/>
  <c r="P980" i="23"/>
  <c r="M981" i="23"/>
  <c r="N981" i="23"/>
  <c r="O981" i="23"/>
  <c r="P981" i="23"/>
  <c r="M982" i="23"/>
  <c r="N982" i="23"/>
  <c r="O982" i="23"/>
  <c r="P982" i="23"/>
  <c r="M983" i="23"/>
  <c r="N983" i="23"/>
  <c r="O983" i="23"/>
  <c r="P983" i="23"/>
  <c r="M984" i="23"/>
  <c r="N984" i="23"/>
  <c r="O984" i="23"/>
  <c r="P984" i="23"/>
  <c r="M985" i="23"/>
  <c r="N985" i="23"/>
  <c r="O985" i="23"/>
  <c r="P985" i="23"/>
  <c r="M986" i="23"/>
  <c r="N986" i="23"/>
  <c r="O986" i="23"/>
  <c r="P986" i="23"/>
  <c r="M987" i="23"/>
  <c r="N987" i="23"/>
  <c r="O987" i="23"/>
  <c r="P987" i="23"/>
  <c r="M988" i="23"/>
  <c r="N988" i="23"/>
  <c r="O988" i="23"/>
  <c r="P988" i="23"/>
  <c r="M989" i="23"/>
  <c r="N989" i="23"/>
  <c r="O989" i="23"/>
  <c r="P989" i="23"/>
  <c r="M990" i="23"/>
  <c r="N990" i="23"/>
  <c r="O990" i="23"/>
  <c r="P990" i="23"/>
  <c r="N991" i="23"/>
  <c r="O991" i="23"/>
  <c r="P991" i="23"/>
  <c r="M992" i="23"/>
  <c r="N992" i="23"/>
  <c r="O992" i="23"/>
  <c r="P992" i="23"/>
  <c r="M993" i="23"/>
  <c r="N993" i="23"/>
  <c r="O993" i="23"/>
  <c r="P993" i="23"/>
  <c r="N994" i="23"/>
  <c r="O994" i="23"/>
  <c r="P994" i="23"/>
  <c r="N995" i="23"/>
  <c r="O995" i="23"/>
  <c r="P995" i="23"/>
  <c r="M996" i="23"/>
  <c r="N996" i="23"/>
  <c r="O996" i="23"/>
  <c r="P996" i="23"/>
  <c r="N997" i="23"/>
  <c r="O997" i="23"/>
  <c r="P997" i="23"/>
  <c r="N998" i="23"/>
  <c r="O998" i="23"/>
  <c r="P998" i="23"/>
  <c r="N999" i="23"/>
  <c r="O999" i="23"/>
  <c r="P999" i="23"/>
  <c r="M1000" i="23"/>
  <c r="N1000" i="23"/>
  <c r="O1000" i="23"/>
  <c r="P1000" i="23"/>
  <c r="M1001" i="23"/>
  <c r="N1001" i="23"/>
  <c r="O1001" i="23"/>
  <c r="P1001" i="23"/>
  <c r="N1002" i="23"/>
  <c r="O1002" i="23"/>
  <c r="P1002" i="23"/>
  <c r="N1003" i="23"/>
  <c r="O1003" i="23"/>
  <c r="P1003" i="23"/>
  <c r="N1004" i="23"/>
  <c r="O1004" i="23"/>
  <c r="P1004" i="23"/>
  <c r="N1005" i="23"/>
  <c r="O1005" i="23"/>
  <c r="P1005" i="23"/>
  <c r="N1006" i="23"/>
  <c r="O1006" i="23"/>
  <c r="P1006" i="23"/>
  <c r="N1007" i="23"/>
  <c r="O1007" i="23"/>
  <c r="P1007" i="23"/>
  <c r="M1008" i="23"/>
  <c r="N1008" i="23"/>
  <c r="O1008" i="23"/>
  <c r="P1008" i="23"/>
  <c r="N1009" i="23"/>
  <c r="O1009" i="23"/>
  <c r="P1009" i="23"/>
  <c r="M1010" i="23"/>
  <c r="N1010" i="23"/>
  <c r="O1010" i="23"/>
  <c r="P1010" i="23"/>
  <c r="N1011" i="23"/>
  <c r="O1011" i="23"/>
  <c r="P1011" i="23"/>
  <c r="N1012" i="23"/>
  <c r="O1012" i="23"/>
  <c r="P1012" i="23"/>
  <c r="N1013" i="23"/>
  <c r="O1013" i="23"/>
  <c r="P1013" i="23"/>
  <c r="M1014" i="23"/>
  <c r="N1014" i="23"/>
  <c r="O1014" i="23"/>
  <c r="P1014" i="23"/>
  <c r="M1015" i="23"/>
  <c r="N1015" i="23"/>
  <c r="O1015" i="23"/>
  <c r="P1015" i="23"/>
  <c r="N1016" i="23"/>
  <c r="O1016" i="23"/>
  <c r="P1016" i="23"/>
  <c r="N1017" i="23"/>
  <c r="O1017" i="23"/>
  <c r="P1017" i="23"/>
  <c r="M1018" i="23"/>
  <c r="N1018" i="23"/>
  <c r="O1018" i="23"/>
  <c r="P1018" i="23"/>
  <c r="N1019" i="23"/>
  <c r="O1019" i="23"/>
  <c r="P1019" i="23"/>
  <c r="M1020" i="23"/>
  <c r="N1020" i="23"/>
  <c r="O1020" i="23"/>
  <c r="P1020" i="23"/>
  <c r="N1021" i="23"/>
  <c r="O1021" i="23"/>
  <c r="P1021" i="23"/>
  <c r="N1022" i="23"/>
  <c r="O1022" i="23"/>
  <c r="P1022" i="23"/>
  <c r="M1023" i="23"/>
  <c r="N1023" i="23"/>
  <c r="O1023" i="23"/>
  <c r="P1023" i="23"/>
  <c r="I928" i="22"/>
  <c r="J928" i="22"/>
  <c r="I929" i="22"/>
  <c r="J929" i="22"/>
  <c r="I930" i="22"/>
  <c r="J930" i="22"/>
  <c r="I931" i="22"/>
  <c r="J931" i="22"/>
  <c r="I932" i="22"/>
  <c r="J932" i="22"/>
  <c r="I933" i="22"/>
  <c r="J933" i="22"/>
  <c r="I934" i="22"/>
  <c r="J934" i="22"/>
  <c r="I935" i="22"/>
  <c r="J935" i="22"/>
  <c r="I936" i="22"/>
  <c r="J936" i="22"/>
  <c r="I907" i="22"/>
  <c r="J907" i="22"/>
  <c r="I908" i="22"/>
  <c r="J908" i="22"/>
  <c r="I909" i="22"/>
  <c r="J909" i="22"/>
  <c r="I910" i="22"/>
  <c r="J910" i="22"/>
  <c r="I911" i="22"/>
  <c r="J911" i="22"/>
  <c r="I912" i="22"/>
  <c r="J912" i="22"/>
  <c r="I913" i="22"/>
  <c r="J913" i="22"/>
  <c r="I914" i="22"/>
  <c r="J914" i="22"/>
  <c r="I915" i="22"/>
  <c r="J915" i="22"/>
  <c r="I916" i="22"/>
  <c r="J916" i="22"/>
  <c r="I917" i="22"/>
  <c r="J917" i="22"/>
  <c r="I918" i="22"/>
  <c r="J918" i="22"/>
  <c r="I919" i="22"/>
  <c r="J919" i="22"/>
  <c r="I920" i="22"/>
  <c r="J920" i="22"/>
  <c r="I921" i="22"/>
  <c r="J921" i="22"/>
  <c r="I922" i="22"/>
  <c r="J922" i="22"/>
  <c r="I923" i="22"/>
  <c r="J923" i="22"/>
  <c r="I924" i="22"/>
  <c r="J924" i="22"/>
  <c r="I925" i="22"/>
  <c r="J925" i="22"/>
  <c r="I926" i="22"/>
  <c r="J926" i="22"/>
  <c r="I927" i="22"/>
  <c r="J927" i="22"/>
  <c r="M946" i="23"/>
  <c r="N946" i="23"/>
  <c r="O946" i="23"/>
  <c r="P946" i="23"/>
  <c r="N947" i="23"/>
  <c r="O947" i="23"/>
  <c r="P947" i="23"/>
  <c r="N948" i="23"/>
  <c r="O948" i="23"/>
  <c r="P948" i="23"/>
  <c r="N949" i="23"/>
  <c r="O949" i="23"/>
  <c r="P949" i="23"/>
  <c r="N950" i="23"/>
  <c r="O950" i="23"/>
  <c r="P950" i="23"/>
  <c r="N951" i="23"/>
  <c r="O951" i="23"/>
  <c r="P951" i="23"/>
  <c r="N952" i="23"/>
  <c r="O952" i="23"/>
  <c r="P952" i="23"/>
  <c r="N953" i="23"/>
  <c r="O953" i="23"/>
  <c r="P953" i="23"/>
  <c r="M954" i="23"/>
  <c r="N954" i="23"/>
  <c r="O954" i="23"/>
  <c r="P954" i="23"/>
  <c r="N955" i="23"/>
  <c r="O955" i="23"/>
  <c r="P955" i="23"/>
  <c r="N956" i="23"/>
  <c r="O956" i="23"/>
  <c r="P956" i="23"/>
  <c r="N957" i="23"/>
  <c r="O957" i="23"/>
  <c r="P957" i="23"/>
  <c r="N958" i="23"/>
  <c r="O958" i="23"/>
  <c r="P958" i="23"/>
  <c r="I895" i="22"/>
  <c r="J895" i="22"/>
  <c r="I896" i="22"/>
  <c r="J896" i="22"/>
  <c r="I897" i="22"/>
  <c r="J897" i="22"/>
  <c r="I898" i="22"/>
  <c r="J898" i="22"/>
  <c r="I899" i="22"/>
  <c r="J899" i="22"/>
  <c r="I900" i="22"/>
  <c r="J900" i="22"/>
  <c r="I901" i="22"/>
  <c r="J901" i="22"/>
  <c r="I902" i="22"/>
  <c r="J902" i="22"/>
  <c r="I903" i="22"/>
  <c r="J903" i="22"/>
  <c r="I904" i="22"/>
  <c r="J904" i="22"/>
  <c r="I905" i="22"/>
  <c r="J905" i="22"/>
  <c r="I906" i="22"/>
  <c r="J906" i="22"/>
  <c r="P945" i="23"/>
  <c r="O945" i="23"/>
  <c r="N945" i="23"/>
  <c r="P944" i="23"/>
  <c r="O944" i="23"/>
  <c r="N944" i="23"/>
  <c r="P943" i="23"/>
  <c r="O943" i="23"/>
  <c r="N943" i="23"/>
  <c r="P942" i="23"/>
  <c r="O942" i="23"/>
  <c r="N942" i="23"/>
  <c r="P941" i="23"/>
  <c r="O941" i="23"/>
  <c r="N941" i="23"/>
  <c r="P940" i="23"/>
  <c r="O940" i="23"/>
  <c r="N940" i="23"/>
  <c r="M940" i="23"/>
  <c r="P939" i="23"/>
  <c r="O939" i="23"/>
  <c r="N939" i="23"/>
  <c r="P938" i="23"/>
  <c r="O938" i="23"/>
  <c r="N938" i="23"/>
  <c r="P937" i="23"/>
  <c r="O937" i="23"/>
  <c r="N937" i="23"/>
  <c r="P936" i="23"/>
  <c r="O936" i="23"/>
  <c r="N936" i="23"/>
  <c r="P935" i="23"/>
  <c r="O935" i="23"/>
  <c r="N935" i="23"/>
  <c r="P934" i="23"/>
  <c r="O934" i="23"/>
  <c r="N934" i="23"/>
  <c r="M934" i="23"/>
  <c r="P933" i="23"/>
  <c r="O933" i="23"/>
  <c r="N933" i="23"/>
  <c r="P932" i="23"/>
  <c r="O932" i="23"/>
  <c r="N932" i="23"/>
  <c r="M932" i="23"/>
  <c r="P931" i="23"/>
  <c r="O931" i="23"/>
  <c r="N931" i="23"/>
  <c r="P930" i="23"/>
  <c r="O930" i="23"/>
  <c r="N930" i="23"/>
  <c r="M930" i="23"/>
  <c r="P929" i="23"/>
  <c r="O929" i="23"/>
  <c r="N929" i="23"/>
  <c r="P928" i="23"/>
  <c r="O928" i="23"/>
  <c r="N928" i="23"/>
  <c r="M928" i="23"/>
  <c r="P927" i="23"/>
  <c r="O927" i="23"/>
  <c r="N927" i="23"/>
  <c r="P926" i="23"/>
  <c r="O926" i="23"/>
  <c r="N926" i="23"/>
  <c r="P925" i="23"/>
  <c r="O925" i="23"/>
  <c r="N925" i="23"/>
  <c r="M925" i="23"/>
  <c r="P924" i="23"/>
  <c r="O924" i="23"/>
  <c r="N924" i="23"/>
  <c r="P923" i="23"/>
  <c r="O923" i="23"/>
  <c r="N923" i="23"/>
  <c r="P922" i="23"/>
  <c r="O922" i="23"/>
  <c r="N922" i="23"/>
  <c r="M922" i="23"/>
  <c r="P921" i="23"/>
  <c r="O921" i="23"/>
  <c r="N921" i="23"/>
  <c r="P920" i="23"/>
  <c r="O920" i="23"/>
  <c r="N920" i="23"/>
  <c r="M920" i="23"/>
  <c r="P919" i="23"/>
  <c r="O919" i="23"/>
  <c r="N919" i="23"/>
  <c r="P918" i="23"/>
  <c r="O918" i="23"/>
  <c r="N918" i="23"/>
  <c r="M918" i="23"/>
  <c r="P917" i="23"/>
  <c r="O917" i="23"/>
  <c r="N917" i="23"/>
  <c r="P916" i="23"/>
  <c r="O916" i="23"/>
  <c r="N916" i="23"/>
  <c r="M916" i="23"/>
  <c r="P915" i="23"/>
  <c r="O915" i="23"/>
  <c r="N915" i="23"/>
  <c r="P914" i="23"/>
  <c r="O914" i="23"/>
  <c r="N914" i="23"/>
  <c r="M914" i="23"/>
  <c r="P913" i="23"/>
  <c r="O913" i="23"/>
  <c r="N913" i="23"/>
  <c r="I882" i="22"/>
  <c r="J882" i="22"/>
  <c r="I883" i="22"/>
  <c r="J883" i="22"/>
  <c r="I884" i="22"/>
  <c r="J884" i="22"/>
  <c r="I885" i="22"/>
  <c r="J885" i="22"/>
  <c r="I886" i="22"/>
  <c r="J886" i="22"/>
  <c r="I887" i="22"/>
  <c r="J887" i="22"/>
  <c r="I888" i="22"/>
  <c r="J888" i="22"/>
  <c r="I889" i="22"/>
  <c r="J889" i="22"/>
  <c r="I890" i="22"/>
  <c r="J890" i="22"/>
  <c r="I891" i="22"/>
  <c r="J891" i="22"/>
  <c r="I892" i="22"/>
  <c r="J892" i="22"/>
  <c r="I893" i="22"/>
  <c r="J893" i="22"/>
  <c r="I894" i="22"/>
  <c r="J894" i="22"/>
  <c r="I858" i="22"/>
  <c r="J858" i="22"/>
  <c r="I859" i="22"/>
  <c r="J859" i="22"/>
  <c r="I860" i="22"/>
  <c r="J860" i="22"/>
  <c r="I861" i="22"/>
  <c r="J861" i="22"/>
  <c r="I862" i="22"/>
  <c r="J862" i="22"/>
  <c r="I863" i="22"/>
  <c r="J863" i="22"/>
  <c r="I864" i="22"/>
  <c r="J864" i="22"/>
  <c r="I865" i="22"/>
  <c r="J865" i="22"/>
  <c r="I866" i="22"/>
  <c r="J866" i="22"/>
  <c r="I867" i="22"/>
  <c r="J867" i="22"/>
  <c r="I868" i="22"/>
  <c r="J868" i="22"/>
  <c r="I869" i="22"/>
  <c r="J869" i="22"/>
  <c r="I870" i="22"/>
  <c r="J870" i="22"/>
  <c r="I871" i="22"/>
  <c r="J871" i="22"/>
  <c r="I872" i="22"/>
  <c r="J872" i="22"/>
  <c r="I873" i="22"/>
  <c r="J873" i="22"/>
  <c r="I874" i="22"/>
  <c r="J874" i="22"/>
  <c r="I875" i="22"/>
  <c r="J875" i="22"/>
  <c r="I876" i="22"/>
  <c r="J876" i="22"/>
  <c r="I877" i="22"/>
  <c r="J877" i="22"/>
  <c r="I878" i="22"/>
  <c r="J878" i="22"/>
  <c r="I879" i="22"/>
  <c r="J879" i="22"/>
  <c r="I880" i="22"/>
  <c r="J880" i="22"/>
  <c r="I881" i="22"/>
  <c r="J881" i="22"/>
  <c r="M886" i="23"/>
  <c r="N886" i="23"/>
  <c r="O886" i="23"/>
  <c r="P886" i="23"/>
  <c r="N887" i="23"/>
  <c r="O887" i="23"/>
  <c r="P887" i="23"/>
  <c r="M888" i="23"/>
  <c r="N888" i="23"/>
  <c r="O888" i="23"/>
  <c r="P888" i="23"/>
  <c r="M889" i="23"/>
  <c r="N889" i="23"/>
  <c r="O889" i="23"/>
  <c r="P889" i="23"/>
  <c r="M890" i="23"/>
  <c r="N890" i="23"/>
  <c r="O890" i="23"/>
  <c r="P890" i="23"/>
  <c r="M891" i="23"/>
  <c r="N891" i="23"/>
  <c r="O891" i="23"/>
  <c r="P891" i="23"/>
  <c r="N892" i="23"/>
  <c r="O892" i="23"/>
  <c r="P892" i="23"/>
  <c r="N893" i="23"/>
  <c r="O893" i="23"/>
  <c r="P893" i="23"/>
  <c r="M894" i="23"/>
  <c r="N894" i="23"/>
  <c r="O894" i="23"/>
  <c r="P894" i="23"/>
  <c r="N895" i="23"/>
  <c r="O895" i="23"/>
  <c r="P895" i="23"/>
  <c r="M896" i="23"/>
  <c r="N896" i="23"/>
  <c r="O896" i="23"/>
  <c r="P896" i="23"/>
  <c r="M897" i="23"/>
  <c r="N897" i="23"/>
  <c r="O897" i="23"/>
  <c r="P897" i="23"/>
  <c r="M898" i="23"/>
  <c r="N898" i="23"/>
  <c r="O898" i="23"/>
  <c r="P898" i="23"/>
  <c r="N899" i="23"/>
  <c r="O899" i="23"/>
  <c r="P899" i="23"/>
  <c r="M900" i="23"/>
  <c r="N900" i="23"/>
  <c r="O900" i="23"/>
  <c r="P900" i="23"/>
  <c r="M901" i="23"/>
  <c r="N901" i="23"/>
  <c r="O901" i="23"/>
  <c r="P901" i="23"/>
  <c r="M902" i="23"/>
  <c r="N902" i="23"/>
  <c r="O902" i="23"/>
  <c r="P902" i="23"/>
  <c r="N903" i="23"/>
  <c r="O903" i="23"/>
  <c r="P903" i="23"/>
  <c r="M904" i="23"/>
  <c r="N904" i="23"/>
  <c r="O904" i="23"/>
  <c r="P904" i="23"/>
  <c r="M905" i="23"/>
  <c r="N905" i="23"/>
  <c r="O905" i="23"/>
  <c r="P905" i="23"/>
  <c r="M906" i="23"/>
  <c r="N906" i="23"/>
  <c r="O906" i="23"/>
  <c r="P906" i="23"/>
  <c r="M907" i="23"/>
  <c r="N907" i="23"/>
  <c r="O907" i="23"/>
  <c r="P907" i="23"/>
  <c r="M908" i="23"/>
  <c r="N908" i="23"/>
  <c r="O908" i="23"/>
  <c r="P908" i="23"/>
  <c r="M909" i="23"/>
  <c r="N909" i="23"/>
  <c r="O909" i="23"/>
  <c r="P909" i="23"/>
  <c r="N910" i="23"/>
  <c r="O910" i="23"/>
  <c r="P910" i="23"/>
  <c r="M911" i="23"/>
  <c r="N911" i="23"/>
  <c r="O911" i="23"/>
  <c r="P911" i="23"/>
  <c r="M912" i="23"/>
  <c r="N912" i="23"/>
  <c r="O912" i="23"/>
  <c r="P912" i="23"/>
  <c r="I845" i="22"/>
  <c r="J845" i="22"/>
  <c r="I846" i="22"/>
  <c r="J846" i="22"/>
  <c r="I847" i="22"/>
  <c r="J847" i="22"/>
  <c r="I848" i="22"/>
  <c r="J848" i="22"/>
  <c r="I849" i="22"/>
  <c r="J849" i="22"/>
  <c r="I850" i="22"/>
  <c r="J850" i="22"/>
  <c r="I851" i="22"/>
  <c r="J851" i="22"/>
  <c r="I852" i="22"/>
  <c r="J852" i="22"/>
  <c r="I853" i="22"/>
  <c r="J853" i="22"/>
  <c r="I854" i="22"/>
  <c r="J854" i="22"/>
  <c r="I855" i="22"/>
  <c r="J855" i="22"/>
  <c r="I856" i="22"/>
  <c r="J856" i="22"/>
  <c r="I857" i="22"/>
  <c r="J857" i="22"/>
  <c r="I819" i="22"/>
  <c r="J819" i="22"/>
  <c r="I820" i="22"/>
  <c r="J820" i="22"/>
  <c r="I821" i="22"/>
  <c r="J821" i="22"/>
  <c r="I822" i="22"/>
  <c r="J822" i="22"/>
  <c r="I823" i="22"/>
  <c r="J823" i="22"/>
  <c r="I824" i="22"/>
  <c r="J824" i="22"/>
  <c r="I825" i="22"/>
  <c r="J825" i="22"/>
  <c r="I826" i="22"/>
  <c r="J826" i="22"/>
  <c r="I827" i="22"/>
  <c r="J827" i="22"/>
  <c r="I828" i="22"/>
  <c r="J828" i="22"/>
  <c r="I829" i="22"/>
  <c r="J829" i="22"/>
  <c r="I830" i="22"/>
  <c r="J830" i="22"/>
  <c r="I831" i="22"/>
  <c r="J831" i="22"/>
  <c r="I832" i="22"/>
  <c r="J832" i="22"/>
  <c r="I833" i="22"/>
  <c r="J833" i="22"/>
  <c r="I834" i="22"/>
  <c r="J834" i="22"/>
  <c r="I835" i="22"/>
  <c r="J835" i="22"/>
  <c r="I836" i="22"/>
  <c r="J836" i="22"/>
  <c r="I837" i="22"/>
  <c r="J837" i="22"/>
  <c r="I838" i="22"/>
  <c r="J838" i="22"/>
  <c r="I839" i="22"/>
  <c r="J839" i="22"/>
  <c r="I840" i="22"/>
  <c r="J840" i="22"/>
  <c r="I841" i="22"/>
  <c r="J841" i="22"/>
  <c r="I842" i="22"/>
  <c r="J842" i="22"/>
  <c r="I843" i="22"/>
  <c r="J843" i="22"/>
  <c r="I844" i="22"/>
  <c r="J844" i="22"/>
  <c r="N850" i="23"/>
  <c r="O850" i="23"/>
  <c r="P850" i="23"/>
  <c r="M851" i="23"/>
  <c r="N851" i="23"/>
  <c r="O851" i="23"/>
  <c r="P851" i="23"/>
  <c r="N852" i="23"/>
  <c r="O852" i="23"/>
  <c r="P852" i="23"/>
  <c r="N853" i="23"/>
  <c r="O853" i="23"/>
  <c r="P853" i="23"/>
  <c r="N854" i="23"/>
  <c r="O854" i="23"/>
  <c r="P854" i="23"/>
  <c r="N855" i="23"/>
  <c r="O855" i="23"/>
  <c r="P855" i="23"/>
  <c r="N856" i="23"/>
  <c r="O856" i="23"/>
  <c r="P856" i="23"/>
  <c r="N857" i="23"/>
  <c r="O857" i="23"/>
  <c r="P857" i="23"/>
  <c r="N858" i="23"/>
  <c r="O858" i="23"/>
  <c r="P858" i="23"/>
  <c r="N859" i="23"/>
  <c r="O859" i="23"/>
  <c r="P859" i="23"/>
  <c r="N860" i="23"/>
  <c r="O860" i="23"/>
  <c r="P860" i="23"/>
  <c r="M861" i="23"/>
  <c r="N861" i="23"/>
  <c r="O861" i="23"/>
  <c r="P861" i="23"/>
  <c r="N862" i="23"/>
  <c r="O862" i="23"/>
  <c r="P862" i="23"/>
  <c r="M863" i="23"/>
  <c r="N863" i="23"/>
  <c r="O863" i="23"/>
  <c r="P863" i="23"/>
  <c r="N864" i="23"/>
  <c r="O864" i="23"/>
  <c r="P864" i="23"/>
  <c r="N865" i="23"/>
  <c r="O865" i="23"/>
  <c r="P865" i="23"/>
  <c r="N866" i="23"/>
  <c r="O866" i="23"/>
  <c r="P866" i="23"/>
  <c r="N867" i="23"/>
  <c r="O867" i="23"/>
  <c r="P867" i="23"/>
  <c r="N868" i="23"/>
  <c r="O868" i="23"/>
  <c r="P868" i="23"/>
  <c r="N869" i="23"/>
  <c r="O869" i="23"/>
  <c r="P869" i="23"/>
  <c r="N870" i="23"/>
  <c r="O870" i="23"/>
  <c r="P870" i="23"/>
  <c r="M871" i="23"/>
  <c r="N871" i="23"/>
  <c r="O871" i="23"/>
  <c r="P871" i="23"/>
  <c r="M872" i="23"/>
  <c r="N872" i="23"/>
  <c r="O872" i="23"/>
  <c r="P872" i="23"/>
  <c r="M873" i="23"/>
  <c r="N873" i="23"/>
  <c r="O873" i="23"/>
  <c r="P873" i="23"/>
  <c r="M874" i="23"/>
  <c r="N874" i="23"/>
  <c r="O874" i="23"/>
  <c r="P874" i="23"/>
  <c r="M875" i="23"/>
  <c r="N875" i="23"/>
  <c r="O875" i="23"/>
  <c r="P875" i="23"/>
  <c r="N876" i="23"/>
  <c r="O876" i="23"/>
  <c r="P876" i="23"/>
  <c r="M877" i="23"/>
  <c r="N877" i="23"/>
  <c r="O877" i="23"/>
  <c r="P877" i="23"/>
  <c r="N878" i="23"/>
  <c r="O878" i="23"/>
  <c r="P878" i="23"/>
  <c r="M879" i="23"/>
  <c r="N879" i="23"/>
  <c r="O879" i="23"/>
  <c r="P879" i="23"/>
  <c r="N880" i="23"/>
  <c r="O880" i="23"/>
  <c r="P880" i="23"/>
  <c r="M881" i="23"/>
  <c r="N881" i="23"/>
  <c r="O881" i="23"/>
  <c r="P881" i="23"/>
  <c r="N882" i="23"/>
  <c r="O882" i="23"/>
  <c r="P882" i="23"/>
  <c r="N883" i="23"/>
  <c r="O883" i="23"/>
  <c r="P883" i="23"/>
  <c r="N884" i="23"/>
  <c r="O884" i="23"/>
  <c r="P884" i="23"/>
  <c r="N885" i="23"/>
  <c r="O885" i="23"/>
  <c r="P885" i="23"/>
  <c r="I775" i="22"/>
  <c r="J775" i="22"/>
  <c r="I776" i="22"/>
  <c r="J776" i="22"/>
  <c r="I777" i="22"/>
  <c r="J777" i="22"/>
  <c r="I778" i="22"/>
  <c r="J778" i="22"/>
  <c r="I779" i="22"/>
  <c r="J779" i="22"/>
  <c r="I780" i="22"/>
  <c r="J780" i="22"/>
  <c r="I781" i="22"/>
  <c r="J781" i="22"/>
  <c r="I782" i="22"/>
  <c r="J782" i="22"/>
  <c r="I783" i="22"/>
  <c r="J783" i="22"/>
  <c r="I784" i="22"/>
  <c r="J784" i="22"/>
  <c r="I785" i="22"/>
  <c r="J785" i="22"/>
  <c r="I786" i="22"/>
  <c r="J786" i="22"/>
  <c r="I787" i="22"/>
  <c r="J787" i="22"/>
  <c r="I788" i="22"/>
  <c r="J788" i="22"/>
  <c r="I789" i="22"/>
  <c r="J789" i="22"/>
  <c r="I790" i="22"/>
  <c r="J790" i="22"/>
  <c r="I791" i="22"/>
  <c r="J791" i="22"/>
  <c r="I792" i="22"/>
  <c r="J792" i="22"/>
  <c r="I793" i="22"/>
  <c r="J793" i="22"/>
  <c r="I794" i="22"/>
  <c r="J794" i="22"/>
  <c r="I795" i="22"/>
  <c r="J795" i="22"/>
  <c r="I796" i="22"/>
  <c r="J796" i="22"/>
  <c r="I797" i="22"/>
  <c r="J797" i="22"/>
  <c r="I798" i="22"/>
  <c r="J798" i="22"/>
  <c r="I799" i="22"/>
  <c r="J799" i="22"/>
  <c r="I800" i="22"/>
  <c r="J800" i="22"/>
  <c r="I801" i="22"/>
  <c r="J801" i="22"/>
  <c r="I802" i="22"/>
  <c r="J802" i="22"/>
  <c r="I803" i="22"/>
  <c r="J803" i="22"/>
  <c r="I804" i="22"/>
  <c r="J804" i="22"/>
  <c r="I805" i="22"/>
  <c r="J805" i="22"/>
  <c r="I806" i="22"/>
  <c r="J806" i="22"/>
  <c r="I807" i="22"/>
  <c r="J807" i="22"/>
  <c r="I808" i="22"/>
  <c r="J808" i="22"/>
  <c r="I809" i="22"/>
  <c r="J809" i="22"/>
  <c r="I810" i="22"/>
  <c r="J810" i="22"/>
  <c r="I811" i="22"/>
  <c r="J811" i="22"/>
  <c r="I812" i="22"/>
  <c r="J812" i="22"/>
  <c r="I813" i="22"/>
  <c r="J813" i="22"/>
  <c r="I814" i="22"/>
  <c r="J814" i="22"/>
  <c r="I815" i="22"/>
  <c r="J815" i="22"/>
  <c r="I816" i="22"/>
  <c r="J816" i="22"/>
  <c r="I817" i="22"/>
  <c r="J817" i="22"/>
  <c r="I818" i="22"/>
  <c r="J818" i="22"/>
  <c r="N808" i="23"/>
  <c r="O808" i="23"/>
  <c r="P808" i="23"/>
  <c r="M809" i="23"/>
  <c r="N809" i="23"/>
  <c r="O809" i="23"/>
  <c r="P809" i="23"/>
  <c r="N810" i="23"/>
  <c r="O810" i="23"/>
  <c r="P810" i="23"/>
  <c r="N811" i="23"/>
  <c r="O811" i="23"/>
  <c r="P811" i="23"/>
  <c r="N812" i="23"/>
  <c r="O812" i="23"/>
  <c r="P812" i="23"/>
  <c r="N813" i="23"/>
  <c r="O813" i="23"/>
  <c r="P813" i="23"/>
  <c r="N814" i="23"/>
  <c r="O814" i="23"/>
  <c r="P814" i="23"/>
  <c r="M815" i="23"/>
  <c r="N815" i="23"/>
  <c r="O815" i="23"/>
  <c r="P815" i="23"/>
  <c r="N816" i="23"/>
  <c r="O816" i="23"/>
  <c r="P816" i="23"/>
  <c r="M817" i="23"/>
  <c r="N817" i="23"/>
  <c r="O817" i="23"/>
  <c r="P817" i="23"/>
  <c r="N818" i="23"/>
  <c r="O818" i="23"/>
  <c r="P818" i="23"/>
  <c r="N819" i="23"/>
  <c r="O819" i="23"/>
  <c r="P819" i="23"/>
  <c r="M820" i="23"/>
  <c r="N820" i="23"/>
  <c r="O820" i="23"/>
  <c r="P820" i="23"/>
  <c r="N821" i="23"/>
  <c r="O821" i="23"/>
  <c r="P821" i="23"/>
  <c r="N822" i="23"/>
  <c r="O822" i="23"/>
  <c r="P822" i="23"/>
  <c r="N823" i="23"/>
  <c r="O823" i="23"/>
  <c r="P823" i="23"/>
  <c r="M824" i="23"/>
  <c r="N824" i="23"/>
  <c r="O824" i="23"/>
  <c r="P824" i="23"/>
  <c r="N825" i="23"/>
  <c r="O825" i="23"/>
  <c r="P825" i="23"/>
  <c r="M826" i="23"/>
  <c r="N826" i="23"/>
  <c r="O826" i="23"/>
  <c r="P826" i="23"/>
  <c r="N827" i="23"/>
  <c r="O827" i="23"/>
  <c r="P827" i="23"/>
  <c r="N828" i="23"/>
  <c r="O828" i="23"/>
  <c r="P828" i="23"/>
  <c r="N829" i="23"/>
  <c r="O829" i="23"/>
  <c r="P829" i="23"/>
  <c r="N830" i="23"/>
  <c r="O830" i="23"/>
  <c r="P830" i="23"/>
  <c r="N831" i="23"/>
  <c r="O831" i="23"/>
  <c r="P831" i="23"/>
  <c r="N832" i="23"/>
  <c r="O832" i="23"/>
  <c r="P832" i="23"/>
  <c r="M833" i="23"/>
  <c r="N833" i="23"/>
  <c r="O833" i="23"/>
  <c r="P833" i="23"/>
  <c r="N834" i="23"/>
  <c r="O834" i="23"/>
  <c r="P834" i="23"/>
  <c r="N835" i="23"/>
  <c r="O835" i="23"/>
  <c r="P835" i="23"/>
  <c r="N836" i="23"/>
  <c r="O836" i="23"/>
  <c r="P836" i="23"/>
  <c r="N837" i="23"/>
  <c r="O837" i="23"/>
  <c r="P837" i="23"/>
  <c r="N838" i="23"/>
  <c r="O838" i="23"/>
  <c r="P838" i="23"/>
  <c r="M839" i="23"/>
  <c r="N839" i="23"/>
  <c r="O839" i="23"/>
  <c r="P839" i="23"/>
  <c r="M840" i="23"/>
  <c r="N840" i="23"/>
  <c r="O840" i="23"/>
  <c r="P840" i="23"/>
  <c r="N841" i="23"/>
  <c r="O841" i="23"/>
  <c r="P841" i="23"/>
  <c r="N842" i="23"/>
  <c r="O842" i="23"/>
  <c r="P842" i="23"/>
  <c r="N843" i="23"/>
  <c r="O843" i="23"/>
  <c r="P843" i="23"/>
  <c r="N844" i="23"/>
  <c r="O844" i="23"/>
  <c r="P844" i="23"/>
  <c r="N845" i="23"/>
  <c r="O845" i="23"/>
  <c r="P845" i="23"/>
  <c r="M846" i="23"/>
  <c r="N846" i="23"/>
  <c r="O846" i="23"/>
  <c r="P846" i="23"/>
  <c r="N847" i="23"/>
  <c r="O847" i="23"/>
  <c r="P847" i="23"/>
  <c r="M848" i="23"/>
  <c r="N848" i="23"/>
  <c r="O848" i="23"/>
  <c r="P848" i="23"/>
  <c r="N849" i="23"/>
  <c r="O849" i="23"/>
  <c r="P849" i="23"/>
  <c r="I761" i="22"/>
  <c r="J761" i="22"/>
  <c r="I762" i="22"/>
  <c r="J762" i="22"/>
  <c r="I763" i="22"/>
  <c r="J763" i="22"/>
  <c r="I764" i="22"/>
  <c r="J764" i="22"/>
  <c r="I765" i="22"/>
  <c r="J765" i="22"/>
  <c r="I766" i="22"/>
  <c r="J766" i="22"/>
  <c r="I767" i="22"/>
  <c r="J767" i="22"/>
  <c r="I768" i="22"/>
  <c r="J768" i="22"/>
  <c r="I769" i="22"/>
  <c r="J769" i="22"/>
  <c r="I770" i="22"/>
  <c r="J770" i="22"/>
  <c r="I771" i="22"/>
  <c r="J771" i="22"/>
  <c r="I772" i="22"/>
  <c r="J772" i="22"/>
  <c r="I773" i="22"/>
  <c r="J773" i="22"/>
  <c r="I774" i="22"/>
  <c r="J774" i="22"/>
  <c r="N807" i="23"/>
  <c r="O807" i="23"/>
  <c r="P807" i="23"/>
  <c r="I746" i="22"/>
  <c r="J746" i="22"/>
  <c r="I747" i="22"/>
  <c r="J747" i="22"/>
  <c r="I748" i="22"/>
  <c r="J748" i="22"/>
  <c r="I749" i="22"/>
  <c r="J749" i="22"/>
  <c r="I750" i="22"/>
  <c r="J750" i="22"/>
  <c r="I751" i="22"/>
  <c r="J751" i="22"/>
  <c r="I752" i="22"/>
  <c r="J752" i="22"/>
  <c r="I753" i="22"/>
  <c r="J753" i="22"/>
  <c r="I754" i="22"/>
  <c r="J754" i="22"/>
  <c r="I755" i="22"/>
  <c r="J755" i="22"/>
  <c r="I756" i="22"/>
  <c r="J756" i="22"/>
  <c r="I757" i="22"/>
  <c r="J757" i="22"/>
  <c r="I758" i="22"/>
  <c r="J758" i="22"/>
  <c r="I759" i="22"/>
  <c r="J759" i="22"/>
  <c r="I760" i="22"/>
  <c r="J760" i="22"/>
  <c r="P806" i="23"/>
  <c r="O806" i="23"/>
  <c r="N806" i="23"/>
  <c r="M806" i="23"/>
  <c r="N803" i="23"/>
  <c r="O803" i="23"/>
  <c r="P803" i="23"/>
  <c r="M804" i="23"/>
  <c r="N804" i="23"/>
  <c r="O804" i="23"/>
  <c r="P804" i="23"/>
  <c r="N805" i="23"/>
  <c r="O805" i="23"/>
  <c r="P805" i="23"/>
  <c r="I727" i="22"/>
  <c r="J727" i="22"/>
  <c r="I728" i="22"/>
  <c r="J728" i="22"/>
  <c r="I729" i="22"/>
  <c r="J729" i="22"/>
  <c r="I730" i="22"/>
  <c r="J730" i="22"/>
  <c r="I731" i="22"/>
  <c r="J731" i="22"/>
  <c r="I732" i="22"/>
  <c r="J732" i="22"/>
  <c r="I733" i="22"/>
  <c r="J733" i="22"/>
  <c r="I734" i="22"/>
  <c r="J734" i="22"/>
  <c r="I735" i="22"/>
  <c r="J735" i="22"/>
  <c r="I736" i="22"/>
  <c r="J736" i="22"/>
  <c r="I737" i="22"/>
  <c r="J737" i="22"/>
  <c r="I738" i="22"/>
  <c r="J738" i="22"/>
  <c r="I739" i="22"/>
  <c r="J739" i="22"/>
  <c r="I740" i="22"/>
  <c r="J740" i="22"/>
  <c r="I741" i="22"/>
  <c r="J741" i="22"/>
  <c r="I742" i="22"/>
  <c r="J742" i="22"/>
  <c r="I743" i="22"/>
  <c r="J743" i="22"/>
  <c r="I744" i="22"/>
  <c r="J744" i="22"/>
  <c r="I745" i="22"/>
  <c r="J745" i="22"/>
  <c r="I660" i="22"/>
  <c r="J660" i="22"/>
  <c r="I661" i="22"/>
  <c r="J661" i="22"/>
  <c r="I662" i="22"/>
  <c r="J662" i="22"/>
  <c r="I663" i="22"/>
  <c r="J663" i="22"/>
  <c r="I664" i="22"/>
  <c r="J664" i="22"/>
  <c r="I665" i="22"/>
  <c r="J665" i="22"/>
  <c r="I666" i="22"/>
  <c r="J666" i="22"/>
  <c r="I667" i="22"/>
  <c r="J667" i="22"/>
  <c r="I668" i="22"/>
  <c r="J668" i="22"/>
  <c r="I669" i="22"/>
  <c r="J669" i="22"/>
  <c r="I670" i="22"/>
  <c r="J670" i="22"/>
  <c r="I671" i="22"/>
  <c r="J671" i="22"/>
  <c r="I672" i="22"/>
  <c r="J672" i="22"/>
  <c r="I673" i="22"/>
  <c r="J673" i="22"/>
  <c r="I674" i="22"/>
  <c r="J674" i="22"/>
  <c r="I675" i="22"/>
  <c r="J675" i="22"/>
  <c r="I676" i="22"/>
  <c r="J676" i="22"/>
  <c r="I677" i="22"/>
  <c r="J677" i="22"/>
  <c r="I678" i="22"/>
  <c r="J678" i="22"/>
  <c r="I679" i="22"/>
  <c r="J679" i="22"/>
  <c r="I680" i="22"/>
  <c r="J680" i="22"/>
  <c r="I681" i="22"/>
  <c r="J681" i="22"/>
  <c r="I682" i="22"/>
  <c r="J682" i="22"/>
  <c r="I683" i="22"/>
  <c r="J683" i="22"/>
  <c r="I684" i="22"/>
  <c r="J684" i="22"/>
  <c r="I685" i="22"/>
  <c r="J685" i="22"/>
  <c r="I686" i="22"/>
  <c r="J686" i="22"/>
  <c r="I687" i="22"/>
  <c r="J687" i="22"/>
  <c r="I688" i="22"/>
  <c r="J688" i="22"/>
  <c r="I689" i="22"/>
  <c r="J689" i="22"/>
  <c r="I690" i="22"/>
  <c r="J690" i="22"/>
  <c r="I691" i="22"/>
  <c r="J691" i="22"/>
  <c r="I692" i="22"/>
  <c r="J692" i="22"/>
  <c r="I693" i="22"/>
  <c r="J693" i="22"/>
  <c r="I694" i="22"/>
  <c r="J694" i="22"/>
  <c r="I695" i="22"/>
  <c r="J695" i="22"/>
  <c r="I696" i="22"/>
  <c r="J696" i="22"/>
  <c r="I697" i="22"/>
  <c r="J697" i="22"/>
  <c r="I698" i="22"/>
  <c r="J698" i="22"/>
  <c r="I699" i="22"/>
  <c r="J699" i="22"/>
  <c r="I700" i="22"/>
  <c r="J700" i="22"/>
  <c r="I701" i="22"/>
  <c r="J701" i="22"/>
  <c r="I702" i="22"/>
  <c r="J702" i="22"/>
  <c r="I703" i="22"/>
  <c r="J703" i="22"/>
  <c r="I704" i="22"/>
  <c r="J704" i="22"/>
  <c r="I705" i="22"/>
  <c r="J705" i="22"/>
  <c r="I706" i="22"/>
  <c r="J706" i="22"/>
  <c r="I707" i="22"/>
  <c r="J707" i="22"/>
  <c r="I708" i="22"/>
  <c r="J708" i="22"/>
  <c r="I709" i="22"/>
  <c r="J709" i="22"/>
  <c r="I710" i="22"/>
  <c r="J710" i="22"/>
  <c r="I711" i="22"/>
  <c r="J711" i="22"/>
  <c r="I712" i="22"/>
  <c r="J712" i="22"/>
  <c r="I713" i="22"/>
  <c r="J713" i="22"/>
  <c r="I714" i="22"/>
  <c r="J714" i="22"/>
  <c r="I715" i="22"/>
  <c r="J715" i="22"/>
  <c r="I716" i="22"/>
  <c r="J716" i="22"/>
  <c r="I717" i="22"/>
  <c r="J717" i="22"/>
  <c r="I718" i="22"/>
  <c r="J718" i="22"/>
  <c r="I719" i="22"/>
  <c r="J719" i="22"/>
  <c r="I720" i="22"/>
  <c r="J720" i="22"/>
  <c r="I721" i="22"/>
  <c r="J721" i="22"/>
  <c r="I722" i="22"/>
  <c r="J722" i="22"/>
  <c r="I723" i="22"/>
  <c r="J723" i="22"/>
  <c r="I724" i="22"/>
  <c r="J724" i="22"/>
  <c r="I725" i="22"/>
  <c r="J725" i="22"/>
  <c r="I726" i="22"/>
  <c r="J726" i="22"/>
  <c r="M722" i="23"/>
  <c r="N722" i="23"/>
  <c r="O722" i="23"/>
  <c r="P722" i="23"/>
  <c r="N723" i="23"/>
  <c r="O723" i="23"/>
  <c r="P723" i="23"/>
  <c r="M724" i="23"/>
  <c r="N724" i="23"/>
  <c r="O724" i="23"/>
  <c r="P724" i="23"/>
  <c r="N725" i="23"/>
  <c r="O725" i="23"/>
  <c r="P725" i="23"/>
  <c r="M726" i="23"/>
  <c r="N726" i="23"/>
  <c r="O726" i="23"/>
  <c r="P726" i="23"/>
  <c r="N727" i="23"/>
  <c r="O727" i="23"/>
  <c r="P727" i="23"/>
  <c r="N728" i="23"/>
  <c r="O728" i="23"/>
  <c r="P728" i="23"/>
  <c r="M729" i="23"/>
  <c r="N729" i="23"/>
  <c r="O729" i="23"/>
  <c r="P729" i="23"/>
  <c r="N730" i="23"/>
  <c r="O730" i="23"/>
  <c r="P730" i="23"/>
  <c r="M731" i="23"/>
  <c r="N731" i="23"/>
  <c r="O731" i="23"/>
  <c r="P731" i="23"/>
  <c r="N732" i="23"/>
  <c r="O732" i="23"/>
  <c r="P732" i="23"/>
  <c r="N733" i="23"/>
  <c r="O733" i="23"/>
  <c r="P733" i="23"/>
  <c r="N734" i="23"/>
  <c r="O734" i="23"/>
  <c r="P734" i="23"/>
  <c r="N735" i="23"/>
  <c r="O735" i="23"/>
  <c r="P735" i="23"/>
  <c r="N736" i="23"/>
  <c r="O736" i="23"/>
  <c r="P736" i="23"/>
  <c r="M737" i="23"/>
  <c r="N737" i="23"/>
  <c r="O737" i="23"/>
  <c r="P737" i="23"/>
  <c r="N738" i="23"/>
  <c r="O738" i="23"/>
  <c r="P738" i="23"/>
  <c r="N739" i="23"/>
  <c r="O739" i="23"/>
  <c r="P739" i="23"/>
  <c r="N740" i="23"/>
  <c r="O740" i="23"/>
  <c r="P740" i="23"/>
  <c r="N741" i="23"/>
  <c r="O741" i="23"/>
  <c r="P741" i="23"/>
  <c r="M742" i="23"/>
  <c r="N742" i="23"/>
  <c r="O742" i="23"/>
  <c r="P742" i="23"/>
  <c r="N743" i="23"/>
  <c r="O743" i="23"/>
  <c r="P743" i="23"/>
  <c r="N744" i="23"/>
  <c r="O744" i="23"/>
  <c r="P744" i="23"/>
  <c r="N745" i="23"/>
  <c r="O745" i="23"/>
  <c r="P745" i="23"/>
  <c r="N746" i="23"/>
  <c r="O746" i="23"/>
  <c r="P746" i="23"/>
  <c r="N747" i="23"/>
  <c r="O747" i="23"/>
  <c r="P747" i="23"/>
  <c r="N748" i="23"/>
  <c r="O748" i="23"/>
  <c r="P748" i="23"/>
  <c r="N749" i="23"/>
  <c r="O749" i="23"/>
  <c r="P749" i="23"/>
  <c r="M750" i="23"/>
  <c r="N750" i="23"/>
  <c r="O750" i="23"/>
  <c r="P750" i="23"/>
  <c r="M751" i="23"/>
  <c r="N751" i="23"/>
  <c r="O751" i="23"/>
  <c r="P751" i="23"/>
  <c r="N752" i="23"/>
  <c r="O752" i="23"/>
  <c r="P752" i="23"/>
  <c r="N753" i="23"/>
  <c r="O753" i="23"/>
  <c r="P753" i="23"/>
  <c r="N754" i="23"/>
  <c r="O754" i="23"/>
  <c r="P754" i="23"/>
  <c r="M755" i="23"/>
  <c r="N755" i="23"/>
  <c r="O755" i="23"/>
  <c r="P755" i="23"/>
  <c r="N756" i="23"/>
  <c r="O756" i="23"/>
  <c r="P756" i="23"/>
  <c r="N757" i="23"/>
  <c r="O757" i="23"/>
  <c r="P757" i="23"/>
  <c r="N758" i="23"/>
  <c r="O758" i="23"/>
  <c r="P758" i="23"/>
  <c r="N759" i="23"/>
  <c r="O759" i="23"/>
  <c r="P759" i="23"/>
  <c r="N760" i="23"/>
  <c r="O760" i="23"/>
  <c r="P760" i="23"/>
  <c r="N761" i="23"/>
  <c r="O761" i="23"/>
  <c r="P761" i="23"/>
  <c r="N762" i="23"/>
  <c r="O762" i="23"/>
  <c r="P762" i="23"/>
  <c r="N763" i="23"/>
  <c r="O763" i="23"/>
  <c r="P763" i="23"/>
  <c r="N764" i="23"/>
  <c r="O764" i="23"/>
  <c r="P764" i="23"/>
  <c r="M765" i="23"/>
  <c r="N765" i="23"/>
  <c r="O765" i="23"/>
  <c r="P765" i="23"/>
  <c r="N766" i="23"/>
  <c r="O766" i="23"/>
  <c r="P766" i="23"/>
  <c r="N767" i="23"/>
  <c r="O767" i="23"/>
  <c r="P767" i="23"/>
  <c r="M768" i="23"/>
  <c r="N768" i="23"/>
  <c r="O768" i="23"/>
  <c r="P768" i="23"/>
  <c r="M769" i="23"/>
  <c r="N769" i="23"/>
  <c r="O769" i="23"/>
  <c r="P769" i="23"/>
  <c r="M770" i="23"/>
  <c r="N770" i="23"/>
  <c r="O770" i="23"/>
  <c r="P770" i="23"/>
  <c r="N771" i="23"/>
  <c r="O771" i="23"/>
  <c r="P771" i="23"/>
  <c r="N772" i="23"/>
  <c r="O772" i="23"/>
  <c r="P772" i="23"/>
  <c r="N773" i="23"/>
  <c r="O773" i="23"/>
  <c r="P773" i="23"/>
  <c r="N774" i="23"/>
  <c r="O774" i="23"/>
  <c r="P774" i="23"/>
  <c r="M775" i="23"/>
  <c r="N775" i="23"/>
  <c r="O775" i="23"/>
  <c r="P775" i="23"/>
  <c r="M776" i="23"/>
  <c r="N776" i="23"/>
  <c r="O776" i="23"/>
  <c r="P776" i="23"/>
  <c r="N777" i="23"/>
  <c r="O777" i="23"/>
  <c r="P777" i="23"/>
  <c r="N778" i="23"/>
  <c r="O778" i="23"/>
  <c r="P778" i="23"/>
  <c r="M779" i="23"/>
  <c r="N779" i="23"/>
  <c r="O779" i="23"/>
  <c r="P779" i="23"/>
  <c r="M780" i="23"/>
  <c r="N780" i="23"/>
  <c r="O780" i="23"/>
  <c r="P780" i="23"/>
  <c r="M781" i="23"/>
  <c r="N781" i="23"/>
  <c r="O781" i="23"/>
  <c r="P781" i="23"/>
  <c r="N782" i="23"/>
  <c r="O782" i="23"/>
  <c r="P782" i="23"/>
  <c r="N783" i="23"/>
  <c r="O783" i="23"/>
  <c r="P783" i="23"/>
  <c r="N784" i="23"/>
  <c r="O784" i="23"/>
  <c r="P784" i="23"/>
  <c r="N785" i="23"/>
  <c r="O785" i="23"/>
  <c r="P785" i="23"/>
  <c r="N786" i="23"/>
  <c r="O786" i="23"/>
  <c r="P786" i="23"/>
  <c r="M787" i="23"/>
  <c r="N787" i="23"/>
  <c r="O787" i="23"/>
  <c r="P787" i="23"/>
  <c r="N788" i="23"/>
  <c r="O788" i="23"/>
  <c r="P788" i="23"/>
  <c r="N789" i="23"/>
  <c r="O789" i="23"/>
  <c r="P789" i="23"/>
  <c r="M790" i="23"/>
  <c r="N790" i="23"/>
  <c r="O790" i="23"/>
  <c r="P790" i="23"/>
  <c r="N791" i="23"/>
  <c r="O791" i="23"/>
  <c r="P791" i="23"/>
  <c r="M792" i="23"/>
  <c r="N792" i="23"/>
  <c r="O792" i="23"/>
  <c r="P792" i="23"/>
  <c r="N793" i="23"/>
  <c r="O793" i="23"/>
  <c r="P793" i="23"/>
  <c r="N794" i="23"/>
  <c r="O794" i="23"/>
  <c r="P794" i="23"/>
  <c r="N795" i="23"/>
  <c r="O795" i="23"/>
  <c r="P795" i="23"/>
  <c r="N796" i="23"/>
  <c r="O796" i="23"/>
  <c r="P796" i="23"/>
  <c r="N797" i="23"/>
  <c r="O797" i="23"/>
  <c r="P797" i="23"/>
  <c r="M798" i="23"/>
  <c r="N798" i="23"/>
  <c r="O798" i="23"/>
  <c r="P798" i="23"/>
  <c r="M799" i="23"/>
  <c r="N799" i="23"/>
  <c r="O799" i="23"/>
  <c r="P799" i="23"/>
  <c r="N800" i="23"/>
  <c r="O800" i="23"/>
  <c r="P800" i="23"/>
  <c r="M801" i="23"/>
  <c r="N801" i="23"/>
  <c r="O801" i="23"/>
  <c r="P801" i="23"/>
  <c r="N802" i="23"/>
  <c r="O802" i="23"/>
  <c r="P802" i="23"/>
  <c r="I637" i="22"/>
  <c r="J637" i="22"/>
  <c r="I638" i="22"/>
  <c r="J638" i="22"/>
  <c r="I639" i="22"/>
  <c r="J639" i="22"/>
  <c r="I640" i="22"/>
  <c r="J640" i="22"/>
  <c r="I641" i="22"/>
  <c r="J641" i="22"/>
  <c r="I642" i="22"/>
  <c r="J642" i="22"/>
  <c r="I643" i="22"/>
  <c r="J643" i="22"/>
  <c r="I644" i="22"/>
  <c r="J644" i="22"/>
  <c r="I645" i="22"/>
  <c r="J645" i="22"/>
  <c r="I646" i="22"/>
  <c r="J646" i="22"/>
  <c r="I647" i="22"/>
  <c r="J647" i="22"/>
  <c r="I648" i="22"/>
  <c r="J648" i="22"/>
  <c r="I649" i="22"/>
  <c r="J649" i="22"/>
  <c r="I650" i="22"/>
  <c r="J650" i="22"/>
  <c r="I651" i="22"/>
  <c r="J651" i="22"/>
  <c r="I652" i="22"/>
  <c r="J652" i="22"/>
  <c r="I653" i="22"/>
  <c r="J653" i="22"/>
  <c r="I654" i="22"/>
  <c r="J654" i="22"/>
  <c r="I655" i="22"/>
  <c r="J655" i="22"/>
  <c r="I656" i="22"/>
  <c r="J656" i="22"/>
  <c r="I657" i="22"/>
  <c r="J657" i="22"/>
  <c r="I658" i="22"/>
  <c r="J658" i="22"/>
  <c r="I659" i="22"/>
  <c r="J659" i="22"/>
  <c r="N670" i="23"/>
  <c r="O670" i="23"/>
  <c r="P670" i="23"/>
  <c r="M671" i="23"/>
  <c r="N671" i="23"/>
  <c r="O671" i="23"/>
  <c r="P671" i="23"/>
  <c r="M672" i="23"/>
  <c r="N672" i="23"/>
  <c r="O672" i="23"/>
  <c r="P672" i="23"/>
  <c r="M673" i="23"/>
  <c r="N673" i="23"/>
  <c r="O673" i="23"/>
  <c r="P673" i="23"/>
  <c r="M674" i="23"/>
  <c r="N674" i="23"/>
  <c r="O674" i="23"/>
  <c r="P674" i="23"/>
  <c r="M675" i="23"/>
  <c r="N675" i="23"/>
  <c r="O675" i="23"/>
  <c r="P675" i="23"/>
  <c r="M676" i="23"/>
  <c r="N676" i="23"/>
  <c r="O676" i="23"/>
  <c r="P676" i="23"/>
  <c r="M677" i="23"/>
  <c r="N677" i="23"/>
  <c r="O677" i="23"/>
  <c r="P677" i="23"/>
  <c r="M678" i="23"/>
  <c r="N678" i="23"/>
  <c r="O678" i="23"/>
  <c r="P678" i="23"/>
  <c r="M679" i="23"/>
  <c r="N679" i="23"/>
  <c r="O679" i="23"/>
  <c r="P679" i="23"/>
  <c r="M680" i="23"/>
  <c r="N680" i="23"/>
  <c r="O680" i="23"/>
  <c r="P680" i="23"/>
  <c r="M681" i="23"/>
  <c r="N681" i="23"/>
  <c r="O681" i="23"/>
  <c r="P681" i="23"/>
  <c r="M682" i="23"/>
  <c r="N682" i="23"/>
  <c r="O682" i="23"/>
  <c r="P682" i="23"/>
  <c r="M683" i="23"/>
  <c r="N683" i="23"/>
  <c r="O683" i="23"/>
  <c r="P683" i="23"/>
  <c r="M684" i="23"/>
  <c r="N684" i="23"/>
  <c r="O684" i="23"/>
  <c r="P684" i="23"/>
  <c r="M685" i="23"/>
  <c r="N685" i="23"/>
  <c r="O685" i="23"/>
  <c r="P685" i="23"/>
  <c r="M686" i="23"/>
  <c r="N686" i="23"/>
  <c r="O686" i="23"/>
  <c r="P686" i="23"/>
  <c r="M687" i="23"/>
  <c r="N687" i="23"/>
  <c r="O687" i="23"/>
  <c r="P687" i="23"/>
  <c r="M688" i="23"/>
  <c r="N688" i="23"/>
  <c r="O688" i="23"/>
  <c r="P688" i="23"/>
  <c r="M689" i="23"/>
  <c r="N689" i="23"/>
  <c r="O689" i="23"/>
  <c r="P689" i="23"/>
  <c r="M690" i="23"/>
  <c r="N690" i="23"/>
  <c r="O690" i="23"/>
  <c r="P690" i="23"/>
  <c r="M691" i="23"/>
  <c r="N691" i="23"/>
  <c r="O691" i="23"/>
  <c r="P691" i="23"/>
  <c r="M692" i="23"/>
  <c r="N692" i="23"/>
  <c r="O692" i="23"/>
  <c r="P692" i="23"/>
  <c r="M693" i="23"/>
  <c r="N693" i="23"/>
  <c r="O693" i="23"/>
  <c r="P693" i="23"/>
  <c r="M694" i="23"/>
  <c r="N694" i="23"/>
  <c r="O694" i="23"/>
  <c r="P694" i="23"/>
  <c r="M695" i="23"/>
  <c r="N695" i="23"/>
  <c r="O695" i="23"/>
  <c r="P695" i="23"/>
  <c r="M696" i="23"/>
  <c r="N696" i="23"/>
  <c r="O696" i="23"/>
  <c r="P696" i="23"/>
  <c r="M697" i="23"/>
  <c r="N697" i="23"/>
  <c r="O697" i="23"/>
  <c r="P697" i="23"/>
  <c r="M698" i="23"/>
  <c r="N698" i="23"/>
  <c r="O698" i="23"/>
  <c r="P698" i="23"/>
  <c r="M699" i="23"/>
  <c r="N699" i="23"/>
  <c r="O699" i="23"/>
  <c r="P699" i="23"/>
  <c r="M700" i="23"/>
  <c r="N700" i="23"/>
  <c r="O700" i="23"/>
  <c r="P700" i="23"/>
  <c r="M701" i="23"/>
  <c r="N701" i="23"/>
  <c r="O701" i="23"/>
  <c r="P701" i="23"/>
  <c r="M702" i="23"/>
  <c r="N702" i="23"/>
  <c r="O702" i="23"/>
  <c r="P702" i="23"/>
  <c r="M703" i="23"/>
  <c r="N703" i="23"/>
  <c r="O703" i="23"/>
  <c r="P703" i="23"/>
  <c r="M704" i="23"/>
  <c r="N704" i="23"/>
  <c r="O704" i="23"/>
  <c r="P704" i="23"/>
  <c r="M705" i="23"/>
  <c r="N705" i="23"/>
  <c r="O705" i="23"/>
  <c r="P705" i="23"/>
  <c r="M706" i="23"/>
  <c r="N706" i="23"/>
  <c r="O706" i="23"/>
  <c r="P706" i="23"/>
  <c r="M707" i="23"/>
  <c r="N707" i="23"/>
  <c r="O707" i="23"/>
  <c r="P707" i="23"/>
  <c r="M708" i="23"/>
  <c r="N708" i="23"/>
  <c r="O708" i="23"/>
  <c r="P708" i="23"/>
  <c r="M709" i="23"/>
  <c r="N709" i="23"/>
  <c r="O709" i="23"/>
  <c r="P709" i="23"/>
  <c r="M710" i="23"/>
  <c r="N710" i="23"/>
  <c r="O710" i="23"/>
  <c r="P710" i="23"/>
  <c r="N711" i="23"/>
  <c r="O711" i="23"/>
  <c r="P711" i="23"/>
  <c r="N712" i="23"/>
  <c r="O712" i="23"/>
  <c r="P712" i="23"/>
  <c r="N713" i="23"/>
  <c r="O713" i="23"/>
  <c r="P713" i="23"/>
  <c r="M714" i="23"/>
  <c r="N714" i="23"/>
  <c r="O714" i="23"/>
  <c r="P714" i="23"/>
  <c r="M715" i="23"/>
  <c r="N715" i="23"/>
  <c r="O715" i="23"/>
  <c r="P715" i="23"/>
  <c r="N716" i="23"/>
  <c r="O716" i="23"/>
  <c r="P716" i="23"/>
  <c r="N717" i="23"/>
  <c r="O717" i="23"/>
  <c r="P717" i="23"/>
  <c r="M718" i="23"/>
  <c r="N718" i="23"/>
  <c r="O718" i="23"/>
  <c r="P718" i="23"/>
  <c r="N719" i="23"/>
  <c r="O719" i="23"/>
  <c r="P719" i="23"/>
  <c r="M720" i="23"/>
  <c r="N720" i="23"/>
  <c r="O720" i="23"/>
  <c r="P720" i="23"/>
  <c r="N721" i="23"/>
  <c r="O721" i="23"/>
  <c r="P721" i="23"/>
  <c r="I597" i="22"/>
  <c r="J597" i="22"/>
  <c r="I598" i="22"/>
  <c r="J598" i="22"/>
  <c r="I599" i="22"/>
  <c r="J599" i="22"/>
  <c r="I600" i="22"/>
  <c r="J600" i="22"/>
  <c r="I601" i="22"/>
  <c r="J601" i="22"/>
  <c r="I602" i="22"/>
  <c r="J602" i="22"/>
  <c r="I603" i="22"/>
  <c r="J603" i="22"/>
  <c r="I604" i="22"/>
  <c r="J604" i="22"/>
  <c r="I605" i="22"/>
  <c r="J605" i="22"/>
  <c r="I606" i="22"/>
  <c r="J606" i="22"/>
  <c r="I607" i="22"/>
  <c r="J607" i="22"/>
  <c r="I608" i="22"/>
  <c r="J608" i="22"/>
  <c r="I609" i="22"/>
  <c r="J609" i="22"/>
  <c r="I610" i="22"/>
  <c r="J610" i="22"/>
  <c r="I611" i="22"/>
  <c r="J611" i="22"/>
  <c r="I612" i="22"/>
  <c r="J612" i="22"/>
  <c r="I613" i="22"/>
  <c r="J613" i="22"/>
  <c r="I614" i="22"/>
  <c r="J614" i="22"/>
  <c r="I615" i="22"/>
  <c r="J615" i="22"/>
  <c r="I616" i="22"/>
  <c r="J616" i="22"/>
  <c r="I617" i="22"/>
  <c r="J617" i="22"/>
  <c r="I618" i="22"/>
  <c r="J618" i="22"/>
  <c r="I619" i="22"/>
  <c r="J619" i="22"/>
  <c r="I620" i="22"/>
  <c r="J620" i="22"/>
  <c r="I621" i="22"/>
  <c r="J621" i="22"/>
  <c r="I622" i="22"/>
  <c r="J622" i="22"/>
  <c r="I623" i="22"/>
  <c r="J623" i="22"/>
  <c r="I624" i="22"/>
  <c r="J624" i="22"/>
  <c r="I625" i="22"/>
  <c r="J625" i="22"/>
  <c r="I626" i="22"/>
  <c r="J626" i="22"/>
  <c r="I627" i="22"/>
  <c r="J627" i="22"/>
  <c r="I628" i="22"/>
  <c r="J628" i="22"/>
  <c r="I629" i="22"/>
  <c r="J629" i="22"/>
  <c r="I630" i="22"/>
  <c r="J630" i="22"/>
  <c r="I631" i="22"/>
  <c r="J631" i="22"/>
  <c r="I632" i="22"/>
  <c r="J632" i="22"/>
  <c r="I633" i="22"/>
  <c r="J633" i="22"/>
  <c r="I634" i="22"/>
  <c r="J634" i="22"/>
  <c r="I635" i="22"/>
  <c r="J635" i="22"/>
  <c r="I636" i="22"/>
  <c r="J636" i="22"/>
  <c r="M668" i="23"/>
  <c r="N668" i="23"/>
  <c r="O668" i="23"/>
  <c r="P668" i="23"/>
  <c r="N669" i="23"/>
  <c r="O669" i="23"/>
  <c r="P669" i="23"/>
  <c r="I587" i="22"/>
  <c r="J587" i="22"/>
  <c r="I588" i="22"/>
  <c r="J588" i="22"/>
  <c r="I589" i="22"/>
  <c r="J589" i="22"/>
  <c r="I590" i="22"/>
  <c r="J590" i="22"/>
  <c r="I591" i="22"/>
  <c r="J591" i="22"/>
  <c r="I592" i="22"/>
  <c r="J592" i="22"/>
  <c r="I593" i="22"/>
  <c r="J593" i="22"/>
  <c r="I594" i="22"/>
  <c r="J594" i="22"/>
  <c r="I595" i="22"/>
  <c r="J595" i="22"/>
  <c r="I596" i="22"/>
  <c r="J596" i="22"/>
  <c r="N605" i="23"/>
  <c r="O605" i="23"/>
  <c r="P605" i="23"/>
  <c r="M606" i="23"/>
  <c r="N606" i="23"/>
  <c r="O606" i="23"/>
  <c r="P606" i="23"/>
  <c r="N607" i="23"/>
  <c r="O607" i="23"/>
  <c r="P607" i="23"/>
  <c r="N608" i="23"/>
  <c r="O608" i="23"/>
  <c r="P608" i="23"/>
  <c r="N609" i="23"/>
  <c r="O609" i="23"/>
  <c r="P609" i="23"/>
  <c r="N610" i="23"/>
  <c r="O610" i="23"/>
  <c r="P610" i="23"/>
  <c r="M611" i="23"/>
  <c r="N611" i="23"/>
  <c r="O611" i="23"/>
  <c r="P611" i="23"/>
  <c r="M612" i="23"/>
  <c r="N612" i="23"/>
  <c r="O612" i="23"/>
  <c r="P612" i="23"/>
  <c r="M613" i="23"/>
  <c r="N613" i="23"/>
  <c r="O613" i="23"/>
  <c r="P613" i="23"/>
  <c r="M614" i="23"/>
  <c r="N614" i="23"/>
  <c r="O614" i="23"/>
  <c r="P614" i="23"/>
  <c r="N615" i="23"/>
  <c r="O615" i="23"/>
  <c r="P615" i="23"/>
  <c r="M616" i="23"/>
  <c r="N616" i="23"/>
  <c r="O616" i="23"/>
  <c r="P616" i="23"/>
  <c r="M617" i="23"/>
  <c r="N617" i="23"/>
  <c r="O617" i="23"/>
  <c r="P617" i="23"/>
  <c r="M618" i="23"/>
  <c r="N618" i="23"/>
  <c r="O618" i="23"/>
  <c r="P618" i="23"/>
  <c r="M619" i="23"/>
  <c r="N619" i="23"/>
  <c r="O619" i="23"/>
  <c r="P619" i="23"/>
  <c r="M620" i="23"/>
  <c r="N620" i="23"/>
  <c r="O620" i="23"/>
  <c r="P620" i="23"/>
  <c r="M621" i="23"/>
  <c r="N621" i="23"/>
  <c r="O621" i="23"/>
  <c r="P621" i="23"/>
  <c r="M622" i="23"/>
  <c r="N622" i="23"/>
  <c r="O622" i="23"/>
  <c r="P622" i="23"/>
  <c r="M623" i="23"/>
  <c r="N623" i="23"/>
  <c r="O623" i="23"/>
  <c r="P623" i="23"/>
  <c r="M624" i="23"/>
  <c r="N624" i="23"/>
  <c r="O624" i="23"/>
  <c r="P624" i="23"/>
  <c r="N625" i="23"/>
  <c r="O625" i="23"/>
  <c r="P625" i="23"/>
  <c r="M626" i="23"/>
  <c r="N626" i="23"/>
  <c r="O626" i="23"/>
  <c r="P626" i="23"/>
  <c r="M627" i="23"/>
  <c r="N627" i="23"/>
  <c r="O627" i="23"/>
  <c r="P627" i="23"/>
  <c r="N628" i="23"/>
  <c r="O628" i="23"/>
  <c r="P628" i="23"/>
  <c r="M629" i="23"/>
  <c r="N629" i="23"/>
  <c r="O629" i="23"/>
  <c r="P629" i="23"/>
  <c r="M630" i="23"/>
  <c r="N630" i="23"/>
  <c r="O630" i="23"/>
  <c r="P630" i="23"/>
  <c r="M631" i="23"/>
  <c r="N631" i="23"/>
  <c r="O631" i="23"/>
  <c r="P631" i="23"/>
  <c r="M632" i="23"/>
  <c r="N632" i="23"/>
  <c r="O632" i="23"/>
  <c r="P632" i="23"/>
  <c r="M633" i="23"/>
  <c r="N633" i="23"/>
  <c r="O633" i="23"/>
  <c r="P633" i="23"/>
  <c r="M634" i="23"/>
  <c r="N634" i="23"/>
  <c r="O634" i="23"/>
  <c r="P634" i="23"/>
  <c r="M635" i="23"/>
  <c r="N635" i="23"/>
  <c r="O635" i="23"/>
  <c r="P635" i="23"/>
  <c r="M636" i="23"/>
  <c r="N636" i="23"/>
  <c r="O636" i="23"/>
  <c r="P636" i="23"/>
  <c r="M637" i="23"/>
  <c r="N637" i="23"/>
  <c r="O637" i="23"/>
  <c r="P637" i="23"/>
  <c r="N638" i="23"/>
  <c r="O638" i="23"/>
  <c r="P638" i="23"/>
  <c r="M639" i="23"/>
  <c r="N639" i="23"/>
  <c r="O639" i="23"/>
  <c r="P639" i="23"/>
  <c r="M640" i="23"/>
  <c r="N640" i="23"/>
  <c r="O640" i="23"/>
  <c r="P640" i="23"/>
  <c r="N641" i="23"/>
  <c r="O641" i="23"/>
  <c r="P641" i="23"/>
  <c r="N642" i="23"/>
  <c r="O642" i="23"/>
  <c r="P642" i="23"/>
  <c r="N643" i="23"/>
  <c r="O643" i="23"/>
  <c r="P643" i="23"/>
  <c r="M644" i="23"/>
  <c r="N644" i="23"/>
  <c r="O644" i="23"/>
  <c r="P644" i="23"/>
  <c r="M645" i="23"/>
  <c r="N645" i="23"/>
  <c r="O645" i="23"/>
  <c r="P645" i="23"/>
  <c r="M646" i="23"/>
  <c r="N646" i="23"/>
  <c r="O646" i="23"/>
  <c r="P646" i="23"/>
  <c r="M647" i="23"/>
  <c r="N647" i="23"/>
  <c r="O647" i="23"/>
  <c r="P647" i="23"/>
  <c r="N648" i="23"/>
  <c r="O648" i="23"/>
  <c r="P648" i="23"/>
  <c r="N649" i="23"/>
  <c r="O649" i="23"/>
  <c r="P649" i="23"/>
  <c r="N650" i="23"/>
  <c r="O650" i="23"/>
  <c r="P650" i="23"/>
  <c r="N651" i="23"/>
  <c r="O651" i="23"/>
  <c r="P651" i="23"/>
  <c r="N652" i="23"/>
  <c r="O652" i="23"/>
  <c r="P652" i="23"/>
  <c r="N653" i="23"/>
  <c r="O653" i="23"/>
  <c r="P653" i="23"/>
  <c r="N654" i="23"/>
  <c r="O654" i="23"/>
  <c r="P654" i="23"/>
  <c r="N655" i="23"/>
  <c r="O655" i="23"/>
  <c r="P655" i="23"/>
  <c r="N656" i="23"/>
  <c r="O656" i="23"/>
  <c r="P656" i="23"/>
  <c r="N657" i="23"/>
  <c r="O657" i="23"/>
  <c r="P657" i="23"/>
  <c r="N658" i="23"/>
  <c r="O658" i="23"/>
  <c r="P658" i="23"/>
  <c r="N659" i="23"/>
  <c r="O659" i="23"/>
  <c r="P659" i="23"/>
  <c r="N660" i="23"/>
  <c r="O660" i="23"/>
  <c r="P660" i="23"/>
  <c r="N661" i="23"/>
  <c r="O661" i="23"/>
  <c r="P661" i="23"/>
  <c r="N662" i="23"/>
  <c r="O662" i="23"/>
  <c r="P662" i="23"/>
  <c r="N663" i="23"/>
  <c r="O663" i="23"/>
  <c r="P663" i="23"/>
  <c r="N664" i="23"/>
  <c r="O664" i="23"/>
  <c r="P664" i="23"/>
  <c r="N665" i="23"/>
  <c r="O665" i="23"/>
  <c r="P665" i="23"/>
  <c r="N666" i="23"/>
  <c r="O666" i="23"/>
  <c r="P666" i="23"/>
  <c r="M667" i="23"/>
  <c r="N667" i="23"/>
  <c r="O667" i="23"/>
  <c r="P667" i="23"/>
  <c r="I564" i="22"/>
  <c r="J564" i="22"/>
  <c r="I565" i="22"/>
  <c r="J565" i="22"/>
  <c r="I566" i="22"/>
  <c r="J566" i="22"/>
  <c r="I567" i="22"/>
  <c r="J567" i="22"/>
  <c r="I568" i="22"/>
  <c r="J568" i="22"/>
  <c r="I569" i="22"/>
  <c r="J569" i="22"/>
  <c r="I570" i="22"/>
  <c r="J570" i="22"/>
  <c r="I571" i="22"/>
  <c r="J571" i="22"/>
  <c r="I572" i="22"/>
  <c r="J572" i="22"/>
  <c r="I573" i="22"/>
  <c r="J573" i="22"/>
  <c r="I574" i="22"/>
  <c r="J574" i="22"/>
  <c r="I575" i="22"/>
  <c r="J575" i="22"/>
  <c r="I576" i="22"/>
  <c r="J576" i="22"/>
  <c r="I577" i="22"/>
  <c r="J577" i="22"/>
  <c r="I578" i="22"/>
  <c r="J578" i="22"/>
  <c r="I579" i="22"/>
  <c r="J579" i="22"/>
  <c r="I580" i="22"/>
  <c r="J580" i="22"/>
  <c r="I581" i="22"/>
  <c r="J581" i="22"/>
  <c r="I582" i="22"/>
  <c r="J582" i="22"/>
  <c r="I583" i="22"/>
  <c r="J583" i="22"/>
  <c r="I584" i="22"/>
  <c r="J584" i="22"/>
  <c r="I585" i="22"/>
  <c r="J585" i="22"/>
  <c r="I586" i="22"/>
  <c r="J586" i="22"/>
  <c r="I550" i="22"/>
  <c r="J550" i="22"/>
  <c r="I551" i="22"/>
  <c r="J551" i="22"/>
  <c r="I552" i="22"/>
  <c r="J552" i="22"/>
  <c r="I553" i="22"/>
  <c r="J553" i="22"/>
  <c r="I554" i="22"/>
  <c r="J554" i="22"/>
  <c r="I555" i="22"/>
  <c r="J555" i="22"/>
  <c r="I556" i="22"/>
  <c r="J556" i="22"/>
  <c r="I557" i="22"/>
  <c r="J557" i="22"/>
  <c r="I558" i="22"/>
  <c r="J558" i="22"/>
  <c r="I559" i="22"/>
  <c r="J559" i="22"/>
  <c r="I560" i="22"/>
  <c r="J560" i="22"/>
  <c r="I561" i="22"/>
  <c r="J561" i="22"/>
  <c r="I562" i="22"/>
  <c r="J562" i="22"/>
  <c r="I563" i="22"/>
  <c r="J563" i="22"/>
  <c r="I548" i="22"/>
  <c r="J548" i="22"/>
  <c r="I549" i="22"/>
  <c r="J549" i="22"/>
  <c r="P604" i="23"/>
  <c r="O604" i="23"/>
  <c r="N604" i="23"/>
  <c r="P603" i="23"/>
  <c r="O603" i="23"/>
  <c r="N603" i="23"/>
  <c r="M603" i="23"/>
  <c r="P602" i="23"/>
  <c r="O602" i="23"/>
  <c r="N602" i="23"/>
  <c r="M602" i="23"/>
  <c r="P601" i="23"/>
  <c r="O601" i="23"/>
  <c r="N601" i="23"/>
  <c r="M601" i="23"/>
  <c r="P600" i="23"/>
  <c r="O600" i="23"/>
  <c r="N600" i="23"/>
  <c r="M600" i="23"/>
  <c r="P599" i="23"/>
  <c r="O599" i="23"/>
  <c r="N599" i="23"/>
  <c r="M599" i="23"/>
  <c r="P598" i="23"/>
  <c r="O598" i="23"/>
  <c r="N598" i="23"/>
  <c r="M598" i="23"/>
  <c r="P597" i="23"/>
  <c r="O597" i="23"/>
  <c r="N597" i="23"/>
  <c r="P596" i="23"/>
  <c r="O596" i="23"/>
  <c r="N596" i="23"/>
  <c r="M596" i="23"/>
  <c r="P595" i="23"/>
  <c r="O595" i="23"/>
  <c r="N595" i="23"/>
  <c r="P594" i="23"/>
  <c r="O594" i="23"/>
  <c r="N594" i="23"/>
  <c r="M594" i="23"/>
  <c r="P593" i="23"/>
  <c r="O593" i="23"/>
  <c r="N593" i="23"/>
  <c r="M593" i="23"/>
  <c r="P592" i="23"/>
  <c r="O592" i="23"/>
  <c r="N592" i="23"/>
  <c r="M592" i="23"/>
  <c r="P591" i="23"/>
  <c r="O591" i="23"/>
  <c r="N591" i="23"/>
  <c r="P590" i="23"/>
  <c r="O590" i="23"/>
  <c r="N590" i="23"/>
  <c r="M590" i="23"/>
  <c r="P589" i="23"/>
  <c r="O589" i="23"/>
  <c r="N589" i="23"/>
  <c r="M589" i="23"/>
  <c r="P588" i="23"/>
  <c r="O588" i="23"/>
  <c r="N588" i="23"/>
  <c r="M588" i="23"/>
  <c r="P587" i="23"/>
  <c r="O587" i="23"/>
  <c r="N587" i="23"/>
  <c r="M587" i="23"/>
  <c r="P586" i="23"/>
  <c r="O586" i="23"/>
  <c r="N586" i="23"/>
  <c r="M586" i="23"/>
  <c r="P585" i="23"/>
  <c r="O585" i="23"/>
  <c r="N585" i="23"/>
  <c r="P584" i="23"/>
  <c r="O584" i="23"/>
  <c r="N584" i="23"/>
  <c r="P583" i="23"/>
  <c r="O583" i="23"/>
  <c r="N583" i="23"/>
  <c r="P582" i="23"/>
  <c r="O582" i="23"/>
  <c r="N582" i="23"/>
  <c r="P581" i="23"/>
  <c r="O581" i="23"/>
  <c r="N581" i="23"/>
  <c r="M581" i="23"/>
  <c r="P580" i="23"/>
  <c r="O580" i="23"/>
  <c r="N580" i="23"/>
  <c r="M580" i="23"/>
  <c r="P579" i="23"/>
  <c r="O579" i="23"/>
  <c r="N579" i="23"/>
  <c r="M579" i="23"/>
  <c r="I547" i="22"/>
  <c r="J547" i="22"/>
  <c r="E2" i="24"/>
  <c r="I529" i="22" l="1"/>
  <c r="J529" i="22"/>
  <c r="I530" i="22"/>
  <c r="J530" i="22"/>
  <c r="I531" i="22"/>
  <c r="J531" i="22"/>
  <c r="I532" i="22"/>
  <c r="J532" i="22"/>
  <c r="I533" i="22"/>
  <c r="J533" i="22"/>
  <c r="I534" i="22"/>
  <c r="J534" i="22"/>
  <c r="I535" i="22"/>
  <c r="J535" i="22"/>
  <c r="I536" i="22"/>
  <c r="J536" i="22"/>
  <c r="I537" i="22"/>
  <c r="J537" i="22"/>
  <c r="I538" i="22"/>
  <c r="J538" i="22"/>
  <c r="I539" i="22"/>
  <c r="J539" i="22"/>
  <c r="I540" i="22"/>
  <c r="J540" i="22"/>
  <c r="I541" i="22"/>
  <c r="J541" i="22"/>
  <c r="I542" i="22"/>
  <c r="J542" i="22"/>
  <c r="I543" i="22"/>
  <c r="J543" i="22"/>
  <c r="I544" i="22"/>
  <c r="J544" i="22"/>
  <c r="I545" i="22"/>
  <c r="J545" i="22"/>
  <c r="I546" i="22"/>
  <c r="J546" i="22"/>
  <c r="N577" i="23"/>
  <c r="O577" i="23"/>
  <c r="P577" i="23"/>
  <c r="N578" i="23"/>
  <c r="O578" i="23"/>
  <c r="P578" i="23"/>
  <c r="M561" i="23"/>
  <c r="N561" i="23"/>
  <c r="O561" i="23"/>
  <c r="P561" i="23"/>
  <c r="M562" i="23"/>
  <c r="N562" i="23"/>
  <c r="O562" i="23"/>
  <c r="P562" i="23"/>
  <c r="M563" i="23"/>
  <c r="N563" i="23"/>
  <c r="O563" i="23"/>
  <c r="P563" i="23"/>
  <c r="M564" i="23"/>
  <c r="N564" i="23"/>
  <c r="O564" i="23"/>
  <c r="P564" i="23"/>
  <c r="M565" i="23"/>
  <c r="N565" i="23"/>
  <c r="O565" i="23"/>
  <c r="P565" i="23"/>
  <c r="N566" i="23"/>
  <c r="O566" i="23"/>
  <c r="P566" i="23"/>
  <c r="M567" i="23"/>
  <c r="N567" i="23"/>
  <c r="O567" i="23"/>
  <c r="P567" i="23"/>
  <c r="M568" i="23"/>
  <c r="N568" i="23"/>
  <c r="O568" i="23"/>
  <c r="P568" i="23"/>
  <c r="M569" i="23"/>
  <c r="N569" i="23"/>
  <c r="O569" i="23"/>
  <c r="P569" i="23"/>
  <c r="N570" i="23"/>
  <c r="O570" i="23"/>
  <c r="P570" i="23"/>
  <c r="M571" i="23"/>
  <c r="N571" i="23"/>
  <c r="O571" i="23"/>
  <c r="P571" i="23"/>
  <c r="M572" i="23"/>
  <c r="N572" i="23"/>
  <c r="O572" i="23"/>
  <c r="P572" i="23"/>
  <c r="M573" i="23"/>
  <c r="N573" i="23"/>
  <c r="O573" i="23"/>
  <c r="P573" i="23"/>
  <c r="N574" i="23"/>
  <c r="O574" i="23"/>
  <c r="P574" i="23"/>
  <c r="N575" i="23"/>
  <c r="O575" i="23"/>
  <c r="P575" i="23"/>
  <c r="N576" i="23"/>
  <c r="O576" i="23"/>
  <c r="P576" i="23"/>
  <c r="I506" i="22"/>
  <c r="J506" i="22"/>
  <c r="I507" i="22"/>
  <c r="J507" i="22"/>
  <c r="I508" i="22"/>
  <c r="J508" i="22"/>
  <c r="I509" i="22"/>
  <c r="J509" i="22"/>
  <c r="I510" i="22"/>
  <c r="J510" i="22"/>
  <c r="I511" i="22"/>
  <c r="J511" i="22"/>
  <c r="I512" i="22"/>
  <c r="J512" i="22"/>
  <c r="I513" i="22"/>
  <c r="J513" i="22"/>
  <c r="I514" i="22"/>
  <c r="J514" i="22"/>
  <c r="I515" i="22"/>
  <c r="J515" i="22"/>
  <c r="I516" i="22"/>
  <c r="J516" i="22"/>
  <c r="I517" i="22"/>
  <c r="J517" i="22"/>
  <c r="I518" i="22"/>
  <c r="J518" i="22"/>
  <c r="I519" i="22"/>
  <c r="J519" i="22"/>
  <c r="I520" i="22"/>
  <c r="J520" i="22"/>
  <c r="I521" i="22"/>
  <c r="J521" i="22"/>
  <c r="I522" i="22"/>
  <c r="J522" i="22"/>
  <c r="I523" i="22"/>
  <c r="J523" i="22"/>
  <c r="I524" i="22"/>
  <c r="J524" i="22"/>
  <c r="I525" i="22"/>
  <c r="J525" i="22"/>
  <c r="I526" i="22"/>
  <c r="J526" i="22"/>
  <c r="I527" i="22"/>
  <c r="J527" i="22"/>
  <c r="I528" i="22"/>
  <c r="J528" i="22"/>
  <c r="I497" i="22"/>
  <c r="I498" i="22"/>
  <c r="I499" i="22"/>
  <c r="I500" i="22"/>
  <c r="I501" i="22"/>
  <c r="I502" i="22"/>
  <c r="I503" i="22"/>
  <c r="I504" i="22"/>
  <c r="I505" i="22"/>
  <c r="M560" i="23"/>
  <c r="N560" i="23"/>
  <c r="O560" i="23"/>
  <c r="P560" i="23"/>
  <c r="M537" i="23"/>
  <c r="N537" i="23"/>
  <c r="O537" i="23"/>
  <c r="P537" i="23"/>
  <c r="M538" i="23"/>
  <c r="N538" i="23"/>
  <c r="O538" i="23"/>
  <c r="P538" i="23"/>
  <c r="M539" i="23"/>
  <c r="N539" i="23"/>
  <c r="O539" i="23"/>
  <c r="P539" i="23"/>
  <c r="N540" i="23"/>
  <c r="O540" i="23"/>
  <c r="P540" i="23"/>
  <c r="M541" i="23"/>
  <c r="N541" i="23"/>
  <c r="O541" i="23"/>
  <c r="P541" i="23"/>
  <c r="N542" i="23"/>
  <c r="O542" i="23"/>
  <c r="P542" i="23"/>
  <c r="M543" i="23"/>
  <c r="N543" i="23"/>
  <c r="O543" i="23"/>
  <c r="P543" i="23"/>
  <c r="N544" i="23"/>
  <c r="O544" i="23"/>
  <c r="P544" i="23"/>
  <c r="M545" i="23"/>
  <c r="N545" i="23"/>
  <c r="O545" i="23"/>
  <c r="P545" i="23"/>
  <c r="N546" i="23"/>
  <c r="O546" i="23"/>
  <c r="P546" i="23"/>
  <c r="N547" i="23"/>
  <c r="O547" i="23"/>
  <c r="P547" i="23"/>
  <c r="N548" i="23"/>
  <c r="O548" i="23"/>
  <c r="P548" i="23"/>
  <c r="N549" i="23"/>
  <c r="O549" i="23"/>
  <c r="P549" i="23"/>
  <c r="M550" i="23"/>
  <c r="N550" i="23"/>
  <c r="O550" i="23"/>
  <c r="P550" i="23"/>
  <c r="N551" i="23"/>
  <c r="O551" i="23"/>
  <c r="P551" i="23"/>
  <c r="N552" i="23"/>
  <c r="O552" i="23"/>
  <c r="P552" i="23"/>
  <c r="N553" i="23"/>
  <c r="O553" i="23"/>
  <c r="P553" i="23"/>
  <c r="N554" i="23"/>
  <c r="O554" i="23"/>
  <c r="P554" i="23"/>
  <c r="N555" i="23"/>
  <c r="O555" i="23"/>
  <c r="P555" i="23"/>
  <c r="M556" i="23"/>
  <c r="N556" i="23"/>
  <c r="O556" i="23"/>
  <c r="P556" i="23"/>
  <c r="N557" i="23"/>
  <c r="O557" i="23"/>
  <c r="P557" i="23"/>
  <c r="N558" i="23"/>
  <c r="O558" i="23"/>
  <c r="P558" i="23"/>
  <c r="N559" i="23"/>
  <c r="O559" i="23"/>
  <c r="P559" i="23"/>
  <c r="I484" i="22"/>
  <c r="J484" i="22"/>
  <c r="I485" i="22"/>
  <c r="J485" i="22"/>
  <c r="I486" i="22"/>
  <c r="J486" i="22"/>
  <c r="I487" i="22"/>
  <c r="J487" i="22"/>
  <c r="I488" i="22"/>
  <c r="J488" i="22"/>
  <c r="I489" i="22"/>
  <c r="J489" i="22"/>
  <c r="I490" i="22"/>
  <c r="J490" i="22"/>
  <c r="I491" i="22"/>
  <c r="J491" i="22"/>
  <c r="I492" i="22"/>
  <c r="J492" i="22"/>
  <c r="I493" i="22"/>
  <c r="J493" i="22"/>
  <c r="I494" i="22"/>
  <c r="J494" i="22"/>
  <c r="I495" i="22"/>
  <c r="J495" i="22"/>
  <c r="I496" i="22"/>
  <c r="J496" i="22"/>
  <c r="J497" i="22"/>
  <c r="J498" i="22"/>
  <c r="J499" i="22"/>
  <c r="J500" i="22"/>
  <c r="J501" i="22"/>
  <c r="J502" i="22"/>
  <c r="J503" i="22"/>
  <c r="J504" i="22"/>
  <c r="J505" i="22"/>
  <c r="M522" i="23"/>
  <c r="N522" i="23"/>
  <c r="O522" i="23"/>
  <c r="P522" i="23"/>
  <c r="N523" i="23"/>
  <c r="O523" i="23"/>
  <c r="P523" i="23"/>
  <c r="M524" i="23"/>
  <c r="N524" i="23"/>
  <c r="O524" i="23"/>
  <c r="P524" i="23"/>
  <c r="N525" i="23"/>
  <c r="O525" i="23"/>
  <c r="P525" i="23"/>
  <c r="M526" i="23"/>
  <c r="N526" i="23"/>
  <c r="O526" i="23"/>
  <c r="P526" i="23"/>
  <c r="N527" i="23"/>
  <c r="O527" i="23"/>
  <c r="P527" i="23"/>
  <c r="N528" i="23"/>
  <c r="O528" i="23"/>
  <c r="P528" i="23"/>
  <c r="N529" i="23"/>
  <c r="O529" i="23"/>
  <c r="P529" i="23"/>
  <c r="N530" i="23"/>
  <c r="O530" i="23"/>
  <c r="P530" i="23"/>
  <c r="N531" i="23"/>
  <c r="O531" i="23"/>
  <c r="P531" i="23"/>
  <c r="N532" i="23"/>
  <c r="O532" i="23"/>
  <c r="P532" i="23"/>
  <c r="M533" i="23"/>
  <c r="N533" i="23"/>
  <c r="O533" i="23"/>
  <c r="P533" i="23"/>
  <c r="N534" i="23"/>
  <c r="O534" i="23"/>
  <c r="P534" i="23"/>
  <c r="M535" i="23"/>
  <c r="N535" i="23"/>
  <c r="O535" i="23"/>
  <c r="P535" i="23"/>
  <c r="M536" i="23"/>
  <c r="N536" i="23"/>
  <c r="O536" i="23"/>
  <c r="P536" i="23"/>
  <c r="M521" i="23"/>
  <c r="N521" i="23"/>
  <c r="O521" i="23"/>
  <c r="P521" i="23"/>
  <c r="M511" i="23"/>
  <c r="N511" i="23"/>
  <c r="O511" i="23"/>
  <c r="P511" i="23"/>
  <c r="N512" i="23"/>
  <c r="O512" i="23"/>
  <c r="P512" i="23"/>
  <c r="M513" i="23"/>
  <c r="N513" i="23"/>
  <c r="O513" i="23"/>
  <c r="P513" i="23"/>
  <c r="M514" i="23"/>
  <c r="N514" i="23"/>
  <c r="O514" i="23"/>
  <c r="P514" i="23"/>
  <c r="M515" i="23"/>
  <c r="N515" i="23"/>
  <c r="O515" i="23"/>
  <c r="P515" i="23"/>
  <c r="M516" i="23"/>
  <c r="N516" i="23"/>
  <c r="O516" i="23"/>
  <c r="P516" i="23"/>
  <c r="M517" i="23"/>
  <c r="N517" i="23"/>
  <c r="O517" i="23"/>
  <c r="P517" i="23"/>
  <c r="M518" i="23"/>
  <c r="N518" i="23"/>
  <c r="O518" i="23"/>
  <c r="P518" i="23"/>
  <c r="M519" i="23"/>
  <c r="N519" i="23"/>
  <c r="O519" i="23"/>
  <c r="P519" i="23"/>
  <c r="M520" i="23"/>
  <c r="N520" i="23"/>
  <c r="O520" i="23"/>
  <c r="P520" i="23"/>
  <c r="I459" i="22"/>
  <c r="J459" i="22"/>
  <c r="I460" i="22"/>
  <c r="J460" i="22"/>
  <c r="I461" i="22"/>
  <c r="J461" i="22"/>
  <c r="I462" i="22"/>
  <c r="J462" i="22"/>
  <c r="I463" i="22"/>
  <c r="J463" i="22"/>
  <c r="I464" i="22"/>
  <c r="J464" i="22"/>
  <c r="I465" i="22"/>
  <c r="J465" i="22"/>
  <c r="I466" i="22"/>
  <c r="J466" i="22"/>
  <c r="I467" i="22"/>
  <c r="J467" i="22"/>
  <c r="I468" i="22"/>
  <c r="J468" i="22"/>
  <c r="I469" i="22"/>
  <c r="J469" i="22"/>
  <c r="I470" i="22"/>
  <c r="J470" i="22"/>
  <c r="I471" i="22"/>
  <c r="J471" i="22"/>
  <c r="I472" i="22"/>
  <c r="J472" i="22"/>
  <c r="I473" i="22"/>
  <c r="J473" i="22"/>
  <c r="I474" i="22"/>
  <c r="J474" i="22"/>
  <c r="I475" i="22"/>
  <c r="J475" i="22"/>
  <c r="I476" i="22"/>
  <c r="J476" i="22"/>
  <c r="I477" i="22"/>
  <c r="J477" i="22"/>
  <c r="I478" i="22"/>
  <c r="J478" i="22"/>
  <c r="I479" i="22"/>
  <c r="J479" i="22"/>
  <c r="I480" i="22"/>
  <c r="J480" i="22"/>
  <c r="I481" i="22"/>
  <c r="J481" i="22"/>
  <c r="I482" i="22"/>
  <c r="J482" i="22"/>
  <c r="I483" i="22"/>
  <c r="J483" i="22"/>
  <c r="N481" i="23"/>
  <c r="O481" i="23"/>
  <c r="P481" i="23"/>
  <c r="M482" i="23"/>
  <c r="N482" i="23"/>
  <c r="O482" i="23"/>
  <c r="P482" i="23"/>
  <c r="N483" i="23"/>
  <c r="O483" i="23"/>
  <c r="P483" i="23"/>
  <c r="M484" i="23"/>
  <c r="N484" i="23"/>
  <c r="O484" i="23"/>
  <c r="P484" i="23"/>
  <c r="M485" i="23"/>
  <c r="N485" i="23"/>
  <c r="O485" i="23"/>
  <c r="P485" i="23"/>
  <c r="N486" i="23"/>
  <c r="O486" i="23"/>
  <c r="P486" i="23"/>
  <c r="M487" i="23"/>
  <c r="N487" i="23"/>
  <c r="O487" i="23"/>
  <c r="P487" i="23"/>
  <c r="M488" i="23"/>
  <c r="N488" i="23"/>
  <c r="O488" i="23"/>
  <c r="P488" i="23"/>
  <c r="M489" i="23"/>
  <c r="N489" i="23"/>
  <c r="O489" i="23"/>
  <c r="P489" i="23"/>
  <c r="M490" i="23"/>
  <c r="N490" i="23"/>
  <c r="O490" i="23"/>
  <c r="P490" i="23"/>
  <c r="M491" i="23"/>
  <c r="N491" i="23"/>
  <c r="O491" i="23"/>
  <c r="P491" i="23"/>
  <c r="M492" i="23"/>
  <c r="N492" i="23"/>
  <c r="O492" i="23"/>
  <c r="P492" i="23"/>
  <c r="N493" i="23"/>
  <c r="O493" i="23"/>
  <c r="P493" i="23"/>
  <c r="N494" i="23"/>
  <c r="O494" i="23"/>
  <c r="P494" i="23"/>
  <c r="M495" i="23"/>
  <c r="N495" i="23"/>
  <c r="O495" i="23"/>
  <c r="P495" i="23"/>
  <c r="N496" i="23"/>
  <c r="O496" i="23"/>
  <c r="P496" i="23"/>
  <c r="M497" i="23"/>
  <c r="N497" i="23"/>
  <c r="O497" i="23"/>
  <c r="P497" i="23"/>
  <c r="N498" i="23"/>
  <c r="O498" i="23"/>
  <c r="P498" i="23"/>
  <c r="M499" i="23"/>
  <c r="N499" i="23"/>
  <c r="O499" i="23"/>
  <c r="P499" i="23"/>
  <c r="N500" i="23"/>
  <c r="O500" i="23"/>
  <c r="P500" i="23"/>
  <c r="M501" i="23"/>
  <c r="N501" i="23"/>
  <c r="O501" i="23"/>
  <c r="P501" i="23"/>
  <c r="M502" i="23"/>
  <c r="N502" i="23"/>
  <c r="O502" i="23"/>
  <c r="P502" i="23"/>
  <c r="M503" i="23"/>
  <c r="N503" i="23"/>
  <c r="O503" i="23"/>
  <c r="P503" i="23"/>
  <c r="M504" i="23"/>
  <c r="N504" i="23"/>
  <c r="O504" i="23"/>
  <c r="P504" i="23"/>
  <c r="N505" i="23"/>
  <c r="O505" i="23"/>
  <c r="P505" i="23"/>
  <c r="N506" i="23"/>
  <c r="O506" i="23"/>
  <c r="P506" i="23"/>
  <c r="N507" i="23"/>
  <c r="O507" i="23"/>
  <c r="P507" i="23"/>
  <c r="N508" i="23"/>
  <c r="O508" i="23"/>
  <c r="P508" i="23"/>
  <c r="N509" i="23"/>
  <c r="O509" i="23"/>
  <c r="P509" i="23"/>
  <c r="M510" i="23"/>
  <c r="N510" i="23"/>
  <c r="O510" i="23"/>
  <c r="P510" i="23"/>
  <c r="M466" i="23"/>
  <c r="N466" i="23"/>
  <c r="O466" i="23"/>
  <c r="P466" i="23"/>
  <c r="N467" i="23"/>
  <c r="O467" i="23"/>
  <c r="P467" i="23"/>
  <c r="N468" i="23"/>
  <c r="O468" i="23"/>
  <c r="P468" i="23"/>
  <c r="N469" i="23"/>
  <c r="O469" i="23"/>
  <c r="P469" i="23"/>
  <c r="N470" i="23"/>
  <c r="O470" i="23"/>
  <c r="P470" i="23"/>
  <c r="M471" i="23"/>
  <c r="N471" i="23"/>
  <c r="O471" i="23"/>
  <c r="P471" i="23"/>
  <c r="N472" i="23"/>
  <c r="O472" i="23"/>
  <c r="P472" i="23"/>
  <c r="M473" i="23"/>
  <c r="N473" i="23"/>
  <c r="O473" i="23"/>
  <c r="P473" i="23"/>
  <c r="N474" i="23"/>
  <c r="O474" i="23"/>
  <c r="P474" i="23"/>
  <c r="N475" i="23"/>
  <c r="O475" i="23"/>
  <c r="P475" i="23"/>
  <c r="M476" i="23"/>
  <c r="N476" i="23"/>
  <c r="O476" i="23"/>
  <c r="P476" i="23"/>
  <c r="N477" i="23"/>
  <c r="O477" i="23"/>
  <c r="P477" i="23"/>
  <c r="N478" i="23"/>
  <c r="O478" i="23"/>
  <c r="P478" i="23"/>
  <c r="N479" i="23"/>
  <c r="O479" i="23"/>
  <c r="P479" i="23"/>
  <c r="M480" i="23"/>
  <c r="N480" i="23"/>
  <c r="O480" i="23"/>
  <c r="P480" i="23"/>
  <c r="N465" i="23"/>
  <c r="O465" i="23"/>
  <c r="P465" i="23"/>
  <c r="I429" i="22"/>
  <c r="J429" i="22"/>
  <c r="I430" i="22"/>
  <c r="J430" i="22"/>
  <c r="I431" i="22"/>
  <c r="J431" i="22"/>
  <c r="I432" i="22"/>
  <c r="J432" i="22"/>
  <c r="I433" i="22"/>
  <c r="J433" i="22"/>
  <c r="I434" i="22"/>
  <c r="J434" i="22"/>
  <c r="I435" i="22"/>
  <c r="J435" i="22"/>
  <c r="I436" i="22"/>
  <c r="J436" i="22"/>
  <c r="I437" i="22"/>
  <c r="J437" i="22"/>
  <c r="I438" i="22"/>
  <c r="J438" i="22"/>
  <c r="I439" i="22"/>
  <c r="J439" i="22"/>
  <c r="I440" i="22"/>
  <c r="J440" i="22"/>
  <c r="I441" i="22"/>
  <c r="J441" i="22"/>
  <c r="I442" i="22"/>
  <c r="J442" i="22"/>
  <c r="I443" i="22"/>
  <c r="J443" i="22"/>
  <c r="I444" i="22"/>
  <c r="J444" i="22"/>
  <c r="I445" i="22"/>
  <c r="J445" i="22"/>
  <c r="I446" i="22"/>
  <c r="J446" i="22"/>
  <c r="I447" i="22"/>
  <c r="J447" i="22"/>
  <c r="I448" i="22"/>
  <c r="J448" i="22"/>
  <c r="I449" i="22"/>
  <c r="J449" i="22"/>
  <c r="I450" i="22"/>
  <c r="J450" i="22"/>
  <c r="I451" i="22"/>
  <c r="J451" i="22"/>
  <c r="I452" i="22"/>
  <c r="J452" i="22"/>
  <c r="I453" i="22"/>
  <c r="J453" i="22"/>
  <c r="I454" i="22"/>
  <c r="J454" i="22"/>
  <c r="I455" i="22"/>
  <c r="J455" i="22"/>
  <c r="I456" i="22"/>
  <c r="J456" i="22"/>
  <c r="I457" i="22"/>
  <c r="J457" i="22"/>
  <c r="I458" i="22"/>
  <c r="J458" i="22"/>
  <c r="M463" i="23"/>
  <c r="N463" i="23"/>
  <c r="O463" i="23"/>
  <c r="P463" i="23"/>
  <c r="M464" i="23"/>
  <c r="N464" i="23"/>
  <c r="O464" i="23"/>
  <c r="P464" i="23"/>
  <c r="N452" i="23"/>
  <c r="O452" i="23"/>
  <c r="P452" i="23"/>
  <c r="N453" i="23"/>
  <c r="O453" i="23"/>
  <c r="P453" i="23"/>
  <c r="N454" i="23"/>
  <c r="O454" i="23"/>
  <c r="P454" i="23"/>
  <c r="N455" i="23"/>
  <c r="O455" i="23"/>
  <c r="P455" i="23"/>
  <c r="N456" i="23"/>
  <c r="O456" i="23"/>
  <c r="P456" i="23"/>
  <c r="N457" i="23"/>
  <c r="O457" i="23"/>
  <c r="P457" i="23"/>
  <c r="N458" i="23"/>
  <c r="O458" i="23"/>
  <c r="P458" i="23"/>
  <c r="N459" i="23"/>
  <c r="O459" i="23"/>
  <c r="P459" i="23"/>
  <c r="N460" i="23"/>
  <c r="O460" i="23"/>
  <c r="P460" i="23"/>
  <c r="N461" i="23"/>
  <c r="O461" i="23"/>
  <c r="P461" i="23"/>
  <c r="N462" i="23"/>
  <c r="O462" i="23"/>
  <c r="P462" i="23"/>
  <c r="I400" i="22"/>
  <c r="J400" i="22"/>
  <c r="I401" i="22"/>
  <c r="J401" i="22"/>
  <c r="I402" i="22"/>
  <c r="J402" i="22"/>
  <c r="I403" i="22"/>
  <c r="J403" i="22"/>
  <c r="I404" i="22"/>
  <c r="J404" i="22"/>
  <c r="I405" i="22"/>
  <c r="J405" i="22"/>
  <c r="I406" i="22"/>
  <c r="J406" i="22"/>
  <c r="I407" i="22"/>
  <c r="J407" i="22"/>
  <c r="I408" i="22"/>
  <c r="J408" i="22"/>
  <c r="I409" i="22"/>
  <c r="J409" i="22"/>
  <c r="I410" i="22"/>
  <c r="J410" i="22"/>
  <c r="I411" i="22"/>
  <c r="J411" i="22"/>
  <c r="I412" i="22"/>
  <c r="J412" i="22"/>
  <c r="I413" i="22"/>
  <c r="J413" i="22"/>
  <c r="I414" i="22"/>
  <c r="J414" i="22"/>
  <c r="I415" i="22"/>
  <c r="J415" i="22"/>
  <c r="I416" i="22"/>
  <c r="J416" i="22"/>
  <c r="I417" i="22"/>
  <c r="J417" i="22"/>
  <c r="I418" i="22"/>
  <c r="J418" i="22"/>
  <c r="I419" i="22"/>
  <c r="J419" i="22"/>
  <c r="I420" i="22"/>
  <c r="J420" i="22"/>
  <c r="I421" i="22"/>
  <c r="J421" i="22"/>
  <c r="I422" i="22"/>
  <c r="J422" i="22"/>
  <c r="I423" i="22"/>
  <c r="J423" i="22"/>
  <c r="I424" i="22"/>
  <c r="J424" i="22"/>
  <c r="I425" i="22"/>
  <c r="J425" i="22"/>
  <c r="I426" i="22"/>
  <c r="J426" i="22"/>
  <c r="I427" i="22"/>
  <c r="J427" i="22"/>
  <c r="I428" i="22"/>
  <c r="J428" i="22"/>
  <c r="I399" i="22"/>
  <c r="J399" i="22"/>
  <c r="P451" i="23"/>
  <c r="O451" i="23"/>
  <c r="N451" i="23"/>
  <c r="P450" i="23"/>
  <c r="O450" i="23"/>
  <c r="N450" i="23"/>
  <c r="P449" i="23"/>
  <c r="O449" i="23"/>
  <c r="N449" i="23"/>
  <c r="P448" i="23"/>
  <c r="O448" i="23"/>
  <c r="N448" i="23"/>
  <c r="P447" i="23"/>
  <c r="O447" i="23"/>
  <c r="N447" i="23"/>
  <c r="P446" i="23"/>
  <c r="O446" i="23"/>
  <c r="N446" i="23"/>
  <c r="P445" i="23"/>
  <c r="O445" i="23"/>
  <c r="N445" i="23"/>
  <c r="M445" i="23"/>
  <c r="P444" i="23"/>
  <c r="O444" i="23"/>
  <c r="N444" i="23"/>
  <c r="P443" i="23"/>
  <c r="O443" i="23"/>
  <c r="N443" i="23"/>
  <c r="P442" i="23"/>
  <c r="O442" i="23"/>
  <c r="N442" i="23"/>
  <c r="P441" i="23"/>
  <c r="O441" i="23"/>
  <c r="N441" i="23"/>
  <c r="M441" i="23"/>
  <c r="P440" i="23"/>
  <c r="O440" i="23"/>
  <c r="N440" i="23"/>
  <c r="P439" i="23"/>
  <c r="O439" i="23"/>
  <c r="N439" i="23"/>
  <c r="P438" i="23"/>
  <c r="O438" i="23"/>
  <c r="N438" i="23"/>
  <c r="I385" i="22"/>
  <c r="J385" i="22"/>
  <c r="I386" i="22"/>
  <c r="J386" i="22"/>
  <c r="I387" i="22"/>
  <c r="J387" i="22"/>
  <c r="I388" i="22"/>
  <c r="J388" i="22"/>
  <c r="I389" i="22"/>
  <c r="J389" i="22"/>
  <c r="I390" i="22"/>
  <c r="J390" i="22"/>
  <c r="I391" i="22"/>
  <c r="J391" i="22"/>
  <c r="I392" i="22"/>
  <c r="J392" i="22"/>
  <c r="I393" i="22"/>
  <c r="J393" i="22"/>
  <c r="I394" i="22"/>
  <c r="J394" i="22"/>
  <c r="I395" i="22"/>
  <c r="J395" i="22"/>
  <c r="I396" i="22"/>
  <c r="J396" i="22"/>
  <c r="I397" i="22"/>
  <c r="J397" i="22"/>
  <c r="I398" i="22"/>
  <c r="J398" i="22"/>
  <c r="N430" i="23"/>
  <c r="O430" i="23"/>
  <c r="P430" i="23"/>
  <c r="N431" i="23"/>
  <c r="O431" i="23"/>
  <c r="P431" i="23"/>
  <c r="N432" i="23"/>
  <c r="O432" i="23"/>
  <c r="P432" i="23"/>
  <c r="N433" i="23"/>
  <c r="O433" i="23"/>
  <c r="P433" i="23"/>
  <c r="M434" i="23"/>
  <c r="N434" i="23"/>
  <c r="O434" i="23"/>
  <c r="P434" i="23"/>
  <c r="M435" i="23"/>
  <c r="N435" i="23"/>
  <c r="O435" i="23"/>
  <c r="P435" i="23"/>
  <c r="M436" i="23"/>
  <c r="N436" i="23"/>
  <c r="O436" i="23"/>
  <c r="P436" i="23"/>
  <c r="M437" i="23"/>
  <c r="N437" i="23"/>
  <c r="O437" i="23"/>
  <c r="P437" i="23"/>
  <c r="M386" i="23"/>
  <c r="N386" i="23"/>
  <c r="O386" i="23"/>
  <c r="P386" i="23"/>
  <c r="M387" i="23"/>
  <c r="N387" i="23"/>
  <c r="O387" i="23"/>
  <c r="P387" i="23"/>
  <c r="M388" i="23"/>
  <c r="N388" i="23"/>
  <c r="O388" i="23"/>
  <c r="P388" i="23"/>
  <c r="M389" i="23"/>
  <c r="N389" i="23"/>
  <c r="O389" i="23"/>
  <c r="P389" i="23"/>
  <c r="M390" i="23"/>
  <c r="N390" i="23"/>
  <c r="O390" i="23"/>
  <c r="P390" i="23"/>
  <c r="M391" i="23"/>
  <c r="N391" i="23"/>
  <c r="O391" i="23"/>
  <c r="P391" i="23"/>
  <c r="M392" i="23"/>
  <c r="N392" i="23"/>
  <c r="O392" i="23"/>
  <c r="P392" i="23"/>
  <c r="M393" i="23"/>
  <c r="N393" i="23"/>
  <c r="O393" i="23"/>
  <c r="P393" i="23"/>
  <c r="M394" i="23"/>
  <c r="N394" i="23"/>
  <c r="O394" i="23"/>
  <c r="P394" i="23"/>
  <c r="M395" i="23"/>
  <c r="N395" i="23"/>
  <c r="O395" i="23"/>
  <c r="P395" i="23"/>
  <c r="M396" i="23"/>
  <c r="N396" i="23"/>
  <c r="O396" i="23"/>
  <c r="P396" i="23"/>
  <c r="M397" i="23"/>
  <c r="N397" i="23"/>
  <c r="O397" i="23"/>
  <c r="P397" i="23"/>
  <c r="M398" i="23"/>
  <c r="N398" i="23"/>
  <c r="O398" i="23"/>
  <c r="P398" i="23"/>
  <c r="M399" i="23"/>
  <c r="N399" i="23"/>
  <c r="O399" i="23"/>
  <c r="P399" i="23"/>
  <c r="M400" i="23"/>
  <c r="N400" i="23"/>
  <c r="O400" i="23"/>
  <c r="P400" i="23"/>
  <c r="M401" i="23"/>
  <c r="N401" i="23"/>
  <c r="O401" i="23"/>
  <c r="P401" i="23"/>
  <c r="M402" i="23"/>
  <c r="N402" i="23"/>
  <c r="O402" i="23"/>
  <c r="P402" i="23"/>
  <c r="M403" i="23"/>
  <c r="N403" i="23"/>
  <c r="O403" i="23"/>
  <c r="P403" i="23"/>
  <c r="M404" i="23"/>
  <c r="N404" i="23"/>
  <c r="O404" i="23"/>
  <c r="P404" i="23"/>
  <c r="N405" i="23"/>
  <c r="O405" i="23"/>
  <c r="P405" i="23"/>
  <c r="N406" i="23"/>
  <c r="O406" i="23"/>
  <c r="P406" i="23"/>
  <c r="N407" i="23"/>
  <c r="O407" i="23"/>
  <c r="P407" i="23"/>
  <c r="N408" i="23"/>
  <c r="O408" i="23"/>
  <c r="P408" i="23"/>
  <c r="M409" i="23"/>
  <c r="N409" i="23"/>
  <c r="O409" i="23"/>
  <c r="P409" i="23"/>
  <c r="N410" i="23"/>
  <c r="O410" i="23"/>
  <c r="P410" i="23"/>
  <c r="N411" i="23"/>
  <c r="O411" i="23"/>
  <c r="P411" i="23"/>
  <c r="N412" i="23"/>
  <c r="O412" i="23"/>
  <c r="P412" i="23"/>
  <c r="M413" i="23"/>
  <c r="N413" i="23"/>
  <c r="O413" i="23"/>
  <c r="P413" i="23"/>
  <c r="N414" i="23"/>
  <c r="O414" i="23"/>
  <c r="P414" i="23"/>
  <c r="N415" i="23"/>
  <c r="O415" i="23"/>
  <c r="P415" i="23"/>
  <c r="N416" i="23"/>
  <c r="O416" i="23"/>
  <c r="P416" i="23"/>
  <c r="N417" i="23"/>
  <c r="O417" i="23"/>
  <c r="P417" i="23"/>
  <c r="N418" i="23"/>
  <c r="O418" i="23"/>
  <c r="P418" i="23"/>
  <c r="N419" i="23"/>
  <c r="O419" i="23"/>
  <c r="P419" i="23"/>
  <c r="N420" i="23"/>
  <c r="O420" i="23"/>
  <c r="P420" i="23"/>
  <c r="N421" i="23"/>
  <c r="O421" i="23"/>
  <c r="P421" i="23"/>
  <c r="N422" i="23"/>
  <c r="O422" i="23"/>
  <c r="P422" i="23"/>
  <c r="N423" i="23"/>
  <c r="O423" i="23"/>
  <c r="P423" i="23"/>
  <c r="N424" i="23"/>
  <c r="O424" i="23"/>
  <c r="P424" i="23"/>
  <c r="N425" i="23"/>
  <c r="O425" i="23"/>
  <c r="P425" i="23"/>
  <c r="N426" i="23"/>
  <c r="O426" i="23"/>
  <c r="P426" i="23"/>
  <c r="N427" i="23"/>
  <c r="O427" i="23"/>
  <c r="P427" i="23"/>
  <c r="N428" i="23"/>
  <c r="O428" i="23"/>
  <c r="P428" i="23"/>
  <c r="N429" i="23"/>
  <c r="O429" i="23"/>
  <c r="P429" i="23"/>
  <c r="M385" i="23"/>
  <c r="N385" i="23"/>
  <c r="O385" i="23"/>
  <c r="P385" i="23"/>
  <c r="I371" i="22"/>
  <c r="J371" i="22"/>
  <c r="I372" i="22"/>
  <c r="J372" i="22"/>
  <c r="I373" i="22"/>
  <c r="J373" i="22"/>
  <c r="I374" i="22"/>
  <c r="J374" i="22"/>
  <c r="I375" i="22"/>
  <c r="J375" i="22"/>
  <c r="I376" i="22"/>
  <c r="J376" i="22"/>
  <c r="I377" i="22"/>
  <c r="J377" i="22"/>
  <c r="I378" i="22"/>
  <c r="J378" i="22"/>
  <c r="I379" i="22"/>
  <c r="J379" i="22"/>
  <c r="I380" i="22"/>
  <c r="J380" i="22"/>
  <c r="I381" i="22"/>
  <c r="J381" i="22"/>
  <c r="I382" i="22"/>
  <c r="J382" i="22"/>
  <c r="I383" i="22"/>
  <c r="J383" i="22"/>
  <c r="I384" i="22"/>
  <c r="J384" i="22"/>
  <c r="M384" i="23"/>
  <c r="N384" i="23"/>
  <c r="O384" i="23"/>
  <c r="P384" i="23"/>
  <c r="I365" i="22"/>
  <c r="J365" i="22"/>
  <c r="I366" i="22"/>
  <c r="J366" i="22"/>
  <c r="I367" i="22"/>
  <c r="J367" i="22"/>
  <c r="I368" i="22"/>
  <c r="J368" i="22"/>
  <c r="I369" i="22"/>
  <c r="J369" i="22"/>
  <c r="I370" i="22"/>
  <c r="J370" i="22"/>
  <c r="M383" i="23"/>
  <c r="N383" i="23"/>
  <c r="O383" i="23"/>
  <c r="P383" i="23"/>
  <c r="N365" i="23"/>
  <c r="O365" i="23"/>
  <c r="P365" i="23"/>
  <c r="N366" i="23"/>
  <c r="O366" i="23"/>
  <c r="P366" i="23"/>
  <c r="N367" i="23"/>
  <c r="O367" i="23"/>
  <c r="P367" i="23"/>
  <c r="N368" i="23"/>
  <c r="O368" i="23"/>
  <c r="P368" i="23"/>
  <c r="N369" i="23"/>
  <c r="O369" i="23"/>
  <c r="P369" i="23"/>
  <c r="N370" i="23"/>
  <c r="O370" i="23"/>
  <c r="P370" i="23"/>
  <c r="N371" i="23"/>
  <c r="O371" i="23"/>
  <c r="P371" i="23"/>
  <c r="M372" i="23"/>
  <c r="N372" i="23"/>
  <c r="O372" i="23"/>
  <c r="P372" i="23"/>
  <c r="N373" i="23"/>
  <c r="O373" i="23"/>
  <c r="P373" i="23"/>
  <c r="N374" i="23"/>
  <c r="O374" i="23"/>
  <c r="P374" i="23"/>
  <c r="M375" i="23"/>
  <c r="N375" i="23"/>
  <c r="O375" i="23"/>
  <c r="P375" i="23"/>
  <c r="N376" i="23"/>
  <c r="O376" i="23"/>
  <c r="P376" i="23"/>
  <c r="N377" i="23"/>
  <c r="O377" i="23"/>
  <c r="P377" i="23"/>
  <c r="M378" i="23"/>
  <c r="N378" i="23"/>
  <c r="O378" i="23"/>
  <c r="P378" i="23"/>
  <c r="N379" i="23"/>
  <c r="O379" i="23"/>
  <c r="P379" i="23"/>
  <c r="N380" i="23"/>
  <c r="O380" i="23"/>
  <c r="P380" i="23"/>
  <c r="M381" i="23"/>
  <c r="N381" i="23"/>
  <c r="O381" i="23"/>
  <c r="P381" i="23"/>
  <c r="N382" i="23"/>
  <c r="O382" i="23"/>
  <c r="P382" i="23"/>
  <c r="I352" i="22"/>
  <c r="J352" i="22"/>
  <c r="I353" i="22"/>
  <c r="J353" i="22"/>
  <c r="I354" i="22"/>
  <c r="J354" i="22"/>
  <c r="I355" i="22"/>
  <c r="J355" i="22"/>
  <c r="I356" i="22"/>
  <c r="J356" i="22"/>
  <c r="I357" i="22"/>
  <c r="J357" i="22"/>
  <c r="I358" i="22"/>
  <c r="J358" i="22"/>
  <c r="I359" i="22"/>
  <c r="J359" i="22"/>
  <c r="I360" i="22"/>
  <c r="J360" i="22"/>
  <c r="I361" i="22"/>
  <c r="J361" i="22"/>
  <c r="I362" i="22"/>
  <c r="J362" i="22"/>
  <c r="I363" i="22"/>
  <c r="J363" i="22"/>
  <c r="I364" i="22"/>
  <c r="J364" i="22"/>
  <c r="M342" i="23"/>
  <c r="N342" i="23"/>
  <c r="O342" i="23"/>
  <c r="P342" i="23"/>
  <c r="M343" i="23"/>
  <c r="N343" i="23"/>
  <c r="O343" i="23"/>
  <c r="P343" i="23"/>
  <c r="N344" i="23"/>
  <c r="O344" i="23"/>
  <c r="P344" i="23"/>
  <c r="M345" i="23"/>
  <c r="N345" i="23"/>
  <c r="O345" i="23"/>
  <c r="P345" i="23"/>
  <c r="N346" i="23"/>
  <c r="O346" i="23"/>
  <c r="P346" i="23"/>
  <c r="M347" i="23"/>
  <c r="N347" i="23"/>
  <c r="O347" i="23"/>
  <c r="P347" i="23"/>
  <c r="N348" i="23"/>
  <c r="O348" i="23"/>
  <c r="P348" i="23"/>
  <c r="M349" i="23"/>
  <c r="N349" i="23"/>
  <c r="O349" i="23"/>
  <c r="P349" i="23"/>
  <c r="N350" i="23"/>
  <c r="O350" i="23"/>
  <c r="P350" i="23"/>
  <c r="M351" i="23"/>
  <c r="N351" i="23"/>
  <c r="O351" i="23"/>
  <c r="P351" i="23"/>
  <c r="N352" i="23"/>
  <c r="O352" i="23"/>
  <c r="P352" i="23"/>
  <c r="M353" i="23"/>
  <c r="N353" i="23"/>
  <c r="O353" i="23"/>
  <c r="P353" i="23"/>
  <c r="N354" i="23"/>
  <c r="O354" i="23"/>
  <c r="P354" i="23"/>
  <c r="M355" i="23"/>
  <c r="N355" i="23"/>
  <c r="O355" i="23"/>
  <c r="P355" i="23"/>
  <c r="M356" i="23"/>
  <c r="N356" i="23"/>
  <c r="O356" i="23"/>
  <c r="P356" i="23"/>
  <c r="N357" i="23"/>
  <c r="O357" i="23"/>
  <c r="P357" i="23"/>
  <c r="M358" i="23"/>
  <c r="N358" i="23"/>
  <c r="O358" i="23"/>
  <c r="P358" i="23"/>
  <c r="M359" i="23"/>
  <c r="N359" i="23"/>
  <c r="O359" i="23"/>
  <c r="P359" i="23"/>
  <c r="M360" i="23"/>
  <c r="N360" i="23"/>
  <c r="O360" i="23"/>
  <c r="P360" i="23"/>
  <c r="M361" i="23"/>
  <c r="N361" i="23"/>
  <c r="O361" i="23"/>
  <c r="P361" i="23"/>
  <c r="M362" i="23"/>
  <c r="N362" i="23"/>
  <c r="O362" i="23"/>
  <c r="P362" i="23"/>
  <c r="M363" i="23"/>
  <c r="N363" i="23"/>
  <c r="O363" i="23"/>
  <c r="P363" i="23"/>
  <c r="M364" i="23"/>
  <c r="N364" i="23"/>
  <c r="O364" i="23"/>
  <c r="P364" i="23"/>
  <c r="I328" i="22"/>
  <c r="J328" i="22"/>
  <c r="I329" i="22"/>
  <c r="J329" i="22"/>
  <c r="I330" i="22"/>
  <c r="J330" i="22"/>
  <c r="I331" i="22"/>
  <c r="J331" i="22"/>
  <c r="I332" i="22"/>
  <c r="J332" i="22"/>
  <c r="I333" i="22"/>
  <c r="J333" i="22"/>
  <c r="I334" i="22"/>
  <c r="J334" i="22"/>
  <c r="I335" i="22"/>
  <c r="J335" i="22"/>
  <c r="I336" i="22"/>
  <c r="J336" i="22"/>
  <c r="I337" i="22"/>
  <c r="J337" i="22"/>
  <c r="I338" i="22"/>
  <c r="J338" i="22"/>
  <c r="I339" i="22"/>
  <c r="J339" i="22"/>
  <c r="I340" i="22"/>
  <c r="J340" i="22"/>
  <c r="I341" i="22"/>
  <c r="J341" i="22"/>
  <c r="I342" i="22"/>
  <c r="J342" i="22"/>
  <c r="I343" i="22"/>
  <c r="J343" i="22"/>
  <c r="I344" i="22"/>
  <c r="J344" i="22"/>
  <c r="I345" i="22"/>
  <c r="J345" i="22"/>
  <c r="I346" i="22"/>
  <c r="J346" i="22"/>
  <c r="I347" i="22"/>
  <c r="J347" i="22"/>
  <c r="I348" i="22"/>
  <c r="J348" i="22"/>
  <c r="I349" i="22"/>
  <c r="J349" i="22"/>
  <c r="I350" i="22"/>
  <c r="J350" i="22"/>
  <c r="I351" i="22"/>
  <c r="J351" i="22"/>
  <c r="N337" i="23"/>
  <c r="O337" i="23"/>
  <c r="P337" i="23"/>
  <c r="M338" i="23"/>
  <c r="N338" i="23"/>
  <c r="O338" i="23"/>
  <c r="P338" i="23"/>
  <c r="M339" i="23"/>
  <c r="N339" i="23"/>
  <c r="O339" i="23"/>
  <c r="P339" i="23"/>
  <c r="M340" i="23"/>
  <c r="N340" i="23"/>
  <c r="O340" i="23"/>
  <c r="P340" i="23"/>
  <c r="M341" i="23"/>
  <c r="N341" i="23"/>
  <c r="O341" i="23"/>
  <c r="P341" i="23"/>
  <c r="M321" i="23"/>
  <c r="N321" i="23"/>
  <c r="O321" i="23"/>
  <c r="P321" i="23"/>
  <c r="M322" i="23"/>
  <c r="N322" i="23"/>
  <c r="O322" i="23"/>
  <c r="P322" i="23"/>
  <c r="N323" i="23"/>
  <c r="O323" i="23"/>
  <c r="P323" i="23"/>
  <c r="M324" i="23"/>
  <c r="N324" i="23"/>
  <c r="O324" i="23"/>
  <c r="P324" i="23"/>
  <c r="M325" i="23"/>
  <c r="N325" i="23"/>
  <c r="O325" i="23"/>
  <c r="P325" i="23"/>
  <c r="M326" i="23"/>
  <c r="N326" i="23"/>
  <c r="O326" i="23"/>
  <c r="P326" i="23"/>
  <c r="M327" i="23"/>
  <c r="N327" i="23"/>
  <c r="O327" i="23"/>
  <c r="P327" i="23"/>
  <c r="M328" i="23"/>
  <c r="N328" i="23"/>
  <c r="O328" i="23"/>
  <c r="P328" i="23"/>
  <c r="M329" i="23"/>
  <c r="N329" i="23"/>
  <c r="O329" i="23"/>
  <c r="P329" i="23"/>
  <c r="N330" i="23"/>
  <c r="O330" i="23"/>
  <c r="P330" i="23"/>
  <c r="N331" i="23"/>
  <c r="O331" i="23"/>
  <c r="P331" i="23"/>
  <c r="M332" i="23"/>
  <c r="N332" i="23"/>
  <c r="O332" i="23"/>
  <c r="P332" i="23"/>
  <c r="M333" i="23"/>
  <c r="N333" i="23"/>
  <c r="O333" i="23"/>
  <c r="P333" i="23"/>
  <c r="N334" i="23"/>
  <c r="O334" i="23"/>
  <c r="P334" i="23"/>
  <c r="M335" i="23"/>
  <c r="N335" i="23"/>
  <c r="O335" i="23"/>
  <c r="P335" i="23"/>
  <c r="N336" i="23"/>
  <c r="O336" i="23"/>
  <c r="P336" i="23"/>
  <c r="I313" i="22"/>
  <c r="J313" i="22"/>
  <c r="I314" i="22"/>
  <c r="J314" i="22"/>
  <c r="I315" i="22"/>
  <c r="J315" i="22"/>
  <c r="I316" i="22"/>
  <c r="J316" i="22"/>
  <c r="I317" i="22"/>
  <c r="J317" i="22"/>
  <c r="I318" i="22"/>
  <c r="J318" i="22"/>
  <c r="I319" i="22"/>
  <c r="J319" i="22"/>
  <c r="I320" i="22"/>
  <c r="J320" i="22"/>
  <c r="I321" i="22"/>
  <c r="J321" i="22"/>
  <c r="I322" i="22"/>
  <c r="J322" i="22"/>
  <c r="I323" i="22"/>
  <c r="J323" i="22"/>
  <c r="I324" i="22"/>
  <c r="J324" i="22"/>
  <c r="I325" i="22"/>
  <c r="J325" i="22"/>
  <c r="I326" i="22"/>
  <c r="J326" i="22"/>
  <c r="I327" i="22"/>
  <c r="J327" i="22"/>
  <c r="N319" i="23"/>
  <c r="O319" i="23"/>
  <c r="P319" i="23"/>
  <c r="M320" i="23"/>
  <c r="N320" i="23"/>
  <c r="O320" i="23"/>
  <c r="P320" i="23"/>
  <c r="I304" i="22"/>
  <c r="J304" i="22"/>
  <c r="I305" i="22"/>
  <c r="J305" i="22"/>
  <c r="I306" i="22"/>
  <c r="J306" i="22"/>
  <c r="I307" i="22"/>
  <c r="J307" i="22"/>
  <c r="I308" i="22"/>
  <c r="J308" i="22"/>
  <c r="I309" i="22"/>
  <c r="J309" i="22"/>
  <c r="I310" i="22"/>
  <c r="J310" i="22"/>
  <c r="I311" i="22"/>
  <c r="J311" i="22"/>
  <c r="I312" i="22"/>
  <c r="J312" i="22"/>
  <c r="I287" i="22"/>
  <c r="J287" i="22"/>
  <c r="I288" i="22"/>
  <c r="J288" i="22"/>
  <c r="I289" i="22"/>
  <c r="J289" i="22"/>
  <c r="I290" i="22"/>
  <c r="J290" i="22"/>
  <c r="I291" i="22"/>
  <c r="J291" i="22"/>
  <c r="I292" i="22"/>
  <c r="J292" i="22"/>
  <c r="I293" i="22"/>
  <c r="J293" i="22"/>
  <c r="I294" i="22"/>
  <c r="J294" i="22"/>
  <c r="I295" i="22"/>
  <c r="J295" i="22"/>
  <c r="I296" i="22"/>
  <c r="J296" i="22"/>
  <c r="I297" i="22"/>
  <c r="J297" i="22"/>
  <c r="I298" i="22"/>
  <c r="J298" i="22"/>
  <c r="I299" i="22"/>
  <c r="J299" i="22"/>
  <c r="I300" i="22"/>
  <c r="J300" i="22"/>
  <c r="I301" i="22"/>
  <c r="J301" i="22"/>
  <c r="I302" i="22"/>
  <c r="J302" i="22"/>
  <c r="I303" i="22"/>
  <c r="J303" i="22"/>
  <c r="M295" i="23"/>
  <c r="N295" i="23"/>
  <c r="O295" i="23"/>
  <c r="P295" i="23"/>
  <c r="N296" i="23"/>
  <c r="O296" i="23"/>
  <c r="P296" i="23"/>
  <c r="M297" i="23"/>
  <c r="N297" i="23"/>
  <c r="O297" i="23"/>
  <c r="P297" i="23"/>
  <c r="M298" i="23"/>
  <c r="N298" i="23"/>
  <c r="O298" i="23"/>
  <c r="P298" i="23"/>
  <c r="N299" i="23"/>
  <c r="O299" i="23"/>
  <c r="P299" i="23"/>
  <c r="M300" i="23"/>
  <c r="N300" i="23"/>
  <c r="O300" i="23"/>
  <c r="P300" i="23"/>
  <c r="N301" i="23"/>
  <c r="O301" i="23"/>
  <c r="P301" i="23"/>
  <c r="N302" i="23"/>
  <c r="O302" i="23"/>
  <c r="P302" i="23"/>
  <c r="N303" i="23"/>
  <c r="O303" i="23"/>
  <c r="P303" i="23"/>
  <c r="M304" i="23"/>
  <c r="N304" i="23"/>
  <c r="O304" i="23"/>
  <c r="P304" i="23"/>
  <c r="N305" i="23"/>
  <c r="O305" i="23"/>
  <c r="P305" i="23"/>
  <c r="M306" i="23"/>
  <c r="N306" i="23"/>
  <c r="O306" i="23"/>
  <c r="P306" i="23"/>
  <c r="N307" i="23"/>
  <c r="O307" i="23"/>
  <c r="P307" i="23"/>
  <c r="N308" i="23"/>
  <c r="O308" i="23"/>
  <c r="P308" i="23"/>
  <c r="N309" i="23"/>
  <c r="O309" i="23"/>
  <c r="P309" i="23"/>
  <c r="M310" i="23"/>
  <c r="N310" i="23"/>
  <c r="O310" i="23"/>
  <c r="P310" i="23"/>
  <c r="M311" i="23"/>
  <c r="N311" i="23"/>
  <c r="O311" i="23"/>
  <c r="P311" i="23"/>
  <c r="N312" i="23"/>
  <c r="O312" i="23"/>
  <c r="P312" i="23"/>
  <c r="N313" i="23"/>
  <c r="O313" i="23"/>
  <c r="P313" i="23"/>
  <c r="N314" i="23"/>
  <c r="O314" i="23"/>
  <c r="P314" i="23"/>
  <c r="N315" i="23"/>
  <c r="O315" i="23"/>
  <c r="P315" i="23"/>
  <c r="N316" i="23"/>
  <c r="O316" i="23"/>
  <c r="P316" i="23"/>
  <c r="N317" i="23"/>
  <c r="O317" i="23"/>
  <c r="P317" i="23"/>
  <c r="N318" i="23"/>
  <c r="O318" i="23"/>
  <c r="P318" i="23"/>
  <c r="M294" i="23"/>
  <c r="N294" i="23"/>
  <c r="O294" i="23"/>
  <c r="P294" i="23"/>
  <c r="N267" i="23"/>
  <c r="O267" i="23"/>
  <c r="P267" i="23"/>
  <c r="N268" i="23"/>
  <c r="O268" i="23"/>
  <c r="P268" i="23"/>
  <c r="N269" i="23"/>
  <c r="O269" i="23"/>
  <c r="P269" i="23"/>
  <c r="M270" i="23"/>
  <c r="N270" i="23"/>
  <c r="O270" i="23"/>
  <c r="P270" i="23"/>
  <c r="N271" i="23"/>
  <c r="O271" i="23"/>
  <c r="P271" i="23"/>
  <c r="M272" i="23"/>
  <c r="N272" i="23"/>
  <c r="O272" i="23"/>
  <c r="P272" i="23"/>
  <c r="N273" i="23"/>
  <c r="O273" i="23"/>
  <c r="P273" i="23"/>
  <c r="N274" i="23"/>
  <c r="O274" i="23"/>
  <c r="P274" i="23"/>
  <c r="N275" i="23"/>
  <c r="O275" i="23"/>
  <c r="P275" i="23"/>
  <c r="M276" i="23"/>
  <c r="N276" i="23"/>
  <c r="O276" i="23"/>
  <c r="P276" i="23"/>
  <c r="M277" i="23"/>
  <c r="N277" i="23"/>
  <c r="O277" i="23"/>
  <c r="P277" i="23"/>
  <c r="M278" i="23"/>
  <c r="N278" i="23"/>
  <c r="O278" i="23"/>
  <c r="P278" i="23"/>
  <c r="M279" i="23"/>
  <c r="N279" i="23"/>
  <c r="O279" i="23"/>
  <c r="P279" i="23"/>
  <c r="M280" i="23"/>
  <c r="N280" i="23"/>
  <c r="O280" i="23"/>
  <c r="P280" i="23"/>
  <c r="M281" i="23"/>
  <c r="N281" i="23"/>
  <c r="O281" i="23"/>
  <c r="P281" i="23"/>
  <c r="M282" i="23"/>
  <c r="N282" i="23"/>
  <c r="O282" i="23"/>
  <c r="P282" i="23"/>
  <c r="M283" i="23"/>
  <c r="N283" i="23"/>
  <c r="O283" i="23"/>
  <c r="P283" i="23"/>
  <c r="M284" i="23"/>
  <c r="N284" i="23"/>
  <c r="O284" i="23"/>
  <c r="P284" i="23"/>
  <c r="N285" i="23"/>
  <c r="O285" i="23"/>
  <c r="P285" i="23"/>
  <c r="N286" i="23"/>
  <c r="O286" i="23"/>
  <c r="P286" i="23"/>
  <c r="M287" i="23"/>
  <c r="N287" i="23"/>
  <c r="O287" i="23"/>
  <c r="P287" i="23"/>
  <c r="N288" i="23"/>
  <c r="O288" i="23"/>
  <c r="P288" i="23"/>
  <c r="N289" i="23"/>
  <c r="O289" i="23"/>
  <c r="P289" i="23"/>
  <c r="N290" i="23"/>
  <c r="O290" i="23"/>
  <c r="P290" i="23"/>
  <c r="N291" i="23"/>
  <c r="O291" i="23"/>
  <c r="P291" i="23"/>
  <c r="N292" i="23"/>
  <c r="O292" i="23"/>
  <c r="P292" i="23"/>
  <c r="M293" i="23"/>
  <c r="N293" i="23"/>
  <c r="O293" i="23"/>
  <c r="P293" i="23"/>
  <c r="M266" i="23"/>
  <c r="N266" i="23"/>
  <c r="O266" i="23"/>
  <c r="P266" i="23"/>
  <c r="I275" i="22"/>
  <c r="J275" i="22"/>
  <c r="I276" i="22"/>
  <c r="J276" i="22"/>
  <c r="I277" i="22"/>
  <c r="J277" i="22"/>
  <c r="I278" i="22"/>
  <c r="J278" i="22"/>
  <c r="I279" i="22"/>
  <c r="J279" i="22"/>
  <c r="I280" i="22"/>
  <c r="J280" i="22"/>
  <c r="I281" i="22"/>
  <c r="J281" i="22"/>
  <c r="I282" i="22"/>
  <c r="J282" i="22"/>
  <c r="I283" i="22"/>
  <c r="J283" i="22"/>
  <c r="I284" i="22"/>
  <c r="J284" i="22"/>
  <c r="I285" i="22"/>
  <c r="J285" i="22"/>
  <c r="I286" i="22"/>
  <c r="J286" i="22"/>
  <c r="P265" i="23"/>
  <c r="O265" i="23"/>
  <c r="N265" i="23"/>
  <c r="P264" i="23"/>
  <c r="O264" i="23"/>
  <c r="N264" i="23"/>
  <c r="M264" i="23"/>
  <c r="P263" i="23"/>
  <c r="O263" i="23"/>
  <c r="N263" i="23"/>
  <c r="M263" i="23"/>
  <c r="P262" i="23"/>
  <c r="O262" i="23"/>
  <c r="N262" i="23"/>
  <c r="P261" i="23"/>
  <c r="O261" i="23"/>
  <c r="N261" i="23"/>
  <c r="M261" i="23"/>
  <c r="P260" i="23"/>
  <c r="O260" i="23"/>
  <c r="N260" i="23"/>
  <c r="M260" i="23"/>
  <c r="P259" i="23"/>
  <c r="O259" i="23"/>
  <c r="N259" i="23"/>
  <c r="P258" i="23"/>
  <c r="O258" i="23"/>
  <c r="N258" i="23"/>
  <c r="M258" i="23"/>
  <c r="I262" i="22"/>
  <c r="J262" i="22"/>
  <c r="I263" i="22"/>
  <c r="J263" i="22"/>
  <c r="I264" i="22"/>
  <c r="J264" i="22"/>
  <c r="I265" i="22"/>
  <c r="J265" i="22"/>
  <c r="I266" i="22"/>
  <c r="J266" i="22"/>
  <c r="I267" i="22"/>
  <c r="J267" i="22"/>
  <c r="I268" i="22"/>
  <c r="J268" i="22"/>
  <c r="I269" i="22"/>
  <c r="J269" i="22"/>
  <c r="I270" i="22"/>
  <c r="J270" i="22"/>
  <c r="I271" i="22"/>
  <c r="J271" i="22"/>
  <c r="I272" i="22"/>
  <c r="J272" i="22"/>
  <c r="I273" i="22"/>
  <c r="J273" i="22"/>
  <c r="I274" i="22"/>
  <c r="J274" i="22"/>
  <c r="N256" i="23"/>
  <c r="O256" i="23"/>
  <c r="P256" i="23"/>
  <c r="N257" i="23"/>
  <c r="O257" i="23"/>
  <c r="P257" i="23"/>
  <c r="N253" i="23"/>
  <c r="O253" i="23"/>
  <c r="P253" i="23"/>
  <c r="M254" i="23"/>
  <c r="N254" i="23"/>
  <c r="O254" i="23"/>
  <c r="P254" i="23"/>
  <c r="M255" i="23"/>
  <c r="N255" i="23"/>
  <c r="O255" i="23"/>
  <c r="P255" i="23"/>
  <c r="P252" i="23"/>
  <c r="O252" i="23"/>
  <c r="N252" i="23"/>
  <c r="J261" i="22"/>
  <c r="I261" i="22"/>
  <c r="J260" i="22"/>
  <c r="I260" i="22"/>
  <c r="J259" i="22"/>
  <c r="I259" i="22"/>
  <c r="J258" i="22"/>
  <c r="I258" i="22"/>
  <c r="J257" i="22"/>
  <c r="I257" i="22"/>
  <c r="J256" i="22"/>
  <c r="I256" i="22"/>
  <c r="J255" i="22"/>
  <c r="I255" i="22"/>
  <c r="J254" i="22"/>
  <c r="I254" i="22"/>
  <c r="J253" i="22"/>
  <c r="I253" i="22"/>
  <c r="J252" i="22"/>
  <c r="I252" i="22"/>
  <c r="J251" i="22"/>
  <c r="I251" i="22"/>
  <c r="J250" i="22"/>
  <c r="I250" i="22"/>
  <c r="J249" i="22"/>
  <c r="I249" i="22"/>
  <c r="J248" i="22"/>
  <c r="I248" i="22"/>
  <c r="M251" i="23"/>
  <c r="N251" i="23"/>
  <c r="O251" i="23"/>
  <c r="P251" i="23"/>
  <c r="I241" i="22"/>
  <c r="J241" i="22"/>
  <c r="I242" i="22"/>
  <c r="J242" i="22"/>
  <c r="I243" i="22"/>
  <c r="J243" i="22"/>
  <c r="I244" i="22"/>
  <c r="J244" i="22"/>
  <c r="I245" i="22"/>
  <c r="J245" i="22"/>
  <c r="I246" i="22"/>
  <c r="J246" i="22"/>
  <c r="I247" i="22"/>
  <c r="J247" i="22"/>
  <c r="I232" i="22"/>
  <c r="J232" i="22"/>
  <c r="I233" i="22"/>
  <c r="J233" i="22"/>
  <c r="I234" i="22"/>
  <c r="J234" i="22"/>
  <c r="I235" i="22"/>
  <c r="J235" i="22"/>
  <c r="I236" i="22"/>
  <c r="J236" i="22"/>
  <c r="I237" i="22"/>
  <c r="J237" i="22"/>
  <c r="I238" i="22"/>
  <c r="J238" i="22"/>
  <c r="I239" i="22"/>
  <c r="J239" i="22"/>
  <c r="I240" i="22"/>
  <c r="J240" i="22"/>
  <c r="N229" i="23"/>
  <c r="O229" i="23"/>
  <c r="P229" i="23"/>
  <c r="M230" i="23"/>
  <c r="N230" i="23"/>
  <c r="O230" i="23"/>
  <c r="P230" i="23"/>
  <c r="N231" i="23"/>
  <c r="O231" i="23"/>
  <c r="P231" i="23"/>
  <c r="M232" i="23"/>
  <c r="N232" i="23"/>
  <c r="O232" i="23"/>
  <c r="P232" i="23"/>
  <c r="N233" i="23"/>
  <c r="O233" i="23"/>
  <c r="P233" i="23"/>
  <c r="M234" i="23"/>
  <c r="N234" i="23"/>
  <c r="O234" i="23"/>
  <c r="P234" i="23"/>
  <c r="N235" i="23"/>
  <c r="O235" i="23"/>
  <c r="P235" i="23"/>
  <c r="M236" i="23"/>
  <c r="N236" i="23"/>
  <c r="O236" i="23"/>
  <c r="P236" i="23"/>
  <c r="N237" i="23"/>
  <c r="O237" i="23"/>
  <c r="P237" i="23"/>
  <c r="M238" i="23"/>
  <c r="N238" i="23"/>
  <c r="O238" i="23"/>
  <c r="P238" i="23"/>
  <c r="N239" i="23"/>
  <c r="O239" i="23"/>
  <c r="P239" i="23"/>
  <c r="M240" i="23"/>
  <c r="N240" i="23"/>
  <c r="O240" i="23"/>
  <c r="P240" i="23"/>
  <c r="N241" i="23"/>
  <c r="O241" i="23"/>
  <c r="P241" i="23"/>
  <c r="M242" i="23"/>
  <c r="N242" i="23"/>
  <c r="O242" i="23"/>
  <c r="P242" i="23"/>
  <c r="N243" i="23"/>
  <c r="O243" i="23"/>
  <c r="P243" i="23"/>
  <c r="M244" i="23"/>
  <c r="N244" i="23"/>
  <c r="O244" i="23"/>
  <c r="P244" i="23"/>
  <c r="M245" i="23"/>
  <c r="N245" i="23"/>
  <c r="O245" i="23"/>
  <c r="P245" i="23"/>
  <c r="M246" i="23"/>
  <c r="N246" i="23"/>
  <c r="O246" i="23"/>
  <c r="P246" i="23"/>
  <c r="N247" i="23"/>
  <c r="O247" i="23"/>
  <c r="P247" i="23"/>
  <c r="N248" i="23"/>
  <c r="O248" i="23"/>
  <c r="P248" i="23"/>
  <c r="M249" i="23"/>
  <c r="N249" i="23"/>
  <c r="O249" i="23"/>
  <c r="P249" i="23"/>
  <c r="N250" i="23"/>
  <c r="O250" i="23"/>
  <c r="P250" i="23"/>
  <c r="N220" i="23"/>
  <c r="O220" i="23"/>
  <c r="P220" i="23"/>
  <c r="M221" i="23"/>
  <c r="N221" i="23"/>
  <c r="O221" i="23"/>
  <c r="P221" i="23"/>
  <c r="N222" i="23"/>
  <c r="O222" i="23"/>
  <c r="P222" i="23"/>
  <c r="M223" i="23"/>
  <c r="N223" i="23"/>
  <c r="O223" i="23"/>
  <c r="P223" i="23"/>
  <c r="N224" i="23"/>
  <c r="O224" i="23"/>
  <c r="P224" i="23"/>
  <c r="M225" i="23"/>
  <c r="N225" i="23"/>
  <c r="O225" i="23"/>
  <c r="P225" i="23"/>
  <c r="M226" i="23"/>
  <c r="N226" i="23"/>
  <c r="O226" i="23"/>
  <c r="P226" i="23"/>
  <c r="N227" i="23"/>
  <c r="O227" i="23"/>
  <c r="P227" i="23"/>
  <c r="M228" i="23"/>
  <c r="N228" i="23"/>
  <c r="O228" i="23"/>
  <c r="P228" i="23"/>
  <c r="P219" i="23"/>
  <c r="O219" i="23"/>
  <c r="N219" i="23"/>
  <c r="P218" i="23"/>
  <c r="O218" i="23"/>
  <c r="N218" i="23"/>
  <c r="P217" i="23"/>
  <c r="O217" i="23"/>
  <c r="N217" i="23"/>
  <c r="P216" i="23"/>
  <c r="O216" i="23"/>
  <c r="N216" i="23"/>
  <c r="P215" i="23"/>
  <c r="O215" i="23"/>
  <c r="N215" i="23"/>
  <c r="P214" i="23"/>
  <c r="O214" i="23"/>
  <c r="N214" i="23"/>
  <c r="P213" i="23"/>
  <c r="O213" i="23"/>
  <c r="N213" i="23"/>
  <c r="P212" i="23"/>
  <c r="O212" i="23"/>
  <c r="N212" i="23"/>
  <c r="P211" i="23"/>
  <c r="O211" i="23"/>
  <c r="N211" i="23"/>
  <c r="P210" i="23"/>
  <c r="O210" i="23"/>
  <c r="N210" i="23"/>
  <c r="P209" i="23"/>
  <c r="O209" i="23"/>
  <c r="N209" i="23"/>
  <c r="P208" i="23"/>
  <c r="O208" i="23"/>
  <c r="N208" i="23"/>
  <c r="M208" i="23"/>
  <c r="P207" i="23"/>
  <c r="O207" i="23"/>
  <c r="N207" i="23"/>
  <c r="P206" i="23"/>
  <c r="O206" i="23"/>
  <c r="N206" i="23"/>
  <c r="M206" i="23"/>
  <c r="P205" i="23"/>
  <c r="O205" i="23"/>
  <c r="N205" i="23"/>
  <c r="P204" i="23"/>
  <c r="O204" i="23"/>
  <c r="N204" i="23"/>
  <c r="P203" i="23"/>
  <c r="O203" i="23"/>
  <c r="N203" i="23"/>
  <c r="P202" i="23"/>
  <c r="O202" i="23"/>
  <c r="N202" i="23"/>
  <c r="P201" i="23"/>
  <c r="O201" i="23"/>
  <c r="N201" i="23"/>
  <c r="P200" i="23"/>
  <c r="O200" i="23"/>
  <c r="N200" i="23"/>
  <c r="P199" i="23"/>
  <c r="O199" i="23"/>
  <c r="N199" i="23"/>
  <c r="P198" i="23"/>
  <c r="O198" i="23"/>
  <c r="N198" i="23"/>
  <c r="P197" i="23"/>
  <c r="O197" i="23"/>
  <c r="N197" i="23"/>
  <c r="P196" i="23"/>
  <c r="O196" i="23"/>
  <c r="N196" i="23"/>
  <c r="P195" i="23"/>
  <c r="O195" i="23"/>
  <c r="N195" i="23"/>
  <c r="P194" i="23"/>
  <c r="O194" i="23"/>
  <c r="N194" i="23"/>
  <c r="M194" i="23"/>
  <c r="J231" i="22"/>
  <c r="I231" i="22"/>
  <c r="J230" i="22"/>
  <c r="I230" i="22"/>
  <c r="J229" i="22"/>
  <c r="I229" i="22"/>
  <c r="J228" i="22"/>
  <c r="I228" i="22"/>
  <c r="J227" i="22"/>
  <c r="I227" i="22"/>
  <c r="J226" i="22"/>
  <c r="I226" i="22"/>
  <c r="J225" i="22"/>
  <c r="I225" i="22"/>
  <c r="J224" i="22"/>
  <c r="I224" i="22"/>
  <c r="J223" i="22"/>
  <c r="I223" i="22"/>
  <c r="J222" i="22"/>
  <c r="I222" i="22"/>
  <c r="J221" i="22"/>
  <c r="I221" i="22"/>
  <c r="J220" i="22"/>
  <c r="I220" i="22"/>
  <c r="J219" i="22"/>
  <c r="I219" i="22"/>
  <c r="J218" i="22"/>
  <c r="I218" i="22"/>
  <c r="J217" i="22"/>
  <c r="I217" i="22"/>
  <c r="J216" i="22"/>
  <c r="I216" i="22"/>
  <c r="J215" i="22"/>
  <c r="I215" i="22"/>
  <c r="J214" i="22"/>
  <c r="I214" i="22"/>
  <c r="J213" i="22"/>
  <c r="I213" i="22"/>
  <c r="J212" i="22"/>
  <c r="I212" i="22"/>
  <c r="J211" i="22"/>
  <c r="I211" i="22"/>
  <c r="J210" i="22"/>
  <c r="I210" i="22"/>
  <c r="J209" i="22"/>
  <c r="I209" i="22"/>
  <c r="J208" i="22"/>
  <c r="I208" i="22"/>
  <c r="J207" i="22"/>
  <c r="I207" i="22"/>
  <c r="J206" i="22"/>
  <c r="I206" i="22"/>
  <c r="E4" i="24"/>
  <c r="M191" i="23" l="1"/>
  <c r="N191" i="23"/>
  <c r="O191" i="23"/>
  <c r="P191" i="23"/>
  <c r="M192" i="23"/>
  <c r="N192" i="23"/>
  <c r="O192" i="23"/>
  <c r="P192" i="23"/>
  <c r="M193" i="23"/>
  <c r="N193" i="23"/>
  <c r="O193" i="23"/>
  <c r="P193" i="23"/>
  <c r="I193" i="22"/>
  <c r="J193" i="22"/>
  <c r="I194" i="22"/>
  <c r="J194" i="22"/>
  <c r="I195" i="22"/>
  <c r="J195" i="22"/>
  <c r="I196" i="22"/>
  <c r="J196" i="22"/>
  <c r="I197" i="22"/>
  <c r="J197" i="22"/>
  <c r="I198" i="22"/>
  <c r="J198" i="22"/>
  <c r="I199" i="22"/>
  <c r="J199" i="22"/>
  <c r="I200" i="22"/>
  <c r="J200" i="22"/>
  <c r="I201" i="22"/>
  <c r="J201" i="22"/>
  <c r="I202" i="22"/>
  <c r="J202" i="22"/>
  <c r="I203" i="22"/>
  <c r="J203" i="22"/>
  <c r="I204" i="22"/>
  <c r="J204" i="22"/>
  <c r="I205" i="22"/>
  <c r="J205" i="22"/>
  <c r="M182" i="23"/>
  <c r="N182" i="23"/>
  <c r="O182" i="23"/>
  <c r="P182" i="23"/>
  <c r="N183" i="23"/>
  <c r="O183" i="23"/>
  <c r="P183" i="23"/>
  <c r="N184" i="23"/>
  <c r="O184" i="23"/>
  <c r="P184" i="23"/>
  <c r="N185" i="23"/>
  <c r="O185" i="23"/>
  <c r="P185" i="23"/>
  <c r="N186" i="23"/>
  <c r="O186" i="23"/>
  <c r="P186" i="23"/>
  <c r="N187" i="23"/>
  <c r="O187" i="23"/>
  <c r="P187" i="23"/>
  <c r="N188" i="23"/>
  <c r="O188" i="23"/>
  <c r="P188" i="23"/>
  <c r="N189" i="23"/>
  <c r="O189" i="23"/>
  <c r="P189" i="23"/>
  <c r="M190" i="23"/>
  <c r="N190" i="23"/>
  <c r="O190" i="23"/>
  <c r="P190" i="23"/>
  <c r="I181" i="22"/>
  <c r="J181" i="22"/>
  <c r="I182" i="22"/>
  <c r="J182" i="22"/>
  <c r="I183" i="22"/>
  <c r="J183" i="22"/>
  <c r="I184" i="22"/>
  <c r="J184" i="22"/>
  <c r="I185" i="22"/>
  <c r="J185" i="22"/>
  <c r="I186" i="22"/>
  <c r="J186" i="22"/>
  <c r="I187" i="22"/>
  <c r="J187" i="22"/>
  <c r="I188" i="22"/>
  <c r="J188" i="22"/>
  <c r="I189" i="22"/>
  <c r="J189" i="22"/>
  <c r="I190" i="22"/>
  <c r="J190" i="22"/>
  <c r="I191" i="22"/>
  <c r="J191" i="22"/>
  <c r="I192" i="22"/>
  <c r="J192" i="22"/>
  <c r="N168" i="23"/>
  <c r="O168" i="23"/>
  <c r="P168" i="23"/>
  <c r="N169" i="23"/>
  <c r="O169" i="23"/>
  <c r="P169" i="23"/>
  <c r="N170" i="23"/>
  <c r="O170" i="23"/>
  <c r="P170" i="23"/>
  <c r="N171" i="23"/>
  <c r="O171" i="23"/>
  <c r="P171" i="23"/>
  <c r="N172" i="23"/>
  <c r="O172" i="23"/>
  <c r="P172" i="23"/>
  <c r="N173" i="23"/>
  <c r="O173" i="23"/>
  <c r="P173" i="23"/>
  <c r="N174" i="23"/>
  <c r="O174" i="23"/>
  <c r="P174" i="23"/>
  <c r="N175" i="23"/>
  <c r="O175" i="23"/>
  <c r="P175" i="23"/>
  <c r="N176" i="23"/>
  <c r="O176" i="23"/>
  <c r="P176" i="23"/>
  <c r="M177" i="23"/>
  <c r="N177" i="23"/>
  <c r="O177" i="23"/>
  <c r="P177" i="23"/>
  <c r="N178" i="23"/>
  <c r="O178" i="23"/>
  <c r="P178" i="23"/>
  <c r="N179" i="23"/>
  <c r="O179" i="23"/>
  <c r="P179" i="23"/>
  <c r="N180" i="23"/>
  <c r="O180" i="23"/>
  <c r="P180" i="23"/>
  <c r="N181" i="23"/>
  <c r="O181" i="23"/>
  <c r="P181" i="23"/>
  <c r="P167" i="23"/>
  <c r="O167" i="23"/>
  <c r="N167" i="23"/>
  <c r="P166" i="23"/>
  <c r="O166" i="23"/>
  <c r="N166" i="23"/>
  <c r="P165" i="23"/>
  <c r="O165" i="23"/>
  <c r="N165" i="23"/>
  <c r="P164" i="23"/>
  <c r="O164" i="23"/>
  <c r="N164" i="23"/>
  <c r="P163" i="23"/>
  <c r="O163" i="23"/>
  <c r="N163" i="23"/>
  <c r="P162" i="23"/>
  <c r="O162" i="23"/>
  <c r="N162" i="23"/>
  <c r="P161" i="23"/>
  <c r="O161" i="23"/>
  <c r="N161" i="23"/>
  <c r="P160" i="23"/>
  <c r="O160" i="23"/>
  <c r="N160" i="23"/>
  <c r="P159" i="23"/>
  <c r="O159" i="23"/>
  <c r="N159" i="23"/>
  <c r="M159" i="23"/>
  <c r="J180" i="22"/>
  <c r="I180" i="22"/>
  <c r="J179" i="22"/>
  <c r="I179" i="22"/>
  <c r="J178" i="22"/>
  <c r="I178" i="22"/>
  <c r="J177" i="22"/>
  <c r="I177" i="22"/>
  <c r="J176" i="22"/>
  <c r="I176" i="22"/>
  <c r="J175" i="22"/>
  <c r="I175" i="22"/>
  <c r="J174" i="22"/>
  <c r="I174" i="22"/>
  <c r="J173" i="22"/>
  <c r="I173" i="22"/>
  <c r="J172" i="22"/>
  <c r="I172" i="22"/>
  <c r="J171" i="22"/>
  <c r="I171" i="22"/>
  <c r="J170" i="22"/>
  <c r="I170" i="22"/>
  <c r="J169" i="22"/>
  <c r="I169" i="22"/>
  <c r="J168" i="22"/>
  <c r="I168" i="22"/>
  <c r="J167" i="22"/>
  <c r="I167" i="22"/>
  <c r="J166" i="22"/>
  <c r="I166" i="22"/>
  <c r="J165" i="22"/>
  <c r="I165" i="22"/>
  <c r="J164" i="22"/>
  <c r="I164" i="22"/>
  <c r="J163" i="22"/>
  <c r="I163" i="22"/>
  <c r="J162" i="22"/>
  <c r="I162" i="22"/>
  <c r="J161" i="22"/>
  <c r="I161" i="22"/>
  <c r="J160" i="22"/>
  <c r="I160" i="22"/>
  <c r="J159" i="22"/>
  <c r="I159" i="22"/>
  <c r="M158" i="23"/>
  <c r="N158" i="23"/>
  <c r="O158" i="23"/>
  <c r="P158" i="23"/>
  <c r="M136" i="23"/>
  <c r="N136" i="23"/>
  <c r="O136" i="23"/>
  <c r="P136" i="23"/>
  <c r="M137" i="23"/>
  <c r="N137" i="23"/>
  <c r="O137" i="23"/>
  <c r="P137" i="23"/>
  <c r="N138" i="23"/>
  <c r="O138" i="23"/>
  <c r="P138" i="23"/>
  <c r="M139" i="23"/>
  <c r="N139" i="23"/>
  <c r="O139" i="23"/>
  <c r="P139" i="23"/>
  <c r="M140" i="23"/>
  <c r="N140" i="23"/>
  <c r="O140" i="23"/>
  <c r="P140" i="23"/>
  <c r="N141" i="23"/>
  <c r="O141" i="23"/>
  <c r="P141" i="23"/>
  <c r="N142" i="23"/>
  <c r="O142" i="23"/>
  <c r="P142" i="23"/>
  <c r="N143" i="23"/>
  <c r="O143" i="23"/>
  <c r="P143" i="23"/>
  <c r="N144" i="23"/>
  <c r="O144" i="23"/>
  <c r="P144" i="23"/>
  <c r="N145" i="23"/>
  <c r="O145" i="23"/>
  <c r="P145" i="23"/>
  <c r="N146" i="23"/>
  <c r="O146" i="23"/>
  <c r="P146" i="23"/>
  <c r="N147" i="23"/>
  <c r="O147" i="23"/>
  <c r="P147" i="23"/>
  <c r="N148" i="23"/>
  <c r="O148" i="23"/>
  <c r="P148" i="23"/>
  <c r="N149" i="23"/>
  <c r="O149" i="23"/>
  <c r="P149" i="23"/>
  <c r="M150" i="23"/>
  <c r="N150" i="23"/>
  <c r="O150" i="23"/>
  <c r="P150" i="23"/>
  <c r="M151" i="23"/>
  <c r="N151" i="23"/>
  <c r="O151" i="23"/>
  <c r="P151" i="23"/>
  <c r="M152" i="23"/>
  <c r="N152" i="23"/>
  <c r="O152" i="23"/>
  <c r="P152" i="23"/>
  <c r="M153" i="23"/>
  <c r="N153" i="23"/>
  <c r="O153" i="23"/>
  <c r="P153" i="23"/>
  <c r="N154" i="23"/>
  <c r="O154" i="23"/>
  <c r="P154" i="23"/>
  <c r="M155" i="23"/>
  <c r="N155" i="23"/>
  <c r="O155" i="23"/>
  <c r="P155" i="23"/>
  <c r="M156" i="23"/>
  <c r="N156" i="23"/>
  <c r="O156" i="23"/>
  <c r="P156" i="23"/>
  <c r="M157" i="23"/>
  <c r="N157" i="23"/>
  <c r="O157" i="23"/>
  <c r="P157" i="23"/>
  <c r="I147" i="22"/>
  <c r="J147" i="22"/>
  <c r="I148" i="22"/>
  <c r="J148" i="22"/>
  <c r="I149" i="22"/>
  <c r="J149" i="22"/>
  <c r="I150" i="22"/>
  <c r="J150" i="22"/>
  <c r="I151" i="22"/>
  <c r="J151" i="22"/>
  <c r="I152" i="22"/>
  <c r="J152" i="22"/>
  <c r="I153" i="22"/>
  <c r="J153" i="22"/>
  <c r="I154" i="22"/>
  <c r="J154" i="22"/>
  <c r="I155" i="22"/>
  <c r="J155" i="22"/>
  <c r="I156" i="22"/>
  <c r="J156" i="22"/>
  <c r="I157" i="22"/>
  <c r="J157" i="22"/>
  <c r="I158" i="22"/>
  <c r="J158" i="22"/>
  <c r="M133" i="23"/>
  <c r="N133" i="23"/>
  <c r="O133" i="23"/>
  <c r="P133" i="23"/>
  <c r="N134" i="23"/>
  <c r="O134" i="23"/>
  <c r="P134" i="23"/>
  <c r="M135" i="23"/>
  <c r="N135" i="23"/>
  <c r="O135" i="23"/>
  <c r="P135" i="23"/>
  <c r="I129" i="22"/>
  <c r="J129" i="22"/>
  <c r="I130" i="22"/>
  <c r="J130" i="22"/>
  <c r="I131" i="22"/>
  <c r="J131" i="22"/>
  <c r="I132" i="22"/>
  <c r="J132" i="22"/>
  <c r="I133" i="22"/>
  <c r="J133" i="22"/>
  <c r="I134" i="22"/>
  <c r="J134" i="22"/>
  <c r="I135" i="22"/>
  <c r="J135" i="22"/>
  <c r="I136" i="22"/>
  <c r="J136" i="22"/>
  <c r="I137" i="22"/>
  <c r="J137" i="22"/>
  <c r="I138" i="22"/>
  <c r="J138" i="22"/>
  <c r="I139" i="22"/>
  <c r="J139" i="22"/>
  <c r="I140" i="22"/>
  <c r="J140" i="22"/>
  <c r="I141" i="22"/>
  <c r="J141" i="22"/>
  <c r="I142" i="22"/>
  <c r="J142" i="22"/>
  <c r="I143" i="22"/>
  <c r="J143" i="22"/>
  <c r="I144" i="22"/>
  <c r="J144" i="22"/>
  <c r="I145" i="22"/>
  <c r="J145" i="22"/>
  <c r="I146" i="22"/>
  <c r="J146" i="22"/>
  <c r="N119" i="23"/>
  <c r="O119" i="23"/>
  <c r="P119" i="23"/>
  <c r="N120" i="23"/>
  <c r="O120" i="23"/>
  <c r="P120" i="23"/>
  <c r="N121" i="23"/>
  <c r="O121" i="23"/>
  <c r="P121" i="23"/>
  <c r="N122" i="23"/>
  <c r="O122" i="23"/>
  <c r="P122" i="23"/>
  <c r="N123" i="23"/>
  <c r="O123" i="23"/>
  <c r="P123" i="23"/>
  <c r="M124" i="23"/>
  <c r="N124" i="23"/>
  <c r="O124" i="23"/>
  <c r="P124" i="23"/>
  <c r="M125" i="23"/>
  <c r="N125" i="23"/>
  <c r="O125" i="23"/>
  <c r="P125" i="23"/>
  <c r="N126" i="23"/>
  <c r="O126" i="23"/>
  <c r="P126" i="23"/>
  <c r="N127" i="23"/>
  <c r="O127" i="23"/>
  <c r="P127" i="23"/>
  <c r="N128" i="23"/>
  <c r="O128" i="23"/>
  <c r="P128" i="23"/>
  <c r="N129" i="23"/>
  <c r="O129" i="23"/>
  <c r="P129" i="23"/>
  <c r="M130" i="23"/>
  <c r="N130" i="23"/>
  <c r="O130" i="23"/>
  <c r="P130" i="23"/>
  <c r="M131" i="23"/>
  <c r="N131" i="23"/>
  <c r="O131" i="23"/>
  <c r="P131" i="23"/>
  <c r="N132" i="23"/>
  <c r="O132" i="23"/>
  <c r="P132" i="23"/>
  <c r="I120" i="22"/>
  <c r="J120" i="22"/>
  <c r="I121" i="22"/>
  <c r="J121" i="22"/>
  <c r="I122" i="22"/>
  <c r="J122" i="22"/>
  <c r="I123" i="22"/>
  <c r="J123" i="22"/>
  <c r="I124" i="22"/>
  <c r="J124" i="22"/>
  <c r="I125" i="22"/>
  <c r="J125" i="22"/>
  <c r="I126" i="22"/>
  <c r="J126" i="22"/>
  <c r="I127" i="22"/>
  <c r="J127" i="22"/>
  <c r="I128" i="22"/>
  <c r="J128" i="22"/>
  <c r="P118" i="23"/>
  <c r="O118" i="23"/>
  <c r="N118" i="23"/>
  <c r="M118" i="23"/>
  <c r="P117" i="23"/>
  <c r="O117" i="23"/>
  <c r="N117" i="23"/>
  <c r="M117" i="23"/>
  <c r="P116" i="23"/>
  <c r="O116" i="23"/>
  <c r="N116" i="23"/>
  <c r="P115" i="23"/>
  <c r="O115" i="23"/>
  <c r="N115" i="23"/>
  <c r="M115" i="23"/>
  <c r="P114" i="23"/>
  <c r="O114" i="23"/>
  <c r="N114" i="23"/>
  <c r="M114" i="23"/>
  <c r="P113" i="23"/>
  <c r="O113" i="23"/>
  <c r="N113" i="23"/>
  <c r="P112" i="23"/>
  <c r="O112" i="23"/>
  <c r="N112" i="23"/>
  <c r="M112" i="23"/>
  <c r="P111" i="23"/>
  <c r="O111" i="23"/>
  <c r="N111" i="23"/>
  <c r="M111" i="23"/>
  <c r="I115" i="22"/>
  <c r="J115" i="22"/>
  <c r="I116" i="22"/>
  <c r="J116" i="22"/>
  <c r="I117" i="22"/>
  <c r="J117" i="22"/>
  <c r="I118" i="22"/>
  <c r="J118" i="22"/>
  <c r="I119" i="22"/>
  <c r="J119" i="22"/>
  <c r="I104" i="22"/>
  <c r="J104" i="22"/>
  <c r="I105" i="22"/>
  <c r="J105" i="22"/>
  <c r="I106" i="22"/>
  <c r="J106" i="22"/>
  <c r="I107" i="22"/>
  <c r="J107" i="22"/>
  <c r="I108" i="22"/>
  <c r="J108" i="22"/>
  <c r="I109" i="22"/>
  <c r="J109" i="22"/>
  <c r="I110" i="22"/>
  <c r="J110" i="22"/>
  <c r="I111" i="22"/>
  <c r="J111" i="22"/>
  <c r="I112" i="22"/>
  <c r="J112" i="22"/>
  <c r="I113" i="22"/>
  <c r="J113" i="22"/>
  <c r="I114" i="22"/>
  <c r="J114" i="22"/>
  <c r="P110" i="23"/>
  <c r="O110" i="23"/>
  <c r="N110" i="23"/>
  <c r="P109" i="23"/>
  <c r="O109" i="23"/>
  <c r="N109" i="23"/>
  <c r="P108" i="23"/>
  <c r="O108" i="23"/>
  <c r="N108" i="23"/>
  <c r="P107" i="23"/>
  <c r="O107" i="23"/>
  <c r="N107" i="23"/>
  <c r="P106" i="23"/>
  <c r="O106" i="23"/>
  <c r="N106" i="23"/>
  <c r="P105" i="23"/>
  <c r="O105" i="23"/>
  <c r="N105" i="23"/>
  <c r="M105" i="23"/>
  <c r="P104" i="23"/>
  <c r="O104" i="23"/>
  <c r="N104" i="23"/>
  <c r="M104" i="23"/>
  <c r="P103" i="23"/>
  <c r="O103" i="23"/>
  <c r="N103" i="23"/>
  <c r="M103" i="23"/>
  <c r="P102" i="23"/>
  <c r="O102" i="23"/>
  <c r="N102" i="23"/>
  <c r="P101" i="23"/>
  <c r="O101" i="23"/>
  <c r="N101" i="23"/>
  <c r="P100" i="23"/>
  <c r="O100" i="23"/>
  <c r="N100" i="23"/>
  <c r="M100" i="23"/>
  <c r="I103" i="22"/>
  <c r="J103" i="22"/>
  <c r="P99" i="23"/>
  <c r="O99" i="23"/>
  <c r="N99" i="23"/>
  <c r="M99" i="23"/>
  <c r="P98" i="23"/>
  <c r="O98" i="23"/>
  <c r="N98" i="23"/>
  <c r="P97" i="23"/>
  <c r="O97" i="23"/>
  <c r="N97" i="23"/>
  <c r="M97" i="23"/>
  <c r="I95" i="22"/>
  <c r="J95" i="22"/>
  <c r="I96" i="22"/>
  <c r="J96" i="22"/>
  <c r="I97" i="22"/>
  <c r="J97" i="22"/>
  <c r="I98" i="22"/>
  <c r="J98" i="22"/>
  <c r="I99" i="22"/>
  <c r="J99" i="22"/>
  <c r="I100" i="22"/>
  <c r="J100" i="22"/>
  <c r="I101" i="22"/>
  <c r="J101" i="22"/>
  <c r="I102" i="22"/>
  <c r="J102" i="22"/>
  <c r="N79" i="23"/>
  <c r="O79" i="23"/>
  <c r="P79" i="23"/>
  <c r="M80" i="23"/>
  <c r="N80" i="23"/>
  <c r="O80" i="23"/>
  <c r="P80" i="23"/>
  <c r="M81" i="23"/>
  <c r="N81" i="23"/>
  <c r="O81" i="23"/>
  <c r="P81" i="23"/>
  <c r="N82" i="23"/>
  <c r="O82" i="23"/>
  <c r="P82" i="23"/>
  <c r="N83" i="23"/>
  <c r="O83" i="23"/>
  <c r="P83" i="23"/>
  <c r="N84" i="23"/>
  <c r="O84" i="23"/>
  <c r="P84" i="23"/>
  <c r="M85" i="23"/>
  <c r="N85" i="23"/>
  <c r="O85" i="23"/>
  <c r="P85" i="23"/>
  <c r="M86" i="23"/>
  <c r="N86" i="23"/>
  <c r="O86" i="23"/>
  <c r="P86" i="23"/>
  <c r="M87" i="23"/>
  <c r="N87" i="23"/>
  <c r="O87" i="23"/>
  <c r="P87" i="23"/>
  <c r="N88" i="23"/>
  <c r="O88" i="23"/>
  <c r="P88" i="23"/>
  <c r="N89" i="23"/>
  <c r="O89" i="23"/>
  <c r="P89" i="23"/>
  <c r="N90" i="23"/>
  <c r="O90" i="23"/>
  <c r="P90" i="23"/>
  <c r="N91" i="23"/>
  <c r="O91" i="23"/>
  <c r="P91" i="23"/>
  <c r="M92" i="23"/>
  <c r="N92" i="23"/>
  <c r="O92" i="23"/>
  <c r="P92" i="23"/>
  <c r="M93" i="23"/>
  <c r="N93" i="23"/>
  <c r="O93" i="23"/>
  <c r="P93" i="23"/>
  <c r="M94" i="23"/>
  <c r="N94" i="23"/>
  <c r="O94" i="23"/>
  <c r="P94" i="23"/>
  <c r="N95" i="23"/>
  <c r="O95" i="23"/>
  <c r="P95" i="23"/>
  <c r="N96" i="23"/>
  <c r="O96" i="23"/>
  <c r="P96" i="23"/>
  <c r="I83" i="22"/>
  <c r="J83" i="22"/>
  <c r="I84" i="22"/>
  <c r="J84" i="22"/>
  <c r="I85" i="22"/>
  <c r="J85" i="22"/>
  <c r="I86" i="22"/>
  <c r="J86" i="22"/>
  <c r="I87" i="22"/>
  <c r="J87" i="22"/>
  <c r="I88" i="22"/>
  <c r="J88" i="22"/>
  <c r="I89" i="22"/>
  <c r="J89" i="22"/>
  <c r="I90" i="22"/>
  <c r="J90" i="22"/>
  <c r="I91" i="22"/>
  <c r="J91" i="22"/>
  <c r="I92" i="22"/>
  <c r="J92" i="22"/>
  <c r="I93" i="22"/>
  <c r="J93" i="22"/>
  <c r="I94" i="22"/>
  <c r="J94" i="22"/>
  <c r="I82" i="22"/>
  <c r="J82" i="22"/>
  <c r="N75" i="23"/>
  <c r="O75" i="23"/>
  <c r="P75" i="23"/>
  <c r="M76" i="23"/>
  <c r="N76" i="23"/>
  <c r="O76" i="23"/>
  <c r="P76" i="23"/>
  <c r="N77" i="23"/>
  <c r="O77" i="23"/>
  <c r="P77" i="23"/>
  <c r="M78" i="23"/>
  <c r="N78" i="23"/>
  <c r="O78" i="23"/>
  <c r="P78" i="23"/>
  <c r="I73" i="22"/>
  <c r="J73" i="22"/>
  <c r="I74" i="22"/>
  <c r="J74" i="22"/>
  <c r="I75" i="22"/>
  <c r="J75" i="22"/>
  <c r="I76" i="22"/>
  <c r="J76" i="22"/>
  <c r="I77" i="22"/>
  <c r="J77" i="22"/>
  <c r="I78" i="22"/>
  <c r="J78" i="22"/>
  <c r="I79" i="22"/>
  <c r="J79" i="22"/>
  <c r="I80" i="22"/>
  <c r="J80" i="22"/>
  <c r="I81" i="22"/>
  <c r="J81" i="22"/>
  <c r="M63" i="23"/>
  <c r="N63" i="23"/>
  <c r="O63" i="23"/>
  <c r="P63" i="23"/>
  <c r="N64" i="23"/>
  <c r="O64" i="23"/>
  <c r="P64" i="23"/>
  <c r="M65" i="23"/>
  <c r="N65" i="23"/>
  <c r="O65" i="23"/>
  <c r="P65" i="23"/>
  <c r="N66" i="23"/>
  <c r="O66" i="23"/>
  <c r="P66" i="23"/>
  <c r="M67" i="23"/>
  <c r="N67" i="23"/>
  <c r="O67" i="23"/>
  <c r="P67" i="23"/>
  <c r="N68" i="23"/>
  <c r="O68" i="23"/>
  <c r="P68" i="23"/>
  <c r="M69" i="23"/>
  <c r="N69" i="23"/>
  <c r="O69" i="23"/>
  <c r="P69" i="23"/>
  <c r="N70" i="23"/>
  <c r="O70" i="23"/>
  <c r="P70" i="23"/>
  <c r="M71" i="23"/>
  <c r="N71" i="23"/>
  <c r="O71" i="23"/>
  <c r="P71" i="23"/>
  <c r="M72" i="23"/>
  <c r="N72" i="23"/>
  <c r="O72" i="23"/>
  <c r="P72" i="23"/>
  <c r="N73" i="23"/>
  <c r="O73" i="23"/>
  <c r="P73" i="23"/>
  <c r="N74" i="23"/>
  <c r="O74" i="23"/>
  <c r="P74" i="23"/>
  <c r="N62" i="23"/>
  <c r="O62" i="23"/>
  <c r="P62" i="23"/>
  <c r="N61" i="23" l="1"/>
  <c r="O61" i="23"/>
  <c r="P61" i="23"/>
  <c r="P60" i="23" l="1"/>
  <c r="O60" i="23"/>
  <c r="N60" i="23"/>
  <c r="M60" i="23"/>
  <c r="P59" i="23"/>
  <c r="O59" i="23"/>
  <c r="N59" i="23"/>
  <c r="M59" i="23"/>
  <c r="I55" i="22"/>
  <c r="J55" i="22"/>
  <c r="I56" i="22"/>
  <c r="J56" i="22"/>
  <c r="I57" i="22"/>
  <c r="J57" i="22"/>
  <c r="I58" i="22"/>
  <c r="J58" i="22"/>
  <c r="I59" i="22"/>
  <c r="J59" i="22"/>
  <c r="I60" i="22"/>
  <c r="J60" i="22"/>
  <c r="I61" i="22"/>
  <c r="J61" i="22"/>
  <c r="I62" i="22"/>
  <c r="J62" i="22"/>
  <c r="I63" i="22"/>
  <c r="J63" i="22"/>
  <c r="I64" i="22"/>
  <c r="J64" i="22"/>
  <c r="I65" i="22"/>
  <c r="J65" i="22"/>
  <c r="I66" i="22"/>
  <c r="J66" i="22"/>
  <c r="I67" i="22"/>
  <c r="J67" i="22"/>
  <c r="I68" i="22"/>
  <c r="J68" i="22"/>
  <c r="I69" i="22"/>
  <c r="J69" i="22"/>
  <c r="I70" i="22"/>
  <c r="J70" i="22"/>
  <c r="I71" i="22"/>
  <c r="J71" i="22"/>
  <c r="I72" i="22"/>
  <c r="J72" i="22"/>
  <c r="N51" i="23"/>
  <c r="O51" i="23"/>
  <c r="P51" i="23"/>
  <c r="M52" i="23"/>
  <c r="N52" i="23"/>
  <c r="O52" i="23"/>
  <c r="P52" i="23"/>
  <c r="N53" i="23"/>
  <c r="O53" i="23"/>
  <c r="P53" i="23"/>
  <c r="N54" i="23"/>
  <c r="O54" i="23"/>
  <c r="P54" i="23"/>
  <c r="N55" i="23"/>
  <c r="O55" i="23"/>
  <c r="P55" i="23"/>
  <c r="N56" i="23"/>
  <c r="O56" i="23"/>
  <c r="P56" i="23"/>
  <c r="N57" i="23"/>
  <c r="O57" i="23"/>
  <c r="P57" i="23"/>
  <c r="N58" i="23"/>
  <c r="O58" i="23"/>
  <c r="P58" i="23"/>
  <c r="N50" i="23"/>
  <c r="O50" i="23"/>
  <c r="P50" i="23"/>
  <c r="N47" i="23"/>
  <c r="O47" i="23"/>
  <c r="P47" i="23"/>
  <c r="N48" i="23"/>
  <c r="O48" i="23"/>
  <c r="P48" i="23"/>
  <c r="M49" i="23"/>
  <c r="N49" i="23"/>
  <c r="O49" i="23"/>
  <c r="P49" i="23"/>
  <c r="I53" i="22" l="1"/>
  <c r="J53" i="22"/>
  <c r="I54" i="22"/>
  <c r="J54" i="22"/>
  <c r="N43" i="23" l="1"/>
  <c r="O43" i="23"/>
  <c r="P43" i="23"/>
  <c r="M44" i="23"/>
  <c r="N44" i="23"/>
  <c r="O44" i="23"/>
  <c r="P44" i="23"/>
  <c r="N45" i="23"/>
  <c r="O45" i="23"/>
  <c r="P45" i="23"/>
  <c r="N46" i="23"/>
  <c r="O46" i="23"/>
  <c r="P46" i="23"/>
  <c r="N31" i="23"/>
  <c r="O31" i="23"/>
  <c r="P31" i="23"/>
  <c r="N32" i="23"/>
  <c r="O32" i="23"/>
  <c r="P32" i="23"/>
  <c r="N33" i="23"/>
  <c r="O33" i="23"/>
  <c r="P33" i="23"/>
  <c r="N34" i="23"/>
  <c r="O34" i="23"/>
  <c r="P34" i="23"/>
  <c r="N35" i="23"/>
  <c r="O35" i="23"/>
  <c r="P35" i="23"/>
  <c r="M36" i="23"/>
  <c r="N36" i="23"/>
  <c r="O36" i="23"/>
  <c r="P36" i="23"/>
  <c r="N37" i="23"/>
  <c r="O37" i="23"/>
  <c r="P37" i="23"/>
  <c r="N38" i="23"/>
  <c r="O38" i="23"/>
  <c r="P38" i="23"/>
  <c r="N39" i="23"/>
  <c r="O39" i="23"/>
  <c r="P39" i="23"/>
  <c r="N40" i="23"/>
  <c r="O40" i="23"/>
  <c r="P40" i="23"/>
  <c r="M41" i="23"/>
  <c r="N41" i="23"/>
  <c r="O41" i="23"/>
  <c r="P41" i="23"/>
  <c r="N42" i="23"/>
  <c r="O42" i="23"/>
  <c r="P42" i="23"/>
  <c r="I38" i="22"/>
  <c r="J38" i="22"/>
  <c r="I39" i="22"/>
  <c r="J39" i="22"/>
  <c r="I40" i="22"/>
  <c r="J40" i="22"/>
  <c r="I41" i="22"/>
  <c r="J41" i="22"/>
  <c r="I42" i="22"/>
  <c r="J42" i="22"/>
  <c r="I43" i="22"/>
  <c r="J43" i="22"/>
  <c r="I44" i="22"/>
  <c r="J44" i="22"/>
  <c r="I45" i="22"/>
  <c r="J45" i="22"/>
  <c r="I46" i="22"/>
  <c r="J46" i="22"/>
  <c r="I47" i="22"/>
  <c r="J47" i="22"/>
  <c r="I48" i="22"/>
  <c r="J48" i="22"/>
  <c r="I49" i="22"/>
  <c r="J49" i="22"/>
  <c r="I50" i="22"/>
  <c r="J50" i="22"/>
  <c r="I51" i="22"/>
  <c r="J51" i="22"/>
  <c r="I52" i="22"/>
  <c r="J52" i="22"/>
  <c r="N28" i="23"/>
  <c r="O28" i="23"/>
  <c r="P28" i="23"/>
  <c r="M29" i="23"/>
  <c r="N29" i="23"/>
  <c r="O29" i="23"/>
  <c r="P29" i="23"/>
  <c r="N30" i="23"/>
  <c r="O30" i="23"/>
  <c r="P30" i="23"/>
  <c r="I36" i="22"/>
  <c r="J36" i="22"/>
  <c r="I37" i="22"/>
  <c r="J37" i="22"/>
  <c r="I29" i="22"/>
  <c r="J29" i="22"/>
  <c r="I30" i="22"/>
  <c r="J30" i="22"/>
  <c r="I31" i="22"/>
  <c r="J31" i="22"/>
  <c r="I32" i="22"/>
  <c r="J32" i="22"/>
  <c r="I33" i="22"/>
  <c r="J33" i="22"/>
  <c r="I34" i="22"/>
  <c r="J34" i="22"/>
  <c r="I35" i="22"/>
  <c r="J35" i="22"/>
  <c r="M20" i="23"/>
  <c r="N20" i="23"/>
  <c r="O20" i="23"/>
  <c r="P20" i="23"/>
  <c r="N21" i="23"/>
  <c r="O21" i="23"/>
  <c r="P21" i="23"/>
  <c r="M22" i="23"/>
  <c r="N22" i="23"/>
  <c r="O22" i="23"/>
  <c r="P22" i="23"/>
  <c r="N23" i="23"/>
  <c r="O23" i="23"/>
  <c r="P23" i="23"/>
  <c r="M24" i="23"/>
  <c r="N24" i="23"/>
  <c r="O24" i="23"/>
  <c r="P24" i="23"/>
  <c r="M25" i="23"/>
  <c r="N25" i="23"/>
  <c r="O25" i="23"/>
  <c r="P25" i="23"/>
  <c r="M26" i="23"/>
  <c r="N26" i="23"/>
  <c r="O26" i="23"/>
  <c r="P26" i="23"/>
  <c r="M27" i="23"/>
  <c r="N27" i="23"/>
  <c r="O27" i="23"/>
  <c r="P27" i="23"/>
  <c r="I16" i="22"/>
  <c r="J16" i="22"/>
  <c r="I17" i="22"/>
  <c r="J17" i="22"/>
  <c r="I18" i="22"/>
  <c r="J18" i="22"/>
  <c r="I19" i="22"/>
  <c r="J19" i="22"/>
  <c r="I20" i="22"/>
  <c r="J20" i="22"/>
  <c r="I21" i="22"/>
  <c r="J21" i="22"/>
  <c r="I22" i="22"/>
  <c r="J22" i="22"/>
  <c r="I23" i="22"/>
  <c r="J23" i="22"/>
  <c r="I24" i="22"/>
  <c r="J24" i="22"/>
  <c r="I25" i="22"/>
  <c r="J25" i="22"/>
  <c r="I26" i="22"/>
  <c r="J26" i="22"/>
  <c r="I27" i="22"/>
  <c r="J27" i="22"/>
  <c r="I28" i="22"/>
  <c r="J28" i="22"/>
  <c r="N7" i="23"/>
  <c r="O7" i="23"/>
  <c r="P7" i="23"/>
  <c r="M8" i="23"/>
  <c r="N8" i="23"/>
  <c r="O8" i="23"/>
  <c r="P8" i="23"/>
  <c r="M9" i="23"/>
  <c r="N9" i="23"/>
  <c r="O9" i="23"/>
  <c r="P9" i="23"/>
  <c r="M10" i="23"/>
  <c r="N10" i="23"/>
  <c r="O10" i="23"/>
  <c r="P10" i="23"/>
  <c r="N11" i="23"/>
  <c r="O11" i="23"/>
  <c r="P11" i="23"/>
  <c r="N12" i="23"/>
  <c r="O12" i="23"/>
  <c r="P12" i="23"/>
  <c r="M13" i="23"/>
  <c r="N13" i="23"/>
  <c r="O13" i="23"/>
  <c r="P13" i="23"/>
  <c r="M14" i="23"/>
  <c r="N14" i="23"/>
  <c r="O14" i="23"/>
  <c r="P14" i="23"/>
  <c r="M15" i="23"/>
  <c r="N15" i="23"/>
  <c r="O15" i="23"/>
  <c r="P15" i="23"/>
  <c r="M16" i="23"/>
  <c r="N16" i="23"/>
  <c r="O16" i="23"/>
  <c r="P16" i="23"/>
  <c r="N17" i="23"/>
  <c r="O17" i="23"/>
  <c r="P17" i="23"/>
  <c r="N18" i="23"/>
  <c r="O18" i="23"/>
  <c r="P18" i="23"/>
  <c r="M19" i="23"/>
  <c r="N19" i="23"/>
  <c r="O19" i="23"/>
  <c r="P19" i="23"/>
  <c r="I6" i="22"/>
  <c r="J6" i="22"/>
  <c r="I7" i="22"/>
  <c r="J7" i="22"/>
  <c r="I8" i="22"/>
  <c r="J8" i="22"/>
  <c r="I9" i="22"/>
  <c r="J9" i="22"/>
  <c r="I10" i="22"/>
  <c r="J10" i="22"/>
  <c r="I11" i="22"/>
  <c r="J11" i="22"/>
  <c r="I12" i="22"/>
  <c r="J12" i="22"/>
  <c r="I13" i="22"/>
  <c r="J13" i="22"/>
  <c r="I14" i="22"/>
  <c r="J14" i="22"/>
  <c r="I15" i="22"/>
  <c r="J15" i="22"/>
  <c r="I2" i="22"/>
  <c r="J2" i="22"/>
  <c r="I3" i="22"/>
  <c r="J3" i="22"/>
  <c r="I4" i="22"/>
  <c r="J4" i="22"/>
  <c r="I5" i="22"/>
  <c r="J5" i="22"/>
  <c r="M2" i="23"/>
  <c r="N2" i="23"/>
  <c r="O2" i="23"/>
  <c r="P2" i="23"/>
  <c r="M3" i="23"/>
  <c r="N3" i="23"/>
  <c r="O3" i="23"/>
  <c r="P3" i="23"/>
  <c r="N4" i="23"/>
  <c r="O4" i="23"/>
  <c r="P4" i="23"/>
  <c r="N5" i="23"/>
  <c r="O5" i="23"/>
  <c r="P5" i="23"/>
  <c r="N6" i="23"/>
  <c r="O6" i="23"/>
  <c r="P6" i="23"/>
  <c r="D30" i="27" l="1" a="1"/>
  <c r="D22" i="27" a="1"/>
  <c r="C28" i="27" a="1"/>
  <c r="C22" i="27" a="1"/>
  <c r="D9" i="27" a="1"/>
  <c r="D14" i="27" a="1"/>
  <c r="D11" i="27" a="1"/>
  <c r="C17" i="27" a="1"/>
  <c r="C8" i="27" a="1"/>
  <c r="C31" i="27" a="1"/>
  <c r="C14" i="27" a="1"/>
  <c r="D17" i="27" a="1"/>
  <c r="D10" i="27" a="1"/>
  <c r="C16" i="27" a="1"/>
  <c r="D33" i="27" a="1"/>
  <c r="D27" i="27" a="1"/>
  <c r="C33" i="27" a="1"/>
  <c r="C29" i="27" a="1"/>
  <c r="C23" i="27" a="1"/>
  <c r="C7" i="27" a="1"/>
  <c r="D12" i="27" a="1"/>
  <c r="D7" i="27" a="1"/>
  <c r="C13" i="27" a="1"/>
  <c r="D29" i="27" a="1"/>
  <c r="D26" i="27" a="1"/>
  <c r="C30" i="27" a="1"/>
  <c r="C24" i="27" a="1"/>
  <c r="C27" i="27" a="1"/>
  <c r="D16" i="27" a="1"/>
  <c r="D8" i="27" a="1"/>
  <c r="C12" i="27" a="1"/>
  <c r="D31" i="27" a="1"/>
  <c r="D24" i="27" a="1"/>
  <c r="D13" i="27" a="1"/>
  <c r="D6" i="27" a="1"/>
  <c r="C11" i="27" a="1"/>
  <c r="C6" i="27" a="1"/>
  <c r="D28" i="27" a="1"/>
  <c r="D25" i="27" a="1"/>
  <c r="C32" i="27" a="1"/>
  <c r="C26" i="27" a="1"/>
  <c r="C15" i="27" a="1"/>
  <c r="C10" i="27" a="1"/>
  <c r="C9" i="27" a="1"/>
  <c r="D32" i="27" a="1"/>
  <c r="D23" i="27" a="1"/>
  <c r="C25" i="27" a="1"/>
  <c r="D15" i="27" a="1"/>
  <c r="G8" i="27" a="1"/>
  <c r="H8" i="27" a="1"/>
  <c r="G6" i="27" a="1"/>
  <c r="G7" i="27" a="1"/>
  <c r="H6" i="27" a="1"/>
  <c r="H7" i="27" a="1"/>
  <c r="D8" i="24"/>
  <c r="D33" i="25" l="1"/>
  <c r="D34" i="25"/>
  <c r="D35" i="25"/>
  <c r="D36" i="25"/>
  <c r="D37" i="25"/>
  <c r="D38" i="25"/>
  <c r="D39" i="25"/>
  <c r="D40" i="25"/>
  <c r="D41" i="25"/>
  <c r="D42" i="25"/>
  <c r="D43" i="25"/>
  <c r="D5" i="25" l="1"/>
  <c r="D6" i="25"/>
  <c r="M1468" i="23" s="1"/>
  <c r="D7" i="25"/>
  <c r="D4" i="25"/>
  <c r="D3" i="25"/>
  <c r="M1465" i="23" s="1"/>
  <c r="F2" i="24"/>
  <c r="M1433" i="23" l="1"/>
  <c r="M1467" i="23"/>
  <c r="M1435" i="23"/>
  <c r="M1469" i="23"/>
  <c r="M1463" i="23"/>
  <c r="M1466" i="23"/>
  <c r="M1430" i="23"/>
  <c r="M1428" i="23"/>
  <c r="M1462" i="23"/>
  <c r="M1395" i="23"/>
  <c r="M1434" i="23"/>
  <c r="M1415" i="23"/>
  <c r="M1432" i="23"/>
  <c r="M1397" i="23"/>
  <c r="M1413" i="23"/>
  <c r="M1384" i="23"/>
  <c r="M1394" i="23"/>
  <c r="M1383" i="23"/>
  <c r="M1393" i="23"/>
  <c r="M1388" i="23"/>
  <c r="M1390" i="23"/>
  <c r="M1372" i="23"/>
  <c r="M1385" i="23"/>
  <c r="M1373" i="23"/>
  <c r="M1386" i="23"/>
  <c r="M1370" i="23"/>
  <c r="M1366" i="23"/>
  <c r="M1369" i="23"/>
  <c r="M1365" i="23"/>
  <c r="M1371" i="23"/>
  <c r="M1367" i="23"/>
  <c r="M1322" i="23"/>
  <c r="M1337" i="23"/>
  <c r="M1229" i="23"/>
  <c r="M1275" i="23"/>
  <c r="M1288" i="23"/>
  <c r="M1263" i="23"/>
  <c r="M1286" i="23"/>
  <c r="M1266" i="23"/>
  <c r="M1287" i="23"/>
  <c r="M1201" i="23"/>
  <c r="M1242" i="23"/>
  <c r="M1205" i="23"/>
  <c r="M1234" i="23"/>
  <c r="M1203" i="23"/>
  <c r="M1230" i="23"/>
  <c r="M1204" i="23"/>
  <c r="M1232" i="23"/>
  <c r="M1174" i="23"/>
  <c r="M1202" i="23"/>
  <c r="M1729" i="23"/>
  <c r="M1170" i="23"/>
  <c r="M1743" i="23"/>
  <c r="M1168" i="23"/>
  <c r="M865" i="23"/>
  <c r="M1153" i="23"/>
  <c r="M1708" i="23"/>
  <c r="M1742" i="23"/>
  <c r="M1718" i="23"/>
  <c r="M1728" i="23"/>
  <c r="M1662" i="23"/>
  <c r="M1716" i="23"/>
  <c r="M1707" i="23"/>
  <c r="M1724" i="23"/>
  <c r="M1692" i="23"/>
  <c r="M1723" i="23"/>
  <c r="M1705" i="23"/>
  <c r="M1719" i="23"/>
  <c r="M1700" i="23"/>
  <c r="M1672" i="23"/>
  <c r="M1668" i="23"/>
  <c r="M1701" i="23"/>
  <c r="M1669" i="23"/>
  <c r="M1703" i="23"/>
  <c r="M1629" i="23"/>
  <c r="M1710" i="23"/>
  <c r="M1684" i="23"/>
  <c r="M1696" i="23"/>
  <c r="M1667" i="23"/>
  <c r="M1685" i="23"/>
  <c r="M1664" i="23"/>
  <c r="M1663" i="23"/>
  <c r="M1641" i="23"/>
  <c r="M1665" i="23"/>
  <c r="M1628" i="23"/>
  <c r="M1671" i="23"/>
  <c r="M1642" i="23"/>
  <c r="M1666" i="23"/>
  <c r="M1639" i="23"/>
  <c r="M1636" i="23"/>
  <c r="M1640" i="23"/>
  <c r="M1630" i="23"/>
  <c r="M1644" i="23"/>
  <c r="M1643" i="23"/>
  <c r="M1260" i="23"/>
  <c r="M1243" i="23"/>
  <c r="M1280" i="23"/>
  <c r="M1281" i="23"/>
  <c r="M1279" i="23"/>
  <c r="M1215" i="23"/>
  <c r="M1253" i="23"/>
  <c r="M1290" i="23"/>
  <c r="M1249" i="23"/>
  <c r="M1274" i="23"/>
  <c r="M1224" i="23"/>
  <c r="M1258" i="23"/>
  <c r="M1257" i="23"/>
  <c r="M1214" i="23"/>
  <c r="M1245" i="23"/>
  <c r="M1247" i="23"/>
  <c r="M1240" i="23"/>
  <c r="M1212" i="23"/>
  <c r="M1222" i="23"/>
  <c r="M1216" i="23"/>
  <c r="M1145" i="23"/>
  <c r="M1213" i="23"/>
  <c r="M1220" i="23"/>
  <c r="M1192" i="23"/>
  <c r="M1191" i="23"/>
  <c r="M1189" i="23"/>
  <c r="M1182" i="23"/>
  <c r="M1185" i="23"/>
  <c r="M1188" i="23"/>
  <c r="M1036" i="23"/>
  <c r="M1134" i="23"/>
  <c r="M1070" i="23"/>
  <c r="M1052" i="23"/>
  <c r="M1090" i="23"/>
  <c r="M1115" i="23"/>
  <c r="M1089" i="23"/>
  <c r="M1119" i="23"/>
  <c r="M1041" i="23"/>
  <c r="M1125" i="23"/>
  <c r="M1084" i="23"/>
  <c r="M1039" i="23"/>
  <c r="M1021" i="23"/>
  <c r="M1040" i="23"/>
  <c r="M1004" i="23"/>
  <c r="M1033" i="23"/>
  <c r="M1009" i="23"/>
  <c r="M1048" i="23"/>
  <c r="M999" i="23"/>
  <c r="M1022" i="23"/>
  <c r="M931" i="23"/>
  <c r="M1002" i="23"/>
  <c r="M947" i="23"/>
  <c r="M887" i="23"/>
  <c r="M945" i="23"/>
  <c r="M935" i="23"/>
  <c r="M913" i="23"/>
  <c r="M926" i="23"/>
  <c r="M915" i="23"/>
  <c r="M942" i="23"/>
  <c r="M895" i="23"/>
  <c r="M933" i="23"/>
  <c r="M917" i="23"/>
  <c r="M836" i="23"/>
  <c r="M892" i="23"/>
  <c r="M866" i="23"/>
  <c r="M853" i="23"/>
  <c r="M858" i="23"/>
  <c r="M876" i="23"/>
  <c r="M859" i="23"/>
  <c r="M854" i="23"/>
  <c r="M847" i="23"/>
  <c r="M652" i="23"/>
  <c r="M834" i="23"/>
  <c r="M832" i="23"/>
  <c r="M843" i="23"/>
  <c r="M830" i="23"/>
  <c r="M849" i="23"/>
  <c r="M825" i="23"/>
  <c r="M821" i="23"/>
  <c r="M835" i="23"/>
  <c r="M789" i="23"/>
  <c r="M812" i="23"/>
  <c r="M650" i="23"/>
  <c r="M814" i="23"/>
  <c r="M785" i="23"/>
  <c r="M818" i="23"/>
  <c r="M784" i="23"/>
  <c r="M816" i="23"/>
  <c r="M803" i="23"/>
  <c r="M805" i="23"/>
  <c r="M782" i="23"/>
  <c r="M777" i="23"/>
  <c r="M712" i="23"/>
  <c r="M800" i="23"/>
  <c r="M772" i="23"/>
  <c r="M791" i="23"/>
  <c r="M783" i="23"/>
  <c r="M794" i="23"/>
  <c r="M756" i="23"/>
  <c r="M752" i="23"/>
  <c r="M754" i="23"/>
  <c r="M762" i="23"/>
  <c r="M743" i="23"/>
  <c r="M760" i="23"/>
  <c r="M745" i="23"/>
  <c r="M759" i="23"/>
  <c r="M732" i="23"/>
  <c r="M763" i="23"/>
  <c r="M609" i="23"/>
  <c r="M725" i="23"/>
  <c r="M648" i="23"/>
  <c r="M595" i="23"/>
  <c r="M649" i="23"/>
  <c r="M638" i="23"/>
  <c r="M651" i="23"/>
  <c r="M653" i="23"/>
  <c r="M655" i="23"/>
  <c r="M666" i="23"/>
  <c r="M582" i="23"/>
  <c r="M654" i="23"/>
  <c r="M597" i="23"/>
  <c r="M574" i="23"/>
  <c r="M608" i="23"/>
  <c r="M583" i="23"/>
  <c r="M605" i="23"/>
  <c r="M584" i="23"/>
  <c r="M591" i="23"/>
  <c r="M532" i="23"/>
  <c r="M578" i="23"/>
  <c r="M534" i="23"/>
  <c r="M483" i="23"/>
  <c r="M525" i="23"/>
  <c r="M566" i="23"/>
  <c r="M528" i="23"/>
  <c r="M552" i="23"/>
  <c r="M527" i="23"/>
  <c r="M577" i="23"/>
  <c r="M368" i="23"/>
  <c r="M530" i="23"/>
  <c r="M507" i="23"/>
  <c r="M531" i="23"/>
  <c r="M500" i="23"/>
  <c r="M529" i="23"/>
  <c r="M505" i="23"/>
  <c r="M427" i="23"/>
  <c r="M508" i="23"/>
  <c r="M454" i="23"/>
  <c r="M477" i="23"/>
  <c r="M493" i="23"/>
  <c r="M478" i="23"/>
  <c r="M494" i="23"/>
  <c r="M462" i="23"/>
  <c r="M470" i="23"/>
  <c r="M448" i="23"/>
  <c r="M468" i="23"/>
  <c r="M455" i="23"/>
  <c r="M465" i="23"/>
  <c r="M449" i="23"/>
  <c r="M461" i="23"/>
  <c r="M424" i="23"/>
  <c r="M457" i="23"/>
  <c r="M432" i="23"/>
  <c r="M407" i="23"/>
  <c r="M433" i="23"/>
  <c r="M451" i="23"/>
  <c r="M425" i="23"/>
  <c r="M450" i="23"/>
  <c r="M379" i="23"/>
  <c r="M429" i="23"/>
  <c r="M366" i="23"/>
  <c r="M406" i="23"/>
  <c r="M365" i="23"/>
  <c r="M369" i="23"/>
  <c r="M350" i="23"/>
  <c r="M374" i="23"/>
  <c r="M352" i="23"/>
  <c r="M373" i="23"/>
  <c r="M330" i="23"/>
  <c r="M344" i="23"/>
  <c r="M312" i="23"/>
  <c r="M346" i="23"/>
  <c r="M309" i="23"/>
  <c r="M357" i="23"/>
  <c r="M286" i="23"/>
  <c r="M302" i="23"/>
  <c r="M307" i="23"/>
  <c r="M334" i="23"/>
  <c r="M308" i="23"/>
  <c r="M336" i="23"/>
  <c r="M268" i="23"/>
  <c r="M299" i="23"/>
  <c r="M288" i="23"/>
  <c r="M296" i="23"/>
  <c r="M259" i="23"/>
  <c r="M273" i="23"/>
  <c r="M235" i="23"/>
  <c r="M275" i="23"/>
  <c r="M233" i="23"/>
  <c r="M285" i="23"/>
  <c r="M231" i="23"/>
  <c r="M290" i="23"/>
  <c r="M256" i="23"/>
  <c r="M253" i="23"/>
  <c r="M229" i="23"/>
  <c r="M248" i="23"/>
  <c r="M227" i="23"/>
  <c r="M247" i="23"/>
  <c r="M199" i="23"/>
  <c r="M210" i="23"/>
  <c r="M201" i="23"/>
  <c r="M198" i="23"/>
  <c r="M197" i="23"/>
  <c r="M171" i="23"/>
  <c r="M195" i="23"/>
  <c r="M222" i="23"/>
  <c r="M189" i="23"/>
  <c r="M196" i="23"/>
  <c r="M188" i="23"/>
  <c r="M162" i="23"/>
  <c r="M184" i="23"/>
  <c r="M164" i="23"/>
  <c r="M185" i="23"/>
  <c r="M166" i="23"/>
  <c r="M186" i="23"/>
  <c r="M170" i="23"/>
  <c r="M168" i="23"/>
  <c r="M165" i="23"/>
  <c r="M174" i="23"/>
  <c r="M141" i="23"/>
  <c r="M169" i="23"/>
  <c r="M142" i="23"/>
  <c r="M161" i="23"/>
  <c r="M143" i="23"/>
  <c r="M163" i="23"/>
  <c r="M128" i="23"/>
  <c r="M147" i="23"/>
  <c r="M127" i="23"/>
  <c r="M145" i="23"/>
  <c r="M122" i="23"/>
  <c r="M119" i="23"/>
  <c r="M123" i="23"/>
  <c r="M120" i="23"/>
  <c r="M106" i="23"/>
  <c r="M126" i="23"/>
  <c r="M107" i="23"/>
  <c r="M116" i="23"/>
  <c r="M101" i="23"/>
  <c r="M113" i="23"/>
  <c r="M96" i="23"/>
  <c r="M102" i="23"/>
  <c r="M98" i="23"/>
  <c r="M109" i="23"/>
  <c r="M82" i="23"/>
  <c r="M79" i="23"/>
  <c r="M83" i="23"/>
  <c r="M89" i="23"/>
  <c r="M18" i="23"/>
  <c r="M91" i="23"/>
  <c r="M42" i="23"/>
  <c r="M88" i="23"/>
  <c r="M74" i="23"/>
  <c r="M84" i="23"/>
  <c r="M66" i="23"/>
  <c r="M75" i="23"/>
  <c r="M68" i="23"/>
  <c r="M77" i="23"/>
  <c r="M61" i="23"/>
  <c r="M64" i="23"/>
  <c r="M54" i="23"/>
  <c r="M50" i="23"/>
  <c r="M56" i="23"/>
  <c r="M58" i="23"/>
  <c r="M55" i="23"/>
  <c r="M57" i="23"/>
  <c r="M46" i="23"/>
  <c r="M48" i="23"/>
  <c r="M35" i="23"/>
  <c r="M51" i="23"/>
  <c r="M43" i="23"/>
  <c r="M53" i="23"/>
  <c r="M33" i="23"/>
  <c r="M32" i="23"/>
  <c r="M21" i="23"/>
  <c r="M38" i="23"/>
  <c r="M23" i="23"/>
  <c r="M39" i="23"/>
  <c r="M40" i="23"/>
  <c r="M6" i="23"/>
  <c r="M34" i="23"/>
  <c r="M4" i="23"/>
  <c r="M11" i="23"/>
  <c r="M5" i="23"/>
  <c r="F4" i="24"/>
  <c r="D29" i="25" l="1"/>
  <c r="M1080" i="23" s="1"/>
  <c r="D30" i="25"/>
  <c r="D31" i="25"/>
  <c r="D32" i="25"/>
  <c r="D22" i="25" l="1"/>
  <c r="D23" i="25"/>
  <c r="D24" i="25"/>
  <c r="D25" i="25"/>
  <c r="D26" i="25"/>
  <c r="M1169" i="23" s="1"/>
  <c r="D27" i="25"/>
  <c r="M1171" i="23" s="1"/>
  <c r="D28" i="25"/>
  <c r="M1078" i="23" l="1"/>
  <c r="M1176" i="23"/>
  <c r="M1175" i="23"/>
  <c r="M1166" i="23"/>
  <c r="M1167" i="23"/>
  <c r="M1157" i="23"/>
  <c r="M1165" i="23"/>
  <c r="M1155" i="23"/>
  <c r="M1072" i="23"/>
  <c r="M1173" i="23"/>
  <c r="M1074" i="23"/>
  <c r="M719" i="23"/>
  <c r="M1073" i="23"/>
  <c r="M747" i="23"/>
  <c r="M1069" i="23"/>
  <c r="M1076" i="23"/>
  <c r="M723" i="23"/>
  <c r="M1068" i="23"/>
  <c r="M713" i="23"/>
  <c r="D20" i="25" l="1"/>
  <c r="M1272" i="23" s="1"/>
  <c r="D21" i="25"/>
  <c r="M1273" i="23" s="1"/>
  <c r="M1154" i="23" l="1"/>
  <c r="M1160" i="23"/>
  <c r="M1150" i="23"/>
  <c r="M1003" i="23"/>
  <c r="M1067" i="23"/>
  <c r="M1007" i="23"/>
  <c r="M1064" i="23"/>
  <c r="M741" i="23"/>
  <c r="M921" i="23"/>
  <c r="M721" i="23"/>
  <c r="D18" i="25" l="1"/>
  <c r="M1269" i="23" s="1"/>
  <c r="D19" i="25"/>
  <c r="M1271" i="23" s="1"/>
  <c r="M1158" i="23" l="1"/>
  <c r="M1143" i="23"/>
  <c r="M1159" i="23"/>
  <c r="M1147" i="23"/>
  <c r="M1006" i="23"/>
  <c r="M1060" i="23"/>
  <c r="M1017" i="23"/>
  <c r="M1063" i="23"/>
  <c r="M748" i="23"/>
  <c r="M939" i="23"/>
  <c r="M810" i="23"/>
  <c r="M941" i="23"/>
  <c r="M749" i="23"/>
  <c r="M740" i="23"/>
  <c r="M559" i="23"/>
  <c r="M717" i="23"/>
  <c r="M416" i="23"/>
  <c r="M558" i="23"/>
  <c r="M422" i="23"/>
  <c r="M420" i="23"/>
  <c r="M440" i="23"/>
  <c r="G7" i="24" l="1"/>
  <c r="Y1" i="23" l="1"/>
  <c r="E8" i="24" l="1"/>
  <c r="V1" i="23"/>
  <c r="C2" i="24"/>
  <c r="C4" i="24"/>
  <c r="D8" i="25"/>
  <c r="M1436" i="23" s="1"/>
  <c r="D9" i="25"/>
  <c r="D10" i="25"/>
  <c r="D11" i="25"/>
  <c r="D12" i="25"/>
  <c r="D13" i="25"/>
  <c r="D14" i="25"/>
  <c r="D15" i="25"/>
  <c r="D16" i="25"/>
  <c r="D17" i="25"/>
  <c r="D2" i="25"/>
  <c r="M1464" i="23" s="1"/>
  <c r="J1494" i="23" l="1"/>
  <c r="K1494" i="23" s="1"/>
  <c r="L1494" i="23" s="1"/>
  <c r="J1495" i="23"/>
  <c r="K1495" i="23" s="1"/>
  <c r="L1495" i="23" s="1"/>
  <c r="J1496" i="23"/>
  <c r="K1496" i="23" s="1"/>
  <c r="L1496" i="23" s="1"/>
  <c r="J1497" i="23"/>
  <c r="K1497" i="23" s="1"/>
  <c r="L1497" i="23" s="1"/>
  <c r="J1498" i="23"/>
  <c r="K1498" i="23" s="1"/>
  <c r="L1498" i="23" s="1"/>
  <c r="J1499" i="23"/>
  <c r="K1499" i="23" s="1"/>
  <c r="L1499" i="23" s="1"/>
  <c r="J1500" i="23"/>
  <c r="K1500" i="23" s="1"/>
  <c r="L1500" i="23" s="1"/>
  <c r="J1523" i="23"/>
  <c r="K1523" i="23" s="1"/>
  <c r="L1523" i="23" s="1"/>
  <c r="J1524" i="23"/>
  <c r="K1524" i="23" s="1"/>
  <c r="L1524" i="23" s="1"/>
  <c r="J1525" i="23"/>
  <c r="K1525" i="23" s="1"/>
  <c r="L1525" i="23" s="1"/>
  <c r="J1526" i="23"/>
  <c r="K1526" i="23" s="1"/>
  <c r="L1526" i="23" s="1"/>
  <c r="J1527" i="23"/>
  <c r="K1527" i="23" s="1"/>
  <c r="L1527" i="23" s="1"/>
  <c r="J1528" i="23"/>
  <c r="K1528" i="23" s="1"/>
  <c r="L1528" i="23" s="1"/>
  <c r="J1529" i="23"/>
  <c r="K1529" i="23" s="1"/>
  <c r="L1529" i="23" s="1"/>
  <c r="J1530" i="23"/>
  <c r="K1530" i="23" s="1"/>
  <c r="L1530" i="23" s="1"/>
  <c r="J1531" i="23"/>
  <c r="K1531" i="23" s="1"/>
  <c r="L1531" i="23" s="1"/>
  <c r="J1532" i="23"/>
  <c r="K1532" i="23" s="1"/>
  <c r="L1532" i="23" s="1"/>
  <c r="J1533" i="23"/>
  <c r="K1533" i="23" s="1"/>
  <c r="L1533" i="23" s="1"/>
  <c r="J1534" i="23"/>
  <c r="K1534" i="23" s="1"/>
  <c r="L1534" i="23" s="1"/>
  <c r="J1535" i="23"/>
  <c r="K1535" i="23" s="1"/>
  <c r="L1535" i="23" s="1"/>
  <c r="J1467" i="23"/>
  <c r="K1467" i="23" s="1"/>
  <c r="L1467" i="23" s="1"/>
  <c r="J1468" i="23"/>
  <c r="K1468" i="23" s="1"/>
  <c r="L1468" i="23" s="1"/>
  <c r="J1473" i="23"/>
  <c r="K1473" i="23" s="1"/>
  <c r="L1473" i="23" s="1"/>
  <c r="J1477" i="23"/>
  <c r="K1477" i="23" s="1"/>
  <c r="L1477" i="23" s="1"/>
  <c r="J1481" i="23"/>
  <c r="K1481" i="23" s="1"/>
  <c r="L1481" i="23" s="1"/>
  <c r="J1484" i="23"/>
  <c r="K1484" i="23" s="1"/>
  <c r="L1484" i="23" s="1"/>
  <c r="J1486" i="23"/>
  <c r="K1486" i="23" s="1"/>
  <c r="L1486" i="23" s="1"/>
  <c r="J1490" i="23"/>
  <c r="K1490" i="23" s="1"/>
  <c r="L1490" i="23" s="1"/>
  <c r="J1512" i="23"/>
  <c r="K1512" i="23" s="1"/>
  <c r="L1512" i="23" s="1"/>
  <c r="J1518" i="23"/>
  <c r="K1518" i="23" s="1"/>
  <c r="L1518" i="23" s="1"/>
  <c r="J1501" i="23"/>
  <c r="K1501" i="23" s="1"/>
  <c r="L1501" i="23" s="1"/>
  <c r="J1502" i="23"/>
  <c r="K1502" i="23" s="1"/>
  <c r="L1502" i="23" s="1"/>
  <c r="J1503" i="23"/>
  <c r="K1503" i="23" s="1"/>
  <c r="L1503" i="23" s="1"/>
  <c r="J1504" i="23"/>
  <c r="K1504" i="23" s="1"/>
  <c r="L1504" i="23" s="1"/>
  <c r="J1505" i="23"/>
  <c r="K1505" i="23" s="1"/>
  <c r="L1505" i="23" s="1"/>
  <c r="J1506" i="23"/>
  <c r="K1506" i="23" s="1"/>
  <c r="L1506" i="23" s="1"/>
  <c r="J1507" i="23"/>
  <c r="K1507" i="23" s="1"/>
  <c r="L1507" i="23" s="1"/>
  <c r="J1508" i="23"/>
  <c r="K1508" i="23" s="1"/>
  <c r="L1508" i="23" s="1"/>
  <c r="J1513" i="23"/>
  <c r="K1513" i="23" s="1"/>
  <c r="L1513" i="23" s="1"/>
  <c r="J1515" i="23"/>
  <c r="K1515" i="23" s="1"/>
  <c r="L1515" i="23" s="1"/>
  <c r="J1521" i="23"/>
  <c r="K1521" i="23" s="1"/>
  <c r="L1521" i="23" s="1"/>
  <c r="J1537" i="23"/>
  <c r="K1537" i="23" s="1"/>
  <c r="L1537" i="23" s="1"/>
  <c r="J1466" i="23"/>
  <c r="K1466" i="23" s="1"/>
  <c r="L1466" i="23" s="1"/>
  <c r="J1469" i="23"/>
  <c r="K1469" i="23" s="1"/>
  <c r="L1469" i="23" s="1"/>
  <c r="J1475" i="23"/>
  <c r="K1475" i="23" s="1"/>
  <c r="L1475" i="23" s="1"/>
  <c r="J1480" i="23"/>
  <c r="K1480" i="23" s="1"/>
  <c r="L1480" i="23" s="1"/>
  <c r="J1485" i="23"/>
  <c r="K1485" i="23" s="1"/>
  <c r="L1485" i="23" s="1"/>
  <c r="J1489" i="23"/>
  <c r="K1489" i="23" s="1"/>
  <c r="L1489" i="23" s="1"/>
  <c r="J1493" i="23"/>
  <c r="K1493" i="23" s="1"/>
  <c r="L1493" i="23" s="1"/>
  <c r="J1511" i="23"/>
  <c r="K1511" i="23" s="1"/>
  <c r="L1511" i="23" s="1"/>
  <c r="J1519" i="23"/>
  <c r="K1519" i="23" s="1"/>
  <c r="L1519" i="23" s="1"/>
  <c r="J1536" i="23"/>
  <c r="K1536" i="23" s="1"/>
  <c r="L1536" i="23" s="1"/>
  <c r="J1464" i="23"/>
  <c r="K1464" i="23" s="1"/>
  <c r="L1464" i="23" s="1"/>
  <c r="J1470" i="23"/>
  <c r="K1470" i="23" s="1"/>
  <c r="L1470" i="23" s="1"/>
  <c r="J1472" i="23"/>
  <c r="K1472" i="23" s="1"/>
  <c r="L1472" i="23" s="1"/>
  <c r="J1476" i="23"/>
  <c r="K1476" i="23" s="1"/>
  <c r="L1476" i="23" s="1"/>
  <c r="J1478" i="23"/>
  <c r="K1478" i="23" s="1"/>
  <c r="L1478" i="23" s="1"/>
  <c r="J1482" i="23"/>
  <c r="K1482" i="23" s="1"/>
  <c r="L1482" i="23" s="1"/>
  <c r="J1487" i="23"/>
  <c r="K1487" i="23" s="1"/>
  <c r="L1487" i="23" s="1"/>
  <c r="J1492" i="23"/>
  <c r="K1492" i="23" s="1"/>
  <c r="L1492" i="23" s="1"/>
  <c r="J1510" i="23"/>
  <c r="K1510" i="23" s="1"/>
  <c r="L1510" i="23" s="1"/>
  <c r="J1516" i="23"/>
  <c r="K1516" i="23" s="1"/>
  <c r="L1516" i="23" s="1"/>
  <c r="J1520" i="23"/>
  <c r="K1520" i="23" s="1"/>
  <c r="L1520" i="23" s="1"/>
  <c r="J1465" i="23"/>
  <c r="K1465" i="23" s="1"/>
  <c r="L1465" i="23" s="1"/>
  <c r="J1471" i="23"/>
  <c r="K1471" i="23" s="1"/>
  <c r="L1471" i="23" s="1"/>
  <c r="J1474" i="23"/>
  <c r="K1474" i="23" s="1"/>
  <c r="L1474" i="23" s="1"/>
  <c r="J1479" i="23"/>
  <c r="K1479" i="23" s="1"/>
  <c r="L1479" i="23" s="1"/>
  <c r="J1483" i="23"/>
  <c r="K1483" i="23" s="1"/>
  <c r="L1483" i="23" s="1"/>
  <c r="J1488" i="23"/>
  <c r="K1488" i="23" s="1"/>
  <c r="L1488" i="23" s="1"/>
  <c r="J1491" i="23"/>
  <c r="K1491" i="23" s="1"/>
  <c r="L1491" i="23" s="1"/>
  <c r="J1509" i="23"/>
  <c r="K1509" i="23" s="1"/>
  <c r="L1509" i="23" s="1"/>
  <c r="J1514" i="23"/>
  <c r="K1514" i="23" s="1"/>
  <c r="L1514" i="23" s="1"/>
  <c r="J1517" i="23"/>
  <c r="K1517" i="23" s="1"/>
  <c r="L1517" i="23" s="1"/>
  <c r="J1522" i="23"/>
  <c r="K1522" i="23" s="1"/>
  <c r="L1522" i="23" s="1"/>
  <c r="J1538" i="23"/>
  <c r="K1538" i="23" s="1"/>
  <c r="L1538" i="23" s="1"/>
  <c r="J1463" i="23"/>
  <c r="K1463" i="23" s="1"/>
  <c r="L1463" i="23" s="1"/>
  <c r="M1398" i="23"/>
  <c r="M1461" i="23"/>
  <c r="J1462" i="23"/>
  <c r="K1462" i="23" s="1"/>
  <c r="L1462" i="23" s="1"/>
  <c r="J1461" i="23"/>
  <c r="K1461" i="23" s="1"/>
  <c r="L1461" i="23" s="1"/>
  <c r="M1437" i="23"/>
  <c r="M1439" i="23"/>
  <c r="J1445" i="23"/>
  <c r="K1445" i="23" s="1"/>
  <c r="L1445" i="23" s="1"/>
  <c r="J1444" i="23"/>
  <c r="K1444" i="23" s="1"/>
  <c r="L1444" i="23" s="1"/>
  <c r="J1442" i="23"/>
  <c r="K1442" i="23" s="1"/>
  <c r="L1442" i="23" s="1"/>
  <c r="J1441" i="23"/>
  <c r="K1441" i="23" s="1"/>
  <c r="L1441" i="23" s="1"/>
  <c r="J1446" i="23"/>
  <c r="K1446" i="23" s="1"/>
  <c r="L1446" i="23" s="1"/>
  <c r="J1439" i="23"/>
  <c r="K1439" i="23" s="1"/>
  <c r="L1439" i="23" s="1"/>
  <c r="J1443" i="23"/>
  <c r="K1443" i="23" s="1"/>
  <c r="L1443" i="23" s="1"/>
  <c r="J1447" i="23"/>
  <c r="K1447" i="23" s="1"/>
  <c r="L1447" i="23" s="1"/>
  <c r="J1448" i="23"/>
  <c r="K1448" i="23" s="1"/>
  <c r="L1448" i="23" s="1"/>
  <c r="J1449" i="23"/>
  <c r="K1449" i="23" s="1"/>
  <c r="L1449" i="23" s="1"/>
  <c r="J1450" i="23"/>
  <c r="K1450" i="23" s="1"/>
  <c r="L1450" i="23" s="1"/>
  <c r="J1451" i="23"/>
  <c r="K1451" i="23" s="1"/>
  <c r="L1451" i="23" s="1"/>
  <c r="J1452" i="23"/>
  <c r="K1452" i="23" s="1"/>
  <c r="L1452" i="23" s="1"/>
  <c r="J1454" i="23"/>
  <c r="K1454" i="23" s="1"/>
  <c r="L1454" i="23" s="1"/>
  <c r="J1455" i="23"/>
  <c r="K1455" i="23" s="1"/>
  <c r="L1455" i="23" s="1"/>
  <c r="J1456" i="23"/>
  <c r="K1456" i="23" s="1"/>
  <c r="L1456" i="23" s="1"/>
  <c r="J1440" i="23"/>
  <c r="K1440" i="23" s="1"/>
  <c r="L1440" i="23" s="1"/>
  <c r="J1453" i="23"/>
  <c r="K1453" i="23" s="1"/>
  <c r="L1453" i="23" s="1"/>
  <c r="J1457" i="23"/>
  <c r="K1457" i="23" s="1"/>
  <c r="L1457" i="23" s="1"/>
  <c r="J1458" i="23"/>
  <c r="K1458" i="23" s="1"/>
  <c r="L1458" i="23" s="1"/>
  <c r="J1459" i="23"/>
  <c r="K1459" i="23" s="1"/>
  <c r="L1459" i="23" s="1"/>
  <c r="J1460" i="23"/>
  <c r="K1460" i="23" s="1"/>
  <c r="L1460" i="23" s="1"/>
  <c r="M1375" i="23"/>
  <c r="M1438" i="23"/>
  <c r="M1376" i="23"/>
  <c r="M1698" i="23"/>
  <c r="M1392" i="23"/>
  <c r="M1347" i="23"/>
  <c r="K1421" i="23"/>
  <c r="L1421" i="23" s="1"/>
  <c r="J1423" i="23"/>
  <c r="K1423" i="23" s="1"/>
  <c r="L1423" i="23" s="1"/>
  <c r="J1430" i="23"/>
  <c r="K1430" i="23" s="1"/>
  <c r="L1430" i="23" s="1"/>
  <c r="J1433" i="23"/>
  <c r="K1433" i="23" s="1"/>
  <c r="L1433" i="23" s="1"/>
  <c r="J1435" i="23"/>
  <c r="K1435" i="23" s="1"/>
  <c r="L1435" i="23" s="1"/>
  <c r="J1422" i="23"/>
  <c r="K1422" i="23" s="1"/>
  <c r="L1422" i="23" s="1"/>
  <c r="J1424" i="23"/>
  <c r="K1424" i="23" s="1"/>
  <c r="L1424" i="23" s="1"/>
  <c r="J1425" i="23"/>
  <c r="K1425" i="23" s="1"/>
  <c r="L1425" i="23" s="1"/>
  <c r="J1426" i="23"/>
  <c r="K1426" i="23" s="1"/>
  <c r="L1426" i="23" s="1"/>
  <c r="J1427" i="23"/>
  <c r="K1427" i="23" s="1"/>
  <c r="L1427" i="23" s="1"/>
  <c r="J1428" i="23"/>
  <c r="K1428" i="23" s="1"/>
  <c r="L1428" i="23" s="1"/>
  <c r="J1431" i="23"/>
  <c r="K1431" i="23" s="1"/>
  <c r="L1431" i="23" s="1"/>
  <c r="J1432" i="23"/>
  <c r="K1432" i="23" s="1"/>
  <c r="L1432" i="23" s="1"/>
  <c r="J1434" i="23"/>
  <c r="K1434" i="23" s="1"/>
  <c r="L1434" i="23" s="1"/>
  <c r="J1437" i="23"/>
  <c r="K1437" i="23" s="1"/>
  <c r="L1437" i="23" s="1"/>
  <c r="J1438" i="23"/>
  <c r="K1438" i="23" s="1"/>
  <c r="L1438" i="23" s="1"/>
  <c r="J1429" i="23"/>
  <c r="K1429" i="23" s="1"/>
  <c r="L1429" i="23" s="1"/>
  <c r="J1436" i="23"/>
  <c r="K1436" i="23" s="1"/>
  <c r="L1436" i="23" s="1"/>
  <c r="M1381" i="23"/>
  <c r="M670" i="23"/>
  <c r="M1364" i="23"/>
  <c r="M1382" i="23"/>
  <c r="M1374" i="23"/>
  <c r="M1387" i="23"/>
  <c r="J1412" i="23"/>
  <c r="K1412" i="23" s="1"/>
  <c r="L1412" i="23" s="1"/>
  <c r="J1413" i="23"/>
  <c r="K1413" i="23" s="1"/>
  <c r="L1413" i="23" s="1"/>
  <c r="J1414" i="23"/>
  <c r="K1414" i="23" s="1"/>
  <c r="L1414" i="23" s="1"/>
  <c r="J1415" i="23"/>
  <c r="K1415" i="23" s="1"/>
  <c r="L1415" i="23" s="1"/>
  <c r="J1416" i="23"/>
  <c r="K1416" i="23" s="1"/>
  <c r="L1416" i="23" s="1"/>
  <c r="J1417" i="23"/>
  <c r="K1417" i="23" s="1"/>
  <c r="L1417" i="23" s="1"/>
  <c r="J1418" i="23"/>
  <c r="K1418" i="23" s="1"/>
  <c r="L1418" i="23" s="1"/>
  <c r="J1419" i="23"/>
  <c r="K1419" i="23" s="1"/>
  <c r="L1419" i="23" s="1"/>
  <c r="J1420" i="23"/>
  <c r="K1420" i="23" s="1"/>
  <c r="L1420" i="23" s="1"/>
  <c r="J1407" i="23"/>
  <c r="K1407" i="23" s="1"/>
  <c r="L1407" i="23" s="1"/>
  <c r="J1382" i="23"/>
  <c r="K1382" i="23" s="1"/>
  <c r="L1382" i="23" s="1"/>
  <c r="J1383" i="23"/>
  <c r="K1383" i="23" s="1"/>
  <c r="L1383" i="23" s="1"/>
  <c r="J1384" i="23"/>
  <c r="K1384" i="23" s="1"/>
  <c r="L1384" i="23" s="1"/>
  <c r="J1385" i="23"/>
  <c r="K1385" i="23" s="1"/>
  <c r="L1385" i="23" s="1"/>
  <c r="J1386" i="23"/>
  <c r="K1386" i="23" s="1"/>
  <c r="L1386" i="23" s="1"/>
  <c r="J1387" i="23"/>
  <c r="K1387" i="23" s="1"/>
  <c r="L1387" i="23" s="1"/>
  <c r="J1388" i="23"/>
  <c r="K1388" i="23" s="1"/>
  <c r="L1388" i="23" s="1"/>
  <c r="J1389" i="23"/>
  <c r="K1389" i="23" s="1"/>
  <c r="L1389" i="23" s="1"/>
  <c r="J1390" i="23"/>
  <c r="K1390" i="23" s="1"/>
  <c r="L1390" i="23" s="1"/>
  <c r="J1391" i="23"/>
  <c r="K1391" i="23" s="1"/>
  <c r="L1391" i="23" s="1"/>
  <c r="J1392" i="23"/>
  <c r="K1392" i="23" s="1"/>
  <c r="L1392" i="23" s="1"/>
  <c r="J1393" i="23"/>
  <c r="K1393" i="23" s="1"/>
  <c r="L1393" i="23" s="1"/>
  <c r="J1394" i="23"/>
  <c r="K1394" i="23" s="1"/>
  <c r="L1394" i="23" s="1"/>
  <c r="J1395" i="23"/>
  <c r="K1395" i="23" s="1"/>
  <c r="L1395" i="23" s="1"/>
  <c r="J1396" i="23"/>
  <c r="K1396" i="23" s="1"/>
  <c r="L1396" i="23" s="1"/>
  <c r="J1397" i="23"/>
  <c r="K1397" i="23" s="1"/>
  <c r="L1397" i="23" s="1"/>
  <c r="J1398" i="23"/>
  <c r="K1398" i="23" s="1"/>
  <c r="L1398" i="23" s="1"/>
  <c r="J1399" i="23"/>
  <c r="K1399" i="23" s="1"/>
  <c r="L1399" i="23" s="1"/>
  <c r="J1400" i="23"/>
  <c r="K1400" i="23" s="1"/>
  <c r="L1400" i="23" s="1"/>
  <c r="J1401" i="23"/>
  <c r="K1401" i="23" s="1"/>
  <c r="L1401" i="23" s="1"/>
  <c r="J1402" i="23"/>
  <c r="K1402" i="23" s="1"/>
  <c r="L1402" i="23" s="1"/>
  <c r="J1403" i="23"/>
  <c r="K1403" i="23" s="1"/>
  <c r="L1403" i="23" s="1"/>
  <c r="J1404" i="23"/>
  <c r="K1404" i="23" s="1"/>
  <c r="L1404" i="23" s="1"/>
  <c r="J1405" i="23"/>
  <c r="K1405" i="23" s="1"/>
  <c r="L1405" i="23" s="1"/>
  <c r="J1406" i="23"/>
  <c r="K1406" i="23" s="1"/>
  <c r="L1406" i="23" s="1"/>
  <c r="J1408" i="23"/>
  <c r="K1408" i="23" s="1"/>
  <c r="L1408" i="23" s="1"/>
  <c r="J1409" i="23"/>
  <c r="K1409" i="23" s="1"/>
  <c r="L1409" i="23" s="1"/>
  <c r="J1410" i="23"/>
  <c r="K1410" i="23" s="1"/>
  <c r="L1410" i="23" s="1"/>
  <c r="J1411" i="23"/>
  <c r="K1411" i="23" s="1"/>
  <c r="L1411" i="23" s="1"/>
  <c r="M1359" i="23"/>
  <c r="M1368" i="23"/>
  <c r="K1362" i="23"/>
  <c r="L1362" i="23" s="1"/>
  <c r="K1363" i="23"/>
  <c r="L1363" i="23" s="1"/>
  <c r="J1365" i="23"/>
  <c r="K1365" i="23" s="1"/>
  <c r="L1365" i="23" s="1"/>
  <c r="J1370" i="23"/>
  <c r="K1370" i="23" s="1"/>
  <c r="L1370" i="23" s="1"/>
  <c r="J1373" i="23"/>
  <c r="K1373" i="23" s="1"/>
  <c r="L1373" i="23" s="1"/>
  <c r="J1376" i="23"/>
  <c r="K1376" i="23" s="1"/>
  <c r="L1376" i="23" s="1"/>
  <c r="J1379" i="23"/>
  <c r="K1379" i="23" s="1"/>
  <c r="L1379" i="23" s="1"/>
  <c r="J1364" i="23"/>
  <c r="K1364" i="23" s="1"/>
  <c r="L1364" i="23" s="1"/>
  <c r="J1368" i="23"/>
  <c r="K1368" i="23" s="1"/>
  <c r="L1368" i="23" s="1"/>
  <c r="J1371" i="23"/>
  <c r="K1371" i="23" s="1"/>
  <c r="L1371" i="23" s="1"/>
  <c r="J1374" i="23"/>
  <c r="K1374" i="23" s="1"/>
  <c r="L1374" i="23" s="1"/>
  <c r="J1378" i="23"/>
  <c r="K1378" i="23" s="1"/>
  <c r="L1378" i="23" s="1"/>
  <c r="J1380" i="23"/>
  <c r="K1380" i="23" s="1"/>
  <c r="L1380" i="23" s="1"/>
  <c r="J1361" i="23"/>
  <c r="K1361" i="23" s="1"/>
  <c r="L1361" i="23" s="1"/>
  <c r="J1366" i="23"/>
  <c r="K1366" i="23" s="1"/>
  <c r="L1366" i="23" s="1"/>
  <c r="J1367" i="23"/>
  <c r="K1367" i="23" s="1"/>
  <c r="L1367" i="23" s="1"/>
  <c r="J1369" i="23"/>
  <c r="K1369" i="23" s="1"/>
  <c r="L1369" i="23" s="1"/>
  <c r="J1372" i="23"/>
  <c r="K1372" i="23" s="1"/>
  <c r="L1372" i="23" s="1"/>
  <c r="J1375" i="23"/>
  <c r="K1375" i="23" s="1"/>
  <c r="L1375" i="23" s="1"/>
  <c r="J1377" i="23"/>
  <c r="K1377" i="23" s="1"/>
  <c r="L1377" i="23" s="1"/>
  <c r="J1381" i="23"/>
  <c r="K1381" i="23" s="1"/>
  <c r="L1381" i="23" s="1"/>
  <c r="M1357" i="23"/>
  <c r="J1359" i="23"/>
  <c r="K1359" i="23" s="1"/>
  <c r="L1359" i="23" s="1"/>
  <c r="J1360" i="23"/>
  <c r="K1360" i="23" s="1"/>
  <c r="L1360" i="23" s="1"/>
  <c r="M1340" i="23"/>
  <c r="M1329" i="23"/>
  <c r="M1332" i="23"/>
  <c r="M1343" i="23"/>
  <c r="K1341" i="23"/>
  <c r="L1341" i="23" s="1"/>
  <c r="K1342" i="23"/>
  <c r="L1342" i="23" s="1"/>
  <c r="J1348" i="23"/>
  <c r="K1348" i="23" s="1"/>
  <c r="L1348" i="23" s="1"/>
  <c r="J1357" i="23"/>
  <c r="K1357" i="23" s="1"/>
  <c r="L1357" i="23" s="1"/>
  <c r="J1344" i="23"/>
  <c r="K1344" i="23" s="1"/>
  <c r="L1344" i="23" s="1"/>
  <c r="J1345" i="23"/>
  <c r="K1345" i="23" s="1"/>
  <c r="L1345" i="23" s="1"/>
  <c r="J1349" i="23"/>
  <c r="K1349" i="23" s="1"/>
  <c r="L1349" i="23" s="1"/>
  <c r="J1353" i="23"/>
  <c r="K1353" i="23" s="1"/>
  <c r="L1353" i="23" s="1"/>
  <c r="J1356" i="23"/>
  <c r="K1356" i="23" s="1"/>
  <c r="L1356" i="23" s="1"/>
  <c r="J1340" i="23"/>
  <c r="K1340" i="23" s="1"/>
  <c r="L1340" i="23" s="1"/>
  <c r="J1347" i="23"/>
  <c r="K1347" i="23" s="1"/>
  <c r="L1347" i="23" s="1"/>
  <c r="J1352" i="23"/>
  <c r="K1352" i="23" s="1"/>
  <c r="L1352" i="23" s="1"/>
  <c r="J1355" i="23"/>
  <c r="K1355" i="23" s="1"/>
  <c r="L1355" i="23" s="1"/>
  <c r="J1350" i="23"/>
  <c r="K1350" i="23" s="1"/>
  <c r="L1350" i="23" s="1"/>
  <c r="J1343" i="23"/>
  <c r="K1343" i="23" s="1"/>
  <c r="L1343" i="23" s="1"/>
  <c r="J1346" i="23"/>
  <c r="K1346" i="23" s="1"/>
  <c r="L1346" i="23" s="1"/>
  <c r="J1351" i="23"/>
  <c r="K1351" i="23" s="1"/>
  <c r="L1351" i="23" s="1"/>
  <c r="J1354" i="23"/>
  <c r="K1354" i="23" s="1"/>
  <c r="L1354" i="23" s="1"/>
  <c r="J1358" i="23"/>
  <c r="K1358" i="23" s="1"/>
  <c r="L1358" i="23" s="1"/>
  <c r="M1292" i="23"/>
  <c r="M1328" i="23"/>
  <c r="J1339" i="23"/>
  <c r="K1339" i="23" s="1"/>
  <c r="L1339" i="23" s="1"/>
  <c r="J1338" i="23"/>
  <c r="K1338" i="23" s="1"/>
  <c r="L1338" i="23" s="1"/>
  <c r="J1337" i="23"/>
  <c r="K1337" i="23" s="1"/>
  <c r="L1337" i="23" s="1"/>
  <c r="J1335" i="23"/>
  <c r="K1335" i="23" s="1"/>
  <c r="L1335" i="23" s="1"/>
  <c r="J1336" i="23"/>
  <c r="K1336" i="23" s="1"/>
  <c r="L1336" i="23" s="1"/>
  <c r="K1307" i="23"/>
  <c r="L1307" i="23" s="1"/>
  <c r="K1309" i="23"/>
  <c r="L1309" i="23" s="1"/>
  <c r="K1314" i="23"/>
  <c r="L1314" i="23" s="1"/>
  <c r="J1319" i="23"/>
  <c r="J1321" i="23"/>
  <c r="J1322" i="23"/>
  <c r="J1323" i="23"/>
  <c r="J1325" i="23"/>
  <c r="K1325" i="23" s="1"/>
  <c r="L1325" i="23" s="1"/>
  <c r="J1326" i="23"/>
  <c r="K1326" i="23" s="1"/>
  <c r="L1326" i="23" s="1"/>
  <c r="J1327" i="23"/>
  <c r="K1327" i="23" s="1"/>
  <c r="L1327" i="23" s="1"/>
  <c r="J1328" i="23"/>
  <c r="K1328" i="23" s="1"/>
  <c r="L1328" i="23" s="1"/>
  <c r="J1329" i="23"/>
  <c r="K1329" i="23" s="1"/>
  <c r="L1329" i="23" s="1"/>
  <c r="J1330" i="23"/>
  <c r="K1330" i="23" s="1"/>
  <c r="L1330" i="23" s="1"/>
  <c r="J1331" i="23"/>
  <c r="K1331" i="23" s="1"/>
  <c r="L1331" i="23" s="1"/>
  <c r="J1332" i="23"/>
  <c r="K1332" i="23" s="1"/>
  <c r="L1332" i="23" s="1"/>
  <c r="J1333" i="23"/>
  <c r="K1333" i="23" s="1"/>
  <c r="L1333" i="23" s="1"/>
  <c r="J1334" i="23"/>
  <c r="K1334" i="23" s="1"/>
  <c r="L1334" i="23" s="1"/>
  <c r="K1308" i="23"/>
  <c r="L1308" i="23" s="1"/>
  <c r="K1310" i="23"/>
  <c r="L1310" i="23" s="1"/>
  <c r="K1313" i="23"/>
  <c r="L1313" i="23" s="1"/>
  <c r="K1318" i="23"/>
  <c r="L1318" i="23" s="1"/>
  <c r="J1320" i="23"/>
  <c r="K1322" i="23"/>
  <c r="L1322" i="23" s="1"/>
  <c r="J1324" i="23"/>
  <c r="K1324" i="23" s="1"/>
  <c r="L1324" i="23" s="1"/>
  <c r="K1311" i="23"/>
  <c r="L1311" i="23" s="1"/>
  <c r="K1315" i="23"/>
  <c r="L1315" i="23" s="1"/>
  <c r="K1317" i="23"/>
  <c r="L1317" i="23" s="1"/>
  <c r="K1320" i="23"/>
  <c r="L1320" i="23" s="1"/>
  <c r="K1312" i="23"/>
  <c r="L1312" i="23" s="1"/>
  <c r="J1316" i="23"/>
  <c r="K1316" i="23" s="1"/>
  <c r="L1316" i="23" s="1"/>
  <c r="K1319" i="23"/>
  <c r="L1319" i="23" s="1"/>
  <c r="K1321" i="23"/>
  <c r="L1321" i="23" s="1"/>
  <c r="K1323" i="23"/>
  <c r="L1323" i="23" s="1"/>
  <c r="M1244" i="23"/>
  <c r="M1255" i="23"/>
  <c r="M1209" i="23"/>
  <c r="M585" i="23"/>
  <c r="J1547" i="23"/>
  <c r="K1547" i="23" s="1"/>
  <c r="L1547" i="23" s="1"/>
  <c r="J1572" i="23"/>
  <c r="K1572" i="23" s="1"/>
  <c r="L1572" i="23" s="1"/>
  <c r="J1561" i="23"/>
  <c r="K1561" i="23" s="1"/>
  <c r="L1561" i="23" s="1"/>
  <c r="J1618" i="23"/>
  <c r="K1618" i="23" s="1"/>
  <c r="L1618" i="23" s="1"/>
  <c r="J1625" i="23"/>
  <c r="K1625" i="23" s="1"/>
  <c r="L1625" i="23" s="1"/>
  <c r="J1614" i="23"/>
  <c r="K1614" i="23" s="1"/>
  <c r="L1614" i="23" s="1"/>
  <c r="J1608" i="23"/>
  <c r="K1608" i="23" s="1"/>
  <c r="L1608" i="23" s="1"/>
  <c r="J1597" i="23"/>
  <c r="K1597" i="23" s="1"/>
  <c r="L1597" i="23" s="1"/>
  <c r="J1619" i="23"/>
  <c r="K1619" i="23" s="1"/>
  <c r="L1619" i="23" s="1"/>
  <c r="J1568" i="23"/>
  <c r="K1568" i="23" s="1"/>
  <c r="L1568" i="23" s="1"/>
  <c r="J1604" i="23"/>
  <c r="K1604" i="23" s="1"/>
  <c r="L1604" i="23" s="1"/>
  <c r="J1557" i="23"/>
  <c r="K1557" i="23" s="1"/>
  <c r="L1557" i="23" s="1"/>
  <c r="J1546" i="23"/>
  <c r="K1546" i="23" s="1"/>
  <c r="L1546" i="23" s="1"/>
  <c r="J1582" i="23"/>
  <c r="K1582" i="23" s="1"/>
  <c r="L1582" i="23" s="1"/>
  <c r="J1592" i="23"/>
  <c r="K1592" i="23" s="1"/>
  <c r="L1592" i="23" s="1"/>
  <c r="J1567" i="23"/>
  <c r="K1567" i="23" s="1"/>
  <c r="L1567" i="23" s="1"/>
  <c r="J1559" i="23"/>
  <c r="K1559" i="23" s="1"/>
  <c r="L1559" i="23" s="1"/>
  <c r="J1601" i="23"/>
  <c r="K1601" i="23" s="1"/>
  <c r="L1601" i="23" s="1"/>
  <c r="J1583" i="23"/>
  <c r="K1583" i="23" s="1"/>
  <c r="L1583" i="23" s="1"/>
  <c r="J1562" i="23"/>
  <c r="K1562" i="23" s="1"/>
  <c r="L1562" i="23" s="1"/>
  <c r="J1593" i="23"/>
  <c r="K1593" i="23" s="1"/>
  <c r="L1593" i="23" s="1"/>
  <c r="J1595" i="23"/>
  <c r="K1595" i="23" s="1"/>
  <c r="L1595" i="23" s="1"/>
  <c r="J1606" i="23"/>
  <c r="K1606" i="23" s="1"/>
  <c r="L1606" i="23" s="1"/>
  <c r="J1587" i="23"/>
  <c r="K1587" i="23" s="1"/>
  <c r="L1587" i="23" s="1"/>
  <c r="J1620" i="23"/>
  <c r="K1620" i="23" s="1"/>
  <c r="L1620" i="23" s="1"/>
  <c r="J1580" i="23"/>
  <c r="K1580" i="23" s="1"/>
  <c r="L1580" i="23" s="1"/>
  <c r="J1611" i="23"/>
  <c r="K1611" i="23" s="1"/>
  <c r="L1611" i="23" s="1"/>
  <c r="J1616" i="23"/>
  <c r="K1616" i="23" s="1"/>
  <c r="L1616" i="23" s="1"/>
  <c r="J1545" i="23"/>
  <c r="K1545" i="23" s="1"/>
  <c r="L1545" i="23" s="1"/>
  <c r="J1600" i="23"/>
  <c r="K1600" i="23" s="1"/>
  <c r="L1600" i="23" s="1"/>
  <c r="J1613" i="23"/>
  <c r="K1613" i="23" s="1"/>
  <c r="L1613" i="23" s="1"/>
  <c r="J1540" i="23"/>
  <c r="K1540" i="23" s="1"/>
  <c r="L1540" i="23" s="1"/>
  <c r="J1589" i="23"/>
  <c r="K1589" i="23" s="1"/>
  <c r="L1589" i="23" s="1"/>
  <c r="J1610" i="23"/>
  <c r="K1610" i="23" s="1"/>
  <c r="L1610" i="23" s="1"/>
  <c r="J1554" i="23"/>
  <c r="K1554" i="23" s="1"/>
  <c r="L1554" i="23" s="1"/>
  <c r="J1577" i="23"/>
  <c r="K1577" i="23" s="1"/>
  <c r="L1577" i="23" s="1"/>
  <c r="J1615" i="23"/>
  <c r="K1615" i="23" s="1"/>
  <c r="L1615" i="23" s="1"/>
  <c r="J1584" i="23"/>
  <c r="K1584" i="23" s="1"/>
  <c r="L1584" i="23" s="1"/>
  <c r="J1598" i="23"/>
  <c r="K1598" i="23" s="1"/>
  <c r="L1598" i="23" s="1"/>
  <c r="J1563" i="23"/>
  <c r="K1563" i="23" s="1"/>
  <c r="L1563" i="23" s="1"/>
  <c r="J1544" i="23"/>
  <c r="K1544" i="23" s="1"/>
  <c r="L1544" i="23" s="1"/>
  <c r="J1622" i="23"/>
  <c r="K1622" i="23" s="1"/>
  <c r="L1622" i="23" s="1"/>
  <c r="J1573" i="23"/>
  <c r="K1573" i="23" s="1"/>
  <c r="L1573" i="23" s="1"/>
  <c r="J1569" i="23"/>
  <c r="K1569" i="23" s="1"/>
  <c r="L1569" i="23" s="1"/>
  <c r="J1588" i="23"/>
  <c r="K1588" i="23" s="1"/>
  <c r="L1588" i="23" s="1"/>
  <c r="J1550" i="23"/>
  <c r="K1550" i="23" s="1"/>
  <c r="L1550" i="23" s="1"/>
  <c r="J1570" i="23"/>
  <c r="K1570" i="23" s="1"/>
  <c r="L1570" i="23" s="1"/>
  <c r="J1590" i="23"/>
  <c r="K1590" i="23" s="1"/>
  <c r="L1590" i="23" s="1"/>
  <c r="J1623" i="23"/>
  <c r="K1623" i="23" s="1"/>
  <c r="L1623" i="23" s="1"/>
  <c r="J1556" i="23"/>
  <c r="K1556" i="23" s="1"/>
  <c r="L1556" i="23" s="1"/>
  <c r="J1581" i="23"/>
  <c r="K1581" i="23" s="1"/>
  <c r="L1581" i="23" s="1"/>
  <c r="J1548" i="23"/>
  <c r="K1548" i="23" s="1"/>
  <c r="L1548" i="23" s="1"/>
  <c r="J1576" i="23"/>
  <c r="K1576" i="23" s="1"/>
  <c r="L1576" i="23" s="1"/>
  <c r="J1541" i="23"/>
  <c r="K1541" i="23" s="1"/>
  <c r="L1541" i="23" s="1"/>
  <c r="J1599" i="23"/>
  <c r="K1599" i="23" s="1"/>
  <c r="L1599" i="23" s="1"/>
  <c r="J1552" i="23"/>
  <c r="K1552" i="23" s="1"/>
  <c r="L1552" i="23" s="1"/>
  <c r="J1571" i="23"/>
  <c r="K1571" i="23" s="1"/>
  <c r="L1571" i="23" s="1"/>
  <c r="J1549" i="23"/>
  <c r="K1549" i="23" s="1"/>
  <c r="L1549" i="23" s="1"/>
  <c r="J1602" i="23"/>
  <c r="K1602" i="23" s="1"/>
  <c r="L1602" i="23" s="1"/>
  <c r="J1574" i="23"/>
  <c r="K1574" i="23" s="1"/>
  <c r="L1574" i="23" s="1"/>
  <c r="J1542" i="23"/>
  <c r="K1542" i="23" s="1"/>
  <c r="L1542" i="23" s="1"/>
  <c r="J1617" i="23"/>
  <c r="K1617" i="23" s="1"/>
  <c r="L1617" i="23" s="1"/>
  <c r="J1565" i="23"/>
  <c r="K1565" i="23" s="1"/>
  <c r="L1565" i="23" s="1"/>
  <c r="J1553" i="23"/>
  <c r="K1553" i="23" s="1"/>
  <c r="L1553" i="23" s="1"/>
  <c r="J1609" i="23"/>
  <c r="K1609" i="23" s="1"/>
  <c r="L1609" i="23" s="1"/>
  <c r="J1555" i="23"/>
  <c r="K1555" i="23" s="1"/>
  <c r="L1555" i="23" s="1"/>
  <c r="J1594" i="23"/>
  <c r="K1594" i="23" s="1"/>
  <c r="L1594" i="23" s="1"/>
  <c r="J1539" i="23"/>
  <c r="K1539" i="23" s="1"/>
  <c r="L1539" i="23" s="1"/>
  <c r="J1558" i="23"/>
  <c r="K1558" i="23" s="1"/>
  <c r="L1558" i="23" s="1"/>
  <c r="J1543" i="23"/>
  <c r="K1543" i="23" s="1"/>
  <c r="L1543" i="23" s="1"/>
  <c r="J1560" i="23"/>
  <c r="K1560" i="23" s="1"/>
  <c r="L1560" i="23" s="1"/>
  <c r="J1603" i="23"/>
  <c r="K1603" i="23" s="1"/>
  <c r="L1603" i="23" s="1"/>
  <c r="J1591" i="23"/>
  <c r="K1591" i="23" s="1"/>
  <c r="L1591" i="23" s="1"/>
  <c r="J1612" i="23"/>
  <c r="K1612" i="23" s="1"/>
  <c r="L1612" i="23" s="1"/>
  <c r="J1564" i="23"/>
  <c r="K1564" i="23" s="1"/>
  <c r="L1564" i="23" s="1"/>
  <c r="J1579" i="23"/>
  <c r="K1579" i="23" s="1"/>
  <c r="L1579" i="23" s="1"/>
  <c r="J1624" i="23"/>
  <c r="K1624" i="23" s="1"/>
  <c r="L1624" i="23" s="1"/>
  <c r="J1566" i="23"/>
  <c r="K1566" i="23" s="1"/>
  <c r="L1566" i="23" s="1"/>
  <c r="J1621" i="23"/>
  <c r="K1621" i="23" s="1"/>
  <c r="L1621" i="23" s="1"/>
  <c r="J1578" i="23"/>
  <c r="K1578" i="23" s="1"/>
  <c r="L1578" i="23" s="1"/>
  <c r="J1585" i="23"/>
  <c r="K1585" i="23" s="1"/>
  <c r="L1585" i="23" s="1"/>
  <c r="J1586" i="23"/>
  <c r="K1586" i="23" s="1"/>
  <c r="L1586" i="23" s="1"/>
  <c r="J1605" i="23"/>
  <c r="K1605" i="23" s="1"/>
  <c r="L1605" i="23" s="1"/>
  <c r="J1551" i="23"/>
  <c r="K1551" i="23" s="1"/>
  <c r="L1551" i="23" s="1"/>
  <c r="J1607" i="23"/>
  <c r="K1607" i="23" s="1"/>
  <c r="L1607" i="23" s="1"/>
  <c r="J1575" i="23"/>
  <c r="K1575" i="23" s="1"/>
  <c r="L1575" i="23" s="1"/>
  <c r="J1596" i="23"/>
  <c r="K1596" i="23" s="1"/>
  <c r="L1596" i="23" s="1"/>
  <c r="M1278" i="23"/>
  <c r="M1259" i="23"/>
  <c r="M1268" i="23"/>
  <c r="M1248" i="23"/>
  <c r="M1250" i="23"/>
  <c r="M1197" i="23"/>
  <c r="M1231" i="23"/>
  <c r="M1218" i="23"/>
  <c r="M1219" i="23"/>
  <c r="M1208" i="23"/>
  <c r="M1226" i="23"/>
  <c r="M1207" i="23"/>
  <c r="M1225" i="23"/>
  <c r="M1199" i="23"/>
  <c r="M1211" i="23"/>
  <c r="M1200" i="23"/>
  <c r="M1195" i="23"/>
  <c r="M1206" i="23"/>
  <c r="M1186" i="23"/>
  <c r="M1184" i="23"/>
  <c r="M1177" i="23"/>
  <c r="M1183" i="23"/>
  <c r="M1144" i="23"/>
  <c r="M1161" i="23"/>
  <c r="M1124" i="23"/>
  <c r="M1164" i="23"/>
  <c r="M857" i="23"/>
  <c r="M1138" i="23"/>
  <c r="M1694" i="23"/>
  <c r="M868" i="23"/>
  <c r="M1695" i="23"/>
  <c r="M869" i="23"/>
  <c r="M844" i="23"/>
  <c r="M856" i="23"/>
  <c r="M1675" i="23"/>
  <c r="M1739" i="23"/>
  <c r="H1707" i="22"/>
  <c r="H1711" i="22"/>
  <c r="H1712" i="22"/>
  <c r="H1713" i="22"/>
  <c r="H1714" i="22"/>
  <c r="H1715" i="22"/>
  <c r="H1717" i="22"/>
  <c r="H1718" i="22"/>
  <c r="H1719" i="22"/>
  <c r="H1708" i="22"/>
  <c r="H1709" i="22"/>
  <c r="H1716" i="22"/>
  <c r="H1704" i="22"/>
  <c r="H1705" i="22"/>
  <c r="H1706" i="22"/>
  <c r="H1710" i="22"/>
  <c r="H1720" i="22"/>
  <c r="J1747" i="23"/>
  <c r="K1747" i="23" s="1"/>
  <c r="L1747" i="23" s="1"/>
  <c r="J1744" i="23"/>
  <c r="K1744" i="23" s="1"/>
  <c r="L1744" i="23" s="1"/>
  <c r="J1741" i="23"/>
  <c r="K1741" i="23" s="1"/>
  <c r="L1741" i="23" s="1"/>
  <c r="J1753" i="23"/>
  <c r="K1753" i="23" s="1"/>
  <c r="L1753" i="23" s="1"/>
  <c r="J1750" i="23"/>
  <c r="K1750" i="23" s="1"/>
  <c r="L1750" i="23" s="1"/>
  <c r="J1751" i="23"/>
  <c r="K1751" i="23" s="1"/>
  <c r="L1751" i="23" s="1"/>
  <c r="J1752" i="23"/>
  <c r="K1752" i="23" s="1"/>
  <c r="L1752" i="23" s="1"/>
  <c r="J1742" i="23"/>
  <c r="K1742" i="23" s="1"/>
  <c r="L1742" i="23" s="1"/>
  <c r="J1739" i="23"/>
  <c r="K1739" i="23" s="1"/>
  <c r="L1739" i="23" s="1"/>
  <c r="J1746" i="23"/>
  <c r="K1746" i="23" s="1"/>
  <c r="L1746" i="23" s="1"/>
  <c r="J1749" i="23"/>
  <c r="K1749" i="23" s="1"/>
  <c r="L1749" i="23" s="1"/>
  <c r="J1743" i="23"/>
  <c r="K1743" i="23" s="1"/>
  <c r="L1743" i="23" s="1"/>
  <c r="J1740" i="23"/>
  <c r="K1740" i="23" s="1"/>
  <c r="L1740" i="23" s="1"/>
  <c r="J1745" i="23"/>
  <c r="K1745" i="23" s="1"/>
  <c r="L1745" i="23" s="1"/>
  <c r="J1748" i="23"/>
  <c r="K1748" i="23" s="1"/>
  <c r="L1748" i="23" s="1"/>
  <c r="J1738" i="23"/>
  <c r="K1738" i="23" s="1"/>
  <c r="L1738" i="23" s="1"/>
  <c r="J1736" i="23"/>
  <c r="K1736" i="23" s="1"/>
  <c r="L1736" i="23" s="1"/>
  <c r="J1737" i="23"/>
  <c r="K1737" i="23" s="1"/>
  <c r="L1737" i="23" s="1"/>
  <c r="H1691" i="22"/>
  <c r="H1695" i="22"/>
  <c r="H1696" i="22"/>
  <c r="H1698" i="22"/>
  <c r="H1703" i="22"/>
  <c r="H1700" i="22"/>
  <c r="H1692" i="22"/>
  <c r="H1693" i="22"/>
  <c r="H1697" i="22"/>
  <c r="H1699" i="22"/>
  <c r="H1694" i="22"/>
  <c r="H1701" i="22"/>
  <c r="H1702" i="22"/>
  <c r="H1678" i="22"/>
  <c r="H1681" i="22"/>
  <c r="H1684" i="22"/>
  <c r="H1685" i="22"/>
  <c r="H1687" i="22"/>
  <c r="H1689" i="22"/>
  <c r="H1679" i="22"/>
  <c r="H1680" i="22"/>
  <c r="H1683" i="22"/>
  <c r="H1686" i="22"/>
  <c r="H1690" i="22"/>
  <c r="H1682" i="22"/>
  <c r="H1688" i="22"/>
  <c r="J1735" i="23"/>
  <c r="K1735" i="23" s="1"/>
  <c r="L1735" i="23" s="1"/>
  <c r="J1732" i="23"/>
  <c r="K1732" i="23" s="1"/>
  <c r="L1732" i="23" s="1"/>
  <c r="J1731" i="23"/>
  <c r="K1731" i="23" s="1"/>
  <c r="L1731" i="23" s="1"/>
  <c r="J1734" i="23"/>
  <c r="K1734" i="23" s="1"/>
  <c r="L1734" i="23" s="1"/>
  <c r="J1727" i="23"/>
  <c r="K1727" i="23" s="1"/>
  <c r="L1727" i="23" s="1"/>
  <c r="J1728" i="23"/>
  <c r="K1728" i="23" s="1"/>
  <c r="L1728" i="23" s="1"/>
  <c r="J1730" i="23"/>
  <c r="K1730" i="23" s="1"/>
  <c r="L1730" i="23" s="1"/>
  <c r="J1729" i="23"/>
  <c r="K1729" i="23" s="1"/>
  <c r="L1729" i="23" s="1"/>
  <c r="J1733" i="23"/>
  <c r="K1733" i="23" s="1"/>
  <c r="L1733" i="23" s="1"/>
  <c r="J1726" i="23"/>
  <c r="K1726" i="23" s="1"/>
  <c r="L1726" i="23" s="1"/>
  <c r="H1663" i="22"/>
  <c r="H1665" i="22"/>
  <c r="H1667" i="22"/>
  <c r="H1669" i="22"/>
  <c r="H1671" i="22"/>
  <c r="H1673" i="22"/>
  <c r="H1675" i="22"/>
  <c r="H1677" i="22"/>
  <c r="H1662" i="22"/>
  <c r="H1664" i="22"/>
  <c r="H1666" i="22"/>
  <c r="H1668" i="22"/>
  <c r="H1670" i="22"/>
  <c r="H1672" i="22"/>
  <c r="H1674" i="22"/>
  <c r="H1676" i="22"/>
  <c r="M1704" i="23"/>
  <c r="M1693" i="23"/>
  <c r="M1725" i="23"/>
  <c r="I1722" i="23"/>
  <c r="J1722" i="23" s="1"/>
  <c r="K1722" i="23" s="1"/>
  <c r="L1722" i="23" s="1"/>
  <c r="I1723" i="23"/>
  <c r="J1723" i="23" s="1"/>
  <c r="K1723" i="23" s="1"/>
  <c r="L1723" i="23" s="1"/>
  <c r="I1724" i="23"/>
  <c r="I1725" i="23"/>
  <c r="J1725" i="23" s="1"/>
  <c r="K1725" i="23" s="1"/>
  <c r="L1725" i="23" s="1"/>
  <c r="I1715" i="23"/>
  <c r="J1715" i="23" s="1"/>
  <c r="K1715" i="23" s="1"/>
  <c r="L1715" i="23" s="1"/>
  <c r="I1708" i="23"/>
  <c r="J1708" i="23" s="1"/>
  <c r="K1708" i="23" s="1"/>
  <c r="L1708" i="23" s="1"/>
  <c r="I1706" i="23"/>
  <c r="J1706" i="23" s="1"/>
  <c r="K1706" i="23" s="1"/>
  <c r="L1706" i="23" s="1"/>
  <c r="I1679" i="23"/>
  <c r="J1679" i="23" s="1"/>
  <c r="K1679" i="23" s="1"/>
  <c r="L1679" i="23" s="1"/>
  <c r="I1714" i="23"/>
  <c r="I1713" i="23"/>
  <c r="J1713" i="23" s="1"/>
  <c r="K1713" i="23" s="1"/>
  <c r="L1713" i="23" s="1"/>
  <c r="I1712" i="23"/>
  <c r="J1712" i="23" s="1"/>
  <c r="K1712" i="23" s="1"/>
  <c r="L1712" i="23" s="1"/>
  <c r="I1711" i="23"/>
  <c r="J1711" i="23" s="1"/>
  <c r="K1711" i="23" s="1"/>
  <c r="L1711" i="23" s="1"/>
  <c r="I1710" i="23"/>
  <c r="J1710" i="23" s="1"/>
  <c r="K1710" i="23" s="1"/>
  <c r="L1710" i="23" s="1"/>
  <c r="I1709" i="23"/>
  <c r="J1709" i="23" s="1"/>
  <c r="K1709" i="23" s="1"/>
  <c r="L1709" i="23" s="1"/>
  <c r="I1707" i="23"/>
  <c r="J1707" i="23" s="1"/>
  <c r="K1707" i="23" s="1"/>
  <c r="L1707" i="23" s="1"/>
  <c r="I1698" i="23"/>
  <c r="J1698" i="23" s="1"/>
  <c r="K1698" i="23" s="1"/>
  <c r="L1698" i="23" s="1"/>
  <c r="I1719" i="23"/>
  <c r="J1719" i="23" s="1"/>
  <c r="K1719" i="23" s="1"/>
  <c r="L1719" i="23" s="1"/>
  <c r="I1705" i="23"/>
  <c r="J1705" i="23" s="1"/>
  <c r="K1705" i="23" s="1"/>
  <c r="L1705" i="23" s="1"/>
  <c r="I1704" i="23"/>
  <c r="J1704" i="23" s="1"/>
  <c r="K1704" i="23" s="1"/>
  <c r="L1704" i="23" s="1"/>
  <c r="I1703" i="23"/>
  <c r="J1703" i="23" s="1"/>
  <c r="K1703" i="23" s="1"/>
  <c r="L1703" i="23" s="1"/>
  <c r="I1702" i="23"/>
  <c r="J1702" i="23" s="1"/>
  <c r="K1702" i="23" s="1"/>
  <c r="L1702" i="23" s="1"/>
  <c r="I1701" i="23"/>
  <c r="J1701" i="23" s="1"/>
  <c r="K1701" i="23" s="1"/>
  <c r="L1701" i="23" s="1"/>
  <c r="I1700" i="23"/>
  <c r="J1700" i="23" s="1"/>
  <c r="K1700" i="23" s="1"/>
  <c r="L1700" i="23" s="1"/>
  <c r="I1699" i="23"/>
  <c r="J1699" i="23" s="1"/>
  <c r="K1699" i="23" s="1"/>
  <c r="L1699" i="23" s="1"/>
  <c r="I1697" i="23"/>
  <c r="J1697" i="23" s="1"/>
  <c r="K1697" i="23" s="1"/>
  <c r="L1697" i="23" s="1"/>
  <c r="I1696" i="23"/>
  <c r="J1696" i="23" s="1"/>
  <c r="K1696" i="23" s="1"/>
  <c r="L1696" i="23" s="1"/>
  <c r="I1695" i="23"/>
  <c r="J1695" i="23" s="1"/>
  <c r="K1695" i="23" s="1"/>
  <c r="L1695" i="23" s="1"/>
  <c r="I1694" i="23"/>
  <c r="J1694" i="23" s="1"/>
  <c r="K1694" i="23" s="1"/>
  <c r="L1694" i="23" s="1"/>
  <c r="I1693" i="23"/>
  <c r="J1693" i="23" s="1"/>
  <c r="K1693" i="23" s="1"/>
  <c r="L1693" i="23" s="1"/>
  <c r="I1692" i="23"/>
  <c r="J1692" i="23" s="1"/>
  <c r="K1692" i="23" s="1"/>
  <c r="L1692" i="23" s="1"/>
  <c r="I1691" i="23"/>
  <c r="J1691" i="23" s="1"/>
  <c r="K1691" i="23" s="1"/>
  <c r="L1691" i="23" s="1"/>
  <c r="I1687" i="23"/>
  <c r="J1687" i="23" s="1"/>
  <c r="K1687" i="23" s="1"/>
  <c r="L1687" i="23" s="1"/>
  <c r="I1672" i="23"/>
  <c r="J1672" i="23" s="1"/>
  <c r="K1672" i="23" s="1"/>
  <c r="L1672" i="23" s="1"/>
  <c r="I1673" i="23"/>
  <c r="J1673" i="23" s="1"/>
  <c r="K1673" i="23" s="1"/>
  <c r="L1673" i="23" s="1"/>
  <c r="I1674" i="23"/>
  <c r="J1674" i="23" s="1"/>
  <c r="K1674" i="23" s="1"/>
  <c r="L1674" i="23" s="1"/>
  <c r="I1675" i="23"/>
  <c r="J1675" i="23" s="1"/>
  <c r="K1675" i="23" s="1"/>
  <c r="L1675" i="23" s="1"/>
  <c r="I1676" i="23"/>
  <c r="J1676" i="23" s="1"/>
  <c r="K1676" i="23" s="1"/>
  <c r="L1676" i="23" s="1"/>
  <c r="I1677" i="23"/>
  <c r="J1677" i="23" s="1"/>
  <c r="K1677" i="23" s="1"/>
  <c r="L1677" i="23" s="1"/>
  <c r="I1678" i="23"/>
  <c r="J1678" i="23" s="1"/>
  <c r="K1678" i="23" s="1"/>
  <c r="L1678" i="23" s="1"/>
  <c r="I1680" i="23"/>
  <c r="J1680" i="23" s="1"/>
  <c r="K1680" i="23" s="1"/>
  <c r="L1680" i="23" s="1"/>
  <c r="I1681" i="23"/>
  <c r="J1681" i="23" s="1"/>
  <c r="K1681" i="23" s="1"/>
  <c r="L1681" i="23" s="1"/>
  <c r="I1682" i="23"/>
  <c r="J1682" i="23" s="1"/>
  <c r="K1682" i="23" s="1"/>
  <c r="L1682" i="23" s="1"/>
  <c r="I1683" i="23"/>
  <c r="J1683" i="23" s="1"/>
  <c r="K1683" i="23" s="1"/>
  <c r="L1683" i="23" s="1"/>
  <c r="I1684" i="23"/>
  <c r="J1684" i="23" s="1"/>
  <c r="K1684" i="23" s="1"/>
  <c r="L1684" i="23" s="1"/>
  <c r="I1685" i="23"/>
  <c r="J1685" i="23" s="1"/>
  <c r="K1685" i="23" s="1"/>
  <c r="L1685" i="23" s="1"/>
  <c r="I1686" i="23"/>
  <c r="J1686" i="23" s="1"/>
  <c r="K1686" i="23" s="1"/>
  <c r="L1686" i="23" s="1"/>
  <c r="I1720" i="23"/>
  <c r="J1720" i="23" s="1"/>
  <c r="K1720" i="23" s="1"/>
  <c r="L1720" i="23" s="1"/>
  <c r="I1688" i="23"/>
  <c r="J1688" i="23" s="1"/>
  <c r="K1688" i="23" s="1"/>
  <c r="L1688" i="23" s="1"/>
  <c r="I1689" i="23"/>
  <c r="J1689" i="23" s="1"/>
  <c r="K1689" i="23" s="1"/>
  <c r="L1689" i="23" s="1"/>
  <c r="I1690" i="23"/>
  <c r="J1690" i="23" s="1"/>
  <c r="K1690" i="23" s="1"/>
  <c r="L1690" i="23" s="1"/>
  <c r="I1716" i="23"/>
  <c r="J1716" i="23" s="1"/>
  <c r="K1716" i="23" s="1"/>
  <c r="L1716" i="23" s="1"/>
  <c r="I1717" i="23"/>
  <c r="J1717" i="23" s="1"/>
  <c r="K1717" i="23" s="1"/>
  <c r="L1717" i="23" s="1"/>
  <c r="I1718" i="23"/>
  <c r="J1718" i="23" s="1"/>
  <c r="K1718" i="23" s="1"/>
  <c r="L1718" i="23" s="1"/>
  <c r="I1721" i="23"/>
  <c r="J1721" i="23" s="1"/>
  <c r="K1721" i="23" s="1"/>
  <c r="L1721" i="23" s="1"/>
  <c r="I1655" i="23"/>
  <c r="J1655" i="23" s="1"/>
  <c r="K1655" i="23" s="1"/>
  <c r="L1655" i="23" s="1"/>
  <c r="I1661" i="23"/>
  <c r="J1661" i="23" s="1"/>
  <c r="K1661" i="23" s="1"/>
  <c r="L1661" i="23" s="1"/>
  <c r="I1663" i="23"/>
  <c r="J1663" i="23" s="1"/>
  <c r="K1663" i="23" s="1"/>
  <c r="L1663" i="23" s="1"/>
  <c r="I1665" i="23"/>
  <c r="J1665" i="23" s="1"/>
  <c r="K1665" i="23" s="1"/>
  <c r="L1665" i="23" s="1"/>
  <c r="I1667" i="23"/>
  <c r="J1667" i="23" s="1"/>
  <c r="K1667" i="23" s="1"/>
  <c r="L1667" i="23" s="1"/>
  <c r="I1653" i="23"/>
  <c r="J1653" i="23" s="1"/>
  <c r="K1653" i="23" s="1"/>
  <c r="L1653" i="23" s="1"/>
  <c r="I1649" i="23"/>
  <c r="J1649" i="23" s="1"/>
  <c r="K1649" i="23" s="1"/>
  <c r="L1649" i="23" s="1"/>
  <c r="I1637" i="23"/>
  <c r="J1637" i="23" s="1"/>
  <c r="K1637" i="23" s="1"/>
  <c r="L1637" i="23" s="1"/>
  <c r="I1656" i="23"/>
  <c r="J1656" i="23" s="1"/>
  <c r="K1656" i="23" s="1"/>
  <c r="L1656" i="23" s="1"/>
  <c r="I1657" i="23"/>
  <c r="J1657" i="23" s="1"/>
  <c r="K1657" i="23" s="1"/>
  <c r="L1657" i="23" s="1"/>
  <c r="I1658" i="23"/>
  <c r="J1658" i="23" s="1"/>
  <c r="K1658" i="23" s="1"/>
  <c r="L1658" i="23" s="1"/>
  <c r="I1659" i="23"/>
  <c r="J1659" i="23" s="1"/>
  <c r="K1659" i="23" s="1"/>
  <c r="L1659" i="23" s="1"/>
  <c r="I1660" i="23"/>
  <c r="J1660" i="23" s="1"/>
  <c r="K1660" i="23" s="1"/>
  <c r="L1660" i="23" s="1"/>
  <c r="I1662" i="23"/>
  <c r="J1662" i="23" s="1"/>
  <c r="K1662" i="23" s="1"/>
  <c r="L1662" i="23" s="1"/>
  <c r="I1664" i="23"/>
  <c r="J1664" i="23" s="1"/>
  <c r="K1664" i="23" s="1"/>
  <c r="L1664" i="23" s="1"/>
  <c r="I1666" i="23"/>
  <c r="J1666" i="23" s="1"/>
  <c r="K1666" i="23" s="1"/>
  <c r="L1666" i="23" s="1"/>
  <c r="I1654" i="23"/>
  <c r="J1654" i="23" s="1"/>
  <c r="K1654" i="23" s="1"/>
  <c r="L1654" i="23" s="1"/>
  <c r="I1650" i="23"/>
  <c r="J1650" i="23" s="1"/>
  <c r="K1650" i="23" s="1"/>
  <c r="L1650" i="23" s="1"/>
  <c r="I1668" i="23"/>
  <c r="J1668" i="23" s="1"/>
  <c r="K1668" i="23" s="1"/>
  <c r="L1668" i="23" s="1"/>
  <c r="I1669" i="23"/>
  <c r="J1669" i="23" s="1"/>
  <c r="K1669" i="23" s="1"/>
  <c r="L1669" i="23" s="1"/>
  <c r="I1670" i="23"/>
  <c r="J1670" i="23" s="1"/>
  <c r="K1670" i="23" s="1"/>
  <c r="L1670" i="23" s="1"/>
  <c r="I1671" i="23"/>
  <c r="J1671" i="23" s="1"/>
  <c r="K1671" i="23" s="1"/>
  <c r="L1671" i="23" s="1"/>
  <c r="I1651" i="23"/>
  <c r="J1651" i="23" s="1"/>
  <c r="K1651" i="23" s="1"/>
  <c r="L1651" i="23" s="1"/>
  <c r="I1639" i="23"/>
  <c r="J1639" i="23" s="1"/>
  <c r="K1639" i="23" s="1"/>
  <c r="L1639" i="23" s="1"/>
  <c r="I1648" i="23"/>
  <c r="J1648" i="23" s="1"/>
  <c r="K1648" i="23" s="1"/>
  <c r="L1648" i="23" s="1"/>
  <c r="I1647" i="23"/>
  <c r="J1647" i="23" s="1"/>
  <c r="K1647" i="23" s="1"/>
  <c r="L1647" i="23" s="1"/>
  <c r="I1646" i="23"/>
  <c r="J1646" i="23" s="1"/>
  <c r="K1646" i="23" s="1"/>
  <c r="L1646" i="23" s="1"/>
  <c r="I1645" i="23"/>
  <c r="J1645" i="23" s="1"/>
  <c r="K1645" i="23" s="1"/>
  <c r="L1645" i="23" s="1"/>
  <c r="I1644" i="23"/>
  <c r="J1644" i="23" s="1"/>
  <c r="K1644" i="23" s="1"/>
  <c r="L1644" i="23" s="1"/>
  <c r="I1643" i="23"/>
  <c r="J1643" i="23" s="1"/>
  <c r="K1643" i="23" s="1"/>
  <c r="L1643" i="23" s="1"/>
  <c r="I1642" i="23"/>
  <c r="J1642" i="23" s="1"/>
  <c r="K1642" i="23" s="1"/>
  <c r="L1642" i="23" s="1"/>
  <c r="I1641" i="23"/>
  <c r="J1641" i="23" s="1"/>
  <c r="K1641" i="23" s="1"/>
  <c r="L1641" i="23" s="1"/>
  <c r="I1640" i="23"/>
  <c r="J1640" i="23" s="1"/>
  <c r="K1640" i="23" s="1"/>
  <c r="L1640" i="23" s="1"/>
  <c r="I1636" i="23"/>
  <c r="J1636" i="23" s="1"/>
  <c r="K1636" i="23" s="1"/>
  <c r="L1636" i="23" s="1"/>
  <c r="I1635" i="23"/>
  <c r="J1635" i="23" s="1"/>
  <c r="K1635" i="23" s="1"/>
  <c r="L1635" i="23" s="1"/>
  <c r="I1634" i="23"/>
  <c r="J1634" i="23" s="1"/>
  <c r="K1634" i="23" s="1"/>
  <c r="L1634" i="23" s="1"/>
  <c r="I1633" i="23"/>
  <c r="J1633" i="23" s="1"/>
  <c r="K1633" i="23" s="1"/>
  <c r="L1633" i="23" s="1"/>
  <c r="I1632" i="23"/>
  <c r="J1632" i="23" s="1"/>
  <c r="K1632" i="23" s="1"/>
  <c r="L1632" i="23" s="1"/>
  <c r="I1631" i="23"/>
  <c r="J1631" i="23" s="1"/>
  <c r="K1631" i="23" s="1"/>
  <c r="L1631" i="23" s="1"/>
  <c r="I1630" i="23"/>
  <c r="J1630" i="23" s="1"/>
  <c r="K1630" i="23" s="1"/>
  <c r="L1630" i="23" s="1"/>
  <c r="I1629" i="23"/>
  <c r="J1629" i="23" s="1"/>
  <c r="K1629" i="23" s="1"/>
  <c r="L1629" i="23" s="1"/>
  <c r="I1628" i="23"/>
  <c r="J1628" i="23" s="1"/>
  <c r="K1628" i="23" s="1"/>
  <c r="L1628" i="23" s="1"/>
  <c r="I1626" i="23"/>
  <c r="J1626" i="23" s="1"/>
  <c r="K1626" i="23" s="1"/>
  <c r="L1626" i="23" s="1"/>
  <c r="I1627" i="23"/>
  <c r="J1627" i="23" s="1"/>
  <c r="K1627" i="23" s="1"/>
  <c r="L1627" i="23" s="1"/>
  <c r="I1652" i="23"/>
  <c r="J1652" i="23" s="1"/>
  <c r="K1652" i="23" s="1"/>
  <c r="L1652" i="23" s="1"/>
  <c r="I1638" i="23"/>
  <c r="J1638" i="23" s="1"/>
  <c r="K1638" i="23" s="1"/>
  <c r="L1638" i="23" s="1"/>
  <c r="M1697" i="23"/>
  <c r="M1699" i="23"/>
  <c r="M1702" i="23"/>
  <c r="M1711" i="23"/>
  <c r="M1264" i="23"/>
  <c r="M1712" i="23"/>
  <c r="M1265" i="23"/>
  <c r="M1713" i="23"/>
  <c r="H1656" i="22"/>
  <c r="H1659" i="22"/>
  <c r="H1661" i="22"/>
  <c r="H1660" i="22"/>
  <c r="H1657" i="22"/>
  <c r="H1658" i="22"/>
  <c r="H1655" i="22"/>
  <c r="J1724" i="23"/>
  <c r="K1724" i="23" s="1"/>
  <c r="L1724" i="23" s="1"/>
  <c r="M1674" i="23"/>
  <c r="M1691" i="23"/>
  <c r="H1653" i="22"/>
  <c r="H1654" i="22"/>
  <c r="J1714" i="23"/>
  <c r="K1714" i="23" s="1"/>
  <c r="L1714" i="23" s="1"/>
  <c r="M1655" i="23"/>
  <c r="M1673" i="23"/>
  <c r="H1643" i="22"/>
  <c r="H1651" i="22"/>
  <c r="H1646" i="22"/>
  <c r="H1649" i="22"/>
  <c r="H1644" i="22"/>
  <c r="H1652" i="22"/>
  <c r="H1647" i="22"/>
  <c r="H1650" i="22"/>
  <c r="H1648" i="22"/>
  <c r="H1645" i="22"/>
  <c r="H1633" i="22"/>
  <c r="H1641" i="22"/>
  <c r="H1642" i="22"/>
  <c r="H1636" i="22"/>
  <c r="H1639" i="22"/>
  <c r="H1634" i="22"/>
  <c r="H1637" i="22"/>
  <c r="H1640" i="22"/>
  <c r="H1635" i="22"/>
  <c r="H1638" i="22"/>
  <c r="M1654" i="23"/>
  <c r="M1657" i="23"/>
  <c r="H1609" i="22"/>
  <c r="H1613" i="22"/>
  <c r="H1617" i="22"/>
  <c r="H1621" i="22"/>
  <c r="H1625" i="22"/>
  <c r="H1629" i="22"/>
  <c r="H1610" i="22"/>
  <c r="H1614" i="22"/>
  <c r="H1618" i="22"/>
  <c r="H1622" i="22"/>
  <c r="H1626" i="22"/>
  <c r="H1630" i="22"/>
  <c r="H1611" i="22"/>
  <c r="H1615" i="22"/>
  <c r="H1619" i="22"/>
  <c r="H1623" i="22"/>
  <c r="H1627" i="22"/>
  <c r="H1631" i="22"/>
  <c r="H1612" i="22"/>
  <c r="H1616" i="22"/>
  <c r="H1620" i="22"/>
  <c r="H1624" i="22"/>
  <c r="H1628" i="22"/>
  <c r="H1632" i="22"/>
  <c r="M1632" i="23"/>
  <c r="M1633" i="23"/>
  <c r="H1604" i="22"/>
  <c r="H1606" i="22"/>
  <c r="H1608" i="22"/>
  <c r="H1605" i="22"/>
  <c r="H1607" i="22"/>
  <c r="H1601" i="22"/>
  <c r="H1602" i="22"/>
  <c r="H1603" i="22"/>
  <c r="M1637" i="23"/>
  <c r="H1584" i="22"/>
  <c r="H1586" i="22"/>
  <c r="H1588" i="22"/>
  <c r="H1590" i="22"/>
  <c r="H1592" i="22"/>
  <c r="H1594" i="22"/>
  <c r="H1596" i="22"/>
  <c r="H1598" i="22"/>
  <c r="H1600" i="22"/>
  <c r="H1581" i="22"/>
  <c r="H1583" i="22"/>
  <c r="H1585" i="22"/>
  <c r="H1587" i="22"/>
  <c r="H1589" i="22"/>
  <c r="H1591" i="22"/>
  <c r="H1593" i="22"/>
  <c r="H1595" i="22"/>
  <c r="H1597" i="22"/>
  <c r="H1599" i="22"/>
  <c r="H1582" i="22"/>
  <c r="H1579" i="22"/>
  <c r="H1580" i="22"/>
  <c r="H1563" i="22"/>
  <c r="H1571" i="22"/>
  <c r="H1567" i="22"/>
  <c r="H1570" i="22"/>
  <c r="H1565" i="22"/>
  <c r="H1568" i="22"/>
  <c r="H1566" i="22"/>
  <c r="H1574" i="22"/>
  <c r="H1569" i="22"/>
  <c r="H1577" i="22"/>
  <c r="H1576" i="22"/>
  <c r="H1564" i="22"/>
  <c r="H1572" i="22"/>
  <c r="H1578" i="22"/>
  <c r="H1573" i="22"/>
  <c r="H1575" i="22"/>
  <c r="H1547" i="22"/>
  <c r="H1555" i="22"/>
  <c r="H1550" i="22"/>
  <c r="H1558" i="22"/>
  <c r="H1552" i="22"/>
  <c r="H1553" i="22"/>
  <c r="H1561" i="22"/>
  <c r="H1556" i="22"/>
  <c r="H1559" i="22"/>
  <c r="H1560" i="22"/>
  <c r="H1548" i="22"/>
  <c r="H1551" i="22"/>
  <c r="H1554" i="22"/>
  <c r="H1562" i="22"/>
  <c r="H1549" i="22"/>
  <c r="H1557" i="22"/>
  <c r="H1539" i="22"/>
  <c r="H1542" i="22"/>
  <c r="H1545" i="22"/>
  <c r="H1540" i="22"/>
  <c r="H1543" i="22"/>
  <c r="H1546" i="22"/>
  <c r="H1541" i="22"/>
  <c r="H1544" i="22"/>
  <c r="H1519" i="22"/>
  <c r="H1527" i="22"/>
  <c r="H1535" i="22"/>
  <c r="H1522" i="22"/>
  <c r="H1530" i="22"/>
  <c r="H1538" i="22"/>
  <c r="H1533" i="22"/>
  <c r="H1525" i="22"/>
  <c r="H1520" i="22"/>
  <c r="H1528" i="22"/>
  <c r="H1536" i="22"/>
  <c r="H1531" i="22"/>
  <c r="H1526" i="22"/>
  <c r="H1534" i="22"/>
  <c r="H1523" i="22"/>
  <c r="H1521" i="22"/>
  <c r="H1529" i="22"/>
  <c r="H1537" i="22"/>
  <c r="H1524" i="22"/>
  <c r="H1532" i="22"/>
  <c r="H1488" i="22"/>
  <c r="H1496" i="22"/>
  <c r="H1504" i="22"/>
  <c r="H1512" i="22"/>
  <c r="H1506" i="22"/>
  <c r="H1491" i="22"/>
  <c r="H1499" i="22"/>
  <c r="H1507" i="22"/>
  <c r="H1515" i="22"/>
  <c r="H1498" i="22"/>
  <c r="H1494" i="22"/>
  <c r="H1502" i="22"/>
  <c r="H1510" i="22"/>
  <c r="H1518" i="22"/>
  <c r="H1489" i="22"/>
  <c r="H1497" i="22"/>
  <c r="H1505" i="22"/>
  <c r="H1513" i="22"/>
  <c r="H1492" i="22"/>
  <c r="H1500" i="22"/>
  <c r="H1508" i="22"/>
  <c r="H1516" i="22"/>
  <c r="H1495" i="22"/>
  <c r="H1503" i="22"/>
  <c r="H1511" i="22"/>
  <c r="H1490" i="22"/>
  <c r="H1514" i="22"/>
  <c r="H1493" i="22"/>
  <c r="H1501" i="22"/>
  <c r="H1509" i="22"/>
  <c r="H1517" i="22"/>
  <c r="H1479" i="22"/>
  <c r="H1487" i="22"/>
  <c r="H1482" i="22"/>
  <c r="H1485" i="22"/>
  <c r="H1480" i="22"/>
  <c r="H1483" i="22"/>
  <c r="H1486" i="22"/>
  <c r="H1481" i="22"/>
  <c r="H1484" i="22"/>
  <c r="H1450" i="22"/>
  <c r="H1463" i="22"/>
  <c r="H1471" i="22"/>
  <c r="H1453" i="22"/>
  <c r="H1458" i="22"/>
  <c r="H1466" i="22"/>
  <c r="H1474" i="22"/>
  <c r="H1456" i="22"/>
  <c r="H1461" i="22"/>
  <c r="H1469" i="22"/>
  <c r="H1477" i="22"/>
  <c r="H1451" i="22"/>
  <c r="H1464" i="22"/>
  <c r="H1472" i="22"/>
  <c r="H1478" i="22"/>
  <c r="H1454" i="22"/>
  <c r="H1459" i="22"/>
  <c r="H1467" i="22"/>
  <c r="H1475" i="22"/>
  <c r="H1462" i="22"/>
  <c r="H1470" i="22"/>
  <c r="H1452" i="22"/>
  <c r="H1457" i="22"/>
  <c r="H1465" i="22"/>
  <c r="H1473" i="22"/>
  <c r="H1455" i="22"/>
  <c r="H1460" i="22"/>
  <c r="H1468" i="22"/>
  <c r="H1476" i="22"/>
  <c r="M1228" i="23"/>
  <c r="M1031" i="23"/>
  <c r="H1414" i="22"/>
  <c r="H1438" i="22"/>
  <c r="H1425" i="22"/>
  <c r="H1433" i="22"/>
  <c r="H1441" i="22"/>
  <c r="H1434" i="22"/>
  <c r="H1437" i="22"/>
  <c r="H1445" i="22"/>
  <c r="H1432" i="22"/>
  <c r="H1440" i="22"/>
  <c r="H1417" i="22"/>
  <c r="H1420" i="22"/>
  <c r="H1428" i="22"/>
  <c r="H1436" i="22"/>
  <c r="H1444" i="22"/>
  <c r="H1423" i="22"/>
  <c r="H1431" i="22"/>
  <c r="H1439" i="22"/>
  <c r="H1447" i="22"/>
  <c r="H1429" i="22"/>
  <c r="H1424" i="22"/>
  <c r="H1415" i="22"/>
  <c r="H1418" i="22"/>
  <c r="H1421" i="22"/>
  <c r="H1416" i="22"/>
  <c r="H1419" i="22"/>
  <c r="H1427" i="22"/>
  <c r="H1435" i="22"/>
  <c r="H1443" i="22"/>
  <c r="H1422" i="22"/>
  <c r="H1430" i="22"/>
  <c r="H1446" i="22"/>
  <c r="H1449" i="22"/>
  <c r="H1426" i="22"/>
  <c r="H1442" i="22"/>
  <c r="H1448" i="22"/>
  <c r="H1397" i="22"/>
  <c r="H1405" i="22"/>
  <c r="H1413" i="22"/>
  <c r="H1400" i="22"/>
  <c r="H1408" i="22"/>
  <c r="H1410" i="22"/>
  <c r="H1403" i="22"/>
  <c r="H1411" i="22"/>
  <c r="H1398" i="22"/>
  <c r="H1406" i="22"/>
  <c r="H1401" i="22"/>
  <c r="H1409" i="22"/>
  <c r="H1404" i="22"/>
  <c r="H1412" i="22"/>
  <c r="H1402" i="22"/>
  <c r="H1399" i="22"/>
  <c r="H1407" i="22"/>
  <c r="M1251" i="23"/>
  <c r="H1382" i="22"/>
  <c r="H1383" i="22"/>
  <c r="H1386" i="22"/>
  <c r="H1394" i="22"/>
  <c r="H1389" i="22"/>
  <c r="H1396" i="22"/>
  <c r="H1384" i="22"/>
  <c r="H1392" i="22"/>
  <c r="H1387" i="22"/>
  <c r="H1395" i="22"/>
  <c r="H1390" i="22"/>
  <c r="H1388" i="22"/>
  <c r="H1391" i="22"/>
  <c r="H1385" i="22"/>
  <c r="H1393" i="22"/>
  <c r="H1375" i="22"/>
  <c r="H1377" i="22"/>
  <c r="H1379" i="22"/>
  <c r="H1381" i="22"/>
  <c r="H1378" i="22"/>
  <c r="H1376" i="22"/>
  <c r="H1380" i="22"/>
  <c r="H1359" i="22"/>
  <c r="H1367" i="22"/>
  <c r="H1364" i="22"/>
  <c r="H1362" i="22"/>
  <c r="H1370" i="22"/>
  <c r="H1365" i="22"/>
  <c r="H1373" i="22"/>
  <c r="H1372" i="22"/>
  <c r="H1360" i="22"/>
  <c r="H1368" i="22"/>
  <c r="H1369" i="22"/>
  <c r="H1363" i="22"/>
  <c r="H1371" i="22"/>
  <c r="H1361" i="22"/>
  <c r="H1366" i="22"/>
  <c r="H1374" i="22"/>
  <c r="H1356" i="22"/>
  <c r="H1358" i="22"/>
  <c r="H1357" i="22"/>
  <c r="H1349" i="22"/>
  <c r="H1352" i="22"/>
  <c r="H1355" i="22"/>
  <c r="H1350" i="22"/>
  <c r="H1353" i="22"/>
  <c r="H1354" i="22"/>
  <c r="H1351" i="22"/>
  <c r="H1336" i="22"/>
  <c r="H1344" i="22"/>
  <c r="H1339" i="22"/>
  <c r="H1347" i="22"/>
  <c r="H1342" i="22"/>
  <c r="H1337" i="22"/>
  <c r="H1345" i="22"/>
  <c r="H1340" i="22"/>
  <c r="H1348" i="22"/>
  <c r="H1341" i="22"/>
  <c r="H1343" i="22"/>
  <c r="H1338" i="22"/>
  <c r="H1346" i="22"/>
  <c r="H1334" i="22"/>
  <c r="H1335" i="22"/>
  <c r="H1322" i="22"/>
  <c r="H1330" i="22"/>
  <c r="H1328" i="22"/>
  <c r="H1325" i="22"/>
  <c r="H1333" i="22"/>
  <c r="H1323" i="22"/>
  <c r="H1331" i="22"/>
  <c r="H1326" i="22"/>
  <c r="H1329" i="22"/>
  <c r="H1324" i="22"/>
  <c r="H1332" i="22"/>
  <c r="H1327" i="22"/>
  <c r="H1318" i="22"/>
  <c r="H1320" i="22"/>
  <c r="H1319" i="22"/>
  <c r="H1321" i="22"/>
  <c r="H1311" i="22"/>
  <c r="H1313" i="22"/>
  <c r="H1315" i="22"/>
  <c r="H1317" i="22"/>
  <c r="H1312" i="22"/>
  <c r="H1314" i="22"/>
  <c r="H1316" i="22"/>
  <c r="I1299" i="23"/>
  <c r="J1299" i="23" s="1"/>
  <c r="K1299" i="23" s="1"/>
  <c r="L1299" i="23" s="1"/>
  <c r="I1289" i="23"/>
  <c r="J1289" i="23" s="1"/>
  <c r="K1289" i="23" s="1"/>
  <c r="L1289" i="23" s="1"/>
  <c r="I1275" i="23"/>
  <c r="J1275" i="23" s="1"/>
  <c r="K1275" i="23" s="1"/>
  <c r="L1275" i="23" s="1"/>
  <c r="I1272" i="23"/>
  <c r="J1272" i="23" s="1"/>
  <c r="K1272" i="23" s="1"/>
  <c r="L1272" i="23" s="1"/>
  <c r="I1274" i="23"/>
  <c r="J1274" i="23" s="1"/>
  <c r="K1274" i="23" s="1"/>
  <c r="L1274" i="23" s="1"/>
  <c r="I1261" i="23"/>
  <c r="J1261" i="23" s="1"/>
  <c r="K1261" i="23" s="1"/>
  <c r="L1261" i="23" s="1"/>
  <c r="I1239" i="23"/>
  <c r="J1239" i="23" s="1"/>
  <c r="K1239" i="23" s="1"/>
  <c r="L1239" i="23" s="1"/>
  <c r="I1234" i="23"/>
  <c r="J1234" i="23" s="1"/>
  <c r="K1234" i="23" s="1"/>
  <c r="L1234" i="23" s="1"/>
  <c r="I1200" i="23"/>
  <c r="J1200" i="23" s="1"/>
  <c r="K1200" i="23" s="1"/>
  <c r="L1200" i="23" s="1"/>
  <c r="I1208" i="23"/>
  <c r="J1208" i="23" s="1"/>
  <c r="K1208" i="23" s="1"/>
  <c r="L1208" i="23" s="1"/>
  <c r="I1213" i="23"/>
  <c r="J1213" i="23" s="1"/>
  <c r="K1213" i="23" s="1"/>
  <c r="L1213" i="23" s="1"/>
  <c r="I1215" i="23"/>
  <c r="J1215" i="23" s="1"/>
  <c r="K1215" i="23" s="1"/>
  <c r="L1215" i="23" s="1"/>
  <c r="I1217" i="23"/>
  <c r="J1217" i="23" s="1"/>
  <c r="K1217" i="23" s="1"/>
  <c r="L1217" i="23" s="1"/>
  <c r="I1179" i="23"/>
  <c r="J1179" i="23" s="1"/>
  <c r="K1179" i="23" s="1"/>
  <c r="L1179" i="23" s="1"/>
  <c r="I1181" i="23"/>
  <c r="J1181" i="23" s="1"/>
  <c r="K1181" i="23" s="1"/>
  <c r="L1181" i="23" s="1"/>
  <c r="I1183" i="23"/>
  <c r="J1183" i="23" s="1"/>
  <c r="K1183" i="23" s="1"/>
  <c r="L1183" i="23" s="1"/>
  <c r="I1155" i="23"/>
  <c r="J1155" i="23" s="1"/>
  <c r="K1155" i="23" s="1"/>
  <c r="L1155" i="23" s="1"/>
  <c r="I1157" i="23"/>
  <c r="J1157" i="23" s="1"/>
  <c r="K1157" i="23" s="1"/>
  <c r="L1157" i="23" s="1"/>
  <c r="I1159" i="23"/>
  <c r="J1159" i="23" s="1"/>
  <c r="K1159" i="23" s="1"/>
  <c r="L1159" i="23" s="1"/>
  <c r="I1161" i="23"/>
  <c r="J1161" i="23" s="1"/>
  <c r="K1161" i="23" s="1"/>
  <c r="L1161" i="23" s="1"/>
  <c r="I1172" i="23"/>
  <c r="J1172" i="23" s="1"/>
  <c r="K1172" i="23" s="1"/>
  <c r="L1172" i="23" s="1"/>
  <c r="I1112" i="23"/>
  <c r="J1112" i="23" s="1"/>
  <c r="K1112" i="23" s="1"/>
  <c r="L1112" i="23" s="1"/>
  <c r="I1297" i="23"/>
  <c r="J1297" i="23" s="1"/>
  <c r="K1297" i="23" s="1"/>
  <c r="L1297" i="23" s="1"/>
  <c r="I1291" i="23"/>
  <c r="J1291" i="23" s="1"/>
  <c r="K1291" i="23" s="1"/>
  <c r="L1291" i="23" s="1"/>
  <c r="I1293" i="23"/>
  <c r="J1293" i="23" s="1"/>
  <c r="K1293" i="23" s="1"/>
  <c r="L1293" i="23" s="1"/>
  <c r="I1265" i="23"/>
  <c r="J1265" i="23" s="1"/>
  <c r="K1265" i="23" s="1"/>
  <c r="L1265" i="23" s="1"/>
  <c r="I1240" i="23"/>
  <c r="J1240" i="23" s="1"/>
  <c r="K1240" i="23" s="1"/>
  <c r="L1240" i="23" s="1"/>
  <c r="I1242" i="23"/>
  <c r="J1242" i="23" s="1"/>
  <c r="K1242" i="23" s="1"/>
  <c r="L1242" i="23" s="1"/>
  <c r="I1231" i="23"/>
  <c r="J1231" i="23" s="1"/>
  <c r="K1231" i="23" s="1"/>
  <c r="L1231" i="23" s="1"/>
  <c r="I1197" i="23"/>
  <c r="J1197" i="23" s="1"/>
  <c r="K1197" i="23" s="1"/>
  <c r="L1197" i="23" s="1"/>
  <c r="I1205" i="23"/>
  <c r="J1205" i="23" s="1"/>
  <c r="K1205" i="23" s="1"/>
  <c r="L1205" i="23" s="1"/>
  <c r="I1219" i="23"/>
  <c r="J1219" i="23" s="1"/>
  <c r="K1219" i="23" s="1"/>
  <c r="L1219" i="23" s="1"/>
  <c r="I1185" i="23"/>
  <c r="J1185" i="23" s="1"/>
  <c r="K1185" i="23" s="1"/>
  <c r="L1185" i="23" s="1"/>
  <c r="I1187" i="23"/>
  <c r="J1187" i="23" s="1"/>
  <c r="K1187" i="23" s="1"/>
  <c r="L1187" i="23" s="1"/>
  <c r="I1189" i="23"/>
  <c r="J1189" i="23" s="1"/>
  <c r="K1189" i="23" s="1"/>
  <c r="L1189" i="23" s="1"/>
  <c r="I1191" i="23"/>
  <c r="J1191" i="23" s="1"/>
  <c r="K1191" i="23" s="1"/>
  <c r="L1191" i="23" s="1"/>
  <c r="I1193" i="23"/>
  <c r="J1193" i="23" s="1"/>
  <c r="K1193" i="23" s="1"/>
  <c r="L1193" i="23" s="1"/>
  <c r="I1195" i="23"/>
  <c r="J1195" i="23" s="1"/>
  <c r="K1195" i="23" s="1"/>
  <c r="L1195" i="23" s="1"/>
  <c r="I1132" i="23"/>
  <c r="J1132" i="23" s="1"/>
  <c r="K1132" i="23" s="1"/>
  <c r="L1132" i="23" s="1"/>
  <c r="I1163" i="23"/>
  <c r="J1163" i="23" s="1"/>
  <c r="K1163" i="23" s="1"/>
  <c r="L1163" i="23" s="1"/>
  <c r="I1174" i="23"/>
  <c r="J1174" i="23" s="1"/>
  <c r="K1174" i="23" s="1"/>
  <c r="L1174" i="23" s="1"/>
  <c r="I1119" i="23"/>
  <c r="J1119" i="23" s="1"/>
  <c r="K1119" i="23" s="1"/>
  <c r="L1119" i="23" s="1"/>
  <c r="I1124" i="23"/>
  <c r="J1124" i="23" s="1"/>
  <c r="K1124" i="23" s="1"/>
  <c r="L1124" i="23" s="1"/>
  <c r="I1129" i="23"/>
  <c r="J1129" i="23" s="1"/>
  <c r="K1129" i="23" s="1"/>
  <c r="L1129" i="23" s="1"/>
  <c r="I1088" i="23"/>
  <c r="J1088" i="23" s="1"/>
  <c r="K1088" i="23" s="1"/>
  <c r="L1088" i="23" s="1"/>
  <c r="I1097" i="23"/>
  <c r="J1097" i="23" s="1"/>
  <c r="K1097" i="23" s="1"/>
  <c r="L1097" i="23" s="1"/>
  <c r="I1030" i="23"/>
  <c r="J1030" i="23" s="1"/>
  <c r="K1030" i="23" s="1"/>
  <c r="L1030" i="23" s="1"/>
  <c r="I1043" i="23"/>
  <c r="J1043" i="23" s="1"/>
  <c r="K1043" i="23" s="1"/>
  <c r="L1043" i="23" s="1"/>
  <c r="I1050" i="23"/>
  <c r="J1050" i="23" s="1"/>
  <c r="K1050" i="23" s="1"/>
  <c r="L1050" i="23" s="1"/>
  <c r="I1052" i="23"/>
  <c r="J1052" i="23" s="1"/>
  <c r="K1052" i="23" s="1"/>
  <c r="L1052" i="23" s="1"/>
  <c r="I1054" i="23"/>
  <c r="J1054" i="23" s="1"/>
  <c r="K1054" i="23" s="1"/>
  <c r="L1054" i="23" s="1"/>
  <c r="I1080" i="23"/>
  <c r="J1080" i="23" s="1"/>
  <c r="K1080" i="23" s="1"/>
  <c r="L1080" i="23" s="1"/>
  <c r="I961" i="23"/>
  <c r="J961" i="23" s="1"/>
  <c r="K961" i="23" s="1"/>
  <c r="L961" i="23" s="1"/>
  <c r="I969" i="23"/>
  <c r="J969" i="23" s="1"/>
  <c r="K969" i="23" s="1"/>
  <c r="L969" i="23" s="1"/>
  <c r="I977" i="23"/>
  <c r="J977" i="23" s="1"/>
  <c r="K977" i="23" s="1"/>
  <c r="L977" i="23" s="1"/>
  <c r="I985" i="23"/>
  <c r="J985" i="23" s="1"/>
  <c r="K985" i="23" s="1"/>
  <c r="L985" i="23" s="1"/>
  <c r="I1302" i="23"/>
  <c r="J1302" i="23" s="1"/>
  <c r="K1302" i="23" s="1"/>
  <c r="L1302" i="23" s="1"/>
  <c r="I1278" i="23"/>
  <c r="J1278" i="23" s="1"/>
  <c r="K1278" i="23" s="1"/>
  <c r="L1278" i="23" s="1"/>
  <c r="I1280" i="23"/>
  <c r="J1280" i="23" s="1"/>
  <c r="K1280" i="23" s="1"/>
  <c r="L1280" i="23" s="1"/>
  <c r="I1282" i="23"/>
  <c r="J1282" i="23" s="1"/>
  <c r="K1282" i="23" s="1"/>
  <c r="L1282" i="23" s="1"/>
  <c r="I1277" i="23"/>
  <c r="J1277" i="23" s="1"/>
  <c r="K1277" i="23" s="1"/>
  <c r="L1277" i="23" s="1"/>
  <c r="I1267" i="23"/>
  <c r="J1267" i="23" s="1"/>
  <c r="K1267" i="23" s="1"/>
  <c r="L1267" i="23" s="1"/>
  <c r="I1244" i="23"/>
  <c r="J1244" i="23" s="1"/>
  <c r="K1244" i="23" s="1"/>
  <c r="L1244" i="23" s="1"/>
  <c r="I1236" i="23"/>
  <c r="J1236" i="23" s="1"/>
  <c r="K1236" i="23" s="1"/>
  <c r="L1236" i="23" s="1"/>
  <c r="I1202" i="23"/>
  <c r="J1202" i="23" s="1"/>
  <c r="K1202" i="23" s="1"/>
  <c r="L1202" i="23" s="1"/>
  <c r="I1210" i="23"/>
  <c r="J1210" i="23" s="1"/>
  <c r="K1210" i="23" s="1"/>
  <c r="L1210" i="23" s="1"/>
  <c r="I1221" i="23"/>
  <c r="J1221" i="23" s="1"/>
  <c r="K1221" i="23" s="1"/>
  <c r="L1221" i="23" s="1"/>
  <c r="I1223" i="23"/>
  <c r="J1223" i="23" s="1"/>
  <c r="K1223" i="23" s="1"/>
  <c r="L1223" i="23" s="1"/>
  <c r="I1225" i="23"/>
  <c r="J1225" i="23" s="1"/>
  <c r="K1225" i="23" s="1"/>
  <c r="L1225" i="23" s="1"/>
  <c r="I1227" i="23"/>
  <c r="J1227" i="23" s="1"/>
  <c r="K1227" i="23" s="1"/>
  <c r="L1227" i="23" s="1"/>
  <c r="I1134" i="23"/>
  <c r="J1134" i="23" s="1"/>
  <c r="K1134" i="23" s="1"/>
  <c r="L1134" i="23" s="1"/>
  <c r="I1136" i="23"/>
  <c r="J1136" i="23" s="1"/>
  <c r="K1136" i="23" s="1"/>
  <c r="L1136" i="23" s="1"/>
  <c r="I1138" i="23"/>
  <c r="J1138" i="23" s="1"/>
  <c r="K1138" i="23" s="1"/>
  <c r="L1138" i="23" s="1"/>
  <c r="I1165" i="23"/>
  <c r="J1165" i="23" s="1"/>
  <c r="K1165" i="23" s="1"/>
  <c r="L1165" i="23" s="1"/>
  <c r="I1167" i="23"/>
  <c r="J1167" i="23" s="1"/>
  <c r="K1167" i="23" s="1"/>
  <c r="L1167" i="23" s="1"/>
  <c r="I1176" i="23"/>
  <c r="J1176" i="23" s="1"/>
  <c r="K1176" i="23" s="1"/>
  <c r="L1176" i="23" s="1"/>
  <c r="I1114" i="23"/>
  <c r="J1114" i="23" s="1"/>
  <c r="K1114" i="23" s="1"/>
  <c r="L1114" i="23" s="1"/>
  <c r="I1116" i="23"/>
  <c r="J1116" i="23" s="1"/>
  <c r="K1116" i="23" s="1"/>
  <c r="L1116" i="23" s="1"/>
  <c r="I1121" i="23"/>
  <c r="J1121" i="23" s="1"/>
  <c r="K1121" i="23" s="1"/>
  <c r="L1121" i="23" s="1"/>
  <c r="I1126" i="23"/>
  <c r="J1126" i="23" s="1"/>
  <c r="K1126" i="23" s="1"/>
  <c r="L1126" i="23" s="1"/>
  <c r="I1304" i="23"/>
  <c r="J1304" i="23" s="1"/>
  <c r="K1304" i="23" s="1"/>
  <c r="L1304" i="23" s="1"/>
  <c r="I1306" i="23"/>
  <c r="J1306" i="23" s="1"/>
  <c r="K1306" i="23" s="1"/>
  <c r="L1306" i="23" s="1"/>
  <c r="I1295" i="23"/>
  <c r="J1295" i="23" s="1"/>
  <c r="K1295" i="23" s="1"/>
  <c r="L1295" i="23" s="1"/>
  <c r="I1288" i="23"/>
  <c r="J1288" i="23" s="1"/>
  <c r="K1288" i="23" s="1"/>
  <c r="L1288" i="23" s="1"/>
  <c r="I1284" i="23"/>
  <c r="J1284" i="23" s="1"/>
  <c r="K1284" i="23" s="1"/>
  <c r="L1284" i="23" s="1"/>
  <c r="I1286" i="23"/>
  <c r="J1286" i="23" s="1"/>
  <c r="K1286" i="23" s="1"/>
  <c r="L1286" i="23" s="1"/>
  <c r="I1269" i="23"/>
  <c r="J1269" i="23" s="1"/>
  <c r="K1269" i="23" s="1"/>
  <c r="L1269" i="23" s="1"/>
  <c r="I1246" i="23"/>
  <c r="J1246" i="23" s="1"/>
  <c r="K1246" i="23" s="1"/>
  <c r="L1246" i="23" s="1"/>
  <c r="I1248" i="23"/>
  <c r="J1248" i="23" s="1"/>
  <c r="K1248" i="23" s="1"/>
  <c r="L1248" i="23" s="1"/>
  <c r="I1250" i="23"/>
  <c r="J1250" i="23" s="1"/>
  <c r="K1250" i="23" s="1"/>
  <c r="L1250" i="23" s="1"/>
  <c r="I1252" i="23"/>
  <c r="J1252" i="23" s="1"/>
  <c r="K1252" i="23" s="1"/>
  <c r="L1252" i="23" s="1"/>
  <c r="I1254" i="23"/>
  <c r="J1254" i="23" s="1"/>
  <c r="K1254" i="23" s="1"/>
  <c r="L1254" i="23" s="1"/>
  <c r="I1256" i="23"/>
  <c r="J1256" i="23" s="1"/>
  <c r="K1256" i="23" s="1"/>
  <c r="L1256" i="23" s="1"/>
  <c r="I1258" i="23"/>
  <c r="J1258" i="23" s="1"/>
  <c r="K1258" i="23" s="1"/>
  <c r="L1258" i="23" s="1"/>
  <c r="I1228" i="23"/>
  <c r="J1228" i="23" s="1"/>
  <c r="K1228" i="23" s="1"/>
  <c r="L1228" i="23" s="1"/>
  <c r="I1233" i="23"/>
  <c r="J1233" i="23" s="1"/>
  <c r="K1233" i="23" s="1"/>
  <c r="L1233" i="23" s="1"/>
  <c r="I1199" i="23"/>
  <c r="J1199" i="23" s="1"/>
  <c r="K1199" i="23" s="1"/>
  <c r="L1199" i="23" s="1"/>
  <c r="I1207" i="23"/>
  <c r="J1207" i="23" s="1"/>
  <c r="K1207" i="23" s="1"/>
  <c r="L1207" i="23" s="1"/>
  <c r="I1140" i="23"/>
  <c r="J1140" i="23" s="1"/>
  <c r="K1140" i="23" s="1"/>
  <c r="L1140" i="23" s="1"/>
  <c r="I1142" i="23"/>
  <c r="J1142" i="23" s="1"/>
  <c r="K1142" i="23" s="1"/>
  <c r="L1142" i="23" s="1"/>
  <c r="I1144" i="23"/>
  <c r="J1144" i="23" s="1"/>
  <c r="K1144" i="23" s="1"/>
  <c r="L1144" i="23" s="1"/>
  <c r="I1146" i="23"/>
  <c r="J1146" i="23" s="1"/>
  <c r="K1146" i="23" s="1"/>
  <c r="L1146" i="23" s="1"/>
  <c r="I1148" i="23"/>
  <c r="J1148" i="23" s="1"/>
  <c r="K1148" i="23" s="1"/>
  <c r="L1148" i="23" s="1"/>
  <c r="I1150" i="23"/>
  <c r="J1150" i="23" s="1"/>
  <c r="K1150" i="23" s="1"/>
  <c r="L1150" i="23" s="1"/>
  <c r="I1152" i="23"/>
  <c r="J1152" i="23" s="1"/>
  <c r="K1152" i="23" s="1"/>
  <c r="L1152" i="23" s="1"/>
  <c r="I1169" i="23"/>
  <c r="J1169" i="23" s="1"/>
  <c r="K1169" i="23" s="1"/>
  <c r="L1169" i="23" s="1"/>
  <c r="I1111" i="23"/>
  <c r="J1111" i="23" s="1"/>
  <c r="K1111" i="23" s="1"/>
  <c r="L1111" i="23" s="1"/>
  <c r="I1105" i="23"/>
  <c r="J1105" i="23" s="1"/>
  <c r="K1105" i="23" s="1"/>
  <c r="L1105" i="23" s="1"/>
  <c r="I1085" i="23"/>
  <c r="J1085" i="23" s="1"/>
  <c r="K1085" i="23" s="1"/>
  <c r="L1085" i="23" s="1"/>
  <c r="I1099" i="23"/>
  <c r="J1099" i="23" s="1"/>
  <c r="K1099" i="23" s="1"/>
  <c r="L1099" i="23" s="1"/>
  <c r="I1036" i="23"/>
  <c r="J1036" i="23" s="1"/>
  <c r="K1036" i="23" s="1"/>
  <c r="L1036" i="23" s="1"/>
  <c r="I1047" i="23"/>
  <c r="J1047" i="23" s="1"/>
  <c r="K1047" i="23" s="1"/>
  <c r="L1047" i="23" s="1"/>
  <c r="I1062" i="23"/>
  <c r="J1062" i="23" s="1"/>
  <c r="K1062" i="23" s="1"/>
  <c r="L1062" i="23" s="1"/>
  <c r="I1077" i="23"/>
  <c r="J1077" i="23" s="1"/>
  <c r="K1077" i="23" s="1"/>
  <c r="L1077" i="23" s="1"/>
  <c r="I963" i="23"/>
  <c r="J963" i="23" s="1"/>
  <c r="K963" i="23" s="1"/>
  <c r="L963" i="23" s="1"/>
  <c r="I971" i="23"/>
  <c r="J971" i="23" s="1"/>
  <c r="K971" i="23" s="1"/>
  <c r="L971" i="23" s="1"/>
  <c r="I979" i="23"/>
  <c r="J979" i="23" s="1"/>
  <c r="K979" i="23" s="1"/>
  <c r="L979" i="23" s="1"/>
  <c r="I987" i="23"/>
  <c r="J987" i="23" s="1"/>
  <c r="K987" i="23" s="1"/>
  <c r="L987" i="23" s="1"/>
  <c r="I992" i="23"/>
  <c r="J992" i="23" s="1"/>
  <c r="K992" i="23" s="1"/>
  <c r="L992" i="23" s="1"/>
  <c r="I1001" i="23"/>
  <c r="J1001" i="23" s="1"/>
  <c r="K1001" i="23" s="1"/>
  <c r="L1001" i="23" s="1"/>
  <c r="I946" i="23"/>
  <c r="J946" i="23" s="1"/>
  <c r="K946" i="23" s="1"/>
  <c r="L946" i="23" s="1"/>
  <c r="I932" i="23"/>
  <c r="J932" i="23" s="1"/>
  <c r="K932" i="23" s="1"/>
  <c r="L932" i="23" s="1"/>
  <c r="I1300" i="23"/>
  <c r="J1300" i="23" s="1"/>
  <c r="K1300" i="23" s="1"/>
  <c r="L1300" i="23" s="1"/>
  <c r="I1271" i="23"/>
  <c r="J1271" i="23" s="1"/>
  <c r="K1271" i="23" s="1"/>
  <c r="L1271" i="23" s="1"/>
  <c r="I1273" i="23"/>
  <c r="J1273" i="23" s="1"/>
  <c r="K1273" i="23" s="1"/>
  <c r="L1273" i="23" s="1"/>
  <c r="I1263" i="23"/>
  <c r="J1263" i="23" s="1"/>
  <c r="K1263" i="23" s="1"/>
  <c r="L1263" i="23" s="1"/>
  <c r="I1260" i="23"/>
  <c r="J1260" i="23" s="1"/>
  <c r="K1260" i="23" s="1"/>
  <c r="L1260" i="23" s="1"/>
  <c r="I1262" i="23"/>
  <c r="J1262" i="23" s="1"/>
  <c r="K1262" i="23" s="1"/>
  <c r="L1262" i="23" s="1"/>
  <c r="I1230" i="23"/>
  <c r="J1230" i="23" s="1"/>
  <c r="K1230" i="23" s="1"/>
  <c r="L1230" i="23" s="1"/>
  <c r="I1196" i="23"/>
  <c r="J1196" i="23" s="1"/>
  <c r="K1196" i="23" s="1"/>
  <c r="L1196" i="23" s="1"/>
  <c r="I1204" i="23"/>
  <c r="J1204" i="23" s="1"/>
  <c r="K1204" i="23" s="1"/>
  <c r="L1204" i="23" s="1"/>
  <c r="I1212" i="23"/>
  <c r="J1212" i="23" s="1"/>
  <c r="K1212" i="23" s="1"/>
  <c r="L1212" i="23" s="1"/>
  <c r="I1214" i="23"/>
  <c r="J1214" i="23" s="1"/>
  <c r="K1214" i="23" s="1"/>
  <c r="L1214" i="23" s="1"/>
  <c r="I1216" i="23"/>
  <c r="J1216" i="23" s="1"/>
  <c r="K1216" i="23" s="1"/>
  <c r="L1216" i="23" s="1"/>
  <c r="I1218" i="23"/>
  <c r="J1218" i="23" s="1"/>
  <c r="K1218" i="23" s="1"/>
  <c r="L1218" i="23" s="1"/>
  <c r="I1180" i="23"/>
  <c r="J1180" i="23" s="1"/>
  <c r="K1180" i="23" s="1"/>
  <c r="L1180" i="23" s="1"/>
  <c r="I1182" i="23"/>
  <c r="J1182" i="23" s="1"/>
  <c r="K1182" i="23" s="1"/>
  <c r="L1182" i="23" s="1"/>
  <c r="I1184" i="23"/>
  <c r="J1184" i="23" s="1"/>
  <c r="K1184" i="23" s="1"/>
  <c r="L1184" i="23" s="1"/>
  <c r="I1154" i="23"/>
  <c r="J1154" i="23" s="1"/>
  <c r="K1154" i="23" s="1"/>
  <c r="L1154" i="23" s="1"/>
  <c r="I1156" i="23"/>
  <c r="J1156" i="23" s="1"/>
  <c r="K1156" i="23" s="1"/>
  <c r="L1156" i="23" s="1"/>
  <c r="I1158" i="23"/>
  <c r="J1158" i="23" s="1"/>
  <c r="K1158" i="23" s="1"/>
  <c r="L1158" i="23" s="1"/>
  <c r="I1160" i="23"/>
  <c r="J1160" i="23" s="1"/>
  <c r="K1160" i="23" s="1"/>
  <c r="L1160" i="23" s="1"/>
  <c r="I1162" i="23"/>
  <c r="J1162" i="23" s="1"/>
  <c r="K1162" i="23" s="1"/>
  <c r="L1162" i="23" s="1"/>
  <c r="I1171" i="23"/>
  <c r="J1171" i="23" s="1"/>
  <c r="K1171" i="23" s="1"/>
  <c r="L1171" i="23" s="1"/>
  <c r="I1118" i="23"/>
  <c r="J1118" i="23" s="1"/>
  <c r="K1118" i="23" s="1"/>
  <c r="L1118" i="23" s="1"/>
  <c r="I1123" i="23"/>
  <c r="J1123" i="23" s="1"/>
  <c r="K1123" i="23" s="1"/>
  <c r="L1123" i="23" s="1"/>
  <c r="I1128" i="23"/>
  <c r="J1128" i="23" s="1"/>
  <c r="K1128" i="23" s="1"/>
  <c r="L1128" i="23" s="1"/>
  <c r="I1087" i="23"/>
  <c r="J1087" i="23" s="1"/>
  <c r="K1087" i="23" s="1"/>
  <c r="L1087" i="23" s="1"/>
  <c r="I1096" i="23"/>
  <c r="J1096" i="23" s="1"/>
  <c r="K1096" i="23" s="1"/>
  <c r="L1096" i="23" s="1"/>
  <c r="I1029" i="23"/>
  <c r="J1029" i="23" s="1"/>
  <c r="K1029" i="23" s="1"/>
  <c r="L1029" i="23" s="1"/>
  <c r="I1038" i="23"/>
  <c r="J1038" i="23" s="1"/>
  <c r="K1038" i="23" s="1"/>
  <c r="L1038" i="23" s="1"/>
  <c r="I1040" i="23"/>
  <c r="J1040" i="23" s="1"/>
  <c r="K1040" i="23" s="1"/>
  <c r="L1040" i="23" s="1"/>
  <c r="I1042" i="23"/>
  <c r="J1042" i="23" s="1"/>
  <c r="K1042" i="23" s="1"/>
  <c r="L1042" i="23" s="1"/>
  <c r="I1049" i="23"/>
  <c r="J1049" i="23" s="1"/>
  <c r="K1049" i="23" s="1"/>
  <c r="L1049" i="23" s="1"/>
  <c r="I1064" i="23"/>
  <c r="J1064" i="23" s="1"/>
  <c r="K1064" i="23" s="1"/>
  <c r="L1064" i="23" s="1"/>
  <c r="I1298" i="23"/>
  <c r="J1298" i="23" s="1"/>
  <c r="K1298" i="23" s="1"/>
  <c r="L1298" i="23" s="1"/>
  <c r="I1290" i="23"/>
  <c r="J1290" i="23" s="1"/>
  <c r="K1290" i="23" s="1"/>
  <c r="L1290" i="23" s="1"/>
  <c r="I1292" i="23"/>
  <c r="J1292" i="23" s="1"/>
  <c r="K1292" i="23" s="1"/>
  <c r="L1292" i="23" s="1"/>
  <c r="I1276" i="23"/>
  <c r="J1276" i="23" s="1"/>
  <c r="K1276" i="23" s="1"/>
  <c r="L1276" i="23" s="1"/>
  <c r="I1264" i="23"/>
  <c r="J1264" i="23" s="1"/>
  <c r="K1264" i="23" s="1"/>
  <c r="L1264" i="23" s="1"/>
  <c r="I1266" i="23"/>
  <c r="J1266" i="23" s="1"/>
  <c r="K1266" i="23" s="1"/>
  <c r="L1266" i="23" s="1"/>
  <c r="I1241" i="23"/>
  <c r="J1241" i="23" s="1"/>
  <c r="K1241" i="23" s="1"/>
  <c r="L1241" i="23" s="1"/>
  <c r="I1235" i="23"/>
  <c r="J1235" i="23" s="1"/>
  <c r="K1235" i="23" s="1"/>
  <c r="L1235" i="23" s="1"/>
  <c r="I1201" i="23"/>
  <c r="J1201" i="23" s="1"/>
  <c r="K1201" i="23" s="1"/>
  <c r="L1201" i="23" s="1"/>
  <c r="I1209" i="23"/>
  <c r="J1209" i="23" s="1"/>
  <c r="K1209" i="23" s="1"/>
  <c r="L1209" i="23" s="1"/>
  <c r="I1186" i="23"/>
  <c r="J1186" i="23" s="1"/>
  <c r="K1186" i="23" s="1"/>
  <c r="L1186" i="23" s="1"/>
  <c r="I1188" i="23"/>
  <c r="J1188" i="23" s="1"/>
  <c r="K1188" i="23" s="1"/>
  <c r="L1188" i="23" s="1"/>
  <c r="I1190" i="23"/>
  <c r="J1190" i="23" s="1"/>
  <c r="K1190" i="23" s="1"/>
  <c r="L1190" i="23" s="1"/>
  <c r="I1192" i="23"/>
  <c r="J1192" i="23" s="1"/>
  <c r="K1192" i="23" s="1"/>
  <c r="L1192" i="23" s="1"/>
  <c r="I1194" i="23"/>
  <c r="J1194" i="23" s="1"/>
  <c r="K1194" i="23" s="1"/>
  <c r="L1194" i="23" s="1"/>
  <c r="I1178" i="23"/>
  <c r="J1178" i="23" s="1"/>
  <c r="K1178" i="23" s="1"/>
  <c r="L1178" i="23" s="1"/>
  <c r="I1173" i="23"/>
  <c r="J1173" i="23" s="1"/>
  <c r="K1173" i="23" s="1"/>
  <c r="L1173" i="23" s="1"/>
  <c r="I1113" i="23"/>
  <c r="J1113" i="23" s="1"/>
  <c r="K1113" i="23" s="1"/>
  <c r="L1113" i="23" s="1"/>
  <c r="I1120" i="23"/>
  <c r="J1120" i="23" s="1"/>
  <c r="K1120" i="23" s="1"/>
  <c r="L1120" i="23" s="1"/>
  <c r="I1109" i="23"/>
  <c r="J1109" i="23" s="1"/>
  <c r="K1109" i="23" s="1"/>
  <c r="L1109" i="23" s="1"/>
  <c r="I1107" i="23"/>
  <c r="J1107" i="23" s="1"/>
  <c r="K1107" i="23" s="1"/>
  <c r="L1107" i="23" s="1"/>
  <c r="I1101" i="23"/>
  <c r="J1101" i="23" s="1"/>
  <c r="K1101" i="23" s="1"/>
  <c r="L1101" i="23" s="1"/>
  <c r="I1026" i="23"/>
  <c r="J1026" i="23" s="1"/>
  <c r="K1026" i="23" s="1"/>
  <c r="L1026" i="23" s="1"/>
  <c r="I1051" i="23"/>
  <c r="J1051" i="23" s="1"/>
  <c r="K1051" i="23" s="1"/>
  <c r="L1051" i="23" s="1"/>
  <c r="I1053" i="23"/>
  <c r="J1053" i="23" s="1"/>
  <c r="K1053" i="23" s="1"/>
  <c r="L1053" i="23" s="1"/>
  <c r="I1055" i="23"/>
  <c r="J1055" i="23" s="1"/>
  <c r="K1055" i="23" s="1"/>
  <c r="L1055" i="23" s="1"/>
  <c r="I1066" i="23"/>
  <c r="J1066" i="23" s="1"/>
  <c r="K1066" i="23" s="1"/>
  <c r="L1066" i="23" s="1"/>
  <c r="I1081" i="23"/>
  <c r="J1081" i="23" s="1"/>
  <c r="K1081" i="23" s="1"/>
  <c r="L1081" i="23" s="1"/>
  <c r="I965" i="23"/>
  <c r="J965" i="23" s="1"/>
  <c r="K965" i="23" s="1"/>
  <c r="L965" i="23" s="1"/>
  <c r="I973" i="23"/>
  <c r="J973" i="23" s="1"/>
  <c r="K973" i="23" s="1"/>
  <c r="L973" i="23" s="1"/>
  <c r="I981" i="23"/>
  <c r="J981" i="23" s="1"/>
  <c r="K981" i="23" s="1"/>
  <c r="L981" i="23" s="1"/>
  <c r="I989" i="23"/>
  <c r="J989" i="23" s="1"/>
  <c r="K989" i="23" s="1"/>
  <c r="L989" i="23" s="1"/>
  <c r="I994" i="23"/>
  <c r="J994" i="23" s="1"/>
  <c r="K994" i="23" s="1"/>
  <c r="L994" i="23" s="1"/>
  <c r="I996" i="23"/>
  <c r="J996" i="23" s="1"/>
  <c r="K996" i="23" s="1"/>
  <c r="L996" i="23" s="1"/>
  <c r="I1009" i="23"/>
  <c r="J1009" i="23" s="1"/>
  <c r="K1009" i="23" s="1"/>
  <c r="L1009" i="23" s="1"/>
  <c r="I1020" i="23"/>
  <c r="J1020" i="23" s="1"/>
  <c r="K1020" i="23" s="1"/>
  <c r="L1020" i="23" s="1"/>
  <c r="I956" i="23"/>
  <c r="J956" i="23" s="1"/>
  <c r="K956" i="23" s="1"/>
  <c r="L956" i="23" s="1"/>
  <c r="I958" i="23"/>
  <c r="J958" i="23" s="1"/>
  <c r="K958" i="23" s="1"/>
  <c r="L958" i="23" s="1"/>
  <c r="I939" i="23"/>
  <c r="J939" i="23" s="1"/>
  <c r="K939" i="23" s="1"/>
  <c r="L939" i="23" s="1"/>
  <c r="I937" i="23"/>
  <c r="J937" i="23" s="1"/>
  <c r="K937" i="23" s="1"/>
  <c r="L937" i="23" s="1"/>
  <c r="I935" i="23"/>
  <c r="J935" i="23" s="1"/>
  <c r="K935" i="23" s="1"/>
  <c r="L935" i="23" s="1"/>
  <c r="I928" i="23"/>
  <c r="J928" i="23" s="1"/>
  <c r="K928" i="23" s="1"/>
  <c r="L928" i="23" s="1"/>
  <c r="I926" i="23"/>
  <c r="J926" i="23" s="1"/>
  <c r="K926" i="23" s="1"/>
  <c r="L926" i="23" s="1"/>
  <c r="I917" i="23"/>
  <c r="J917" i="23" s="1"/>
  <c r="K917" i="23" s="1"/>
  <c r="L917" i="23" s="1"/>
  <c r="I890" i="23"/>
  <c r="J890" i="23" s="1"/>
  <c r="K890" i="23" s="1"/>
  <c r="L890" i="23" s="1"/>
  <c r="I897" i="23"/>
  <c r="J897" i="23" s="1"/>
  <c r="K897" i="23" s="1"/>
  <c r="L897" i="23" s="1"/>
  <c r="I902" i="23"/>
  <c r="J902" i="23" s="1"/>
  <c r="K902" i="23" s="1"/>
  <c r="L902" i="23" s="1"/>
  <c r="I907" i="23"/>
  <c r="J907" i="23" s="1"/>
  <c r="K907" i="23" s="1"/>
  <c r="L907" i="23" s="1"/>
  <c r="I912" i="23"/>
  <c r="J912" i="23" s="1"/>
  <c r="K912" i="23" s="1"/>
  <c r="L912" i="23" s="1"/>
  <c r="I853" i="23"/>
  <c r="J853" i="23" s="1"/>
  <c r="K853" i="23" s="1"/>
  <c r="L853" i="23" s="1"/>
  <c r="I855" i="23"/>
  <c r="J855" i="23" s="1"/>
  <c r="K855" i="23" s="1"/>
  <c r="L855" i="23" s="1"/>
  <c r="I857" i="23"/>
  <c r="J857" i="23" s="1"/>
  <c r="K857" i="23" s="1"/>
  <c r="L857" i="23" s="1"/>
  <c r="I1296" i="23"/>
  <c r="J1296" i="23" s="1"/>
  <c r="K1296" i="23" s="1"/>
  <c r="L1296" i="23" s="1"/>
  <c r="I1287" i="23"/>
  <c r="J1287" i="23" s="1"/>
  <c r="K1287" i="23" s="1"/>
  <c r="L1287" i="23" s="1"/>
  <c r="I1294" i="23"/>
  <c r="J1294" i="23" s="1"/>
  <c r="K1294" i="23" s="1"/>
  <c r="L1294" i="23" s="1"/>
  <c r="I1279" i="23"/>
  <c r="J1279" i="23" s="1"/>
  <c r="K1279" i="23" s="1"/>
  <c r="L1279" i="23" s="1"/>
  <c r="I1281" i="23"/>
  <c r="J1281" i="23" s="1"/>
  <c r="K1281" i="23" s="1"/>
  <c r="L1281" i="23" s="1"/>
  <c r="I1268" i="23"/>
  <c r="J1268" i="23" s="1"/>
  <c r="K1268" i="23" s="1"/>
  <c r="L1268" i="23" s="1"/>
  <c r="I1243" i="23"/>
  <c r="J1243" i="23" s="1"/>
  <c r="K1243" i="23" s="1"/>
  <c r="L1243" i="23" s="1"/>
  <c r="I1232" i="23"/>
  <c r="J1232" i="23" s="1"/>
  <c r="K1232" i="23" s="1"/>
  <c r="L1232" i="23" s="1"/>
  <c r="I1198" i="23"/>
  <c r="J1198" i="23" s="1"/>
  <c r="K1198" i="23" s="1"/>
  <c r="L1198" i="23" s="1"/>
  <c r="I1206" i="23"/>
  <c r="J1206" i="23" s="1"/>
  <c r="K1206" i="23" s="1"/>
  <c r="L1206" i="23" s="1"/>
  <c r="I1220" i="23"/>
  <c r="J1220" i="23" s="1"/>
  <c r="K1220" i="23" s="1"/>
  <c r="L1220" i="23" s="1"/>
  <c r="I1222" i="23"/>
  <c r="J1222" i="23" s="1"/>
  <c r="K1222" i="23" s="1"/>
  <c r="L1222" i="23" s="1"/>
  <c r="I1224" i="23"/>
  <c r="J1224" i="23" s="1"/>
  <c r="K1224" i="23" s="1"/>
  <c r="L1224" i="23" s="1"/>
  <c r="I1226" i="23"/>
  <c r="J1226" i="23" s="1"/>
  <c r="K1226" i="23" s="1"/>
  <c r="L1226" i="23" s="1"/>
  <c r="I1133" i="23"/>
  <c r="J1133" i="23" s="1"/>
  <c r="K1133" i="23" s="1"/>
  <c r="L1133" i="23" s="1"/>
  <c r="I1135" i="23"/>
  <c r="J1135" i="23" s="1"/>
  <c r="K1135" i="23" s="1"/>
  <c r="L1135" i="23" s="1"/>
  <c r="I1137" i="23"/>
  <c r="J1137" i="23" s="1"/>
  <c r="K1137" i="23" s="1"/>
  <c r="L1137" i="23" s="1"/>
  <c r="I1164" i="23"/>
  <c r="J1164" i="23" s="1"/>
  <c r="K1164" i="23" s="1"/>
  <c r="L1164" i="23" s="1"/>
  <c r="I1166" i="23"/>
  <c r="J1166" i="23" s="1"/>
  <c r="K1166" i="23" s="1"/>
  <c r="L1166" i="23" s="1"/>
  <c r="I1168" i="23"/>
  <c r="J1168" i="23" s="1"/>
  <c r="K1168" i="23" s="1"/>
  <c r="L1168" i="23" s="1"/>
  <c r="I1175" i="23"/>
  <c r="J1175" i="23" s="1"/>
  <c r="K1175" i="23" s="1"/>
  <c r="L1175" i="23" s="1"/>
  <c r="I1177" i="23"/>
  <c r="J1177" i="23" s="1"/>
  <c r="K1177" i="23" s="1"/>
  <c r="L1177" i="23" s="1"/>
  <c r="I1115" i="23"/>
  <c r="J1115" i="23" s="1"/>
  <c r="K1115" i="23" s="1"/>
  <c r="L1115" i="23" s="1"/>
  <c r="I1125" i="23"/>
  <c r="J1125" i="23" s="1"/>
  <c r="K1125" i="23" s="1"/>
  <c r="L1125" i="23" s="1"/>
  <c r="I1130" i="23"/>
  <c r="J1130" i="23" s="1"/>
  <c r="K1130" i="23" s="1"/>
  <c r="L1130" i="23" s="1"/>
  <c r="I1089" i="23"/>
  <c r="J1089" i="23" s="1"/>
  <c r="K1089" i="23" s="1"/>
  <c r="L1089" i="23" s="1"/>
  <c r="I1091" i="23"/>
  <c r="J1091" i="23" s="1"/>
  <c r="K1091" i="23" s="1"/>
  <c r="L1091" i="23" s="1"/>
  <c r="I1093" i="23"/>
  <c r="J1093" i="23" s="1"/>
  <c r="K1093" i="23" s="1"/>
  <c r="L1093" i="23" s="1"/>
  <c r="I1098" i="23"/>
  <c r="J1098" i="23" s="1"/>
  <c r="K1098" i="23" s="1"/>
  <c r="L1098" i="23" s="1"/>
  <c r="I1031" i="23"/>
  <c r="J1031" i="23" s="1"/>
  <c r="K1031" i="23" s="1"/>
  <c r="L1031" i="23" s="1"/>
  <c r="I1033" i="23"/>
  <c r="J1033" i="23" s="1"/>
  <c r="K1033" i="23" s="1"/>
  <c r="L1033" i="23" s="1"/>
  <c r="I1035" i="23"/>
  <c r="J1035" i="23" s="1"/>
  <c r="K1035" i="23" s="1"/>
  <c r="L1035" i="23" s="1"/>
  <c r="I1044" i="23"/>
  <c r="J1044" i="23" s="1"/>
  <c r="K1044" i="23" s="1"/>
  <c r="L1044" i="23" s="1"/>
  <c r="I1057" i="23"/>
  <c r="J1057" i="23" s="1"/>
  <c r="K1057" i="23" s="1"/>
  <c r="L1057" i="23" s="1"/>
  <c r="I1059" i="23"/>
  <c r="J1059" i="23" s="1"/>
  <c r="K1059" i="23" s="1"/>
  <c r="L1059" i="23" s="1"/>
  <c r="I1061" i="23"/>
  <c r="J1061" i="23" s="1"/>
  <c r="K1061" i="23" s="1"/>
  <c r="L1061" i="23" s="1"/>
  <c r="I1068" i="23"/>
  <c r="J1068" i="23" s="1"/>
  <c r="K1068" i="23" s="1"/>
  <c r="L1068" i="23" s="1"/>
  <c r="I1070" i="23"/>
  <c r="J1070" i="23" s="1"/>
  <c r="K1070" i="23" s="1"/>
  <c r="L1070" i="23" s="1"/>
  <c r="I1072" i="23"/>
  <c r="J1072" i="23" s="1"/>
  <c r="K1072" i="23" s="1"/>
  <c r="L1072" i="23" s="1"/>
  <c r="I1074" i="23"/>
  <c r="J1074" i="23" s="1"/>
  <c r="K1074" i="23" s="1"/>
  <c r="L1074" i="23" s="1"/>
  <c r="I1025" i="23"/>
  <c r="J1025" i="23" s="1"/>
  <c r="K1025" i="23" s="1"/>
  <c r="L1025" i="23" s="1"/>
  <c r="I962" i="23"/>
  <c r="J962" i="23" s="1"/>
  <c r="K962" i="23" s="1"/>
  <c r="L962" i="23" s="1"/>
  <c r="I970" i="23"/>
  <c r="J970" i="23" s="1"/>
  <c r="K970" i="23" s="1"/>
  <c r="L970" i="23" s="1"/>
  <c r="I978" i="23"/>
  <c r="J978" i="23" s="1"/>
  <c r="K978" i="23" s="1"/>
  <c r="L978" i="23" s="1"/>
  <c r="I986" i="23"/>
  <c r="J986" i="23" s="1"/>
  <c r="K986" i="23" s="1"/>
  <c r="L986" i="23" s="1"/>
  <c r="I998" i="23"/>
  <c r="J998" i="23" s="1"/>
  <c r="K998" i="23" s="1"/>
  <c r="L998" i="23" s="1"/>
  <c r="I1000" i="23"/>
  <c r="J1000" i="23" s="1"/>
  <c r="K1000" i="23" s="1"/>
  <c r="L1000" i="23" s="1"/>
  <c r="I1011" i="23"/>
  <c r="J1011" i="23" s="1"/>
  <c r="K1011" i="23" s="1"/>
  <c r="L1011" i="23" s="1"/>
  <c r="I1013" i="23"/>
  <c r="J1013" i="23" s="1"/>
  <c r="K1013" i="23" s="1"/>
  <c r="L1013" i="23" s="1"/>
  <c r="I1022" i="23"/>
  <c r="J1022" i="23" s="1"/>
  <c r="K1022" i="23" s="1"/>
  <c r="L1022" i="23" s="1"/>
  <c r="I933" i="23"/>
  <c r="J933" i="23" s="1"/>
  <c r="K933" i="23" s="1"/>
  <c r="L933" i="23" s="1"/>
  <c r="I924" i="23"/>
  <c r="J924" i="23" s="1"/>
  <c r="K924" i="23" s="1"/>
  <c r="L924" i="23" s="1"/>
  <c r="I915" i="23"/>
  <c r="J915" i="23" s="1"/>
  <c r="K915" i="23" s="1"/>
  <c r="L915" i="23" s="1"/>
  <c r="I904" i="23"/>
  <c r="J904" i="23" s="1"/>
  <c r="K904" i="23" s="1"/>
  <c r="L904" i="23" s="1"/>
  <c r="I863" i="23"/>
  <c r="J863" i="23" s="1"/>
  <c r="K863" i="23" s="1"/>
  <c r="L863" i="23" s="1"/>
  <c r="I879" i="23"/>
  <c r="J879" i="23" s="1"/>
  <c r="K879" i="23" s="1"/>
  <c r="L879" i="23" s="1"/>
  <c r="I1303" i="23"/>
  <c r="J1303" i="23" s="1"/>
  <c r="K1303" i="23" s="1"/>
  <c r="L1303" i="23" s="1"/>
  <c r="I1305" i="23"/>
  <c r="J1305" i="23" s="1"/>
  <c r="K1305" i="23" s="1"/>
  <c r="L1305" i="23" s="1"/>
  <c r="I1301" i="23"/>
  <c r="J1301" i="23" s="1"/>
  <c r="K1301" i="23" s="1"/>
  <c r="L1301" i="23" s="1"/>
  <c r="I1283" i="23"/>
  <c r="J1283" i="23" s="1"/>
  <c r="K1283" i="23" s="1"/>
  <c r="L1283" i="23" s="1"/>
  <c r="I1285" i="23"/>
  <c r="J1285" i="23" s="1"/>
  <c r="K1285" i="23" s="1"/>
  <c r="L1285" i="23" s="1"/>
  <c r="I1270" i="23"/>
  <c r="J1270" i="23" s="1"/>
  <c r="K1270" i="23" s="1"/>
  <c r="L1270" i="23" s="1"/>
  <c r="I1245" i="23"/>
  <c r="J1245" i="23" s="1"/>
  <c r="K1245" i="23" s="1"/>
  <c r="L1245" i="23" s="1"/>
  <c r="I1247" i="23"/>
  <c r="J1247" i="23" s="1"/>
  <c r="K1247" i="23" s="1"/>
  <c r="L1247" i="23" s="1"/>
  <c r="I1249" i="23"/>
  <c r="J1249" i="23" s="1"/>
  <c r="K1249" i="23" s="1"/>
  <c r="L1249" i="23" s="1"/>
  <c r="I1251" i="23"/>
  <c r="J1251" i="23" s="1"/>
  <c r="K1251" i="23" s="1"/>
  <c r="L1251" i="23" s="1"/>
  <c r="I1253" i="23"/>
  <c r="J1253" i="23" s="1"/>
  <c r="K1253" i="23" s="1"/>
  <c r="L1253" i="23" s="1"/>
  <c r="I1255" i="23"/>
  <c r="J1255" i="23" s="1"/>
  <c r="K1255" i="23" s="1"/>
  <c r="L1255" i="23" s="1"/>
  <c r="I1257" i="23"/>
  <c r="J1257" i="23" s="1"/>
  <c r="K1257" i="23" s="1"/>
  <c r="L1257" i="23" s="1"/>
  <c r="I1259" i="23"/>
  <c r="J1259" i="23" s="1"/>
  <c r="K1259" i="23" s="1"/>
  <c r="L1259" i="23" s="1"/>
  <c r="I1238" i="23"/>
  <c r="J1238" i="23" s="1"/>
  <c r="K1238" i="23" s="1"/>
  <c r="L1238" i="23" s="1"/>
  <c r="I1229" i="23"/>
  <c r="J1229" i="23" s="1"/>
  <c r="K1229" i="23" s="1"/>
  <c r="L1229" i="23" s="1"/>
  <c r="I1237" i="23"/>
  <c r="J1237" i="23" s="1"/>
  <c r="K1237" i="23" s="1"/>
  <c r="L1237" i="23" s="1"/>
  <c r="I1203" i="23"/>
  <c r="J1203" i="23" s="1"/>
  <c r="K1203" i="23" s="1"/>
  <c r="L1203" i="23" s="1"/>
  <c r="I1211" i="23"/>
  <c r="J1211" i="23" s="1"/>
  <c r="K1211" i="23" s="1"/>
  <c r="L1211" i="23" s="1"/>
  <c r="I1139" i="23"/>
  <c r="J1139" i="23" s="1"/>
  <c r="K1139" i="23" s="1"/>
  <c r="L1139" i="23" s="1"/>
  <c r="I1141" i="23"/>
  <c r="J1141" i="23" s="1"/>
  <c r="K1141" i="23" s="1"/>
  <c r="L1141" i="23" s="1"/>
  <c r="I1143" i="23"/>
  <c r="J1143" i="23" s="1"/>
  <c r="K1143" i="23" s="1"/>
  <c r="L1143" i="23" s="1"/>
  <c r="I1145" i="23"/>
  <c r="J1145" i="23" s="1"/>
  <c r="K1145" i="23" s="1"/>
  <c r="L1145" i="23" s="1"/>
  <c r="I1147" i="23"/>
  <c r="J1147" i="23" s="1"/>
  <c r="K1147" i="23" s="1"/>
  <c r="L1147" i="23" s="1"/>
  <c r="I1149" i="23"/>
  <c r="J1149" i="23" s="1"/>
  <c r="K1149" i="23" s="1"/>
  <c r="L1149" i="23" s="1"/>
  <c r="I1151" i="23"/>
  <c r="J1151" i="23" s="1"/>
  <c r="K1151" i="23" s="1"/>
  <c r="L1151" i="23" s="1"/>
  <c r="I1153" i="23"/>
  <c r="J1153" i="23" s="1"/>
  <c r="K1153" i="23" s="1"/>
  <c r="L1153" i="23" s="1"/>
  <c r="I1170" i="23"/>
  <c r="J1170" i="23" s="1"/>
  <c r="K1170" i="23" s="1"/>
  <c r="L1170" i="23" s="1"/>
  <c r="I1117" i="23"/>
  <c r="J1117" i="23" s="1"/>
  <c r="K1117" i="23" s="1"/>
  <c r="L1117" i="23" s="1"/>
  <c r="I1122" i="23"/>
  <c r="J1122" i="23" s="1"/>
  <c r="K1122" i="23" s="1"/>
  <c r="L1122" i="23" s="1"/>
  <c r="I1127" i="23"/>
  <c r="J1127" i="23" s="1"/>
  <c r="K1127" i="23" s="1"/>
  <c r="L1127" i="23" s="1"/>
  <c r="I1104" i="23"/>
  <c r="J1104" i="23" s="1"/>
  <c r="K1104" i="23" s="1"/>
  <c r="L1104" i="23" s="1"/>
  <c r="I1084" i="23"/>
  <c r="J1084" i="23" s="1"/>
  <c r="K1084" i="23" s="1"/>
  <c r="L1084" i="23" s="1"/>
  <c r="I1086" i="23"/>
  <c r="J1086" i="23" s="1"/>
  <c r="K1086" i="23" s="1"/>
  <c r="L1086" i="23" s="1"/>
  <c r="I1095" i="23"/>
  <c r="J1095" i="23" s="1"/>
  <c r="K1095" i="23" s="1"/>
  <c r="L1095" i="23" s="1"/>
  <c r="I1103" i="23"/>
  <c r="J1103" i="23" s="1"/>
  <c r="K1103" i="23" s="1"/>
  <c r="L1103" i="23" s="1"/>
  <c r="I1028" i="23"/>
  <c r="J1028" i="23" s="1"/>
  <c r="K1028" i="23" s="1"/>
  <c r="L1028" i="23" s="1"/>
  <c r="I1037" i="23"/>
  <c r="J1037" i="23" s="1"/>
  <c r="K1037" i="23" s="1"/>
  <c r="L1037" i="23" s="1"/>
  <c r="I1046" i="23"/>
  <c r="J1046" i="23" s="1"/>
  <c r="K1046" i="23" s="1"/>
  <c r="L1046" i="23" s="1"/>
  <c r="I1076" i="23"/>
  <c r="J1076" i="23" s="1"/>
  <c r="K1076" i="23" s="1"/>
  <c r="L1076" i="23" s="1"/>
  <c r="I959" i="23"/>
  <c r="J959" i="23" s="1"/>
  <c r="K959" i="23" s="1"/>
  <c r="L959" i="23" s="1"/>
  <c r="I967" i="23"/>
  <c r="J967" i="23" s="1"/>
  <c r="K967" i="23" s="1"/>
  <c r="L967" i="23" s="1"/>
  <c r="I975" i="23"/>
  <c r="J975" i="23" s="1"/>
  <c r="K975" i="23" s="1"/>
  <c r="L975" i="23" s="1"/>
  <c r="I983" i="23"/>
  <c r="J983" i="23" s="1"/>
  <c r="K983" i="23" s="1"/>
  <c r="L983" i="23" s="1"/>
  <c r="I991" i="23"/>
  <c r="J991" i="23" s="1"/>
  <c r="K991" i="23" s="1"/>
  <c r="L991" i="23" s="1"/>
  <c r="I1015" i="23"/>
  <c r="J1015" i="23" s="1"/>
  <c r="K1015" i="23" s="1"/>
  <c r="L1015" i="23" s="1"/>
  <c r="I931" i="23"/>
  <c r="J931" i="23" s="1"/>
  <c r="K931" i="23" s="1"/>
  <c r="L931" i="23" s="1"/>
  <c r="I922" i="23"/>
  <c r="J922" i="23" s="1"/>
  <c r="K922" i="23" s="1"/>
  <c r="L922" i="23" s="1"/>
  <c r="I913" i="23"/>
  <c r="J913" i="23" s="1"/>
  <c r="K913" i="23" s="1"/>
  <c r="L913" i="23" s="1"/>
  <c r="I887" i="23"/>
  <c r="J887" i="23" s="1"/>
  <c r="K887" i="23" s="1"/>
  <c r="L887" i="23" s="1"/>
  <c r="I892" i="23"/>
  <c r="J892" i="23" s="1"/>
  <c r="K892" i="23" s="1"/>
  <c r="L892" i="23" s="1"/>
  <c r="I894" i="23"/>
  <c r="J894" i="23" s="1"/>
  <c r="K894" i="23" s="1"/>
  <c r="L894" i="23" s="1"/>
  <c r="I899" i="23"/>
  <c r="J899" i="23" s="1"/>
  <c r="K899" i="23" s="1"/>
  <c r="L899" i="23" s="1"/>
  <c r="I909" i="23"/>
  <c r="J909" i="23" s="1"/>
  <c r="K909" i="23" s="1"/>
  <c r="L909" i="23" s="1"/>
  <c r="I865" i="23"/>
  <c r="J865" i="23" s="1"/>
  <c r="K865" i="23" s="1"/>
  <c r="L865" i="23" s="1"/>
  <c r="I874" i="23"/>
  <c r="J874" i="23" s="1"/>
  <c r="K874" i="23" s="1"/>
  <c r="L874" i="23" s="1"/>
  <c r="I881" i="23"/>
  <c r="J881" i="23" s="1"/>
  <c r="K881" i="23" s="1"/>
  <c r="L881" i="23" s="1"/>
  <c r="I818" i="23"/>
  <c r="J818" i="23" s="1"/>
  <c r="K818" i="23" s="1"/>
  <c r="L818" i="23" s="1"/>
  <c r="I820" i="23"/>
  <c r="J820" i="23" s="1"/>
  <c r="K820" i="23" s="1"/>
  <c r="L820" i="23" s="1"/>
  <c r="I835" i="23"/>
  <c r="J835" i="23" s="1"/>
  <c r="K835" i="23" s="1"/>
  <c r="L835" i="23" s="1"/>
  <c r="I837" i="23"/>
  <c r="J837" i="23" s="1"/>
  <c r="K837" i="23" s="1"/>
  <c r="L837" i="23" s="1"/>
  <c r="I839" i="23"/>
  <c r="J839" i="23" s="1"/>
  <c r="K839" i="23" s="1"/>
  <c r="L839" i="23" s="1"/>
  <c r="I730" i="23"/>
  <c r="J730" i="23" s="1"/>
  <c r="K730" i="23" s="1"/>
  <c r="L730" i="23" s="1"/>
  <c r="I751" i="23"/>
  <c r="J751" i="23" s="1"/>
  <c r="K751" i="23" s="1"/>
  <c r="L751" i="23" s="1"/>
  <c r="I777" i="23"/>
  <c r="J777" i="23" s="1"/>
  <c r="K777" i="23" s="1"/>
  <c r="L777" i="23" s="1"/>
  <c r="I779" i="23"/>
  <c r="J779" i="23" s="1"/>
  <c r="K779" i="23" s="1"/>
  <c r="L779" i="23" s="1"/>
  <c r="I788" i="23"/>
  <c r="J788" i="23" s="1"/>
  <c r="K788" i="23" s="1"/>
  <c r="L788" i="23" s="1"/>
  <c r="I790" i="23"/>
  <c r="J790" i="23" s="1"/>
  <c r="K790" i="23" s="1"/>
  <c r="L790" i="23" s="1"/>
  <c r="I801" i="23"/>
  <c r="J801" i="23" s="1"/>
  <c r="K801" i="23" s="1"/>
  <c r="L801" i="23" s="1"/>
  <c r="I675" i="23"/>
  <c r="J675" i="23" s="1"/>
  <c r="K675" i="23" s="1"/>
  <c r="L675" i="23" s="1"/>
  <c r="I683" i="23"/>
  <c r="J683" i="23" s="1"/>
  <c r="K683" i="23" s="1"/>
  <c r="L683" i="23" s="1"/>
  <c r="I691" i="23"/>
  <c r="J691" i="23" s="1"/>
  <c r="K691" i="23" s="1"/>
  <c r="L691" i="23" s="1"/>
  <c r="I699" i="23"/>
  <c r="J699" i="23" s="1"/>
  <c r="K699" i="23" s="1"/>
  <c r="L699" i="23" s="1"/>
  <c r="I707" i="23"/>
  <c r="J707" i="23" s="1"/>
  <c r="K707" i="23" s="1"/>
  <c r="L707" i="23" s="1"/>
  <c r="I1090" i="23"/>
  <c r="J1090" i="23" s="1"/>
  <c r="K1090" i="23" s="1"/>
  <c r="L1090" i="23" s="1"/>
  <c r="I1102" i="23"/>
  <c r="J1102" i="23" s="1"/>
  <c r="K1102" i="23" s="1"/>
  <c r="L1102" i="23" s="1"/>
  <c r="I1056" i="23"/>
  <c r="J1056" i="23" s="1"/>
  <c r="K1056" i="23" s="1"/>
  <c r="L1056" i="23" s="1"/>
  <c r="I1071" i="23"/>
  <c r="J1071" i="23" s="1"/>
  <c r="K1071" i="23" s="1"/>
  <c r="L1071" i="23" s="1"/>
  <c r="I976" i="23"/>
  <c r="J976" i="23" s="1"/>
  <c r="K976" i="23" s="1"/>
  <c r="L976" i="23" s="1"/>
  <c r="I999" i="23"/>
  <c r="J999" i="23" s="1"/>
  <c r="K999" i="23" s="1"/>
  <c r="L999" i="23" s="1"/>
  <c r="I1003" i="23"/>
  <c r="J1003" i="23" s="1"/>
  <c r="K1003" i="23" s="1"/>
  <c r="L1003" i="23" s="1"/>
  <c r="I1005" i="23"/>
  <c r="J1005" i="23" s="1"/>
  <c r="K1005" i="23" s="1"/>
  <c r="L1005" i="23" s="1"/>
  <c r="I1007" i="23"/>
  <c r="J1007" i="23" s="1"/>
  <c r="K1007" i="23" s="1"/>
  <c r="L1007" i="23" s="1"/>
  <c r="I1017" i="23"/>
  <c r="J1017" i="23" s="1"/>
  <c r="K1017" i="23" s="1"/>
  <c r="L1017" i="23" s="1"/>
  <c r="I1023" i="23"/>
  <c r="J1023" i="23" s="1"/>
  <c r="K1023" i="23" s="1"/>
  <c r="L1023" i="23" s="1"/>
  <c r="I886" i="23"/>
  <c r="J886" i="23" s="1"/>
  <c r="K886" i="23" s="1"/>
  <c r="L886" i="23" s="1"/>
  <c r="I888" i="23"/>
  <c r="J888" i="23" s="1"/>
  <c r="K888" i="23" s="1"/>
  <c r="L888" i="23" s="1"/>
  <c r="I901" i="23"/>
  <c r="J901" i="23" s="1"/>
  <c r="K901" i="23" s="1"/>
  <c r="L901" i="23" s="1"/>
  <c r="I910" i="23"/>
  <c r="J910" i="23" s="1"/>
  <c r="K910" i="23" s="1"/>
  <c r="L910" i="23" s="1"/>
  <c r="I873" i="23"/>
  <c r="J873" i="23" s="1"/>
  <c r="K873" i="23" s="1"/>
  <c r="L873" i="23" s="1"/>
  <c r="I810" i="23"/>
  <c r="J810" i="23" s="1"/>
  <c r="K810" i="23" s="1"/>
  <c r="L810" i="23" s="1"/>
  <c r="I812" i="23"/>
  <c r="J812" i="23" s="1"/>
  <c r="K812" i="23" s="1"/>
  <c r="L812" i="23" s="1"/>
  <c r="I814" i="23"/>
  <c r="J814" i="23" s="1"/>
  <c r="K814" i="23" s="1"/>
  <c r="L814" i="23" s="1"/>
  <c r="I847" i="23"/>
  <c r="J847" i="23" s="1"/>
  <c r="K847" i="23" s="1"/>
  <c r="L847" i="23" s="1"/>
  <c r="I803" i="23"/>
  <c r="J803" i="23" s="1"/>
  <c r="K803" i="23" s="1"/>
  <c r="L803" i="23" s="1"/>
  <c r="I727" i="23"/>
  <c r="J727" i="23" s="1"/>
  <c r="K727" i="23" s="1"/>
  <c r="L727" i="23" s="1"/>
  <c r="I729" i="23"/>
  <c r="J729" i="23" s="1"/>
  <c r="K729" i="23" s="1"/>
  <c r="L729" i="23" s="1"/>
  <c r="I731" i="23"/>
  <c r="J731" i="23" s="1"/>
  <c r="K731" i="23" s="1"/>
  <c r="L731" i="23" s="1"/>
  <c r="I752" i="23"/>
  <c r="J752" i="23" s="1"/>
  <c r="K752" i="23" s="1"/>
  <c r="L752" i="23" s="1"/>
  <c r="I754" i="23"/>
  <c r="J754" i="23" s="1"/>
  <c r="K754" i="23" s="1"/>
  <c r="L754" i="23" s="1"/>
  <c r="I782" i="23"/>
  <c r="J782" i="23" s="1"/>
  <c r="K782" i="23" s="1"/>
  <c r="L782" i="23" s="1"/>
  <c r="I784" i="23"/>
  <c r="J784" i="23" s="1"/>
  <c r="K784" i="23" s="1"/>
  <c r="L784" i="23" s="1"/>
  <c r="I786" i="23"/>
  <c r="J786" i="23" s="1"/>
  <c r="K786" i="23" s="1"/>
  <c r="L786" i="23" s="1"/>
  <c r="I792" i="23"/>
  <c r="J792" i="23" s="1"/>
  <c r="K792" i="23" s="1"/>
  <c r="L792" i="23" s="1"/>
  <c r="I682" i="23"/>
  <c r="J682" i="23" s="1"/>
  <c r="K682" i="23" s="1"/>
  <c r="L682" i="23" s="1"/>
  <c r="I687" i="23"/>
  <c r="J687" i="23" s="1"/>
  <c r="K687" i="23" s="1"/>
  <c r="L687" i="23" s="1"/>
  <c r="I692" i="23"/>
  <c r="J692" i="23" s="1"/>
  <c r="K692" i="23" s="1"/>
  <c r="L692" i="23" s="1"/>
  <c r="I705" i="23"/>
  <c r="J705" i="23" s="1"/>
  <c r="K705" i="23" s="1"/>
  <c r="L705" i="23" s="1"/>
  <c r="I710" i="23"/>
  <c r="J710" i="23" s="1"/>
  <c r="K710" i="23" s="1"/>
  <c r="L710" i="23" s="1"/>
  <c r="I719" i="23"/>
  <c r="J719" i="23" s="1"/>
  <c r="K719" i="23" s="1"/>
  <c r="L719" i="23" s="1"/>
  <c r="I612" i="23"/>
  <c r="J612" i="23" s="1"/>
  <c r="K612" i="23" s="1"/>
  <c r="L612" i="23" s="1"/>
  <c r="I617" i="23"/>
  <c r="J617" i="23" s="1"/>
  <c r="K617" i="23" s="1"/>
  <c r="L617" i="23" s="1"/>
  <c r="I625" i="23"/>
  <c r="J625" i="23" s="1"/>
  <c r="K625" i="23" s="1"/>
  <c r="L625" i="23" s="1"/>
  <c r="I635" i="23"/>
  <c r="J635" i="23" s="1"/>
  <c r="K635" i="23" s="1"/>
  <c r="L635" i="23" s="1"/>
  <c r="I640" i="23"/>
  <c r="J640" i="23" s="1"/>
  <c r="K640" i="23" s="1"/>
  <c r="L640" i="23" s="1"/>
  <c r="I647" i="23"/>
  <c r="J647" i="23" s="1"/>
  <c r="K647" i="23" s="1"/>
  <c r="L647" i="23" s="1"/>
  <c r="I599" i="23"/>
  <c r="J599" i="23" s="1"/>
  <c r="K599" i="23" s="1"/>
  <c r="L599" i="23" s="1"/>
  <c r="I580" i="23"/>
  <c r="J580" i="23" s="1"/>
  <c r="K580" i="23" s="1"/>
  <c r="L580" i="23" s="1"/>
  <c r="I649" i="23"/>
  <c r="J649" i="23" s="1"/>
  <c r="K649" i="23" s="1"/>
  <c r="L649" i="23" s="1"/>
  <c r="I653" i="23"/>
  <c r="J653" i="23" s="1"/>
  <c r="K653" i="23" s="1"/>
  <c r="L653" i="23" s="1"/>
  <c r="I657" i="23"/>
  <c r="J657" i="23" s="1"/>
  <c r="K657" i="23" s="1"/>
  <c r="L657" i="23" s="1"/>
  <c r="I661" i="23"/>
  <c r="J661" i="23" s="1"/>
  <c r="K661" i="23" s="1"/>
  <c r="L661" i="23" s="1"/>
  <c r="I665" i="23"/>
  <c r="J665" i="23" s="1"/>
  <c r="K665" i="23" s="1"/>
  <c r="L665" i="23" s="1"/>
  <c r="I597" i="23"/>
  <c r="J597" i="23" s="1"/>
  <c r="K597" i="23" s="1"/>
  <c r="L597" i="23" s="1"/>
  <c r="I587" i="23"/>
  <c r="J587" i="23" s="1"/>
  <c r="K587" i="23" s="1"/>
  <c r="L587" i="23" s="1"/>
  <c r="I750" i="23"/>
  <c r="J750" i="23" s="1"/>
  <c r="K750" i="23" s="1"/>
  <c r="L750" i="23" s="1"/>
  <c r="I695" i="23"/>
  <c r="J695" i="23" s="1"/>
  <c r="K695" i="23" s="1"/>
  <c r="L695" i="23" s="1"/>
  <c r="I630" i="23"/>
  <c r="J630" i="23" s="1"/>
  <c r="K630" i="23" s="1"/>
  <c r="L630" i="23" s="1"/>
  <c r="I1110" i="23"/>
  <c r="J1110" i="23" s="1"/>
  <c r="K1110" i="23" s="1"/>
  <c r="L1110" i="23" s="1"/>
  <c r="I1034" i="23"/>
  <c r="J1034" i="23" s="1"/>
  <c r="K1034" i="23" s="1"/>
  <c r="L1034" i="23" s="1"/>
  <c r="I1045" i="23"/>
  <c r="J1045" i="23" s="1"/>
  <c r="K1045" i="23" s="1"/>
  <c r="L1045" i="23" s="1"/>
  <c r="I1065" i="23"/>
  <c r="J1065" i="23" s="1"/>
  <c r="K1065" i="23" s="1"/>
  <c r="L1065" i="23" s="1"/>
  <c r="I1069" i="23"/>
  <c r="J1069" i="23" s="1"/>
  <c r="K1069" i="23" s="1"/>
  <c r="L1069" i="23" s="1"/>
  <c r="I980" i="23"/>
  <c r="J980" i="23" s="1"/>
  <c r="K980" i="23" s="1"/>
  <c r="L980" i="23" s="1"/>
  <c r="I993" i="23"/>
  <c r="J993" i="23" s="1"/>
  <c r="K993" i="23" s="1"/>
  <c r="L993" i="23" s="1"/>
  <c r="I995" i="23"/>
  <c r="J995" i="23" s="1"/>
  <c r="K995" i="23" s="1"/>
  <c r="L995" i="23" s="1"/>
  <c r="I997" i="23"/>
  <c r="J997" i="23" s="1"/>
  <c r="K997" i="23" s="1"/>
  <c r="L997" i="23" s="1"/>
  <c r="I1019" i="23"/>
  <c r="J1019" i="23" s="1"/>
  <c r="K1019" i="23" s="1"/>
  <c r="L1019" i="23" s="1"/>
  <c r="I1021" i="23"/>
  <c r="J1021" i="23" s="1"/>
  <c r="K1021" i="23" s="1"/>
  <c r="L1021" i="23" s="1"/>
  <c r="I948" i="23"/>
  <c r="J948" i="23" s="1"/>
  <c r="K948" i="23" s="1"/>
  <c r="L948" i="23" s="1"/>
  <c r="I950" i="23"/>
  <c r="J950" i="23" s="1"/>
  <c r="K950" i="23" s="1"/>
  <c r="L950" i="23" s="1"/>
  <c r="I952" i="23"/>
  <c r="J952" i="23" s="1"/>
  <c r="K952" i="23" s="1"/>
  <c r="L952" i="23" s="1"/>
  <c r="I954" i="23"/>
  <c r="J954" i="23" s="1"/>
  <c r="K954" i="23" s="1"/>
  <c r="L954" i="23" s="1"/>
  <c r="I930" i="23"/>
  <c r="J930" i="23" s="1"/>
  <c r="K930" i="23" s="1"/>
  <c r="L930" i="23" s="1"/>
  <c r="I920" i="23"/>
  <c r="J920" i="23" s="1"/>
  <c r="K920" i="23" s="1"/>
  <c r="L920" i="23" s="1"/>
  <c r="I903" i="23"/>
  <c r="J903" i="23" s="1"/>
  <c r="K903" i="23" s="1"/>
  <c r="L903" i="23" s="1"/>
  <c r="I905" i="23"/>
  <c r="J905" i="23" s="1"/>
  <c r="K905" i="23" s="1"/>
  <c r="L905" i="23" s="1"/>
  <c r="I858" i="23"/>
  <c r="J858" i="23" s="1"/>
  <c r="K858" i="23" s="1"/>
  <c r="L858" i="23" s="1"/>
  <c r="I860" i="23"/>
  <c r="J860" i="23" s="1"/>
  <c r="K860" i="23" s="1"/>
  <c r="L860" i="23" s="1"/>
  <c r="I875" i="23"/>
  <c r="J875" i="23" s="1"/>
  <c r="K875" i="23" s="1"/>
  <c r="L875" i="23" s="1"/>
  <c r="I816" i="23"/>
  <c r="J816" i="23" s="1"/>
  <c r="K816" i="23" s="1"/>
  <c r="L816" i="23" s="1"/>
  <c r="I822" i="23"/>
  <c r="J822" i="23" s="1"/>
  <c r="K822" i="23" s="1"/>
  <c r="L822" i="23" s="1"/>
  <c r="I824" i="23"/>
  <c r="J824" i="23" s="1"/>
  <c r="K824" i="23" s="1"/>
  <c r="L824" i="23" s="1"/>
  <c r="I849" i="23"/>
  <c r="J849" i="23" s="1"/>
  <c r="K849" i="23" s="1"/>
  <c r="L849" i="23" s="1"/>
  <c r="I807" i="23"/>
  <c r="J807" i="23" s="1"/>
  <c r="K807" i="23" s="1"/>
  <c r="L807" i="23" s="1"/>
  <c r="I805" i="23"/>
  <c r="J805" i="23" s="1"/>
  <c r="K805" i="23" s="1"/>
  <c r="L805" i="23" s="1"/>
  <c r="I722" i="23"/>
  <c r="J722" i="23" s="1"/>
  <c r="K722" i="23" s="1"/>
  <c r="L722" i="23" s="1"/>
  <c r="I733" i="23"/>
  <c r="J733" i="23" s="1"/>
  <c r="K733" i="23" s="1"/>
  <c r="L733" i="23" s="1"/>
  <c r="I735" i="23"/>
  <c r="J735" i="23" s="1"/>
  <c r="K735" i="23" s="1"/>
  <c r="L735" i="23" s="1"/>
  <c r="I737" i="23"/>
  <c r="J737" i="23" s="1"/>
  <c r="K737" i="23" s="1"/>
  <c r="L737" i="23" s="1"/>
  <c r="I756" i="23"/>
  <c r="J756" i="23" s="1"/>
  <c r="K756" i="23" s="1"/>
  <c r="L756" i="23" s="1"/>
  <c r="I758" i="23"/>
  <c r="J758" i="23" s="1"/>
  <c r="K758" i="23" s="1"/>
  <c r="L758" i="23" s="1"/>
  <c r="I760" i="23"/>
  <c r="J760" i="23" s="1"/>
  <c r="K760" i="23" s="1"/>
  <c r="L760" i="23" s="1"/>
  <c r="I762" i="23"/>
  <c r="J762" i="23" s="1"/>
  <c r="K762" i="23" s="1"/>
  <c r="L762" i="23" s="1"/>
  <c r="I764" i="23"/>
  <c r="J764" i="23" s="1"/>
  <c r="K764" i="23" s="1"/>
  <c r="L764" i="23" s="1"/>
  <c r="I771" i="23"/>
  <c r="J771" i="23" s="1"/>
  <c r="K771" i="23" s="1"/>
  <c r="L771" i="23" s="1"/>
  <c r="I773" i="23"/>
  <c r="J773" i="23" s="1"/>
  <c r="K773" i="23" s="1"/>
  <c r="L773" i="23" s="1"/>
  <c r="I775" i="23"/>
  <c r="J775" i="23" s="1"/>
  <c r="K775" i="23" s="1"/>
  <c r="L775" i="23" s="1"/>
  <c r="I794" i="23"/>
  <c r="J794" i="23" s="1"/>
  <c r="K794" i="23" s="1"/>
  <c r="L794" i="23" s="1"/>
  <c r="I796" i="23"/>
  <c r="J796" i="23" s="1"/>
  <c r="K796" i="23" s="1"/>
  <c r="L796" i="23" s="1"/>
  <c r="I798" i="23"/>
  <c r="J798" i="23" s="1"/>
  <c r="K798" i="23" s="1"/>
  <c r="L798" i="23" s="1"/>
  <c r="I674" i="23"/>
  <c r="J674" i="23" s="1"/>
  <c r="K674" i="23" s="1"/>
  <c r="L674" i="23" s="1"/>
  <c r="I679" i="23"/>
  <c r="J679" i="23" s="1"/>
  <c r="K679" i="23" s="1"/>
  <c r="L679" i="23" s="1"/>
  <c r="I684" i="23"/>
  <c r="J684" i="23" s="1"/>
  <c r="K684" i="23" s="1"/>
  <c r="L684" i="23" s="1"/>
  <c r="I697" i="23"/>
  <c r="J697" i="23" s="1"/>
  <c r="K697" i="23" s="1"/>
  <c r="L697" i="23" s="1"/>
  <c r="I702" i="23"/>
  <c r="J702" i="23" s="1"/>
  <c r="K702" i="23" s="1"/>
  <c r="L702" i="23" s="1"/>
  <c r="I712" i="23"/>
  <c r="J712" i="23" s="1"/>
  <c r="K712" i="23" s="1"/>
  <c r="L712" i="23" s="1"/>
  <c r="I714" i="23"/>
  <c r="J714" i="23" s="1"/>
  <c r="K714" i="23" s="1"/>
  <c r="L714" i="23" s="1"/>
  <c r="I721" i="23"/>
  <c r="J721" i="23" s="1"/>
  <c r="K721" i="23" s="1"/>
  <c r="L721" i="23" s="1"/>
  <c r="I622" i="23"/>
  <c r="J622" i="23" s="1"/>
  <c r="K622" i="23" s="1"/>
  <c r="L622" i="23" s="1"/>
  <c r="I627" i="23"/>
  <c r="J627" i="23" s="1"/>
  <c r="K627" i="23" s="1"/>
  <c r="L627" i="23" s="1"/>
  <c r="I632" i="23"/>
  <c r="J632" i="23" s="1"/>
  <c r="K632" i="23" s="1"/>
  <c r="L632" i="23" s="1"/>
  <c r="I642" i="23"/>
  <c r="J642" i="23" s="1"/>
  <c r="K642" i="23" s="1"/>
  <c r="L642" i="23" s="1"/>
  <c r="I644" i="23"/>
  <c r="J644" i="23" s="1"/>
  <c r="K644" i="23" s="1"/>
  <c r="L644" i="23" s="1"/>
  <c r="I651" i="23"/>
  <c r="J651" i="23" s="1"/>
  <c r="K651" i="23" s="1"/>
  <c r="L651" i="23" s="1"/>
  <c r="I655" i="23"/>
  <c r="J655" i="23" s="1"/>
  <c r="K655" i="23" s="1"/>
  <c r="L655" i="23" s="1"/>
  <c r="I659" i="23"/>
  <c r="J659" i="23" s="1"/>
  <c r="K659" i="23" s="1"/>
  <c r="L659" i="23" s="1"/>
  <c r="I663" i="23"/>
  <c r="J663" i="23" s="1"/>
  <c r="K663" i="23" s="1"/>
  <c r="L663" i="23" s="1"/>
  <c r="I667" i="23"/>
  <c r="J667" i="23" s="1"/>
  <c r="K667" i="23" s="1"/>
  <c r="L667" i="23" s="1"/>
  <c r="I602" i="23"/>
  <c r="J602" i="23" s="1"/>
  <c r="K602" i="23" s="1"/>
  <c r="L602" i="23" s="1"/>
  <c r="I592" i="23"/>
  <c r="J592" i="23" s="1"/>
  <c r="K592" i="23" s="1"/>
  <c r="L592" i="23" s="1"/>
  <c r="I746" i="23"/>
  <c r="J746" i="23" s="1"/>
  <c r="K746" i="23" s="1"/>
  <c r="L746" i="23" s="1"/>
  <c r="I700" i="23"/>
  <c r="J700" i="23" s="1"/>
  <c r="K700" i="23" s="1"/>
  <c r="L700" i="23" s="1"/>
  <c r="I638" i="23"/>
  <c r="J638" i="23" s="1"/>
  <c r="K638" i="23" s="1"/>
  <c r="L638" i="23" s="1"/>
  <c r="I1131" i="23"/>
  <c r="J1131" i="23" s="1"/>
  <c r="K1131" i="23" s="1"/>
  <c r="L1131" i="23" s="1"/>
  <c r="I1032" i="23"/>
  <c r="J1032" i="23" s="1"/>
  <c r="K1032" i="23" s="1"/>
  <c r="L1032" i="23" s="1"/>
  <c r="I1041" i="23"/>
  <c r="J1041" i="23" s="1"/>
  <c r="K1041" i="23" s="1"/>
  <c r="L1041" i="23" s="1"/>
  <c r="I1063" i="23"/>
  <c r="J1063" i="23" s="1"/>
  <c r="K1063" i="23" s="1"/>
  <c r="L1063" i="23" s="1"/>
  <c r="I1067" i="23"/>
  <c r="J1067" i="23" s="1"/>
  <c r="K1067" i="23" s="1"/>
  <c r="L1067" i="23" s="1"/>
  <c r="I1078" i="23"/>
  <c r="J1078" i="23" s="1"/>
  <c r="K1078" i="23" s="1"/>
  <c r="L1078" i="23" s="1"/>
  <c r="I1024" i="23"/>
  <c r="J1024" i="23" s="1"/>
  <c r="K1024" i="23" s="1"/>
  <c r="L1024" i="23" s="1"/>
  <c r="I960" i="23"/>
  <c r="J960" i="23" s="1"/>
  <c r="K960" i="23" s="1"/>
  <c r="L960" i="23" s="1"/>
  <c r="I982" i="23"/>
  <c r="J982" i="23" s="1"/>
  <c r="K982" i="23" s="1"/>
  <c r="L982" i="23" s="1"/>
  <c r="I936" i="23"/>
  <c r="J936" i="23" s="1"/>
  <c r="K936" i="23" s="1"/>
  <c r="L936" i="23" s="1"/>
  <c r="I934" i="23"/>
  <c r="J934" i="23" s="1"/>
  <c r="K934" i="23" s="1"/>
  <c r="L934" i="23" s="1"/>
  <c r="I918" i="23"/>
  <c r="J918" i="23" s="1"/>
  <c r="K918" i="23" s="1"/>
  <c r="L918" i="23" s="1"/>
  <c r="I916" i="23"/>
  <c r="J916" i="23" s="1"/>
  <c r="K916" i="23" s="1"/>
  <c r="L916" i="23" s="1"/>
  <c r="I914" i="23"/>
  <c r="J914" i="23" s="1"/>
  <c r="K914" i="23" s="1"/>
  <c r="L914" i="23" s="1"/>
  <c r="I896" i="23"/>
  <c r="J896" i="23" s="1"/>
  <c r="K896" i="23" s="1"/>
  <c r="L896" i="23" s="1"/>
  <c r="I856" i="23"/>
  <c r="J856" i="23" s="1"/>
  <c r="K856" i="23" s="1"/>
  <c r="L856" i="23" s="1"/>
  <c r="I862" i="23"/>
  <c r="J862" i="23" s="1"/>
  <c r="K862" i="23" s="1"/>
  <c r="L862" i="23" s="1"/>
  <c r="I864" i="23"/>
  <c r="J864" i="23" s="1"/>
  <c r="K864" i="23" s="1"/>
  <c r="L864" i="23" s="1"/>
  <c r="I866" i="23"/>
  <c r="J866" i="23" s="1"/>
  <c r="K866" i="23" s="1"/>
  <c r="L866" i="23" s="1"/>
  <c r="I868" i="23"/>
  <c r="J868" i="23" s="1"/>
  <c r="K868" i="23" s="1"/>
  <c r="L868" i="23" s="1"/>
  <c r="I870" i="23"/>
  <c r="J870" i="23" s="1"/>
  <c r="K870" i="23" s="1"/>
  <c r="L870" i="23" s="1"/>
  <c r="I877" i="23"/>
  <c r="J877" i="23" s="1"/>
  <c r="K877" i="23" s="1"/>
  <c r="L877" i="23" s="1"/>
  <c r="I826" i="23"/>
  <c r="J826" i="23" s="1"/>
  <c r="K826" i="23" s="1"/>
  <c r="L826" i="23" s="1"/>
  <c r="I838" i="23"/>
  <c r="J838" i="23" s="1"/>
  <c r="K838" i="23" s="1"/>
  <c r="L838" i="23" s="1"/>
  <c r="I840" i="23"/>
  <c r="J840" i="23" s="1"/>
  <c r="K840" i="23" s="1"/>
  <c r="L840" i="23" s="1"/>
  <c r="I724" i="23"/>
  <c r="J724" i="23" s="1"/>
  <c r="K724" i="23" s="1"/>
  <c r="L724" i="23" s="1"/>
  <c r="I739" i="23"/>
  <c r="J739" i="23" s="1"/>
  <c r="K739" i="23" s="1"/>
  <c r="L739" i="23" s="1"/>
  <c r="I741" i="23"/>
  <c r="J741" i="23" s="1"/>
  <c r="K741" i="23" s="1"/>
  <c r="L741" i="23" s="1"/>
  <c r="I766" i="23"/>
  <c r="J766" i="23" s="1"/>
  <c r="K766" i="23" s="1"/>
  <c r="L766" i="23" s="1"/>
  <c r="I768" i="23"/>
  <c r="J768" i="23" s="1"/>
  <c r="K768" i="23" s="1"/>
  <c r="L768" i="23" s="1"/>
  <c r="I671" i="23"/>
  <c r="J671" i="23" s="1"/>
  <c r="K671" i="23" s="1"/>
  <c r="L671" i="23" s="1"/>
  <c r="I676" i="23"/>
  <c r="J676" i="23" s="1"/>
  <c r="K676" i="23" s="1"/>
  <c r="L676" i="23" s="1"/>
  <c r="I689" i="23"/>
  <c r="J689" i="23" s="1"/>
  <c r="K689" i="23" s="1"/>
  <c r="L689" i="23" s="1"/>
  <c r="I694" i="23"/>
  <c r="J694" i="23" s="1"/>
  <c r="K694" i="23" s="1"/>
  <c r="L694" i="23" s="1"/>
  <c r="I669" i="23"/>
  <c r="J669" i="23" s="1"/>
  <c r="K669" i="23" s="1"/>
  <c r="L669" i="23" s="1"/>
  <c r="I605" i="23"/>
  <c r="J605" i="23" s="1"/>
  <c r="K605" i="23" s="1"/>
  <c r="L605" i="23" s="1"/>
  <c r="I614" i="23"/>
  <c r="J614" i="23" s="1"/>
  <c r="K614" i="23" s="1"/>
  <c r="L614" i="23" s="1"/>
  <c r="I619" i="23"/>
  <c r="J619" i="23" s="1"/>
  <c r="K619" i="23" s="1"/>
  <c r="L619" i="23" s="1"/>
  <c r="I629" i="23"/>
  <c r="J629" i="23" s="1"/>
  <c r="K629" i="23" s="1"/>
  <c r="L629" i="23" s="1"/>
  <c r="I637" i="23"/>
  <c r="J637" i="23" s="1"/>
  <c r="K637" i="23" s="1"/>
  <c r="L637" i="23" s="1"/>
  <c r="I595" i="23"/>
  <c r="J595" i="23" s="1"/>
  <c r="K595" i="23" s="1"/>
  <c r="L595" i="23" s="1"/>
  <c r="I590" i="23"/>
  <c r="J590" i="23" s="1"/>
  <c r="K590" i="23" s="1"/>
  <c r="L590" i="23" s="1"/>
  <c r="I585" i="23"/>
  <c r="J585" i="23" s="1"/>
  <c r="K585" i="23" s="1"/>
  <c r="L585" i="23" s="1"/>
  <c r="I583" i="23"/>
  <c r="J583" i="23" s="1"/>
  <c r="K583" i="23" s="1"/>
  <c r="L583" i="23" s="1"/>
  <c r="I742" i="23"/>
  <c r="J742" i="23" s="1"/>
  <c r="K742" i="23" s="1"/>
  <c r="L742" i="23" s="1"/>
  <c r="I780" i="23"/>
  <c r="J780" i="23" s="1"/>
  <c r="K780" i="23" s="1"/>
  <c r="L780" i="23" s="1"/>
  <c r="I799" i="23"/>
  <c r="J799" i="23" s="1"/>
  <c r="K799" i="23" s="1"/>
  <c r="L799" i="23" s="1"/>
  <c r="I703" i="23"/>
  <c r="J703" i="23" s="1"/>
  <c r="K703" i="23" s="1"/>
  <c r="L703" i="23" s="1"/>
  <c r="I623" i="23"/>
  <c r="J623" i="23" s="1"/>
  <c r="K623" i="23" s="1"/>
  <c r="L623" i="23" s="1"/>
  <c r="I645" i="23"/>
  <c r="J645" i="23" s="1"/>
  <c r="K645" i="23" s="1"/>
  <c r="L645" i="23" s="1"/>
  <c r="I584" i="23"/>
  <c r="J584" i="23" s="1"/>
  <c r="K584" i="23" s="1"/>
  <c r="L584" i="23" s="1"/>
  <c r="I672" i="23"/>
  <c r="J672" i="23" s="1"/>
  <c r="K672" i="23" s="1"/>
  <c r="L672" i="23" s="1"/>
  <c r="I620" i="23"/>
  <c r="J620" i="23" s="1"/>
  <c r="K620" i="23" s="1"/>
  <c r="L620" i="23" s="1"/>
  <c r="I589" i="23"/>
  <c r="J589" i="23" s="1"/>
  <c r="K589" i="23" s="1"/>
  <c r="L589" i="23" s="1"/>
  <c r="I1039" i="23"/>
  <c r="J1039" i="23" s="1"/>
  <c r="K1039" i="23" s="1"/>
  <c r="L1039" i="23" s="1"/>
  <c r="I964" i="23"/>
  <c r="J964" i="23" s="1"/>
  <c r="K964" i="23" s="1"/>
  <c r="L964" i="23" s="1"/>
  <c r="I984" i="23"/>
  <c r="J984" i="23" s="1"/>
  <c r="K984" i="23" s="1"/>
  <c r="L984" i="23" s="1"/>
  <c r="I1014" i="23"/>
  <c r="J1014" i="23" s="1"/>
  <c r="K1014" i="23" s="1"/>
  <c r="L1014" i="23" s="1"/>
  <c r="I944" i="23"/>
  <c r="J944" i="23" s="1"/>
  <c r="K944" i="23" s="1"/>
  <c r="L944" i="23" s="1"/>
  <c r="I942" i="23"/>
  <c r="J942" i="23" s="1"/>
  <c r="K942" i="23" s="1"/>
  <c r="L942" i="23" s="1"/>
  <c r="I938" i="23"/>
  <c r="J938" i="23" s="1"/>
  <c r="K938" i="23" s="1"/>
  <c r="L938" i="23" s="1"/>
  <c r="I898" i="23"/>
  <c r="J898" i="23" s="1"/>
  <c r="K898" i="23" s="1"/>
  <c r="L898" i="23" s="1"/>
  <c r="I900" i="23"/>
  <c r="J900" i="23" s="1"/>
  <c r="K900" i="23" s="1"/>
  <c r="L900" i="23" s="1"/>
  <c r="I850" i="23"/>
  <c r="J850" i="23" s="1"/>
  <c r="K850" i="23" s="1"/>
  <c r="L850" i="23" s="1"/>
  <c r="I854" i="23"/>
  <c r="J854" i="23" s="1"/>
  <c r="K854" i="23" s="1"/>
  <c r="L854" i="23" s="1"/>
  <c r="I872" i="23"/>
  <c r="J872" i="23" s="1"/>
  <c r="K872" i="23" s="1"/>
  <c r="L872" i="23" s="1"/>
  <c r="I883" i="23"/>
  <c r="J883" i="23" s="1"/>
  <c r="K883" i="23" s="1"/>
  <c r="L883" i="23" s="1"/>
  <c r="I885" i="23"/>
  <c r="J885" i="23" s="1"/>
  <c r="K885" i="23" s="1"/>
  <c r="L885" i="23" s="1"/>
  <c r="I809" i="23"/>
  <c r="J809" i="23" s="1"/>
  <c r="K809" i="23" s="1"/>
  <c r="L809" i="23" s="1"/>
  <c r="I828" i="23"/>
  <c r="J828" i="23" s="1"/>
  <c r="K828" i="23" s="1"/>
  <c r="L828" i="23" s="1"/>
  <c r="I830" i="23"/>
  <c r="J830" i="23" s="1"/>
  <c r="K830" i="23" s="1"/>
  <c r="L830" i="23" s="1"/>
  <c r="I832" i="23"/>
  <c r="J832" i="23" s="1"/>
  <c r="K832" i="23" s="1"/>
  <c r="L832" i="23" s="1"/>
  <c r="I836" i="23"/>
  <c r="J836" i="23" s="1"/>
  <c r="K836" i="23" s="1"/>
  <c r="L836" i="23" s="1"/>
  <c r="I842" i="23"/>
  <c r="J842" i="23" s="1"/>
  <c r="K842" i="23" s="1"/>
  <c r="L842" i="23" s="1"/>
  <c r="I844" i="23"/>
  <c r="J844" i="23" s="1"/>
  <c r="K844" i="23" s="1"/>
  <c r="L844" i="23" s="1"/>
  <c r="I846" i="23"/>
  <c r="J846" i="23" s="1"/>
  <c r="K846" i="23" s="1"/>
  <c r="L846" i="23" s="1"/>
  <c r="I726" i="23"/>
  <c r="J726" i="23" s="1"/>
  <c r="K726" i="23" s="1"/>
  <c r="L726" i="23" s="1"/>
  <c r="I743" i="23"/>
  <c r="J743" i="23" s="1"/>
  <c r="K743" i="23" s="1"/>
  <c r="L743" i="23" s="1"/>
  <c r="I745" i="23"/>
  <c r="J745" i="23" s="1"/>
  <c r="K745" i="23" s="1"/>
  <c r="L745" i="23" s="1"/>
  <c r="I747" i="23"/>
  <c r="J747" i="23" s="1"/>
  <c r="K747" i="23" s="1"/>
  <c r="L747" i="23" s="1"/>
  <c r="I749" i="23"/>
  <c r="J749" i="23" s="1"/>
  <c r="K749" i="23" s="1"/>
  <c r="L749" i="23" s="1"/>
  <c r="I781" i="23"/>
  <c r="J781" i="23" s="1"/>
  <c r="K781" i="23" s="1"/>
  <c r="L781" i="23" s="1"/>
  <c r="I800" i="23"/>
  <c r="J800" i="23" s="1"/>
  <c r="K800" i="23" s="1"/>
  <c r="L800" i="23" s="1"/>
  <c r="I802" i="23"/>
  <c r="J802" i="23" s="1"/>
  <c r="K802" i="23" s="1"/>
  <c r="L802" i="23" s="1"/>
  <c r="I681" i="23"/>
  <c r="J681" i="23" s="1"/>
  <c r="K681" i="23" s="1"/>
  <c r="L681" i="23" s="1"/>
  <c r="I686" i="23"/>
  <c r="J686" i="23" s="1"/>
  <c r="K686" i="23" s="1"/>
  <c r="L686" i="23" s="1"/>
  <c r="I704" i="23"/>
  <c r="J704" i="23" s="1"/>
  <c r="K704" i="23" s="1"/>
  <c r="L704" i="23" s="1"/>
  <c r="I709" i="23"/>
  <c r="J709" i="23" s="1"/>
  <c r="K709" i="23" s="1"/>
  <c r="L709" i="23" s="1"/>
  <c r="I716" i="23"/>
  <c r="J716" i="23" s="1"/>
  <c r="K716" i="23" s="1"/>
  <c r="L716" i="23" s="1"/>
  <c r="I718" i="23"/>
  <c r="J718" i="23" s="1"/>
  <c r="K718" i="23" s="1"/>
  <c r="L718" i="23" s="1"/>
  <c r="I607" i="23"/>
  <c r="J607" i="23" s="1"/>
  <c r="K607" i="23" s="1"/>
  <c r="L607" i="23" s="1"/>
  <c r="I609" i="23"/>
  <c r="J609" i="23" s="1"/>
  <c r="K609" i="23" s="1"/>
  <c r="L609" i="23" s="1"/>
  <c r="I611" i="23"/>
  <c r="J611" i="23" s="1"/>
  <c r="K611" i="23" s="1"/>
  <c r="L611" i="23" s="1"/>
  <c r="I616" i="23"/>
  <c r="J616" i="23" s="1"/>
  <c r="K616" i="23" s="1"/>
  <c r="L616" i="23" s="1"/>
  <c r="I624" i="23"/>
  <c r="J624" i="23" s="1"/>
  <c r="K624" i="23" s="1"/>
  <c r="L624" i="23" s="1"/>
  <c r="I634" i="23"/>
  <c r="J634" i="23" s="1"/>
  <c r="K634" i="23" s="1"/>
  <c r="L634" i="23" s="1"/>
  <c r="I639" i="23"/>
  <c r="J639" i="23" s="1"/>
  <c r="K639" i="23" s="1"/>
  <c r="L639" i="23" s="1"/>
  <c r="I646" i="23"/>
  <c r="J646" i="23" s="1"/>
  <c r="K646" i="23" s="1"/>
  <c r="L646" i="23" s="1"/>
  <c r="I600" i="23"/>
  <c r="J600" i="23" s="1"/>
  <c r="K600" i="23" s="1"/>
  <c r="L600" i="23" s="1"/>
  <c r="I581" i="23"/>
  <c r="J581" i="23" s="1"/>
  <c r="K581" i="23" s="1"/>
  <c r="L581" i="23" s="1"/>
  <c r="I643" i="23"/>
  <c r="J643" i="23" s="1"/>
  <c r="K643" i="23" s="1"/>
  <c r="L643" i="23" s="1"/>
  <c r="I652" i="23"/>
  <c r="J652" i="23" s="1"/>
  <c r="K652" i="23" s="1"/>
  <c r="L652" i="23" s="1"/>
  <c r="I658" i="23"/>
  <c r="J658" i="23" s="1"/>
  <c r="K658" i="23" s="1"/>
  <c r="L658" i="23" s="1"/>
  <c r="I664" i="23"/>
  <c r="J664" i="23" s="1"/>
  <c r="K664" i="23" s="1"/>
  <c r="L664" i="23" s="1"/>
  <c r="I591" i="23"/>
  <c r="J591" i="23" s="1"/>
  <c r="K591" i="23" s="1"/>
  <c r="L591" i="23" s="1"/>
  <c r="I738" i="23"/>
  <c r="J738" i="23" s="1"/>
  <c r="K738" i="23" s="1"/>
  <c r="L738" i="23" s="1"/>
  <c r="I776" i="23"/>
  <c r="J776" i="23" s="1"/>
  <c r="K776" i="23" s="1"/>
  <c r="L776" i="23" s="1"/>
  <c r="I680" i="23"/>
  <c r="J680" i="23" s="1"/>
  <c r="K680" i="23" s="1"/>
  <c r="L680" i="23" s="1"/>
  <c r="I715" i="23"/>
  <c r="J715" i="23" s="1"/>
  <c r="K715" i="23" s="1"/>
  <c r="L715" i="23" s="1"/>
  <c r="I628" i="23"/>
  <c r="J628" i="23" s="1"/>
  <c r="K628" i="23" s="1"/>
  <c r="L628" i="23" s="1"/>
  <c r="I596" i="23"/>
  <c r="J596" i="23" s="1"/>
  <c r="K596" i="23" s="1"/>
  <c r="L596" i="23" s="1"/>
  <c r="I582" i="23"/>
  <c r="J582" i="23" s="1"/>
  <c r="K582" i="23" s="1"/>
  <c r="L582" i="23" s="1"/>
  <c r="I677" i="23"/>
  <c r="J677" i="23" s="1"/>
  <c r="K677" i="23" s="1"/>
  <c r="L677" i="23" s="1"/>
  <c r="I608" i="23"/>
  <c r="J608" i="23" s="1"/>
  <c r="K608" i="23" s="1"/>
  <c r="L608" i="23" s="1"/>
  <c r="I966" i="23"/>
  <c r="J966" i="23" s="1"/>
  <c r="K966" i="23" s="1"/>
  <c r="L966" i="23" s="1"/>
  <c r="I988" i="23"/>
  <c r="J988" i="23" s="1"/>
  <c r="K988" i="23" s="1"/>
  <c r="L988" i="23" s="1"/>
  <c r="I1002" i="23"/>
  <c r="J1002" i="23" s="1"/>
  <c r="K1002" i="23" s="1"/>
  <c r="L1002" i="23" s="1"/>
  <c r="I1004" i="23"/>
  <c r="J1004" i="23" s="1"/>
  <c r="K1004" i="23" s="1"/>
  <c r="L1004" i="23" s="1"/>
  <c r="I1006" i="23"/>
  <c r="J1006" i="23" s="1"/>
  <c r="K1006" i="23" s="1"/>
  <c r="L1006" i="23" s="1"/>
  <c r="I1008" i="23"/>
  <c r="J1008" i="23" s="1"/>
  <c r="K1008" i="23" s="1"/>
  <c r="L1008" i="23" s="1"/>
  <c r="I1010" i="23"/>
  <c r="J1010" i="23" s="1"/>
  <c r="K1010" i="23" s="1"/>
  <c r="L1010" i="23" s="1"/>
  <c r="I1012" i="23"/>
  <c r="J1012" i="23" s="1"/>
  <c r="K1012" i="23" s="1"/>
  <c r="L1012" i="23" s="1"/>
  <c r="I1016" i="23"/>
  <c r="J1016" i="23" s="1"/>
  <c r="K1016" i="23" s="1"/>
  <c r="L1016" i="23" s="1"/>
  <c r="I1018" i="23"/>
  <c r="J1018" i="23" s="1"/>
  <c r="K1018" i="23" s="1"/>
  <c r="L1018" i="23" s="1"/>
  <c r="I940" i="23"/>
  <c r="J940" i="23" s="1"/>
  <c r="K940" i="23" s="1"/>
  <c r="L940" i="23" s="1"/>
  <c r="I923" i="23"/>
  <c r="J923" i="23" s="1"/>
  <c r="K923" i="23" s="1"/>
  <c r="L923" i="23" s="1"/>
  <c r="I921" i="23"/>
  <c r="J921" i="23" s="1"/>
  <c r="K921" i="23" s="1"/>
  <c r="L921" i="23" s="1"/>
  <c r="I911" i="23"/>
  <c r="J911" i="23" s="1"/>
  <c r="K911" i="23" s="1"/>
  <c r="L911" i="23" s="1"/>
  <c r="I852" i="23"/>
  <c r="J852" i="23" s="1"/>
  <c r="K852" i="23" s="1"/>
  <c r="L852" i="23" s="1"/>
  <c r="I811" i="23"/>
  <c r="J811" i="23" s="1"/>
  <c r="K811" i="23" s="1"/>
  <c r="L811" i="23" s="1"/>
  <c r="I813" i="23"/>
  <c r="J813" i="23" s="1"/>
  <c r="K813" i="23" s="1"/>
  <c r="L813" i="23" s="1"/>
  <c r="I815" i="23"/>
  <c r="J815" i="23" s="1"/>
  <c r="K815" i="23" s="1"/>
  <c r="L815" i="23" s="1"/>
  <c r="I834" i="23"/>
  <c r="J834" i="23" s="1"/>
  <c r="K834" i="23" s="1"/>
  <c r="L834" i="23" s="1"/>
  <c r="I848" i="23"/>
  <c r="J848" i="23" s="1"/>
  <c r="K848" i="23" s="1"/>
  <c r="L848" i="23" s="1"/>
  <c r="I804" i="23"/>
  <c r="J804" i="23" s="1"/>
  <c r="K804" i="23" s="1"/>
  <c r="L804" i="23" s="1"/>
  <c r="I728" i="23"/>
  <c r="J728" i="23" s="1"/>
  <c r="K728" i="23" s="1"/>
  <c r="L728" i="23" s="1"/>
  <c r="I753" i="23"/>
  <c r="J753" i="23" s="1"/>
  <c r="K753" i="23" s="1"/>
  <c r="L753" i="23" s="1"/>
  <c r="I755" i="23"/>
  <c r="J755" i="23" s="1"/>
  <c r="K755" i="23" s="1"/>
  <c r="L755" i="23" s="1"/>
  <c r="I770" i="23"/>
  <c r="J770" i="23" s="1"/>
  <c r="K770" i="23" s="1"/>
  <c r="L770" i="23" s="1"/>
  <c r="I783" i="23"/>
  <c r="J783" i="23" s="1"/>
  <c r="K783" i="23" s="1"/>
  <c r="L783" i="23" s="1"/>
  <c r="I785" i="23"/>
  <c r="J785" i="23" s="1"/>
  <c r="K785" i="23" s="1"/>
  <c r="L785" i="23" s="1"/>
  <c r="I787" i="23"/>
  <c r="J787" i="23" s="1"/>
  <c r="K787" i="23" s="1"/>
  <c r="L787" i="23" s="1"/>
  <c r="I789" i="23"/>
  <c r="J789" i="23" s="1"/>
  <c r="K789" i="23" s="1"/>
  <c r="L789" i="23" s="1"/>
  <c r="I791" i="23"/>
  <c r="J791" i="23" s="1"/>
  <c r="K791" i="23" s="1"/>
  <c r="L791" i="23" s="1"/>
  <c r="I673" i="23"/>
  <c r="J673" i="23" s="1"/>
  <c r="K673" i="23" s="1"/>
  <c r="L673" i="23" s="1"/>
  <c r="I678" i="23"/>
  <c r="J678" i="23" s="1"/>
  <c r="K678" i="23" s="1"/>
  <c r="L678" i="23" s="1"/>
  <c r="I696" i="23"/>
  <c r="J696" i="23" s="1"/>
  <c r="K696" i="23" s="1"/>
  <c r="L696" i="23" s="1"/>
  <c r="I701" i="23"/>
  <c r="J701" i="23" s="1"/>
  <c r="I720" i="23"/>
  <c r="J720" i="23" s="1"/>
  <c r="K720" i="23" s="1"/>
  <c r="L720" i="23" s="1"/>
  <c r="I621" i="23"/>
  <c r="J621" i="23" s="1"/>
  <c r="K621" i="23" s="1"/>
  <c r="L621" i="23" s="1"/>
  <c r="I626" i="23"/>
  <c r="J626" i="23" s="1"/>
  <c r="K626" i="23" s="1"/>
  <c r="L626" i="23" s="1"/>
  <c r="I631" i="23"/>
  <c r="J631" i="23" s="1"/>
  <c r="K631" i="23" s="1"/>
  <c r="L631" i="23" s="1"/>
  <c r="I603" i="23"/>
  <c r="J603" i="23" s="1"/>
  <c r="K603" i="23" s="1"/>
  <c r="L603" i="23" s="1"/>
  <c r="I593" i="23"/>
  <c r="J593" i="23" s="1"/>
  <c r="K593" i="23" s="1"/>
  <c r="L593" i="23" s="1"/>
  <c r="I588" i="23"/>
  <c r="J588" i="23" s="1"/>
  <c r="K588" i="23" s="1"/>
  <c r="L588" i="23" s="1"/>
  <c r="I636" i="23"/>
  <c r="J636" i="23" s="1"/>
  <c r="K636" i="23" s="1"/>
  <c r="L636" i="23" s="1"/>
  <c r="I648" i="23"/>
  <c r="J648" i="23" s="1"/>
  <c r="K648" i="23" s="1"/>
  <c r="L648" i="23" s="1"/>
  <c r="I654" i="23"/>
  <c r="J654" i="23" s="1"/>
  <c r="K654" i="23" s="1"/>
  <c r="L654" i="23" s="1"/>
  <c r="I660" i="23"/>
  <c r="J660" i="23" s="1"/>
  <c r="K660" i="23" s="1"/>
  <c r="L660" i="23" s="1"/>
  <c r="I666" i="23"/>
  <c r="J666" i="23" s="1"/>
  <c r="K666" i="23" s="1"/>
  <c r="L666" i="23" s="1"/>
  <c r="I579" i="23"/>
  <c r="J579" i="23" s="1"/>
  <c r="K579" i="23" s="1"/>
  <c r="L579" i="23" s="1"/>
  <c r="I740" i="23"/>
  <c r="J740" i="23" s="1"/>
  <c r="K740" i="23" s="1"/>
  <c r="L740" i="23" s="1"/>
  <c r="I767" i="23"/>
  <c r="J767" i="23" s="1"/>
  <c r="K767" i="23" s="1"/>
  <c r="L767" i="23" s="1"/>
  <c r="I698" i="23"/>
  <c r="J698" i="23" s="1"/>
  <c r="K698" i="23" s="1"/>
  <c r="L698" i="23" s="1"/>
  <c r="I606" i="23"/>
  <c r="J606" i="23" s="1"/>
  <c r="K606" i="23" s="1"/>
  <c r="L606" i="23" s="1"/>
  <c r="I586" i="23"/>
  <c r="J586" i="23" s="1"/>
  <c r="K586" i="23" s="1"/>
  <c r="L586" i="23" s="1"/>
  <c r="I769" i="23"/>
  <c r="J769" i="23" s="1"/>
  <c r="K769" i="23" s="1"/>
  <c r="L769" i="23" s="1"/>
  <c r="I610" i="23"/>
  <c r="J610" i="23" s="1"/>
  <c r="K610" i="23" s="1"/>
  <c r="L610" i="23" s="1"/>
  <c r="I594" i="23"/>
  <c r="J594" i="23" s="1"/>
  <c r="K594" i="23" s="1"/>
  <c r="L594" i="23" s="1"/>
  <c r="I1106" i="23"/>
  <c r="J1106" i="23" s="1"/>
  <c r="K1106" i="23" s="1"/>
  <c r="L1106" i="23" s="1"/>
  <c r="I1082" i="23"/>
  <c r="J1082" i="23" s="1"/>
  <c r="K1082" i="23" s="1"/>
  <c r="L1082" i="23" s="1"/>
  <c r="I1048" i="23"/>
  <c r="J1048" i="23" s="1"/>
  <c r="K1048" i="23" s="1"/>
  <c r="L1048" i="23" s="1"/>
  <c r="I968" i="23"/>
  <c r="J968" i="23" s="1"/>
  <c r="K968" i="23" s="1"/>
  <c r="L968" i="23" s="1"/>
  <c r="I990" i="23"/>
  <c r="J990" i="23" s="1"/>
  <c r="K990" i="23" s="1"/>
  <c r="L990" i="23" s="1"/>
  <c r="I947" i="23"/>
  <c r="J947" i="23" s="1"/>
  <c r="K947" i="23" s="1"/>
  <c r="L947" i="23" s="1"/>
  <c r="I949" i="23"/>
  <c r="J949" i="23" s="1"/>
  <c r="K949" i="23" s="1"/>
  <c r="L949" i="23" s="1"/>
  <c r="I951" i="23"/>
  <c r="J951" i="23" s="1"/>
  <c r="K951" i="23" s="1"/>
  <c r="L951" i="23" s="1"/>
  <c r="I953" i="23"/>
  <c r="J953" i="23" s="1"/>
  <c r="K953" i="23" s="1"/>
  <c r="L953" i="23" s="1"/>
  <c r="I957" i="23"/>
  <c r="J957" i="23" s="1"/>
  <c r="K957" i="23" s="1"/>
  <c r="L957" i="23" s="1"/>
  <c r="I929" i="23"/>
  <c r="J929" i="23" s="1"/>
  <c r="K929" i="23" s="1"/>
  <c r="L929" i="23" s="1"/>
  <c r="I927" i="23"/>
  <c r="J927" i="23" s="1"/>
  <c r="K927" i="23" s="1"/>
  <c r="L927" i="23" s="1"/>
  <c r="I925" i="23"/>
  <c r="J925" i="23" s="1"/>
  <c r="K925" i="23" s="1"/>
  <c r="L925" i="23" s="1"/>
  <c r="I919" i="23"/>
  <c r="J919" i="23" s="1"/>
  <c r="K919" i="23" s="1"/>
  <c r="L919" i="23" s="1"/>
  <c r="I889" i="23"/>
  <c r="J889" i="23" s="1"/>
  <c r="K889" i="23" s="1"/>
  <c r="L889" i="23" s="1"/>
  <c r="I859" i="23"/>
  <c r="J859" i="23" s="1"/>
  <c r="K859" i="23" s="1"/>
  <c r="L859" i="23" s="1"/>
  <c r="I861" i="23"/>
  <c r="J861" i="23" s="1"/>
  <c r="K861" i="23" s="1"/>
  <c r="L861" i="23" s="1"/>
  <c r="I817" i="23"/>
  <c r="J817" i="23" s="1"/>
  <c r="K817" i="23" s="1"/>
  <c r="L817" i="23" s="1"/>
  <c r="I819" i="23"/>
  <c r="J819" i="23" s="1"/>
  <c r="K819" i="23" s="1"/>
  <c r="L819" i="23" s="1"/>
  <c r="I821" i="23"/>
  <c r="J821" i="23" s="1"/>
  <c r="K821" i="23" s="1"/>
  <c r="L821" i="23" s="1"/>
  <c r="I823" i="23"/>
  <c r="J823" i="23" s="1"/>
  <c r="K823" i="23" s="1"/>
  <c r="L823" i="23" s="1"/>
  <c r="I732" i="23"/>
  <c r="J732" i="23" s="1"/>
  <c r="K732" i="23" s="1"/>
  <c r="L732" i="23" s="1"/>
  <c r="I734" i="23"/>
  <c r="J734" i="23" s="1"/>
  <c r="K734" i="23" s="1"/>
  <c r="L734" i="23" s="1"/>
  <c r="I736" i="23"/>
  <c r="J736" i="23" s="1"/>
  <c r="K736" i="23" s="1"/>
  <c r="L736" i="23" s="1"/>
  <c r="I757" i="23"/>
  <c r="J757" i="23" s="1"/>
  <c r="K757" i="23" s="1"/>
  <c r="L757" i="23" s="1"/>
  <c r="I759" i="23"/>
  <c r="J759" i="23" s="1"/>
  <c r="K759" i="23" s="1"/>
  <c r="L759" i="23" s="1"/>
  <c r="I761" i="23"/>
  <c r="J761" i="23" s="1"/>
  <c r="K761" i="23" s="1"/>
  <c r="L761" i="23" s="1"/>
  <c r="I763" i="23"/>
  <c r="J763" i="23" s="1"/>
  <c r="K763" i="23" s="1"/>
  <c r="L763" i="23" s="1"/>
  <c r="I765" i="23"/>
  <c r="J765" i="23" s="1"/>
  <c r="K765" i="23" s="1"/>
  <c r="L765" i="23" s="1"/>
  <c r="I772" i="23"/>
  <c r="J772" i="23" s="1"/>
  <c r="K772" i="23" s="1"/>
  <c r="L772" i="23" s="1"/>
  <c r="I774" i="23"/>
  <c r="J774" i="23" s="1"/>
  <c r="K774" i="23" s="1"/>
  <c r="L774" i="23" s="1"/>
  <c r="I793" i="23"/>
  <c r="J793" i="23" s="1"/>
  <c r="K793" i="23" s="1"/>
  <c r="L793" i="23" s="1"/>
  <c r="I795" i="23"/>
  <c r="J795" i="23" s="1"/>
  <c r="K795" i="23" s="1"/>
  <c r="L795" i="23" s="1"/>
  <c r="I797" i="23"/>
  <c r="J797" i="23" s="1"/>
  <c r="K797" i="23" s="1"/>
  <c r="L797" i="23" s="1"/>
  <c r="I670" i="23"/>
  <c r="J670" i="23" s="1"/>
  <c r="K670" i="23" s="1"/>
  <c r="L670" i="23" s="1"/>
  <c r="I688" i="23"/>
  <c r="J688" i="23" s="1"/>
  <c r="K688" i="23" s="1"/>
  <c r="L688" i="23" s="1"/>
  <c r="I693" i="23"/>
  <c r="J693" i="23" s="1"/>
  <c r="K693" i="23" s="1"/>
  <c r="L693" i="23" s="1"/>
  <c r="I706" i="23"/>
  <c r="J706" i="23" s="1"/>
  <c r="K706" i="23" s="1"/>
  <c r="L706" i="23" s="1"/>
  <c r="I711" i="23"/>
  <c r="J711" i="23" s="1"/>
  <c r="K711" i="23" s="1"/>
  <c r="L711" i="23" s="1"/>
  <c r="I713" i="23"/>
  <c r="J713" i="23" s="1"/>
  <c r="K713" i="23" s="1"/>
  <c r="L713" i="23" s="1"/>
  <c r="I668" i="23"/>
  <c r="J668" i="23" s="1"/>
  <c r="K668" i="23" s="1"/>
  <c r="L668" i="23" s="1"/>
  <c r="I613" i="23"/>
  <c r="J613" i="23" s="1"/>
  <c r="K613" i="23" s="1"/>
  <c r="L613" i="23" s="1"/>
  <c r="I618" i="23"/>
  <c r="J618" i="23" s="1"/>
  <c r="K618" i="23" s="1"/>
  <c r="L618" i="23" s="1"/>
  <c r="I641" i="23"/>
  <c r="J641" i="23" s="1"/>
  <c r="K641" i="23" s="1"/>
  <c r="L641" i="23" s="1"/>
  <c r="I650" i="23"/>
  <c r="J650" i="23" s="1"/>
  <c r="K650" i="23" s="1"/>
  <c r="L650" i="23" s="1"/>
  <c r="I656" i="23"/>
  <c r="J656" i="23" s="1"/>
  <c r="K656" i="23" s="1"/>
  <c r="L656" i="23" s="1"/>
  <c r="I662" i="23"/>
  <c r="J662" i="23" s="1"/>
  <c r="K662" i="23" s="1"/>
  <c r="L662" i="23" s="1"/>
  <c r="I598" i="23"/>
  <c r="J598" i="23" s="1"/>
  <c r="K598" i="23" s="1"/>
  <c r="L598" i="23" s="1"/>
  <c r="I825" i="23"/>
  <c r="J825" i="23" s="1"/>
  <c r="K825" i="23" s="1"/>
  <c r="L825" i="23" s="1"/>
  <c r="I723" i="23"/>
  <c r="J723" i="23" s="1"/>
  <c r="K723" i="23" s="1"/>
  <c r="L723" i="23" s="1"/>
  <c r="I778" i="23"/>
  <c r="J778" i="23" s="1"/>
  <c r="K778" i="23" s="1"/>
  <c r="L778" i="23" s="1"/>
  <c r="I685" i="23"/>
  <c r="J685" i="23" s="1"/>
  <c r="K685" i="23" s="1"/>
  <c r="L685" i="23" s="1"/>
  <c r="I708" i="23"/>
  <c r="J708" i="23" s="1"/>
  <c r="K708" i="23" s="1"/>
  <c r="L708" i="23" s="1"/>
  <c r="I633" i="23"/>
  <c r="J633" i="23" s="1"/>
  <c r="K633" i="23" s="1"/>
  <c r="L633" i="23" s="1"/>
  <c r="I601" i="23"/>
  <c r="J601" i="23" s="1"/>
  <c r="K601" i="23" s="1"/>
  <c r="L601" i="23" s="1"/>
  <c r="I748" i="23"/>
  <c r="J748" i="23" s="1"/>
  <c r="K748" i="23" s="1"/>
  <c r="L748" i="23" s="1"/>
  <c r="I717" i="23"/>
  <c r="J717" i="23" s="1"/>
  <c r="K717" i="23" s="1"/>
  <c r="L717" i="23" s="1"/>
  <c r="I604" i="23"/>
  <c r="J604" i="23" s="1"/>
  <c r="K604" i="23" s="1"/>
  <c r="L604" i="23" s="1"/>
  <c r="I1108" i="23"/>
  <c r="J1108" i="23" s="1"/>
  <c r="K1108" i="23" s="1"/>
  <c r="L1108" i="23" s="1"/>
  <c r="I1083" i="23"/>
  <c r="J1083" i="23" s="1"/>
  <c r="K1083" i="23" s="1"/>
  <c r="L1083" i="23" s="1"/>
  <c r="I1094" i="23"/>
  <c r="J1094" i="23" s="1"/>
  <c r="K1094" i="23" s="1"/>
  <c r="L1094" i="23" s="1"/>
  <c r="I1027" i="23"/>
  <c r="J1027" i="23" s="1"/>
  <c r="K1027" i="23" s="1"/>
  <c r="L1027" i="23" s="1"/>
  <c r="I1060" i="23"/>
  <c r="J1060" i="23" s="1"/>
  <c r="K1060" i="23" s="1"/>
  <c r="L1060" i="23" s="1"/>
  <c r="I1075" i="23"/>
  <c r="J1075" i="23" s="1"/>
  <c r="K1075" i="23" s="1"/>
  <c r="L1075" i="23" s="1"/>
  <c r="I1079" i="23"/>
  <c r="J1079" i="23" s="1"/>
  <c r="K1079" i="23" s="1"/>
  <c r="L1079" i="23" s="1"/>
  <c r="I972" i="23"/>
  <c r="J972" i="23" s="1"/>
  <c r="K972" i="23" s="1"/>
  <c r="L972" i="23" s="1"/>
  <c r="I955" i="23"/>
  <c r="J955" i="23" s="1"/>
  <c r="K955" i="23" s="1"/>
  <c r="L955" i="23" s="1"/>
  <c r="I891" i="23"/>
  <c r="J891" i="23" s="1"/>
  <c r="K891" i="23" s="1"/>
  <c r="L891" i="23" s="1"/>
  <c r="I893" i="23"/>
  <c r="J893" i="23" s="1"/>
  <c r="K893" i="23" s="1"/>
  <c r="L893" i="23" s="1"/>
  <c r="I895" i="23"/>
  <c r="J895" i="23" s="1"/>
  <c r="K895" i="23" s="1"/>
  <c r="L895" i="23" s="1"/>
  <c r="I906" i="23"/>
  <c r="J906" i="23" s="1"/>
  <c r="K906" i="23" s="1"/>
  <c r="L906" i="23" s="1"/>
  <c r="I867" i="23"/>
  <c r="J867" i="23" s="1"/>
  <c r="K867" i="23" s="1"/>
  <c r="L867" i="23" s="1"/>
  <c r="I869" i="23"/>
  <c r="J869" i="23" s="1"/>
  <c r="K869" i="23" s="1"/>
  <c r="L869" i="23" s="1"/>
  <c r="I871" i="23"/>
  <c r="J871" i="23" s="1"/>
  <c r="K871" i="23" s="1"/>
  <c r="L871" i="23" s="1"/>
  <c r="I876" i="23"/>
  <c r="J876" i="23" s="1"/>
  <c r="K876" i="23" s="1"/>
  <c r="L876" i="23" s="1"/>
  <c r="I1092" i="23"/>
  <c r="J1092" i="23" s="1"/>
  <c r="K1092" i="23" s="1"/>
  <c r="L1092" i="23" s="1"/>
  <c r="I1100" i="23"/>
  <c r="J1100" i="23" s="1"/>
  <c r="K1100" i="23" s="1"/>
  <c r="L1100" i="23" s="1"/>
  <c r="I1058" i="23"/>
  <c r="J1058" i="23" s="1"/>
  <c r="K1058" i="23" s="1"/>
  <c r="L1058" i="23" s="1"/>
  <c r="I1073" i="23"/>
  <c r="J1073" i="23" s="1"/>
  <c r="K1073" i="23" s="1"/>
  <c r="L1073" i="23" s="1"/>
  <c r="I974" i="23"/>
  <c r="J974" i="23" s="1"/>
  <c r="K974" i="23" s="1"/>
  <c r="L974" i="23" s="1"/>
  <c r="I945" i="23"/>
  <c r="J945" i="23" s="1"/>
  <c r="K945" i="23" s="1"/>
  <c r="L945" i="23" s="1"/>
  <c r="I943" i="23"/>
  <c r="J943" i="23" s="1"/>
  <c r="K943" i="23" s="1"/>
  <c r="L943" i="23" s="1"/>
  <c r="I941" i="23"/>
  <c r="J941" i="23" s="1"/>
  <c r="K941" i="23" s="1"/>
  <c r="L941" i="23" s="1"/>
  <c r="I908" i="23"/>
  <c r="J908" i="23" s="1"/>
  <c r="K908" i="23" s="1"/>
  <c r="L908" i="23" s="1"/>
  <c r="I851" i="23"/>
  <c r="J851" i="23" s="1"/>
  <c r="K851" i="23" s="1"/>
  <c r="L851" i="23" s="1"/>
  <c r="I878" i="23"/>
  <c r="J878" i="23" s="1"/>
  <c r="K878" i="23" s="1"/>
  <c r="L878" i="23" s="1"/>
  <c r="I880" i="23"/>
  <c r="J880" i="23" s="1"/>
  <c r="K880" i="23" s="1"/>
  <c r="L880" i="23" s="1"/>
  <c r="I882" i="23"/>
  <c r="J882" i="23" s="1"/>
  <c r="K882" i="23" s="1"/>
  <c r="L882" i="23" s="1"/>
  <c r="I884" i="23"/>
  <c r="J884" i="23" s="1"/>
  <c r="K884" i="23" s="1"/>
  <c r="L884" i="23" s="1"/>
  <c r="I808" i="23"/>
  <c r="J808" i="23" s="1"/>
  <c r="K808" i="23" s="1"/>
  <c r="L808" i="23" s="1"/>
  <c r="I827" i="23"/>
  <c r="J827" i="23" s="1"/>
  <c r="K827" i="23" s="1"/>
  <c r="L827" i="23" s="1"/>
  <c r="I829" i="23"/>
  <c r="J829" i="23" s="1"/>
  <c r="K829" i="23" s="1"/>
  <c r="L829" i="23" s="1"/>
  <c r="I831" i="23"/>
  <c r="J831" i="23" s="1"/>
  <c r="K831" i="23" s="1"/>
  <c r="L831" i="23" s="1"/>
  <c r="I833" i="23"/>
  <c r="J833" i="23" s="1"/>
  <c r="K833" i="23" s="1"/>
  <c r="L833" i="23" s="1"/>
  <c r="I841" i="23"/>
  <c r="J841" i="23" s="1"/>
  <c r="K841" i="23" s="1"/>
  <c r="L841" i="23" s="1"/>
  <c r="I843" i="23"/>
  <c r="J843" i="23" s="1"/>
  <c r="K843" i="23" s="1"/>
  <c r="L843" i="23" s="1"/>
  <c r="I845" i="23"/>
  <c r="J845" i="23" s="1"/>
  <c r="K845" i="23" s="1"/>
  <c r="L845" i="23" s="1"/>
  <c r="I806" i="23"/>
  <c r="J806" i="23" s="1"/>
  <c r="K806" i="23" s="1"/>
  <c r="L806" i="23" s="1"/>
  <c r="I725" i="23"/>
  <c r="J725" i="23" s="1"/>
  <c r="K725" i="23" s="1"/>
  <c r="L725" i="23" s="1"/>
  <c r="I744" i="23"/>
  <c r="J744" i="23" s="1"/>
  <c r="K744" i="23" s="1"/>
  <c r="L744" i="23" s="1"/>
  <c r="I690" i="23"/>
  <c r="J690" i="23" s="1"/>
  <c r="K690" i="23" s="1"/>
  <c r="L690" i="23" s="1"/>
  <c r="I615" i="23"/>
  <c r="J615" i="23" s="1"/>
  <c r="K615" i="23" s="1"/>
  <c r="L615" i="23" s="1"/>
  <c r="I578" i="23"/>
  <c r="J578" i="23" s="1"/>
  <c r="K578" i="23" s="1"/>
  <c r="L578" i="23" s="1"/>
  <c r="I565" i="23"/>
  <c r="J565" i="23" s="1"/>
  <c r="K565" i="23" s="1"/>
  <c r="L565" i="23" s="1"/>
  <c r="I570" i="23"/>
  <c r="J570" i="23" s="1"/>
  <c r="K570" i="23" s="1"/>
  <c r="L570" i="23" s="1"/>
  <c r="I562" i="23"/>
  <c r="J562" i="23" s="1"/>
  <c r="K562" i="23" s="1"/>
  <c r="L562" i="23" s="1"/>
  <c r="I567" i="23"/>
  <c r="J567" i="23" s="1"/>
  <c r="K567" i="23" s="1"/>
  <c r="L567" i="23" s="1"/>
  <c r="I572" i="23"/>
  <c r="J572" i="23" s="1"/>
  <c r="K572" i="23" s="1"/>
  <c r="L572" i="23" s="1"/>
  <c r="I564" i="23"/>
  <c r="J564" i="23" s="1"/>
  <c r="K564" i="23" s="1"/>
  <c r="L564" i="23" s="1"/>
  <c r="I569" i="23"/>
  <c r="J569" i="23" s="1"/>
  <c r="K569" i="23" s="1"/>
  <c r="L569" i="23" s="1"/>
  <c r="I574" i="23"/>
  <c r="J574" i="23" s="1"/>
  <c r="K574" i="23" s="1"/>
  <c r="L574" i="23" s="1"/>
  <c r="I576" i="23"/>
  <c r="J576" i="23" s="1"/>
  <c r="K576" i="23" s="1"/>
  <c r="L576" i="23" s="1"/>
  <c r="I577" i="23"/>
  <c r="J577" i="23" s="1"/>
  <c r="K577" i="23" s="1"/>
  <c r="L577" i="23" s="1"/>
  <c r="I561" i="23"/>
  <c r="J561" i="23" s="1"/>
  <c r="K561" i="23" s="1"/>
  <c r="L561" i="23" s="1"/>
  <c r="I571" i="23"/>
  <c r="J571" i="23" s="1"/>
  <c r="K571" i="23" s="1"/>
  <c r="L571" i="23" s="1"/>
  <c r="I566" i="23"/>
  <c r="J566" i="23" s="1"/>
  <c r="K566" i="23" s="1"/>
  <c r="L566" i="23" s="1"/>
  <c r="I563" i="23"/>
  <c r="J563" i="23" s="1"/>
  <c r="K563" i="23" s="1"/>
  <c r="L563" i="23" s="1"/>
  <c r="I568" i="23"/>
  <c r="J568" i="23" s="1"/>
  <c r="K568" i="23" s="1"/>
  <c r="L568" i="23" s="1"/>
  <c r="I573" i="23"/>
  <c r="J573" i="23" s="1"/>
  <c r="K573" i="23" s="1"/>
  <c r="L573" i="23" s="1"/>
  <c r="I575" i="23"/>
  <c r="J575" i="23" s="1"/>
  <c r="K575" i="23" s="1"/>
  <c r="L575" i="23" s="1"/>
  <c r="M1256" i="23"/>
  <c r="H1276" i="22"/>
  <c r="H1284" i="22"/>
  <c r="H1292" i="22"/>
  <c r="H1300" i="22"/>
  <c r="H1308" i="22"/>
  <c r="H1279" i="22"/>
  <c r="H1287" i="22"/>
  <c r="H1295" i="22"/>
  <c r="H1303" i="22"/>
  <c r="H1283" i="22"/>
  <c r="H1289" i="22"/>
  <c r="H1282" i="22"/>
  <c r="H1290" i="22"/>
  <c r="H1298" i="22"/>
  <c r="H1306" i="22"/>
  <c r="H1286" i="22"/>
  <c r="H1277" i="22"/>
  <c r="H1285" i="22"/>
  <c r="H1293" i="22"/>
  <c r="H1301" i="22"/>
  <c r="H1309" i="22"/>
  <c r="H1299" i="22"/>
  <c r="H1278" i="22"/>
  <c r="H1294" i="22"/>
  <c r="H1302" i="22"/>
  <c r="H1305" i="22"/>
  <c r="H1280" i="22"/>
  <c r="H1288" i="22"/>
  <c r="H1296" i="22"/>
  <c r="H1304" i="22"/>
  <c r="H1291" i="22"/>
  <c r="H1307" i="22"/>
  <c r="H1310" i="22"/>
  <c r="H1281" i="22"/>
  <c r="H1297" i="22"/>
  <c r="H1271" i="22"/>
  <c r="H1274" i="22"/>
  <c r="H1272" i="22"/>
  <c r="H1275" i="22"/>
  <c r="H1273" i="22"/>
  <c r="H1247" i="22"/>
  <c r="H1255" i="22"/>
  <c r="H1263" i="22"/>
  <c r="H1259" i="22"/>
  <c r="H1267" i="22"/>
  <c r="H1270" i="22"/>
  <c r="H1250" i="22"/>
  <c r="H1258" i="22"/>
  <c r="H1266" i="22"/>
  <c r="H1253" i="22"/>
  <c r="H1261" i="22"/>
  <c r="H1269" i="22"/>
  <c r="H1262" i="22"/>
  <c r="H1248" i="22"/>
  <c r="H1256" i="22"/>
  <c r="H1264" i="22"/>
  <c r="H1251" i="22"/>
  <c r="H1254" i="22"/>
  <c r="H1249" i="22"/>
  <c r="H1257" i="22"/>
  <c r="H1265" i="22"/>
  <c r="H1260" i="22"/>
  <c r="H1268" i="22"/>
  <c r="H1252" i="22"/>
  <c r="H1229" i="22"/>
  <c r="H1237" i="22"/>
  <c r="H1245" i="22"/>
  <c r="H1243" i="22"/>
  <c r="H1230" i="22"/>
  <c r="H1246" i="22"/>
  <c r="H1244" i="22"/>
  <c r="H1232" i="22"/>
  <c r="H1240" i="22"/>
  <c r="H1238" i="22"/>
  <c r="H1233" i="22"/>
  <c r="H1241" i="22"/>
  <c r="H1231" i="22"/>
  <c r="H1239" i="22"/>
  <c r="H1234" i="22"/>
  <c r="H1242" i="22"/>
  <c r="H1235" i="22"/>
  <c r="H1236" i="22"/>
  <c r="M1252" i="23"/>
  <c r="M1285" i="23"/>
  <c r="M1267" i="23"/>
  <c r="M1284" i="23"/>
  <c r="M1262" i="23"/>
  <c r="M1283" i="23"/>
  <c r="M1246" i="23"/>
  <c r="H1212" i="22"/>
  <c r="H1220" i="22"/>
  <c r="H1228" i="22"/>
  <c r="H1215" i="22"/>
  <c r="H1223" i="22"/>
  <c r="H1222" i="22"/>
  <c r="H1218" i="22"/>
  <c r="H1226" i="22"/>
  <c r="H1213" i="22"/>
  <c r="H1221" i="22"/>
  <c r="H1216" i="22"/>
  <c r="H1224" i="22"/>
  <c r="H1219" i="22"/>
  <c r="H1227" i="22"/>
  <c r="H1214" i="22"/>
  <c r="H1217" i="22"/>
  <c r="H1225" i="22"/>
  <c r="M1254" i="23"/>
  <c r="M1217" i="23"/>
  <c r="H1191" i="22"/>
  <c r="H1199" i="22"/>
  <c r="H1207" i="22"/>
  <c r="H1209" i="22"/>
  <c r="H1194" i="22"/>
  <c r="H1202" i="22"/>
  <c r="H1210" i="22"/>
  <c r="H1197" i="22"/>
  <c r="H1205" i="22"/>
  <c r="H1192" i="22"/>
  <c r="H1200" i="22"/>
  <c r="H1208" i="22"/>
  <c r="H1193" i="22"/>
  <c r="H1195" i="22"/>
  <c r="H1203" i="22"/>
  <c r="H1211" i="22"/>
  <c r="H1198" i="22"/>
  <c r="H1206" i="22"/>
  <c r="H1196" i="22"/>
  <c r="H1204" i="22"/>
  <c r="H1201" i="22"/>
  <c r="M1136" i="23"/>
  <c r="M1238" i="23"/>
  <c r="M1227" i="23"/>
  <c r="M1261" i="23"/>
  <c r="M1221" i="23"/>
  <c r="M1241" i="23"/>
  <c r="H1160" i="22"/>
  <c r="H1168" i="22"/>
  <c r="H1176" i="22"/>
  <c r="H1184" i="22"/>
  <c r="H1163" i="22"/>
  <c r="H1171" i="22"/>
  <c r="H1179" i="22"/>
  <c r="H1187" i="22"/>
  <c r="H1173" i="22"/>
  <c r="H1166" i="22"/>
  <c r="H1174" i="22"/>
  <c r="H1182" i="22"/>
  <c r="H1190" i="22"/>
  <c r="H1161" i="22"/>
  <c r="H1169" i="22"/>
  <c r="H1177" i="22"/>
  <c r="H1185" i="22"/>
  <c r="H1189" i="22"/>
  <c r="H1164" i="22"/>
  <c r="H1172" i="22"/>
  <c r="H1180" i="22"/>
  <c r="H1188" i="22"/>
  <c r="H1181" i="22"/>
  <c r="H1167" i="22"/>
  <c r="H1175" i="22"/>
  <c r="H1183" i="22"/>
  <c r="H1162" i="22"/>
  <c r="H1170" i="22"/>
  <c r="H1178" i="22"/>
  <c r="H1186" i="22"/>
  <c r="H1165" i="22"/>
  <c r="M1178" i="23"/>
  <c r="M1130" i="23"/>
  <c r="M1092" i="23"/>
  <c r="M1133" i="23"/>
  <c r="M1093" i="23"/>
  <c r="M1223" i="23"/>
  <c r="H1144" i="22"/>
  <c r="H1147" i="22"/>
  <c r="H1150" i="22"/>
  <c r="H1158" i="22"/>
  <c r="H1145" i="22"/>
  <c r="H1153" i="22"/>
  <c r="H1155" i="22"/>
  <c r="H1148" i="22"/>
  <c r="H1156" i="22"/>
  <c r="H1151" i="22"/>
  <c r="H1159" i="22"/>
  <c r="H1152" i="22"/>
  <c r="H1146" i="22"/>
  <c r="H1154" i="22"/>
  <c r="H1149" i="22"/>
  <c r="H1157" i="22"/>
  <c r="M1179" i="23"/>
  <c r="M1091" i="23"/>
  <c r="M1194" i="23"/>
  <c r="M1034" i="23"/>
  <c r="H1139" i="22"/>
  <c r="H1140" i="22"/>
  <c r="H1142" i="22"/>
  <c r="H1141" i="22"/>
  <c r="H1143" i="22"/>
  <c r="H1119" i="22"/>
  <c r="H1127" i="22"/>
  <c r="H1135" i="22"/>
  <c r="H1122" i="22"/>
  <c r="H1130" i="22"/>
  <c r="H1138" i="22"/>
  <c r="H1125" i="22"/>
  <c r="H1133" i="22"/>
  <c r="H1120" i="22"/>
  <c r="H1128" i="22"/>
  <c r="H1136" i="22"/>
  <c r="H1126" i="22"/>
  <c r="H1134" i="22"/>
  <c r="H1121" i="22"/>
  <c r="H1129" i="22"/>
  <c r="H1137" i="22"/>
  <c r="H1123" i="22"/>
  <c r="H1131" i="22"/>
  <c r="H1124" i="22"/>
  <c r="H1132" i="22"/>
  <c r="M1149" i="23"/>
  <c r="M1071" i="23"/>
  <c r="M1148" i="23"/>
  <c r="M1024" i="23"/>
  <c r="M1156" i="23"/>
  <c r="M1142" i="23"/>
  <c r="M1152" i="23"/>
  <c r="M1140" i="23"/>
  <c r="M1146" i="23"/>
  <c r="M1190" i="23"/>
  <c r="M1181" i="23"/>
  <c r="M1187" i="23"/>
  <c r="M1139" i="23"/>
  <c r="M1180" i="23"/>
  <c r="M1135" i="23"/>
  <c r="M1193" i="23"/>
  <c r="H1095" i="22"/>
  <c r="H1103" i="22"/>
  <c r="H1111" i="22"/>
  <c r="H1107" i="22"/>
  <c r="H1115" i="22"/>
  <c r="H1098" i="22"/>
  <c r="H1106" i="22"/>
  <c r="H1114" i="22"/>
  <c r="H1101" i="22"/>
  <c r="H1109" i="22"/>
  <c r="H1117" i="22"/>
  <c r="H1099" i="22"/>
  <c r="H1096" i="22"/>
  <c r="H1104" i="22"/>
  <c r="H1112" i="22"/>
  <c r="H1102" i="22"/>
  <c r="H1110" i="22"/>
  <c r="H1118" i="22"/>
  <c r="H1108" i="22"/>
  <c r="H1097" i="22"/>
  <c r="H1105" i="22"/>
  <c r="H1113" i="22"/>
  <c r="H1100" i="22"/>
  <c r="H1116" i="22"/>
  <c r="H1079" i="22"/>
  <c r="H1087" i="22"/>
  <c r="H1082" i="22"/>
  <c r="H1090" i="22"/>
  <c r="H1085" i="22"/>
  <c r="H1093" i="22"/>
  <c r="H1080" i="22"/>
  <c r="H1088" i="22"/>
  <c r="H1083" i="22"/>
  <c r="H1086" i="22"/>
  <c r="H1094" i="22"/>
  <c r="H1091" i="22"/>
  <c r="H1081" i="22"/>
  <c r="H1089" i="22"/>
  <c r="H1084" i="22"/>
  <c r="H1092" i="22"/>
  <c r="M1046" i="23"/>
  <c r="M1151" i="23"/>
  <c r="M1054" i="23"/>
  <c r="M1141" i="23"/>
  <c r="M1051" i="23"/>
  <c r="M1137" i="23"/>
  <c r="M1108" i="23"/>
  <c r="M1114" i="23"/>
  <c r="H1062" i="22"/>
  <c r="H1070" i="22"/>
  <c r="H1078" i="22"/>
  <c r="H1065" i="22"/>
  <c r="H1073" i="22"/>
  <c r="H1068" i="22"/>
  <c r="H1076" i="22"/>
  <c r="H1063" i="22"/>
  <c r="H1071" i="22"/>
  <c r="H1066" i="22"/>
  <c r="H1074" i="22"/>
  <c r="H1072" i="22"/>
  <c r="H1069" i="22"/>
  <c r="H1077" i="22"/>
  <c r="H1064" i="22"/>
  <c r="H1067" i="22"/>
  <c r="H1075" i="22"/>
  <c r="H1050" i="22"/>
  <c r="H1053" i="22"/>
  <c r="H1061" i="22"/>
  <c r="H1056" i="22"/>
  <c r="H1051" i="22"/>
  <c r="H1059" i="22"/>
  <c r="H1054" i="22"/>
  <c r="H1058" i="22"/>
  <c r="H1057" i="22"/>
  <c r="H1052" i="22"/>
  <c r="H1060" i="22"/>
  <c r="H1055" i="22"/>
  <c r="M1038" i="23"/>
  <c r="M1104" i="23"/>
  <c r="H1034" i="22"/>
  <c r="H1042" i="22"/>
  <c r="H1040" i="22"/>
  <c r="H1048" i="22"/>
  <c r="H1037" i="22"/>
  <c r="H1045" i="22"/>
  <c r="H1035" i="22"/>
  <c r="H1043" i="22"/>
  <c r="H1047" i="22"/>
  <c r="H1038" i="22"/>
  <c r="H1046" i="22"/>
  <c r="H1041" i="22"/>
  <c r="H1049" i="22"/>
  <c r="H1039" i="22"/>
  <c r="H1036" i="22"/>
  <c r="H1044" i="22"/>
  <c r="H1011" i="22"/>
  <c r="H1019" i="22"/>
  <c r="H1027" i="22"/>
  <c r="H1014" i="22"/>
  <c r="H1022" i="22"/>
  <c r="H1030" i="22"/>
  <c r="H1017" i="22"/>
  <c r="H1025" i="22"/>
  <c r="H1033" i="22"/>
  <c r="H1024" i="22"/>
  <c r="H1032" i="22"/>
  <c r="H1012" i="22"/>
  <c r="H1020" i="22"/>
  <c r="H1028" i="22"/>
  <c r="H1015" i="22"/>
  <c r="H1023" i="22"/>
  <c r="H1031" i="22"/>
  <c r="H1018" i="22"/>
  <c r="H1026" i="22"/>
  <c r="H1016" i="22"/>
  <c r="H1013" i="22"/>
  <c r="H1021" i="22"/>
  <c r="H1029" i="22"/>
  <c r="M1012" i="23"/>
  <c r="M1057" i="23"/>
  <c r="M1016" i="23"/>
  <c r="M1044" i="23"/>
  <c r="M997" i="23"/>
  <c r="M1056" i="23"/>
  <c r="M1011" i="23"/>
  <c r="M1053" i="23"/>
  <c r="M1013" i="23"/>
  <c r="M1059" i="23"/>
  <c r="M1019" i="23"/>
  <c r="M1058" i="23"/>
  <c r="M995" i="23"/>
  <c r="M1050" i="23"/>
  <c r="M1032" i="23"/>
  <c r="M1085" i="23"/>
  <c r="H985" i="22"/>
  <c r="H993" i="22"/>
  <c r="H1001" i="22"/>
  <c r="H1009" i="22"/>
  <c r="H995" i="22"/>
  <c r="H988" i="22"/>
  <c r="H996" i="22"/>
  <c r="H1004" i="22"/>
  <c r="H991" i="22"/>
  <c r="H999" i="22"/>
  <c r="H1007" i="22"/>
  <c r="H986" i="22"/>
  <c r="H994" i="22"/>
  <c r="H1002" i="22"/>
  <c r="H1010" i="22"/>
  <c r="H989" i="22"/>
  <c r="H997" i="22"/>
  <c r="H1005" i="22"/>
  <c r="H992" i="22"/>
  <c r="H1000" i="22"/>
  <c r="H1008" i="22"/>
  <c r="H1003" i="22"/>
  <c r="H990" i="22"/>
  <c r="H998" i="22"/>
  <c r="H1006" i="22"/>
  <c r="H987" i="22"/>
  <c r="H984" i="22"/>
  <c r="M994" i="23"/>
  <c r="M899" i="23"/>
  <c r="H959" i="22"/>
  <c r="H961" i="22"/>
  <c r="H963" i="22"/>
  <c r="H965" i="22"/>
  <c r="H967" i="22"/>
  <c r="H969" i="22"/>
  <c r="H971" i="22"/>
  <c r="H973" i="22"/>
  <c r="H975" i="22"/>
  <c r="H977" i="22"/>
  <c r="H979" i="22"/>
  <c r="H981" i="22"/>
  <c r="H983" i="22"/>
  <c r="H960" i="22"/>
  <c r="H962" i="22"/>
  <c r="H964" i="22"/>
  <c r="H966" i="22"/>
  <c r="H968" i="22"/>
  <c r="H970" i="22"/>
  <c r="H972" i="22"/>
  <c r="H974" i="22"/>
  <c r="H976" i="22"/>
  <c r="H978" i="22"/>
  <c r="H980" i="22"/>
  <c r="H982" i="22"/>
  <c r="M956" i="23"/>
  <c r="M991" i="23"/>
  <c r="M951" i="23"/>
  <c r="M998" i="23"/>
  <c r="M949" i="23"/>
  <c r="M1005" i="23"/>
  <c r="H937" i="22"/>
  <c r="H945" i="22"/>
  <c r="H953" i="22"/>
  <c r="H940" i="22"/>
  <c r="H948" i="22"/>
  <c r="H956" i="22"/>
  <c r="H943" i="22"/>
  <c r="H938" i="22"/>
  <c r="H946" i="22"/>
  <c r="H954" i="22"/>
  <c r="H949" i="22"/>
  <c r="H957" i="22"/>
  <c r="H941" i="22"/>
  <c r="H944" i="22"/>
  <c r="H952" i="22"/>
  <c r="H939" i="22"/>
  <c r="H947" i="22"/>
  <c r="H955" i="22"/>
  <c r="H951" i="22"/>
  <c r="H942" i="22"/>
  <c r="H950" i="22"/>
  <c r="H958" i="22"/>
  <c r="M937" i="23"/>
  <c r="M955" i="23"/>
  <c r="M943" i="23"/>
  <c r="M953" i="23"/>
  <c r="M924" i="23"/>
  <c r="M952" i="23"/>
  <c r="M929" i="23"/>
  <c r="M950" i="23"/>
  <c r="M938" i="23"/>
  <c r="M958" i="23"/>
  <c r="M919" i="23"/>
  <c r="M957" i="23"/>
  <c r="M944" i="23"/>
  <c r="M948" i="23"/>
  <c r="M927" i="23"/>
  <c r="M910" i="23"/>
  <c r="H928" i="22"/>
  <c r="H931" i="22"/>
  <c r="H934" i="22"/>
  <c r="H929" i="22"/>
  <c r="H932" i="22"/>
  <c r="H935" i="22"/>
  <c r="H936" i="22"/>
  <c r="H930" i="22"/>
  <c r="H933" i="22"/>
  <c r="M885" i="23"/>
  <c r="M923" i="23"/>
  <c r="M883" i="23"/>
  <c r="M936" i="23"/>
  <c r="M870" i="23"/>
  <c r="M903" i="23"/>
  <c r="H907" i="22"/>
  <c r="H915" i="22"/>
  <c r="H923" i="22"/>
  <c r="H910" i="22"/>
  <c r="H918" i="22"/>
  <c r="H926" i="22"/>
  <c r="H913" i="22"/>
  <c r="H921" i="22"/>
  <c r="H920" i="22"/>
  <c r="H908" i="22"/>
  <c r="H916" i="22"/>
  <c r="H924" i="22"/>
  <c r="H911" i="22"/>
  <c r="H919" i="22"/>
  <c r="H927" i="22"/>
  <c r="H912" i="22"/>
  <c r="H914" i="22"/>
  <c r="H922" i="22"/>
  <c r="H909" i="22"/>
  <c r="H917" i="22"/>
  <c r="H925" i="22"/>
  <c r="H895" i="22"/>
  <c r="H897" i="22"/>
  <c r="H899" i="22"/>
  <c r="H901" i="22"/>
  <c r="H903" i="22"/>
  <c r="H905" i="22"/>
  <c r="H902" i="22"/>
  <c r="H906" i="22"/>
  <c r="H898" i="22"/>
  <c r="H896" i="22"/>
  <c r="H904" i="22"/>
  <c r="H900" i="22"/>
  <c r="M850" i="23"/>
  <c r="M893" i="23"/>
  <c r="H882" i="22"/>
  <c r="H890" i="22"/>
  <c r="H884" i="22"/>
  <c r="H885" i="22"/>
  <c r="H893" i="22"/>
  <c r="H888" i="22"/>
  <c r="H889" i="22"/>
  <c r="H883" i="22"/>
  <c r="H891" i="22"/>
  <c r="H886" i="22"/>
  <c r="H894" i="22"/>
  <c r="H892" i="22"/>
  <c r="H887" i="22"/>
  <c r="H858" i="22"/>
  <c r="H860" i="22"/>
  <c r="H862" i="22"/>
  <c r="H864" i="22"/>
  <c r="H866" i="22"/>
  <c r="H868" i="22"/>
  <c r="H870" i="22"/>
  <c r="H872" i="22"/>
  <c r="H874" i="22"/>
  <c r="H876" i="22"/>
  <c r="H878" i="22"/>
  <c r="H880" i="22"/>
  <c r="H859" i="22"/>
  <c r="H861" i="22"/>
  <c r="H863" i="22"/>
  <c r="H865" i="22"/>
  <c r="H867" i="22"/>
  <c r="H869" i="22"/>
  <c r="H871" i="22"/>
  <c r="H873" i="22"/>
  <c r="H875" i="22"/>
  <c r="H877" i="22"/>
  <c r="H879" i="22"/>
  <c r="H881" i="22"/>
  <c r="M837" i="23"/>
  <c r="M884" i="23"/>
  <c r="M661" i="23"/>
  <c r="M852" i="23"/>
  <c r="M827" i="23"/>
  <c r="M867" i="23"/>
  <c r="M766" i="23"/>
  <c r="M880" i="23"/>
  <c r="M819" i="23"/>
  <c r="M882" i="23"/>
  <c r="M823" i="23"/>
  <c r="M862" i="23"/>
  <c r="M813" i="23"/>
  <c r="M878" i="23"/>
  <c r="M860" i="23"/>
  <c r="M864" i="23"/>
  <c r="M842" i="23"/>
  <c r="M855" i="23"/>
  <c r="H845" i="22"/>
  <c r="H848" i="22"/>
  <c r="H856" i="22"/>
  <c r="H851" i="22"/>
  <c r="H846" i="22"/>
  <c r="H854" i="22"/>
  <c r="H857" i="22"/>
  <c r="H855" i="22"/>
  <c r="H853" i="22"/>
  <c r="H849" i="22"/>
  <c r="H852" i="22"/>
  <c r="H847" i="22"/>
  <c r="H850" i="22"/>
  <c r="M831" i="23"/>
  <c r="M845" i="23"/>
  <c r="M829" i="23"/>
  <c r="M841" i="23"/>
  <c r="H819" i="22"/>
  <c r="H827" i="22"/>
  <c r="H835" i="22"/>
  <c r="H843" i="22"/>
  <c r="H822" i="22"/>
  <c r="H830" i="22"/>
  <c r="H838" i="22"/>
  <c r="H837" i="22"/>
  <c r="H825" i="22"/>
  <c r="H833" i="22"/>
  <c r="H841" i="22"/>
  <c r="H832" i="22"/>
  <c r="H820" i="22"/>
  <c r="H828" i="22"/>
  <c r="H836" i="22"/>
  <c r="H844" i="22"/>
  <c r="H823" i="22"/>
  <c r="H831" i="22"/>
  <c r="H839" i="22"/>
  <c r="H829" i="22"/>
  <c r="H824" i="22"/>
  <c r="H826" i="22"/>
  <c r="H834" i="22"/>
  <c r="H842" i="22"/>
  <c r="H840" i="22"/>
  <c r="H821" i="22"/>
  <c r="M786" i="23"/>
  <c r="M808" i="23"/>
  <c r="M793" i="23"/>
  <c r="M838" i="23"/>
  <c r="M643" i="23"/>
  <c r="M744" i="23"/>
  <c r="M795" i="23"/>
  <c r="M828" i="23"/>
  <c r="M807" i="23"/>
  <c r="M822" i="23"/>
  <c r="M797" i="23"/>
  <c r="M811" i="23"/>
  <c r="H775" i="22"/>
  <c r="H783" i="22"/>
  <c r="H791" i="22"/>
  <c r="H799" i="22"/>
  <c r="H807" i="22"/>
  <c r="H815" i="22"/>
  <c r="H778" i="22"/>
  <c r="H786" i="22"/>
  <c r="H794" i="22"/>
  <c r="H802" i="22"/>
  <c r="H810" i="22"/>
  <c r="H818" i="22"/>
  <c r="H779" i="22"/>
  <c r="H787" i="22"/>
  <c r="H811" i="22"/>
  <c r="H781" i="22"/>
  <c r="H789" i="22"/>
  <c r="H797" i="22"/>
  <c r="H805" i="22"/>
  <c r="H813" i="22"/>
  <c r="H795" i="22"/>
  <c r="H776" i="22"/>
  <c r="H784" i="22"/>
  <c r="H792" i="22"/>
  <c r="H800" i="22"/>
  <c r="H808" i="22"/>
  <c r="H816" i="22"/>
  <c r="H803" i="22"/>
  <c r="H782" i="22"/>
  <c r="H790" i="22"/>
  <c r="H798" i="22"/>
  <c r="H806" i="22"/>
  <c r="H814" i="22"/>
  <c r="H780" i="22"/>
  <c r="H804" i="22"/>
  <c r="H777" i="22"/>
  <c r="H785" i="22"/>
  <c r="H793" i="22"/>
  <c r="H801" i="22"/>
  <c r="H809" i="22"/>
  <c r="H817" i="22"/>
  <c r="H788" i="22"/>
  <c r="H796" i="22"/>
  <c r="H812" i="22"/>
  <c r="M773" i="23"/>
  <c r="M796" i="23"/>
  <c r="M716" i="23"/>
  <c r="M625" i="23"/>
  <c r="M734" i="23"/>
  <c r="M788" i="23"/>
  <c r="M735" i="23"/>
  <c r="M802" i="23"/>
  <c r="M778" i="23"/>
  <c r="M774" i="23"/>
  <c r="H761" i="22"/>
  <c r="H769" i="22"/>
  <c r="H764" i="22"/>
  <c r="H767" i="22"/>
  <c r="H762" i="22"/>
  <c r="H770" i="22"/>
  <c r="H765" i="22"/>
  <c r="H773" i="22"/>
  <c r="H768" i="22"/>
  <c r="H763" i="22"/>
  <c r="H771" i="22"/>
  <c r="H766" i="22"/>
  <c r="H774" i="22"/>
  <c r="H772" i="22"/>
  <c r="H746" i="22"/>
  <c r="H750" i="22"/>
  <c r="H754" i="22"/>
  <c r="H758" i="22"/>
  <c r="H748" i="22"/>
  <c r="H752" i="22"/>
  <c r="H760" i="22"/>
  <c r="H747" i="22"/>
  <c r="H755" i="22"/>
  <c r="H749" i="22"/>
  <c r="H753" i="22"/>
  <c r="H757" i="22"/>
  <c r="H756" i="22"/>
  <c r="H751" i="22"/>
  <c r="H759" i="22"/>
  <c r="M642" i="23"/>
  <c r="M761" i="23"/>
  <c r="M730" i="23"/>
  <c r="M771" i="23"/>
  <c r="M728" i="23"/>
  <c r="M757" i="23"/>
  <c r="M736" i="23"/>
  <c r="M767" i="23"/>
  <c r="M758" i="23"/>
  <c r="M739" i="23"/>
  <c r="M727" i="23"/>
  <c r="M628" i="23"/>
  <c r="M641" i="23"/>
  <c r="M746" i="23"/>
  <c r="M738" i="23"/>
  <c r="M764" i="23"/>
  <c r="H727" i="22"/>
  <c r="H735" i="22"/>
  <c r="H743" i="22"/>
  <c r="H730" i="22"/>
  <c r="H738" i="22"/>
  <c r="H733" i="22"/>
  <c r="H741" i="22"/>
  <c r="H745" i="22"/>
  <c r="H728" i="22"/>
  <c r="H736" i="22"/>
  <c r="H744" i="22"/>
  <c r="H737" i="22"/>
  <c r="H731" i="22"/>
  <c r="H739" i="22"/>
  <c r="H734" i="22"/>
  <c r="H742" i="22"/>
  <c r="H729" i="22"/>
  <c r="H732" i="22"/>
  <c r="H740" i="22"/>
  <c r="M658" i="23"/>
  <c r="M711" i="23"/>
  <c r="M662" i="23"/>
  <c r="M733" i="23"/>
  <c r="M660" i="23"/>
  <c r="M753" i="23"/>
  <c r="M664" i="23"/>
  <c r="M575" i="23"/>
  <c r="H660" i="22"/>
  <c r="H668" i="22"/>
  <c r="H676" i="22"/>
  <c r="H684" i="22"/>
  <c r="H692" i="22"/>
  <c r="H700" i="22"/>
  <c r="H708" i="22"/>
  <c r="H716" i="22"/>
  <c r="H724" i="22"/>
  <c r="H689" i="22"/>
  <c r="H663" i="22"/>
  <c r="H671" i="22"/>
  <c r="H679" i="22"/>
  <c r="H687" i="22"/>
  <c r="H695" i="22"/>
  <c r="H703" i="22"/>
  <c r="H711" i="22"/>
  <c r="H719" i="22"/>
  <c r="H666" i="22"/>
  <c r="H674" i="22"/>
  <c r="H682" i="22"/>
  <c r="H690" i="22"/>
  <c r="H698" i="22"/>
  <c r="H706" i="22"/>
  <c r="H714" i="22"/>
  <c r="H722" i="22"/>
  <c r="H673" i="22"/>
  <c r="H681" i="22"/>
  <c r="H705" i="22"/>
  <c r="H721" i="22"/>
  <c r="H661" i="22"/>
  <c r="H669" i="22"/>
  <c r="H677" i="22"/>
  <c r="H685" i="22"/>
  <c r="H693" i="22"/>
  <c r="H701" i="22"/>
  <c r="H709" i="22"/>
  <c r="H717" i="22"/>
  <c r="H725" i="22"/>
  <c r="H664" i="22"/>
  <c r="H672" i="22"/>
  <c r="H680" i="22"/>
  <c r="H688" i="22"/>
  <c r="H696" i="22"/>
  <c r="H704" i="22"/>
  <c r="H712" i="22"/>
  <c r="H720" i="22"/>
  <c r="H697" i="22"/>
  <c r="H667" i="22"/>
  <c r="H675" i="22"/>
  <c r="H683" i="22"/>
  <c r="H691" i="22"/>
  <c r="H699" i="22"/>
  <c r="H707" i="22"/>
  <c r="H715" i="22"/>
  <c r="H723" i="22"/>
  <c r="H665" i="22"/>
  <c r="H662" i="22"/>
  <c r="H670" i="22"/>
  <c r="H678" i="22"/>
  <c r="H686" i="22"/>
  <c r="H694" i="22"/>
  <c r="H702" i="22"/>
  <c r="H710" i="22"/>
  <c r="H718" i="22"/>
  <c r="H726" i="22"/>
  <c r="H713" i="22"/>
  <c r="M657" i="23"/>
  <c r="M607" i="23"/>
  <c r="M659" i="23"/>
  <c r="M665" i="23"/>
  <c r="M663" i="23"/>
  <c r="M669" i="23"/>
  <c r="M610" i="23"/>
  <c r="M615" i="23"/>
  <c r="M547" i="23"/>
  <c r="M554" i="23"/>
  <c r="M604" i="23"/>
  <c r="M656" i="23"/>
  <c r="H637" i="22"/>
  <c r="H645" i="22"/>
  <c r="H653" i="22"/>
  <c r="H640" i="22"/>
  <c r="H648" i="22"/>
  <c r="H656" i="22"/>
  <c r="H647" i="22"/>
  <c r="H655" i="22"/>
  <c r="H658" i="22"/>
  <c r="H643" i="22"/>
  <c r="H651" i="22"/>
  <c r="H659" i="22"/>
  <c r="H650" i="22"/>
  <c r="H638" i="22"/>
  <c r="H646" i="22"/>
  <c r="H654" i="22"/>
  <c r="H641" i="22"/>
  <c r="H649" i="22"/>
  <c r="H657" i="22"/>
  <c r="H644" i="22"/>
  <c r="H652" i="22"/>
  <c r="H639" i="22"/>
  <c r="H642" i="22"/>
  <c r="H597" i="22"/>
  <c r="H605" i="22"/>
  <c r="H613" i="22"/>
  <c r="H621" i="22"/>
  <c r="H629" i="22"/>
  <c r="H628" i="22"/>
  <c r="H623" i="22"/>
  <c r="H610" i="22"/>
  <c r="H600" i="22"/>
  <c r="H608" i="22"/>
  <c r="H616" i="22"/>
  <c r="H624" i="22"/>
  <c r="H632" i="22"/>
  <c r="H604" i="22"/>
  <c r="H612" i="22"/>
  <c r="H620" i="22"/>
  <c r="H618" i="22"/>
  <c r="H603" i="22"/>
  <c r="H611" i="22"/>
  <c r="H619" i="22"/>
  <c r="H627" i="22"/>
  <c r="H635" i="22"/>
  <c r="H636" i="22"/>
  <c r="H607" i="22"/>
  <c r="H615" i="22"/>
  <c r="H602" i="22"/>
  <c r="H598" i="22"/>
  <c r="H606" i="22"/>
  <c r="H614" i="22"/>
  <c r="H622" i="22"/>
  <c r="H630" i="22"/>
  <c r="H631" i="22"/>
  <c r="H634" i="22"/>
  <c r="H601" i="22"/>
  <c r="H609" i="22"/>
  <c r="H617" i="22"/>
  <c r="H625" i="22"/>
  <c r="H633" i="22"/>
  <c r="H599" i="22"/>
  <c r="H626" i="22"/>
  <c r="H587" i="22"/>
  <c r="H595" i="22"/>
  <c r="H590" i="22"/>
  <c r="H591" i="22"/>
  <c r="H593" i="22"/>
  <c r="H588" i="22"/>
  <c r="H596" i="22"/>
  <c r="H594" i="22"/>
  <c r="H589" i="22"/>
  <c r="H592" i="22"/>
  <c r="M540" i="23"/>
  <c r="M553" i="23"/>
  <c r="M570" i="23"/>
  <c r="M576" i="23"/>
  <c r="H564" i="22"/>
  <c r="H572" i="22"/>
  <c r="H580" i="22"/>
  <c r="H567" i="22"/>
  <c r="H575" i="22"/>
  <c r="H583" i="22"/>
  <c r="H585" i="22"/>
  <c r="H570" i="22"/>
  <c r="H578" i="22"/>
  <c r="H586" i="22"/>
  <c r="H584" i="22"/>
  <c r="H565" i="22"/>
  <c r="H573" i="22"/>
  <c r="H581" i="22"/>
  <c r="H568" i="22"/>
  <c r="H576" i="22"/>
  <c r="H571" i="22"/>
  <c r="H579" i="22"/>
  <c r="H569" i="22"/>
  <c r="H577" i="22"/>
  <c r="H566" i="22"/>
  <c r="H574" i="22"/>
  <c r="H582" i="22"/>
  <c r="H550" i="22"/>
  <c r="H552" i="22"/>
  <c r="H554" i="22"/>
  <c r="H556" i="22"/>
  <c r="H558" i="22"/>
  <c r="H560" i="22"/>
  <c r="H562" i="22"/>
  <c r="H551" i="22"/>
  <c r="H557" i="22"/>
  <c r="H563" i="22"/>
  <c r="H553" i="22"/>
  <c r="H555" i="22"/>
  <c r="H559" i="22"/>
  <c r="H561" i="22"/>
  <c r="H548" i="22"/>
  <c r="H549" i="22"/>
  <c r="H547" i="22"/>
  <c r="M523" i="23"/>
  <c r="M512" i="23"/>
  <c r="H529" i="22"/>
  <c r="H537" i="22"/>
  <c r="H545" i="22"/>
  <c r="H536" i="22"/>
  <c r="H532" i="22"/>
  <c r="H540" i="22"/>
  <c r="H535" i="22"/>
  <c r="H543" i="22"/>
  <c r="H530" i="22"/>
  <c r="H538" i="22"/>
  <c r="H546" i="22"/>
  <c r="H533" i="22"/>
  <c r="H541" i="22"/>
  <c r="H531" i="22"/>
  <c r="H539" i="22"/>
  <c r="H544" i="22"/>
  <c r="H534" i="22"/>
  <c r="H542" i="22"/>
  <c r="M447" i="23"/>
  <c r="M555" i="23"/>
  <c r="M498" i="23"/>
  <c r="M544" i="23"/>
  <c r="M496" i="23"/>
  <c r="M546" i="23"/>
  <c r="M417" i="23"/>
  <c r="M551" i="23"/>
  <c r="M486" i="23"/>
  <c r="M542" i="23"/>
  <c r="M446" i="23"/>
  <c r="M557" i="23"/>
  <c r="M438" i="23"/>
  <c r="M549" i="23"/>
  <c r="M414" i="23"/>
  <c r="M548" i="23"/>
  <c r="M509" i="23"/>
  <c r="M475" i="23"/>
  <c r="H506" i="22"/>
  <c r="H514" i="22"/>
  <c r="H522" i="22"/>
  <c r="H516" i="22"/>
  <c r="H509" i="22"/>
  <c r="H517" i="22"/>
  <c r="H525" i="22"/>
  <c r="H512" i="22"/>
  <c r="H520" i="22"/>
  <c r="H528" i="22"/>
  <c r="H507" i="22"/>
  <c r="H515" i="22"/>
  <c r="H523" i="22"/>
  <c r="H513" i="22"/>
  <c r="H510" i="22"/>
  <c r="H518" i="22"/>
  <c r="H526" i="22"/>
  <c r="H511" i="22"/>
  <c r="H519" i="22"/>
  <c r="H527" i="22"/>
  <c r="H521" i="22"/>
  <c r="H508" i="22"/>
  <c r="H524" i="22"/>
  <c r="I539" i="23"/>
  <c r="J539" i="23" s="1"/>
  <c r="K539" i="23" s="1"/>
  <c r="L539" i="23" s="1"/>
  <c r="I547" i="23"/>
  <c r="J547" i="23" s="1"/>
  <c r="K547" i="23" s="1"/>
  <c r="L547" i="23" s="1"/>
  <c r="I555" i="23"/>
  <c r="J555" i="23" s="1"/>
  <c r="K555" i="23" s="1"/>
  <c r="L555" i="23" s="1"/>
  <c r="I560" i="23"/>
  <c r="J560" i="23" s="1"/>
  <c r="K560" i="23" s="1"/>
  <c r="L560" i="23" s="1"/>
  <c r="I544" i="23"/>
  <c r="J544" i="23" s="1"/>
  <c r="K544" i="23" s="1"/>
  <c r="L544" i="23" s="1"/>
  <c r="I552" i="23"/>
  <c r="J552" i="23" s="1"/>
  <c r="K552" i="23" s="1"/>
  <c r="L552" i="23" s="1"/>
  <c r="I541" i="23"/>
  <c r="J541" i="23" s="1"/>
  <c r="K541" i="23" s="1"/>
  <c r="L541" i="23" s="1"/>
  <c r="I549" i="23"/>
  <c r="J549" i="23" s="1"/>
  <c r="K549" i="23" s="1"/>
  <c r="L549" i="23" s="1"/>
  <c r="I557" i="23"/>
  <c r="J557" i="23" s="1"/>
  <c r="K557" i="23" s="1"/>
  <c r="L557" i="23" s="1"/>
  <c r="I545" i="23"/>
  <c r="J545" i="23" s="1"/>
  <c r="K545" i="23" s="1"/>
  <c r="L545" i="23" s="1"/>
  <c r="I538" i="23"/>
  <c r="J538" i="23" s="1"/>
  <c r="K538" i="23" s="1"/>
  <c r="L538" i="23" s="1"/>
  <c r="I546" i="23"/>
  <c r="J546" i="23" s="1"/>
  <c r="K546" i="23" s="1"/>
  <c r="L546" i="23" s="1"/>
  <c r="I554" i="23"/>
  <c r="J554" i="23" s="1"/>
  <c r="K554" i="23" s="1"/>
  <c r="L554" i="23" s="1"/>
  <c r="I543" i="23"/>
  <c r="J543" i="23" s="1"/>
  <c r="K543" i="23" s="1"/>
  <c r="L543" i="23" s="1"/>
  <c r="I551" i="23"/>
  <c r="J551" i="23" s="1"/>
  <c r="K551" i="23" s="1"/>
  <c r="L551" i="23" s="1"/>
  <c r="I559" i="23"/>
  <c r="J559" i="23" s="1"/>
  <c r="K559" i="23" s="1"/>
  <c r="L559" i="23" s="1"/>
  <c r="I537" i="23"/>
  <c r="J537" i="23" s="1"/>
  <c r="K537" i="23" s="1"/>
  <c r="L537" i="23" s="1"/>
  <c r="I540" i="23"/>
  <c r="J540" i="23" s="1"/>
  <c r="K540" i="23" s="1"/>
  <c r="L540" i="23" s="1"/>
  <c r="I548" i="23"/>
  <c r="J548" i="23" s="1"/>
  <c r="K548" i="23" s="1"/>
  <c r="L548" i="23" s="1"/>
  <c r="I556" i="23"/>
  <c r="J556" i="23" s="1"/>
  <c r="K556" i="23" s="1"/>
  <c r="L556" i="23" s="1"/>
  <c r="I553" i="23"/>
  <c r="J553" i="23" s="1"/>
  <c r="K553" i="23" s="1"/>
  <c r="L553" i="23" s="1"/>
  <c r="I542" i="23"/>
  <c r="J542" i="23" s="1"/>
  <c r="K542" i="23" s="1"/>
  <c r="L542" i="23" s="1"/>
  <c r="I550" i="23"/>
  <c r="J550" i="23" s="1"/>
  <c r="K550" i="23" s="1"/>
  <c r="L550" i="23" s="1"/>
  <c r="I558" i="23"/>
  <c r="J558" i="23" s="1"/>
  <c r="K558" i="23" s="1"/>
  <c r="L558" i="23" s="1"/>
  <c r="H497" i="22"/>
  <c r="H501" i="22"/>
  <c r="H504" i="22"/>
  <c r="H503" i="22"/>
  <c r="H498" i="22"/>
  <c r="H502" i="22"/>
  <c r="H505" i="22"/>
  <c r="H499" i="22"/>
  <c r="H500" i="22"/>
  <c r="I524" i="23"/>
  <c r="J524" i="23" s="1"/>
  <c r="K524" i="23" s="1"/>
  <c r="L524" i="23" s="1"/>
  <c r="I532" i="23"/>
  <c r="J532" i="23" s="1"/>
  <c r="K532" i="23" s="1"/>
  <c r="L532" i="23" s="1"/>
  <c r="I513" i="23"/>
  <c r="J513" i="23" s="1"/>
  <c r="K513" i="23" s="1"/>
  <c r="L513" i="23" s="1"/>
  <c r="I484" i="23"/>
  <c r="J484" i="23" s="1"/>
  <c r="K484" i="23" s="1"/>
  <c r="L484" i="23" s="1"/>
  <c r="I489" i="23"/>
  <c r="J489" i="23" s="1"/>
  <c r="K489" i="23" s="1"/>
  <c r="L489" i="23" s="1"/>
  <c r="I494" i="23"/>
  <c r="J494" i="23" s="1"/>
  <c r="K494" i="23" s="1"/>
  <c r="L494" i="23" s="1"/>
  <c r="I508" i="23"/>
  <c r="J508" i="23" s="1"/>
  <c r="K508" i="23" s="1"/>
  <c r="L508" i="23" s="1"/>
  <c r="I510" i="23"/>
  <c r="J510" i="23" s="1"/>
  <c r="K510" i="23" s="1"/>
  <c r="L510" i="23" s="1"/>
  <c r="I472" i="23"/>
  <c r="J472" i="23" s="1"/>
  <c r="K472" i="23" s="1"/>
  <c r="L472" i="23" s="1"/>
  <c r="I465" i="23"/>
  <c r="J465" i="23" s="1"/>
  <c r="K465" i="23" s="1"/>
  <c r="L465" i="23" s="1"/>
  <c r="I463" i="23"/>
  <c r="J463" i="23" s="1"/>
  <c r="K463" i="23" s="1"/>
  <c r="L463" i="23" s="1"/>
  <c r="I451" i="23"/>
  <c r="J451" i="23" s="1"/>
  <c r="K451" i="23" s="1"/>
  <c r="L451" i="23" s="1"/>
  <c r="I449" i="23"/>
  <c r="J449" i="23" s="1"/>
  <c r="K449" i="23" s="1"/>
  <c r="L449" i="23" s="1"/>
  <c r="I447" i="23"/>
  <c r="J447" i="23" s="1"/>
  <c r="K447" i="23" s="1"/>
  <c r="L447" i="23" s="1"/>
  <c r="I435" i="23"/>
  <c r="J435" i="23" s="1"/>
  <c r="K435" i="23" s="1"/>
  <c r="L435" i="23" s="1"/>
  <c r="I391" i="23"/>
  <c r="J391" i="23" s="1"/>
  <c r="K391" i="23" s="1"/>
  <c r="L391" i="23" s="1"/>
  <c r="I399" i="23"/>
  <c r="J399" i="23" s="1"/>
  <c r="K399" i="23" s="1"/>
  <c r="L399" i="23" s="1"/>
  <c r="I415" i="23"/>
  <c r="J415" i="23" s="1"/>
  <c r="K415" i="23" s="1"/>
  <c r="L415" i="23" s="1"/>
  <c r="I417" i="23"/>
  <c r="J417" i="23" s="1"/>
  <c r="K417" i="23" s="1"/>
  <c r="L417" i="23" s="1"/>
  <c r="I419" i="23"/>
  <c r="J419" i="23" s="1"/>
  <c r="K419" i="23" s="1"/>
  <c r="L419" i="23" s="1"/>
  <c r="I421" i="23"/>
  <c r="J421" i="23" s="1"/>
  <c r="K421" i="23" s="1"/>
  <c r="L421" i="23" s="1"/>
  <c r="I423" i="23"/>
  <c r="J423" i="23" s="1"/>
  <c r="K423" i="23" s="1"/>
  <c r="L423" i="23" s="1"/>
  <c r="I425" i="23"/>
  <c r="J425" i="23" s="1"/>
  <c r="K425" i="23" s="1"/>
  <c r="L425" i="23" s="1"/>
  <c r="I427" i="23"/>
  <c r="J427" i="23" s="1"/>
  <c r="K427" i="23" s="1"/>
  <c r="L427" i="23" s="1"/>
  <c r="I429" i="23"/>
  <c r="J429" i="23" s="1"/>
  <c r="K429" i="23" s="1"/>
  <c r="L429" i="23" s="1"/>
  <c r="I529" i="23"/>
  <c r="J529" i="23" s="1"/>
  <c r="K529" i="23" s="1"/>
  <c r="L529" i="23" s="1"/>
  <c r="I521" i="23"/>
  <c r="J521" i="23" s="1"/>
  <c r="K521" i="23" s="1"/>
  <c r="L521" i="23" s="1"/>
  <c r="I518" i="23"/>
  <c r="J518" i="23" s="1"/>
  <c r="K518" i="23" s="1"/>
  <c r="L518" i="23" s="1"/>
  <c r="I496" i="23"/>
  <c r="J496" i="23" s="1"/>
  <c r="K496" i="23" s="1"/>
  <c r="L496" i="23" s="1"/>
  <c r="I503" i="23"/>
  <c r="J503" i="23" s="1"/>
  <c r="K503" i="23" s="1"/>
  <c r="L503" i="23" s="1"/>
  <c r="I474" i="23"/>
  <c r="J474" i="23" s="1"/>
  <c r="K474" i="23" s="1"/>
  <c r="L474" i="23" s="1"/>
  <c r="I445" i="23"/>
  <c r="J445" i="23" s="1"/>
  <c r="K445" i="23" s="1"/>
  <c r="L445" i="23" s="1"/>
  <c r="I443" i="23"/>
  <c r="J443" i="23" s="1"/>
  <c r="K443" i="23" s="1"/>
  <c r="L443" i="23" s="1"/>
  <c r="I388" i="23"/>
  <c r="J388" i="23" s="1"/>
  <c r="K388" i="23" s="1"/>
  <c r="L388" i="23" s="1"/>
  <c r="I396" i="23"/>
  <c r="J396" i="23" s="1"/>
  <c r="K396" i="23" s="1"/>
  <c r="L396" i="23" s="1"/>
  <c r="I404" i="23"/>
  <c r="J404" i="23" s="1"/>
  <c r="K404" i="23" s="1"/>
  <c r="L404" i="23" s="1"/>
  <c r="I526" i="23"/>
  <c r="J526" i="23" s="1"/>
  <c r="K526" i="23" s="1"/>
  <c r="L526" i="23" s="1"/>
  <c r="I534" i="23"/>
  <c r="J534" i="23" s="1"/>
  <c r="K534" i="23" s="1"/>
  <c r="L534" i="23" s="1"/>
  <c r="I515" i="23"/>
  <c r="J515" i="23" s="1"/>
  <c r="K515" i="23" s="1"/>
  <c r="L515" i="23" s="1"/>
  <c r="I481" i="23"/>
  <c r="J481" i="23" s="1"/>
  <c r="K481" i="23" s="1"/>
  <c r="L481" i="23" s="1"/>
  <c r="I486" i="23"/>
  <c r="J486" i="23" s="1"/>
  <c r="K486" i="23" s="1"/>
  <c r="L486" i="23" s="1"/>
  <c r="I491" i="23"/>
  <c r="J491" i="23" s="1"/>
  <c r="K491" i="23" s="1"/>
  <c r="L491" i="23" s="1"/>
  <c r="I498" i="23"/>
  <c r="J498" i="23" s="1"/>
  <c r="K498" i="23" s="1"/>
  <c r="L498" i="23" s="1"/>
  <c r="I476" i="23"/>
  <c r="J476" i="23" s="1"/>
  <c r="K476" i="23" s="1"/>
  <c r="L476" i="23" s="1"/>
  <c r="I452" i="23"/>
  <c r="J452" i="23" s="1"/>
  <c r="K452" i="23" s="1"/>
  <c r="L452" i="23" s="1"/>
  <c r="I454" i="23"/>
  <c r="J454" i="23" s="1"/>
  <c r="K454" i="23" s="1"/>
  <c r="L454" i="23" s="1"/>
  <c r="I456" i="23"/>
  <c r="J456" i="23" s="1"/>
  <c r="K456" i="23" s="1"/>
  <c r="L456" i="23" s="1"/>
  <c r="I458" i="23"/>
  <c r="J458" i="23" s="1"/>
  <c r="K458" i="23" s="1"/>
  <c r="L458" i="23" s="1"/>
  <c r="I460" i="23"/>
  <c r="J460" i="23" s="1"/>
  <c r="K460" i="23" s="1"/>
  <c r="L460" i="23" s="1"/>
  <c r="I462" i="23"/>
  <c r="J462" i="23" s="1"/>
  <c r="K462" i="23" s="1"/>
  <c r="L462" i="23" s="1"/>
  <c r="I441" i="23"/>
  <c r="J441" i="23" s="1"/>
  <c r="K441" i="23" s="1"/>
  <c r="L441" i="23" s="1"/>
  <c r="I439" i="23"/>
  <c r="J439" i="23" s="1"/>
  <c r="K439" i="23" s="1"/>
  <c r="L439" i="23" s="1"/>
  <c r="I437" i="23"/>
  <c r="J437" i="23" s="1"/>
  <c r="K437" i="23" s="1"/>
  <c r="L437" i="23" s="1"/>
  <c r="I393" i="23"/>
  <c r="J393" i="23" s="1"/>
  <c r="K393" i="23" s="1"/>
  <c r="L393" i="23" s="1"/>
  <c r="I401" i="23"/>
  <c r="J401" i="23" s="1"/>
  <c r="K401" i="23" s="1"/>
  <c r="L401" i="23" s="1"/>
  <c r="I406" i="23"/>
  <c r="J406" i="23" s="1"/>
  <c r="K406" i="23" s="1"/>
  <c r="L406" i="23" s="1"/>
  <c r="I408" i="23"/>
  <c r="J408" i="23" s="1"/>
  <c r="K408" i="23" s="1"/>
  <c r="L408" i="23" s="1"/>
  <c r="I523" i="23"/>
  <c r="J523" i="23" s="1"/>
  <c r="K523" i="23" s="1"/>
  <c r="L523" i="23" s="1"/>
  <c r="I531" i="23"/>
  <c r="J531" i="23" s="1"/>
  <c r="K531" i="23" s="1"/>
  <c r="L531" i="23" s="1"/>
  <c r="I512" i="23"/>
  <c r="J512" i="23" s="1"/>
  <c r="K512" i="23" s="1"/>
  <c r="L512" i="23" s="1"/>
  <c r="I520" i="23"/>
  <c r="J520" i="23" s="1"/>
  <c r="K520" i="23" s="1"/>
  <c r="L520" i="23" s="1"/>
  <c r="I483" i="23"/>
  <c r="J483" i="23" s="1"/>
  <c r="K483" i="23" s="1"/>
  <c r="L483" i="23" s="1"/>
  <c r="I488" i="23"/>
  <c r="J488" i="23" s="1"/>
  <c r="K488" i="23" s="1"/>
  <c r="L488" i="23" s="1"/>
  <c r="I500" i="23"/>
  <c r="J500" i="23" s="1"/>
  <c r="K500" i="23" s="1"/>
  <c r="L500" i="23" s="1"/>
  <c r="I505" i="23"/>
  <c r="J505" i="23" s="1"/>
  <c r="K505" i="23" s="1"/>
  <c r="L505" i="23" s="1"/>
  <c r="I507" i="23"/>
  <c r="J507" i="23" s="1"/>
  <c r="K507" i="23" s="1"/>
  <c r="L507" i="23" s="1"/>
  <c r="I467" i="23"/>
  <c r="J467" i="23" s="1"/>
  <c r="K467" i="23" s="1"/>
  <c r="L467" i="23" s="1"/>
  <c r="I469" i="23"/>
  <c r="J469" i="23" s="1"/>
  <c r="K469" i="23" s="1"/>
  <c r="L469" i="23" s="1"/>
  <c r="I471" i="23"/>
  <c r="J471" i="23" s="1"/>
  <c r="K471" i="23" s="1"/>
  <c r="L471" i="23" s="1"/>
  <c r="I478" i="23"/>
  <c r="J478" i="23" s="1"/>
  <c r="K478" i="23" s="1"/>
  <c r="L478" i="23" s="1"/>
  <c r="I480" i="23"/>
  <c r="J480" i="23" s="1"/>
  <c r="K480" i="23" s="1"/>
  <c r="L480" i="23" s="1"/>
  <c r="I430" i="23"/>
  <c r="J430" i="23" s="1"/>
  <c r="K430" i="23" s="1"/>
  <c r="L430" i="23" s="1"/>
  <c r="I432" i="23"/>
  <c r="J432" i="23" s="1"/>
  <c r="K432" i="23" s="1"/>
  <c r="L432" i="23" s="1"/>
  <c r="I434" i="23"/>
  <c r="J434" i="23" s="1"/>
  <c r="K434" i="23" s="1"/>
  <c r="L434" i="23" s="1"/>
  <c r="I390" i="23"/>
  <c r="J390" i="23" s="1"/>
  <c r="K390" i="23" s="1"/>
  <c r="L390" i="23" s="1"/>
  <c r="I398" i="23"/>
  <c r="J398" i="23" s="1"/>
  <c r="K398" i="23" s="1"/>
  <c r="L398" i="23" s="1"/>
  <c r="I410" i="23"/>
  <c r="J410" i="23" s="1"/>
  <c r="K410" i="23" s="1"/>
  <c r="L410" i="23" s="1"/>
  <c r="I412" i="23"/>
  <c r="J412" i="23" s="1"/>
  <c r="K412" i="23" s="1"/>
  <c r="L412" i="23" s="1"/>
  <c r="I528" i="23"/>
  <c r="J528" i="23" s="1"/>
  <c r="K528" i="23" s="1"/>
  <c r="L528" i="23" s="1"/>
  <c r="I536" i="23"/>
  <c r="J536" i="23" s="1"/>
  <c r="K536" i="23" s="1"/>
  <c r="L536" i="23" s="1"/>
  <c r="I517" i="23"/>
  <c r="J517" i="23" s="1"/>
  <c r="K517" i="23" s="1"/>
  <c r="L517" i="23" s="1"/>
  <c r="I493" i="23"/>
  <c r="J493" i="23" s="1"/>
  <c r="K493" i="23" s="1"/>
  <c r="L493" i="23" s="1"/>
  <c r="I495" i="23"/>
  <c r="J495" i="23" s="1"/>
  <c r="K495" i="23" s="1"/>
  <c r="L495" i="23" s="1"/>
  <c r="I502" i="23"/>
  <c r="J502" i="23" s="1"/>
  <c r="K502" i="23" s="1"/>
  <c r="L502" i="23" s="1"/>
  <c r="I509" i="23"/>
  <c r="J509" i="23" s="1"/>
  <c r="K509" i="23" s="1"/>
  <c r="L509" i="23" s="1"/>
  <c r="I473" i="23"/>
  <c r="J473" i="23" s="1"/>
  <c r="K473" i="23" s="1"/>
  <c r="L473" i="23" s="1"/>
  <c r="I450" i="23"/>
  <c r="J450" i="23" s="1"/>
  <c r="K450" i="23" s="1"/>
  <c r="L450" i="23" s="1"/>
  <c r="I448" i="23"/>
  <c r="J448" i="23" s="1"/>
  <c r="K448" i="23" s="1"/>
  <c r="L448" i="23" s="1"/>
  <c r="I446" i="23"/>
  <c r="J446" i="23" s="1"/>
  <c r="K446" i="23" s="1"/>
  <c r="L446" i="23" s="1"/>
  <c r="I387" i="23"/>
  <c r="J387" i="23" s="1"/>
  <c r="K387" i="23" s="1"/>
  <c r="L387" i="23" s="1"/>
  <c r="I395" i="23"/>
  <c r="J395" i="23" s="1"/>
  <c r="K395" i="23" s="1"/>
  <c r="L395" i="23" s="1"/>
  <c r="I403" i="23"/>
  <c r="J403" i="23" s="1"/>
  <c r="K403" i="23" s="1"/>
  <c r="L403" i="23" s="1"/>
  <c r="I414" i="23"/>
  <c r="J414" i="23" s="1"/>
  <c r="K414" i="23" s="1"/>
  <c r="L414" i="23" s="1"/>
  <c r="I416" i="23"/>
  <c r="J416" i="23" s="1"/>
  <c r="K416" i="23" s="1"/>
  <c r="L416" i="23" s="1"/>
  <c r="I418" i="23"/>
  <c r="J418" i="23" s="1"/>
  <c r="K418" i="23" s="1"/>
  <c r="L418" i="23" s="1"/>
  <c r="I420" i="23"/>
  <c r="J420" i="23" s="1"/>
  <c r="K420" i="23" s="1"/>
  <c r="L420" i="23" s="1"/>
  <c r="I422" i="23"/>
  <c r="J422" i="23" s="1"/>
  <c r="K422" i="23" s="1"/>
  <c r="L422" i="23" s="1"/>
  <c r="I424" i="23"/>
  <c r="J424" i="23" s="1"/>
  <c r="K424" i="23" s="1"/>
  <c r="L424" i="23" s="1"/>
  <c r="I426" i="23"/>
  <c r="J426" i="23" s="1"/>
  <c r="K426" i="23" s="1"/>
  <c r="L426" i="23" s="1"/>
  <c r="I428" i="23"/>
  <c r="J428" i="23" s="1"/>
  <c r="K428" i="23" s="1"/>
  <c r="L428" i="23" s="1"/>
  <c r="I385" i="23"/>
  <c r="J385" i="23" s="1"/>
  <c r="K385" i="23" s="1"/>
  <c r="L385" i="23" s="1"/>
  <c r="I525" i="23"/>
  <c r="J525" i="23" s="1"/>
  <c r="K525" i="23" s="1"/>
  <c r="L525" i="23" s="1"/>
  <c r="I533" i="23"/>
  <c r="J533" i="23" s="1"/>
  <c r="K533" i="23" s="1"/>
  <c r="L533" i="23" s="1"/>
  <c r="I514" i="23"/>
  <c r="J514" i="23" s="1"/>
  <c r="K514" i="23" s="1"/>
  <c r="L514" i="23" s="1"/>
  <c r="I485" i="23"/>
  <c r="J485" i="23" s="1"/>
  <c r="K485" i="23" s="1"/>
  <c r="L485" i="23" s="1"/>
  <c r="I490" i="23"/>
  <c r="J490" i="23" s="1"/>
  <c r="K490" i="23" s="1"/>
  <c r="L490" i="23" s="1"/>
  <c r="I497" i="23"/>
  <c r="J497" i="23" s="1"/>
  <c r="K497" i="23" s="1"/>
  <c r="L497" i="23" s="1"/>
  <c r="I475" i="23"/>
  <c r="J475" i="23" s="1"/>
  <c r="K475" i="23" s="1"/>
  <c r="L475" i="23" s="1"/>
  <c r="I464" i="23"/>
  <c r="J464" i="23" s="1"/>
  <c r="K464" i="23" s="1"/>
  <c r="L464" i="23" s="1"/>
  <c r="I444" i="23"/>
  <c r="J444" i="23" s="1"/>
  <c r="K444" i="23" s="1"/>
  <c r="L444" i="23" s="1"/>
  <c r="I442" i="23"/>
  <c r="J442" i="23" s="1"/>
  <c r="K442" i="23" s="1"/>
  <c r="L442" i="23" s="1"/>
  <c r="I436" i="23"/>
  <c r="J436" i="23" s="1"/>
  <c r="K436" i="23" s="1"/>
  <c r="L436" i="23" s="1"/>
  <c r="I392" i="23"/>
  <c r="J392" i="23" s="1"/>
  <c r="K392" i="23" s="1"/>
  <c r="L392" i="23" s="1"/>
  <c r="I400" i="23"/>
  <c r="J400" i="23" s="1"/>
  <c r="K400" i="23" s="1"/>
  <c r="L400" i="23" s="1"/>
  <c r="I384" i="23"/>
  <c r="J384" i="23" s="1"/>
  <c r="K384" i="23" s="1"/>
  <c r="L384" i="23" s="1"/>
  <c r="I522" i="23"/>
  <c r="J522" i="23" s="1"/>
  <c r="K522" i="23" s="1"/>
  <c r="L522" i="23" s="1"/>
  <c r="I530" i="23"/>
  <c r="J530" i="23" s="1"/>
  <c r="K530" i="23" s="1"/>
  <c r="L530" i="23" s="1"/>
  <c r="I511" i="23"/>
  <c r="J511" i="23" s="1"/>
  <c r="K511" i="23" s="1"/>
  <c r="L511" i="23" s="1"/>
  <c r="I519" i="23"/>
  <c r="J519" i="23" s="1"/>
  <c r="K519" i="23" s="1"/>
  <c r="L519" i="23" s="1"/>
  <c r="I482" i="23"/>
  <c r="J482" i="23" s="1"/>
  <c r="K482" i="23" s="1"/>
  <c r="L482" i="23" s="1"/>
  <c r="I487" i="23"/>
  <c r="J487" i="23" s="1"/>
  <c r="K487" i="23" s="1"/>
  <c r="L487" i="23" s="1"/>
  <c r="I499" i="23"/>
  <c r="J499" i="23" s="1"/>
  <c r="K499" i="23" s="1"/>
  <c r="L499" i="23" s="1"/>
  <c r="I504" i="23"/>
  <c r="J504" i="23" s="1"/>
  <c r="K504" i="23" s="1"/>
  <c r="L504" i="23" s="1"/>
  <c r="I466" i="23"/>
  <c r="J466" i="23" s="1"/>
  <c r="K466" i="23" s="1"/>
  <c r="L466" i="23" s="1"/>
  <c r="I453" i="23"/>
  <c r="J453" i="23" s="1"/>
  <c r="K453" i="23" s="1"/>
  <c r="L453" i="23" s="1"/>
  <c r="I455" i="23"/>
  <c r="J455" i="23" s="1"/>
  <c r="K455" i="23" s="1"/>
  <c r="L455" i="23" s="1"/>
  <c r="I457" i="23"/>
  <c r="J457" i="23" s="1"/>
  <c r="K457" i="23" s="1"/>
  <c r="L457" i="23" s="1"/>
  <c r="I459" i="23"/>
  <c r="J459" i="23" s="1"/>
  <c r="K459" i="23" s="1"/>
  <c r="L459" i="23" s="1"/>
  <c r="I461" i="23"/>
  <c r="J461" i="23" s="1"/>
  <c r="K461" i="23" s="1"/>
  <c r="L461" i="23" s="1"/>
  <c r="I440" i="23"/>
  <c r="J440" i="23" s="1"/>
  <c r="K440" i="23" s="1"/>
  <c r="L440" i="23" s="1"/>
  <c r="I438" i="23"/>
  <c r="J438" i="23" s="1"/>
  <c r="K438" i="23" s="1"/>
  <c r="L438" i="23" s="1"/>
  <c r="I389" i="23"/>
  <c r="J389" i="23" s="1"/>
  <c r="K389" i="23" s="1"/>
  <c r="L389" i="23" s="1"/>
  <c r="I397" i="23"/>
  <c r="J397" i="23" s="1"/>
  <c r="K397" i="23" s="1"/>
  <c r="L397" i="23" s="1"/>
  <c r="I405" i="23"/>
  <c r="J405" i="23" s="1"/>
  <c r="K405" i="23" s="1"/>
  <c r="L405" i="23" s="1"/>
  <c r="I407" i="23"/>
  <c r="J407" i="23" s="1"/>
  <c r="K407" i="23" s="1"/>
  <c r="L407" i="23" s="1"/>
  <c r="I409" i="23"/>
  <c r="J409" i="23" s="1"/>
  <c r="K409" i="23" s="1"/>
  <c r="L409" i="23" s="1"/>
  <c r="I527" i="23"/>
  <c r="J527" i="23" s="1"/>
  <c r="K527" i="23" s="1"/>
  <c r="L527" i="23" s="1"/>
  <c r="I535" i="23"/>
  <c r="J535" i="23" s="1"/>
  <c r="K535" i="23" s="1"/>
  <c r="L535" i="23" s="1"/>
  <c r="I516" i="23"/>
  <c r="J516" i="23" s="1"/>
  <c r="K516" i="23" s="1"/>
  <c r="L516" i="23" s="1"/>
  <c r="I492" i="23"/>
  <c r="J492" i="23" s="1"/>
  <c r="K492" i="23" s="1"/>
  <c r="L492" i="23" s="1"/>
  <c r="I501" i="23"/>
  <c r="J501" i="23" s="1"/>
  <c r="K501" i="23" s="1"/>
  <c r="L501" i="23" s="1"/>
  <c r="I506" i="23"/>
  <c r="J506" i="23" s="1"/>
  <c r="K506" i="23" s="1"/>
  <c r="L506" i="23" s="1"/>
  <c r="I468" i="23"/>
  <c r="J468" i="23" s="1"/>
  <c r="K468" i="23" s="1"/>
  <c r="L468" i="23" s="1"/>
  <c r="I470" i="23"/>
  <c r="J470" i="23" s="1"/>
  <c r="K470" i="23" s="1"/>
  <c r="L470" i="23" s="1"/>
  <c r="I477" i="23"/>
  <c r="J477" i="23" s="1"/>
  <c r="K477" i="23" s="1"/>
  <c r="L477" i="23" s="1"/>
  <c r="I479" i="23"/>
  <c r="J479" i="23" s="1"/>
  <c r="K479" i="23" s="1"/>
  <c r="L479" i="23" s="1"/>
  <c r="I431" i="23"/>
  <c r="J431" i="23" s="1"/>
  <c r="K431" i="23" s="1"/>
  <c r="L431" i="23" s="1"/>
  <c r="I433" i="23"/>
  <c r="J433" i="23" s="1"/>
  <c r="K433" i="23" s="1"/>
  <c r="L433" i="23" s="1"/>
  <c r="I386" i="23"/>
  <c r="J386" i="23" s="1"/>
  <c r="K386" i="23" s="1"/>
  <c r="L386" i="23" s="1"/>
  <c r="I394" i="23"/>
  <c r="J394" i="23" s="1"/>
  <c r="K394" i="23" s="1"/>
  <c r="L394" i="23" s="1"/>
  <c r="I402" i="23"/>
  <c r="J402" i="23" s="1"/>
  <c r="K402" i="23" s="1"/>
  <c r="L402" i="23" s="1"/>
  <c r="I411" i="23"/>
  <c r="J411" i="23" s="1"/>
  <c r="K411" i="23" s="1"/>
  <c r="L411" i="23" s="1"/>
  <c r="I413" i="23"/>
  <c r="J413" i="23" s="1"/>
  <c r="K413" i="23" s="1"/>
  <c r="L413" i="23" s="1"/>
  <c r="H484" i="22"/>
  <c r="H492" i="22"/>
  <c r="H487" i="22"/>
  <c r="H495" i="22"/>
  <c r="H490" i="22"/>
  <c r="H489" i="22"/>
  <c r="H485" i="22"/>
  <c r="H493" i="22"/>
  <c r="H488" i="22"/>
  <c r="H496" i="22"/>
  <c r="H491" i="22"/>
  <c r="H486" i="22"/>
  <c r="H494" i="22"/>
  <c r="M474" i="23"/>
  <c r="M453" i="23"/>
  <c r="M479" i="23"/>
  <c r="M481" i="23"/>
  <c r="M467" i="23"/>
  <c r="M506" i="23"/>
  <c r="H459" i="22"/>
  <c r="H467" i="22"/>
  <c r="H475" i="22"/>
  <c r="H483" i="22"/>
  <c r="H464" i="22"/>
  <c r="H462" i="22"/>
  <c r="H470" i="22"/>
  <c r="H478" i="22"/>
  <c r="H469" i="22"/>
  <c r="H472" i="22"/>
  <c r="H465" i="22"/>
  <c r="H473" i="22"/>
  <c r="H481" i="22"/>
  <c r="H480" i="22"/>
  <c r="H460" i="22"/>
  <c r="H468" i="22"/>
  <c r="H476" i="22"/>
  <c r="H463" i="22"/>
  <c r="H471" i="22"/>
  <c r="H479" i="22"/>
  <c r="H466" i="22"/>
  <c r="H474" i="22"/>
  <c r="H482" i="22"/>
  <c r="H461" i="22"/>
  <c r="H477" i="22"/>
  <c r="M430" i="23"/>
  <c r="M472" i="23"/>
  <c r="M452" i="23"/>
  <c r="M469" i="23"/>
  <c r="M459" i="23"/>
  <c r="M458" i="23"/>
  <c r="M443" i="23"/>
  <c r="M456" i="23"/>
  <c r="M410" i="23"/>
  <c r="M460" i="23"/>
  <c r="H429" i="22"/>
  <c r="H437" i="22"/>
  <c r="H445" i="22"/>
  <c r="H453" i="22"/>
  <c r="H432" i="22"/>
  <c r="H440" i="22"/>
  <c r="H448" i="22"/>
  <c r="H456" i="22"/>
  <c r="H435" i="22"/>
  <c r="H443" i="22"/>
  <c r="H451" i="22"/>
  <c r="H431" i="22"/>
  <c r="H447" i="22"/>
  <c r="H430" i="22"/>
  <c r="H438" i="22"/>
  <c r="H446" i="22"/>
  <c r="H454" i="22"/>
  <c r="H436" i="22"/>
  <c r="H433" i="22"/>
  <c r="H441" i="22"/>
  <c r="H449" i="22"/>
  <c r="H457" i="22"/>
  <c r="H439" i="22"/>
  <c r="H455" i="22"/>
  <c r="H434" i="22"/>
  <c r="H442" i="22"/>
  <c r="H450" i="22"/>
  <c r="H458" i="22"/>
  <c r="H444" i="22"/>
  <c r="H452" i="22"/>
  <c r="M426" i="23"/>
  <c r="M442" i="23"/>
  <c r="M367" i="23"/>
  <c r="M444" i="23"/>
  <c r="M412" i="23"/>
  <c r="M418" i="23"/>
  <c r="M431" i="23"/>
  <c r="M439" i="23"/>
  <c r="M419" i="23"/>
  <c r="M411" i="23"/>
  <c r="H399" i="22"/>
  <c r="H400" i="22"/>
  <c r="H408" i="22"/>
  <c r="H416" i="22"/>
  <c r="H424" i="22"/>
  <c r="H403" i="22"/>
  <c r="H411" i="22"/>
  <c r="H419" i="22"/>
  <c r="H427" i="22"/>
  <c r="H417" i="22"/>
  <c r="H406" i="22"/>
  <c r="H414" i="22"/>
  <c r="H422" i="22"/>
  <c r="H401" i="22"/>
  <c r="H409" i="22"/>
  <c r="H425" i="22"/>
  <c r="H405" i="22"/>
  <c r="H421" i="22"/>
  <c r="H404" i="22"/>
  <c r="H412" i="22"/>
  <c r="H420" i="22"/>
  <c r="H428" i="22"/>
  <c r="H413" i="22"/>
  <c r="H407" i="22"/>
  <c r="H415" i="22"/>
  <c r="H423" i="22"/>
  <c r="H402" i="22"/>
  <c r="H410" i="22"/>
  <c r="H418" i="22"/>
  <c r="H426" i="22"/>
  <c r="M219" i="23"/>
  <c r="M423" i="23"/>
  <c r="M305" i="23"/>
  <c r="M405" i="23"/>
  <c r="M303" i="23"/>
  <c r="M408" i="23"/>
  <c r="M319" i="23"/>
  <c r="M415" i="23"/>
  <c r="M376" i="23"/>
  <c r="M428" i="23"/>
  <c r="M318" i="23"/>
  <c r="M421" i="23"/>
  <c r="H385" i="22"/>
  <c r="H393" i="22"/>
  <c r="H388" i="22"/>
  <c r="H396" i="22"/>
  <c r="H391" i="22"/>
  <c r="H386" i="22"/>
  <c r="H394" i="22"/>
  <c r="H392" i="22"/>
  <c r="H389" i="22"/>
  <c r="H397" i="22"/>
  <c r="H387" i="22"/>
  <c r="H395" i="22"/>
  <c r="H390" i="22"/>
  <c r="H398" i="22"/>
  <c r="M316" i="23"/>
  <c r="M382" i="23"/>
  <c r="M315" i="23"/>
  <c r="M377" i="23"/>
  <c r="M337" i="23"/>
  <c r="M371" i="23"/>
  <c r="M370" i="23"/>
  <c r="M380" i="23"/>
  <c r="H371" i="22"/>
  <c r="H379" i="22"/>
  <c r="H383" i="22"/>
  <c r="H374" i="22"/>
  <c r="H382" i="22"/>
  <c r="H384" i="22"/>
  <c r="H377" i="22"/>
  <c r="H375" i="22"/>
  <c r="H372" i="22"/>
  <c r="H380" i="22"/>
  <c r="H376" i="22"/>
  <c r="H378" i="22"/>
  <c r="H373" i="22"/>
  <c r="H381" i="22"/>
  <c r="I366" i="23"/>
  <c r="J366" i="23" s="1"/>
  <c r="K366" i="23" s="1"/>
  <c r="L366" i="23" s="1"/>
  <c r="I374" i="23"/>
  <c r="J374" i="23" s="1"/>
  <c r="K374" i="23" s="1"/>
  <c r="L374" i="23" s="1"/>
  <c r="I382" i="23"/>
  <c r="J382" i="23" s="1"/>
  <c r="K382" i="23" s="1"/>
  <c r="L382" i="23" s="1"/>
  <c r="I348" i="23"/>
  <c r="J348" i="23" s="1"/>
  <c r="K348" i="23" s="1"/>
  <c r="L348" i="23" s="1"/>
  <c r="I337" i="23"/>
  <c r="J337" i="23" s="1"/>
  <c r="K337" i="23" s="1"/>
  <c r="L337" i="23" s="1"/>
  <c r="I321" i="23"/>
  <c r="J321" i="23" s="1"/>
  <c r="K321" i="23" s="1"/>
  <c r="L321" i="23" s="1"/>
  <c r="I326" i="23"/>
  <c r="J326" i="23" s="1"/>
  <c r="K326" i="23" s="1"/>
  <c r="L326" i="23" s="1"/>
  <c r="I331" i="23"/>
  <c r="J331" i="23" s="1"/>
  <c r="K331" i="23" s="1"/>
  <c r="L331" i="23" s="1"/>
  <c r="I295" i="23"/>
  <c r="J295" i="23" s="1"/>
  <c r="K295" i="23" s="1"/>
  <c r="L295" i="23" s="1"/>
  <c r="I302" i="23"/>
  <c r="J302" i="23" s="1"/>
  <c r="K302" i="23" s="1"/>
  <c r="L302" i="23" s="1"/>
  <c r="I304" i="23"/>
  <c r="J304" i="23" s="1"/>
  <c r="K304" i="23" s="1"/>
  <c r="L304" i="23" s="1"/>
  <c r="I313" i="23"/>
  <c r="J313" i="23" s="1"/>
  <c r="K313" i="23" s="1"/>
  <c r="L313" i="23" s="1"/>
  <c r="I315" i="23"/>
  <c r="J315" i="23" s="1"/>
  <c r="K315" i="23" s="1"/>
  <c r="L315" i="23" s="1"/>
  <c r="I317" i="23"/>
  <c r="J317" i="23" s="1"/>
  <c r="K317" i="23" s="1"/>
  <c r="L317" i="23" s="1"/>
  <c r="I294" i="23"/>
  <c r="J294" i="23" s="1"/>
  <c r="K294" i="23" s="1"/>
  <c r="L294" i="23" s="1"/>
  <c r="I277" i="23"/>
  <c r="J277" i="23" s="1"/>
  <c r="K277" i="23" s="1"/>
  <c r="L277" i="23" s="1"/>
  <c r="I285" i="23"/>
  <c r="J285" i="23" s="1"/>
  <c r="K285" i="23" s="1"/>
  <c r="L285" i="23" s="1"/>
  <c r="I287" i="23"/>
  <c r="J287" i="23" s="1"/>
  <c r="K287" i="23" s="1"/>
  <c r="L287" i="23" s="1"/>
  <c r="I263" i="23"/>
  <c r="J263" i="23" s="1"/>
  <c r="K263" i="23" s="1"/>
  <c r="L263" i="23" s="1"/>
  <c r="I251" i="23"/>
  <c r="J251" i="23" s="1"/>
  <c r="K251" i="23" s="1"/>
  <c r="L251" i="23" s="1"/>
  <c r="I235" i="23"/>
  <c r="J235" i="23" s="1"/>
  <c r="K235" i="23" s="1"/>
  <c r="L235" i="23" s="1"/>
  <c r="I244" i="23"/>
  <c r="J244" i="23" s="1"/>
  <c r="K244" i="23" s="1"/>
  <c r="L244" i="23" s="1"/>
  <c r="I220" i="23"/>
  <c r="J220" i="23" s="1"/>
  <c r="K220" i="23" s="1"/>
  <c r="L220" i="23" s="1"/>
  <c r="I227" i="23"/>
  <c r="J227" i="23" s="1"/>
  <c r="K227" i="23" s="1"/>
  <c r="L227" i="23" s="1"/>
  <c r="I218" i="23"/>
  <c r="J218" i="23" s="1"/>
  <c r="K218" i="23" s="1"/>
  <c r="L218" i="23" s="1"/>
  <c r="I216" i="23"/>
  <c r="J216" i="23" s="1"/>
  <c r="K216" i="23" s="1"/>
  <c r="L216" i="23" s="1"/>
  <c r="I214" i="23"/>
  <c r="J214" i="23" s="1"/>
  <c r="K214" i="23" s="1"/>
  <c r="L214" i="23" s="1"/>
  <c r="I212" i="23"/>
  <c r="J212" i="23" s="1"/>
  <c r="K212" i="23" s="1"/>
  <c r="L212" i="23" s="1"/>
  <c r="I210" i="23"/>
  <c r="J210" i="23" s="1"/>
  <c r="K210" i="23" s="1"/>
  <c r="L210" i="23" s="1"/>
  <c r="I371" i="23"/>
  <c r="J371" i="23" s="1"/>
  <c r="K371" i="23" s="1"/>
  <c r="L371" i="23" s="1"/>
  <c r="I379" i="23"/>
  <c r="J379" i="23" s="1"/>
  <c r="K379" i="23" s="1"/>
  <c r="L379" i="23" s="1"/>
  <c r="I343" i="23"/>
  <c r="J343" i="23" s="1"/>
  <c r="K343" i="23" s="1"/>
  <c r="L343" i="23" s="1"/>
  <c r="I350" i="23"/>
  <c r="J350" i="23" s="1"/>
  <c r="K350" i="23" s="1"/>
  <c r="L350" i="23" s="1"/>
  <c r="I357" i="23"/>
  <c r="J357" i="23" s="1"/>
  <c r="K357" i="23" s="1"/>
  <c r="L357" i="23" s="1"/>
  <c r="I362" i="23"/>
  <c r="J362" i="23" s="1"/>
  <c r="K362" i="23" s="1"/>
  <c r="L362" i="23" s="1"/>
  <c r="I339" i="23"/>
  <c r="J339" i="23" s="1"/>
  <c r="K339" i="23" s="1"/>
  <c r="L339" i="23" s="1"/>
  <c r="I333" i="23"/>
  <c r="J333" i="23" s="1"/>
  <c r="K333" i="23" s="1"/>
  <c r="L333" i="23" s="1"/>
  <c r="I297" i="23"/>
  <c r="J297" i="23" s="1"/>
  <c r="K297" i="23" s="1"/>
  <c r="L297" i="23" s="1"/>
  <c r="I306" i="23"/>
  <c r="J306" i="23" s="1"/>
  <c r="K306" i="23" s="1"/>
  <c r="L306" i="23" s="1"/>
  <c r="I268" i="23"/>
  <c r="J268" i="23" s="1"/>
  <c r="K268" i="23" s="1"/>
  <c r="L268" i="23" s="1"/>
  <c r="I270" i="23"/>
  <c r="J270" i="23" s="1"/>
  <c r="K270" i="23" s="1"/>
  <c r="L270" i="23" s="1"/>
  <c r="I282" i="23"/>
  <c r="J282" i="23" s="1"/>
  <c r="K282" i="23" s="1"/>
  <c r="L282" i="23" s="1"/>
  <c r="I289" i="23"/>
  <c r="J289" i="23" s="1"/>
  <c r="K289" i="23" s="1"/>
  <c r="L289" i="23" s="1"/>
  <c r="I291" i="23"/>
  <c r="J291" i="23" s="1"/>
  <c r="K291" i="23" s="1"/>
  <c r="L291" i="23" s="1"/>
  <c r="I293" i="23"/>
  <c r="J293" i="23" s="1"/>
  <c r="K293" i="23" s="1"/>
  <c r="L293" i="23" s="1"/>
  <c r="I261" i="23"/>
  <c r="J261" i="23" s="1"/>
  <c r="K261" i="23" s="1"/>
  <c r="L261" i="23" s="1"/>
  <c r="I230" i="23"/>
  <c r="J230" i="23" s="1"/>
  <c r="K230" i="23" s="1"/>
  <c r="L230" i="23" s="1"/>
  <c r="I237" i="23"/>
  <c r="J237" i="23" s="1"/>
  <c r="K237" i="23" s="1"/>
  <c r="L237" i="23" s="1"/>
  <c r="I222" i="23"/>
  <c r="J222" i="23" s="1"/>
  <c r="K222" i="23" s="1"/>
  <c r="L222" i="23" s="1"/>
  <c r="I208" i="23"/>
  <c r="J208" i="23" s="1"/>
  <c r="K208" i="23" s="1"/>
  <c r="L208" i="23" s="1"/>
  <c r="I345" i="23"/>
  <c r="J345" i="23" s="1"/>
  <c r="K345" i="23" s="1"/>
  <c r="L345" i="23" s="1"/>
  <c r="I359" i="23"/>
  <c r="J359" i="23" s="1"/>
  <c r="K359" i="23" s="1"/>
  <c r="L359" i="23" s="1"/>
  <c r="I328" i="23"/>
  <c r="J328" i="23" s="1"/>
  <c r="K328" i="23" s="1"/>
  <c r="L328" i="23" s="1"/>
  <c r="I308" i="23"/>
  <c r="J308" i="23" s="1"/>
  <c r="K308" i="23" s="1"/>
  <c r="L308" i="23" s="1"/>
  <c r="I279" i="23"/>
  <c r="J279" i="23" s="1"/>
  <c r="K279" i="23" s="1"/>
  <c r="L279" i="23" s="1"/>
  <c r="I256" i="23"/>
  <c r="J256" i="23" s="1"/>
  <c r="K256" i="23" s="1"/>
  <c r="L256" i="23" s="1"/>
  <c r="I368" i="23"/>
  <c r="J368" i="23" s="1"/>
  <c r="K368" i="23" s="1"/>
  <c r="L368" i="23" s="1"/>
  <c r="I376" i="23"/>
  <c r="J376" i="23" s="1"/>
  <c r="K376" i="23" s="1"/>
  <c r="L376" i="23" s="1"/>
  <c r="I352" i="23"/>
  <c r="J352" i="23" s="1"/>
  <c r="K352" i="23" s="1"/>
  <c r="L352" i="23" s="1"/>
  <c r="I323" i="23"/>
  <c r="J323" i="23" s="1"/>
  <c r="K323" i="23" s="1"/>
  <c r="L323" i="23" s="1"/>
  <c r="I335" i="23"/>
  <c r="J335" i="23" s="1"/>
  <c r="K335" i="23" s="1"/>
  <c r="L335" i="23" s="1"/>
  <c r="I310" i="23"/>
  <c r="J310" i="23" s="1"/>
  <c r="K310" i="23" s="1"/>
  <c r="L310" i="23" s="1"/>
  <c r="I272" i="23"/>
  <c r="J272" i="23" s="1"/>
  <c r="K272" i="23" s="1"/>
  <c r="L272" i="23" s="1"/>
  <c r="I259" i="23"/>
  <c r="J259" i="23" s="1"/>
  <c r="K259" i="23" s="1"/>
  <c r="L259" i="23" s="1"/>
  <c r="I253" i="23"/>
  <c r="J253" i="23" s="1"/>
  <c r="K253" i="23" s="1"/>
  <c r="L253" i="23" s="1"/>
  <c r="I232" i="23"/>
  <c r="J232" i="23" s="1"/>
  <c r="K232" i="23" s="1"/>
  <c r="L232" i="23" s="1"/>
  <c r="I239" i="23"/>
  <c r="J239" i="23" s="1"/>
  <c r="K239" i="23" s="1"/>
  <c r="L239" i="23" s="1"/>
  <c r="I246" i="23"/>
  <c r="J246" i="23" s="1"/>
  <c r="K246" i="23" s="1"/>
  <c r="L246" i="23" s="1"/>
  <c r="I224" i="23"/>
  <c r="J224" i="23" s="1"/>
  <c r="K224" i="23" s="1"/>
  <c r="L224" i="23" s="1"/>
  <c r="I206" i="23"/>
  <c r="J206" i="23" s="1"/>
  <c r="K206" i="23" s="1"/>
  <c r="L206" i="23" s="1"/>
  <c r="I200" i="23"/>
  <c r="J200" i="23" s="1"/>
  <c r="K200" i="23" s="1"/>
  <c r="L200" i="23" s="1"/>
  <c r="I381" i="23"/>
  <c r="J381" i="23" s="1"/>
  <c r="K381" i="23" s="1"/>
  <c r="L381" i="23" s="1"/>
  <c r="I347" i="23"/>
  <c r="J347" i="23" s="1"/>
  <c r="K347" i="23" s="1"/>
  <c r="L347" i="23" s="1"/>
  <c r="I319" i="23"/>
  <c r="J319" i="23" s="1"/>
  <c r="K319" i="23" s="1"/>
  <c r="L319" i="23" s="1"/>
  <c r="I276" i="23"/>
  <c r="J276" i="23" s="1"/>
  <c r="K276" i="23" s="1"/>
  <c r="L276" i="23" s="1"/>
  <c r="I284" i="23"/>
  <c r="J284" i="23" s="1"/>
  <c r="K284" i="23" s="1"/>
  <c r="L284" i="23" s="1"/>
  <c r="I252" i="23"/>
  <c r="J252" i="23" s="1"/>
  <c r="K252" i="23" s="1"/>
  <c r="L252" i="23" s="1"/>
  <c r="I234" i="23"/>
  <c r="J234" i="23" s="1"/>
  <c r="K234" i="23" s="1"/>
  <c r="L234" i="23" s="1"/>
  <c r="I226" i="23"/>
  <c r="J226" i="23" s="1"/>
  <c r="K226" i="23" s="1"/>
  <c r="L226" i="23" s="1"/>
  <c r="I194" i="23"/>
  <c r="J194" i="23" s="1"/>
  <c r="K194" i="23" s="1"/>
  <c r="L194" i="23" s="1"/>
  <c r="I378" i="23"/>
  <c r="J378" i="23" s="1"/>
  <c r="K378" i="23" s="1"/>
  <c r="L378" i="23" s="1"/>
  <c r="I209" i="23"/>
  <c r="J209" i="23" s="1"/>
  <c r="K209" i="23" s="1"/>
  <c r="L209" i="23" s="1"/>
  <c r="I217" i="23"/>
  <c r="J217" i="23" s="1"/>
  <c r="K217" i="23" s="1"/>
  <c r="L217" i="23" s="1"/>
  <c r="I367" i="23"/>
  <c r="J367" i="23" s="1"/>
  <c r="K367" i="23" s="1"/>
  <c r="L367" i="23" s="1"/>
  <c r="I375" i="23"/>
  <c r="J375" i="23" s="1"/>
  <c r="K375" i="23" s="1"/>
  <c r="L375" i="23" s="1"/>
  <c r="I351" i="23"/>
  <c r="J351" i="23" s="1"/>
  <c r="K351" i="23" s="1"/>
  <c r="L351" i="23" s="1"/>
  <c r="I358" i="23"/>
  <c r="J358" i="23" s="1"/>
  <c r="K358" i="23" s="1"/>
  <c r="L358" i="23" s="1"/>
  <c r="I322" i="23"/>
  <c r="J322" i="23" s="1"/>
  <c r="K322" i="23" s="1"/>
  <c r="L322" i="23" s="1"/>
  <c r="I327" i="23"/>
  <c r="J327" i="23" s="1"/>
  <c r="K327" i="23" s="1"/>
  <c r="L327" i="23" s="1"/>
  <c r="I296" i="23"/>
  <c r="J296" i="23" s="1"/>
  <c r="K296" i="23" s="1"/>
  <c r="L296" i="23" s="1"/>
  <c r="I305" i="23"/>
  <c r="J305" i="23" s="1"/>
  <c r="K305" i="23" s="1"/>
  <c r="L305" i="23" s="1"/>
  <c r="I267" i="23"/>
  <c r="J267" i="23" s="1"/>
  <c r="K267" i="23" s="1"/>
  <c r="L267" i="23" s="1"/>
  <c r="I269" i="23"/>
  <c r="J269" i="23" s="1"/>
  <c r="K269" i="23" s="1"/>
  <c r="L269" i="23" s="1"/>
  <c r="I278" i="23"/>
  <c r="J278" i="23" s="1"/>
  <c r="K278" i="23" s="1"/>
  <c r="L278" i="23" s="1"/>
  <c r="I288" i="23"/>
  <c r="J288" i="23" s="1"/>
  <c r="K288" i="23" s="1"/>
  <c r="L288" i="23" s="1"/>
  <c r="I290" i="23"/>
  <c r="J290" i="23" s="1"/>
  <c r="K290" i="23" s="1"/>
  <c r="L290" i="23" s="1"/>
  <c r="I292" i="23"/>
  <c r="J292" i="23" s="1"/>
  <c r="K292" i="23" s="1"/>
  <c r="L292" i="23" s="1"/>
  <c r="I229" i="23"/>
  <c r="J229" i="23" s="1"/>
  <c r="K229" i="23" s="1"/>
  <c r="L229" i="23" s="1"/>
  <c r="I238" i="23"/>
  <c r="J238" i="23" s="1"/>
  <c r="K238" i="23" s="1"/>
  <c r="L238" i="23" s="1"/>
  <c r="I245" i="23"/>
  <c r="J245" i="23" s="1"/>
  <c r="K245" i="23" s="1"/>
  <c r="L245" i="23" s="1"/>
  <c r="I223" i="23"/>
  <c r="J223" i="23" s="1"/>
  <c r="K223" i="23" s="1"/>
  <c r="L223" i="23" s="1"/>
  <c r="I207" i="23"/>
  <c r="J207" i="23" s="1"/>
  <c r="K207" i="23" s="1"/>
  <c r="L207" i="23" s="1"/>
  <c r="I201" i="23"/>
  <c r="J201" i="23" s="1"/>
  <c r="K201" i="23" s="1"/>
  <c r="L201" i="23" s="1"/>
  <c r="I197" i="23"/>
  <c r="J197" i="23" s="1"/>
  <c r="K197" i="23" s="1"/>
  <c r="L197" i="23" s="1"/>
  <c r="I258" i="23"/>
  <c r="J258" i="23" s="1"/>
  <c r="K258" i="23" s="1"/>
  <c r="L258" i="23" s="1"/>
  <c r="I242" i="23"/>
  <c r="J242" i="23" s="1"/>
  <c r="K242" i="23" s="1"/>
  <c r="L242" i="23" s="1"/>
  <c r="I249" i="23"/>
  <c r="J249" i="23" s="1"/>
  <c r="K249" i="23" s="1"/>
  <c r="L249" i="23" s="1"/>
  <c r="I202" i="23"/>
  <c r="J202" i="23" s="1"/>
  <c r="K202" i="23" s="1"/>
  <c r="L202" i="23" s="1"/>
  <c r="I196" i="23"/>
  <c r="J196" i="23" s="1"/>
  <c r="K196" i="23" s="1"/>
  <c r="L196" i="23" s="1"/>
  <c r="I373" i="23"/>
  <c r="J373" i="23" s="1"/>
  <c r="K373" i="23" s="1"/>
  <c r="L373" i="23" s="1"/>
  <c r="I364" i="23"/>
  <c r="J364" i="23" s="1"/>
  <c r="K364" i="23" s="1"/>
  <c r="L364" i="23" s="1"/>
  <c r="I325" i="23"/>
  <c r="J325" i="23" s="1"/>
  <c r="K325" i="23" s="1"/>
  <c r="L325" i="23" s="1"/>
  <c r="I299" i="23"/>
  <c r="J299" i="23" s="1"/>
  <c r="K299" i="23" s="1"/>
  <c r="L299" i="23" s="1"/>
  <c r="I211" i="23"/>
  <c r="J211" i="23" s="1"/>
  <c r="K211" i="23" s="1"/>
  <c r="L211" i="23" s="1"/>
  <c r="I383" i="23"/>
  <c r="J383" i="23" s="1"/>
  <c r="K383" i="23" s="1"/>
  <c r="L383" i="23" s="1"/>
  <c r="I372" i="23"/>
  <c r="J372" i="23" s="1"/>
  <c r="K372" i="23" s="1"/>
  <c r="L372" i="23" s="1"/>
  <c r="I380" i="23"/>
  <c r="J380" i="23" s="1"/>
  <c r="K380" i="23" s="1"/>
  <c r="L380" i="23" s="1"/>
  <c r="I344" i="23"/>
  <c r="J344" i="23" s="1"/>
  <c r="K344" i="23" s="1"/>
  <c r="L344" i="23" s="1"/>
  <c r="I353" i="23"/>
  <c r="J353" i="23" s="1"/>
  <c r="K353" i="23" s="1"/>
  <c r="L353" i="23" s="1"/>
  <c r="I363" i="23"/>
  <c r="J363" i="23" s="1"/>
  <c r="K363" i="23" s="1"/>
  <c r="L363" i="23" s="1"/>
  <c r="I340" i="23"/>
  <c r="J340" i="23" s="1"/>
  <c r="K340" i="23" s="1"/>
  <c r="L340" i="23" s="1"/>
  <c r="I324" i="23"/>
  <c r="J324" i="23" s="1"/>
  <c r="K324" i="23" s="1"/>
  <c r="L324" i="23" s="1"/>
  <c r="I334" i="23"/>
  <c r="J334" i="23" s="1"/>
  <c r="K334" i="23" s="1"/>
  <c r="L334" i="23" s="1"/>
  <c r="I298" i="23"/>
  <c r="J298" i="23" s="1"/>
  <c r="K298" i="23" s="1"/>
  <c r="L298" i="23" s="1"/>
  <c r="I307" i="23"/>
  <c r="J307" i="23" s="1"/>
  <c r="K307" i="23" s="1"/>
  <c r="L307" i="23" s="1"/>
  <c r="I309" i="23"/>
  <c r="J309" i="23" s="1"/>
  <c r="K309" i="23" s="1"/>
  <c r="L309" i="23" s="1"/>
  <c r="I271" i="23"/>
  <c r="J271" i="23" s="1"/>
  <c r="K271" i="23" s="1"/>
  <c r="L271" i="23" s="1"/>
  <c r="I283" i="23"/>
  <c r="J283" i="23" s="1"/>
  <c r="K283" i="23" s="1"/>
  <c r="L283" i="23" s="1"/>
  <c r="I266" i="23"/>
  <c r="J266" i="23" s="1"/>
  <c r="K266" i="23" s="1"/>
  <c r="L266" i="23" s="1"/>
  <c r="I265" i="23"/>
  <c r="J265" i="23" s="1"/>
  <c r="K265" i="23" s="1"/>
  <c r="L265" i="23" s="1"/>
  <c r="I260" i="23"/>
  <c r="J260" i="23" s="1"/>
  <c r="K260" i="23" s="1"/>
  <c r="L260" i="23" s="1"/>
  <c r="I257" i="23"/>
  <c r="J257" i="23" s="1"/>
  <c r="K257" i="23" s="1"/>
  <c r="L257" i="23" s="1"/>
  <c r="I254" i="23"/>
  <c r="J254" i="23" s="1"/>
  <c r="K254" i="23" s="1"/>
  <c r="L254" i="23" s="1"/>
  <c r="I231" i="23"/>
  <c r="J231" i="23" s="1"/>
  <c r="K231" i="23" s="1"/>
  <c r="L231" i="23" s="1"/>
  <c r="I240" i="23"/>
  <c r="J240" i="23" s="1"/>
  <c r="K240" i="23" s="1"/>
  <c r="L240" i="23" s="1"/>
  <c r="I225" i="23"/>
  <c r="J225" i="23" s="1"/>
  <c r="K225" i="23" s="1"/>
  <c r="L225" i="23" s="1"/>
  <c r="I205" i="23"/>
  <c r="J205" i="23" s="1"/>
  <c r="K205" i="23" s="1"/>
  <c r="L205" i="23" s="1"/>
  <c r="I203" i="23"/>
  <c r="J203" i="23" s="1"/>
  <c r="K203" i="23" s="1"/>
  <c r="L203" i="23" s="1"/>
  <c r="I199" i="23"/>
  <c r="J199" i="23" s="1"/>
  <c r="K199" i="23" s="1"/>
  <c r="L199" i="23" s="1"/>
  <c r="I195" i="23"/>
  <c r="J195" i="23" s="1"/>
  <c r="K195" i="23" s="1"/>
  <c r="L195" i="23" s="1"/>
  <c r="I369" i="23"/>
  <c r="J369" i="23" s="1"/>
  <c r="K369" i="23" s="1"/>
  <c r="L369" i="23" s="1"/>
  <c r="I377" i="23"/>
  <c r="J377" i="23" s="1"/>
  <c r="K377" i="23" s="1"/>
  <c r="L377" i="23" s="1"/>
  <c r="I346" i="23"/>
  <c r="J346" i="23" s="1"/>
  <c r="K346" i="23" s="1"/>
  <c r="L346" i="23" s="1"/>
  <c r="I355" i="23"/>
  <c r="J355" i="23" s="1"/>
  <c r="K355" i="23" s="1"/>
  <c r="L355" i="23" s="1"/>
  <c r="I360" i="23"/>
  <c r="J360" i="23" s="1"/>
  <c r="K360" i="23" s="1"/>
  <c r="L360" i="23" s="1"/>
  <c r="I329" i="23"/>
  <c r="J329" i="23" s="1"/>
  <c r="K329" i="23" s="1"/>
  <c r="L329" i="23" s="1"/>
  <c r="I336" i="23"/>
  <c r="J336" i="23" s="1"/>
  <c r="K336" i="23" s="1"/>
  <c r="L336" i="23" s="1"/>
  <c r="I320" i="23"/>
  <c r="J320" i="23" s="1"/>
  <c r="K320" i="23" s="1"/>
  <c r="L320" i="23" s="1"/>
  <c r="I300" i="23"/>
  <c r="J300" i="23" s="1"/>
  <c r="K300" i="23" s="1"/>
  <c r="L300" i="23" s="1"/>
  <c r="I311" i="23"/>
  <c r="J311" i="23" s="1"/>
  <c r="K311" i="23" s="1"/>
  <c r="L311" i="23" s="1"/>
  <c r="I273" i="23"/>
  <c r="J273" i="23" s="1"/>
  <c r="K273" i="23" s="1"/>
  <c r="L273" i="23" s="1"/>
  <c r="I275" i="23"/>
  <c r="J275" i="23" s="1"/>
  <c r="K275" i="23" s="1"/>
  <c r="L275" i="23" s="1"/>
  <c r="I280" i="23"/>
  <c r="J280" i="23" s="1"/>
  <c r="K280" i="23" s="1"/>
  <c r="L280" i="23" s="1"/>
  <c r="I233" i="23"/>
  <c r="J233" i="23" s="1"/>
  <c r="K233" i="23" s="1"/>
  <c r="L233" i="23" s="1"/>
  <c r="I247" i="23"/>
  <c r="J247" i="23" s="1"/>
  <c r="K247" i="23" s="1"/>
  <c r="L247" i="23" s="1"/>
  <c r="I204" i="23"/>
  <c r="J204" i="23" s="1"/>
  <c r="K204" i="23" s="1"/>
  <c r="L204" i="23" s="1"/>
  <c r="I198" i="23"/>
  <c r="J198" i="23" s="1"/>
  <c r="K198" i="23" s="1"/>
  <c r="L198" i="23" s="1"/>
  <c r="I365" i="23"/>
  <c r="J365" i="23" s="1"/>
  <c r="K365" i="23" s="1"/>
  <c r="L365" i="23" s="1"/>
  <c r="I354" i="23"/>
  <c r="J354" i="23" s="1"/>
  <c r="K354" i="23" s="1"/>
  <c r="L354" i="23" s="1"/>
  <c r="I341" i="23"/>
  <c r="J341" i="23" s="1"/>
  <c r="K341" i="23" s="1"/>
  <c r="L341" i="23" s="1"/>
  <c r="I274" i="23"/>
  <c r="J274" i="23" s="1"/>
  <c r="I264" i="23"/>
  <c r="J264" i="23" s="1"/>
  <c r="K264" i="23" s="1"/>
  <c r="L264" i="23" s="1"/>
  <c r="I255" i="23"/>
  <c r="J255" i="23" s="1"/>
  <c r="K255" i="23" s="1"/>
  <c r="L255" i="23" s="1"/>
  <c r="I241" i="23"/>
  <c r="J241" i="23" s="1"/>
  <c r="K241" i="23" s="1"/>
  <c r="L241" i="23" s="1"/>
  <c r="I248" i="23"/>
  <c r="J248" i="23" s="1"/>
  <c r="K248" i="23" s="1"/>
  <c r="L248" i="23" s="1"/>
  <c r="I370" i="23"/>
  <c r="J370" i="23" s="1"/>
  <c r="K370" i="23" s="1"/>
  <c r="L370" i="23" s="1"/>
  <c r="I342" i="23"/>
  <c r="J342" i="23" s="1"/>
  <c r="K342" i="23" s="1"/>
  <c r="L342" i="23" s="1"/>
  <c r="I349" i="23"/>
  <c r="J349" i="23" s="1"/>
  <c r="K349" i="23" s="1"/>
  <c r="L349" i="23" s="1"/>
  <c r="I356" i="23"/>
  <c r="J356" i="23" s="1"/>
  <c r="K356" i="23" s="1"/>
  <c r="L356" i="23" s="1"/>
  <c r="I361" i="23"/>
  <c r="J361" i="23" s="1"/>
  <c r="K361" i="23" s="1"/>
  <c r="L361" i="23" s="1"/>
  <c r="I338" i="23"/>
  <c r="J338" i="23" s="1"/>
  <c r="K338" i="23" s="1"/>
  <c r="L338" i="23" s="1"/>
  <c r="I330" i="23"/>
  <c r="J330" i="23" s="1"/>
  <c r="K330" i="23" s="1"/>
  <c r="L330" i="23" s="1"/>
  <c r="I332" i="23"/>
  <c r="J332" i="23" s="1"/>
  <c r="K332" i="23" s="1"/>
  <c r="L332" i="23" s="1"/>
  <c r="I301" i="23"/>
  <c r="J301" i="23" s="1"/>
  <c r="K301" i="23" s="1"/>
  <c r="L301" i="23" s="1"/>
  <c r="I303" i="23"/>
  <c r="J303" i="23" s="1"/>
  <c r="K303" i="23" s="1"/>
  <c r="L303" i="23" s="1"/>
  <c r="I312" i="23"/>
  <c r="J312" i="23" s="1"/>
  <c r="K312" i="23" s="1"/>
  <c r="L312" i="23" s="1"/>
  <c r="I314" i="23"/>
  <c r="J314" i="23" s="1"/>
  <c r="K314" i="23" s="1"/>
  <c r="L314" i="23" s="1"/>
  <c r="I316" i="23"/>
  <c r="J316" i="23" s="1"/>
  <c r="K316" i="23" s="1"/>
  <c r="L316" i="23" s="1"/>
  <c r="I318" i="23"/>
  <c r="J318" i="23" s="1"/>
  <c r="K318" i="23" s="1"/>
  <c r="L318" i="23" s="1"/>
  <c r="I281" i="23"/>
  <c r="J281" i="23" s="1"/>
  <c r="K281" i="23" s="1"/>
  <c r="L281" i="23" s="1"/>
  <c r="I286" i="23"/>
  <c r="J286" i="23" s="1"/>
  <c r="K286" i="23" s="1"/>
  <c r="L286" i="23" s="1"/>
  <c r="I262" i="23"/>
  <c r="J262" i="23" s="1"/>
  <c r="K262" i="23" s="1"/>
  <c r="L262" i="23" s="1"/>
  <c r="I236" i="23"/>
  <c r="J236" i="23" s="1"/>
  <c r="K236" i="23" s="1"/>
  <c r="L236" i="23" s="1"/>
  <c r="I243" i="23"/>
  <c r="J243" i="23" s="1"/>
  <c r="K243" i="23" s="1"/>
  <c r="L243" i="23" s="1"/>
  <c r="I250" i="23"/>
  <c r="J250" i="23" s="1"/>
  <c r="K250" i="23" s="1"/>
  <c r="L250" i="23" s="1"/>
  <c r="I221" i="23"/>
  <c r="J221" i="23" s="1"/>
  <c r="K221" i="23" s="1"/>
  <c r="L221" i="23" s="1"/>
  <c r="I228" i="23"/>
  <c r="J228" i="23" s="1"/>
  <c r="K228" i="23" s="1"/>
  <c r="L228" i="23" s="1"/>
  <c r="I219" i="23"/>
  <c r="J219" i="23" s="1"/>
  <c r="K219" i="23" s="1"/>
  <c r="L219" i="23" s="1"/>
  <c r="I215" i="23"/>
  <c r="J215" i="23" s="1"/>
  <c r="K215" i="23" s="1"/>
  <c r="L215" i="23" s="1"/>
  <c r="I213" i="23"/>
  <c r="J213" i="23" s="1"/>
  <c r="K213" i="23" s="1"/>
  <c r="L213" i="23" s="1"/>
  <c r="M331" i="23"/>
  <c r="M348" i="23"/>
  <c r="M313" i="23"/>
  <c r="M354" i="23"/>
  <c r="H365" i="22"/>
  <c r="H368" i="22"/>
  <c r="H366" i="22"/>
  <c r="H369" i="22"/>
  <c r="H367" i="22"/>
  <c r="H370" i="22"/>
  <c r="M269" i="23"/>
  <c r="M323" i="23"/>
  <c r="H352" i="22"/>
  <c r="H360" i="22"/>
  <c r="H359" i="22"/>
  <c r="H355" i="22"/>
  <c r="H363" i="22"/>
  <c r="H362" i="22"/>
  <c r="H358" i="22"/>
  <c r="H356" i="22"/>
  <c r="H364" i="22"/>
  <c r="H357" i="22"/>
  <c r="H353" i="22"/>
  <c r="H361" i="22"/>
  <c r="H354" i="22"/>
  <c r="H328" i="22"/>
  <c r="H336" i="22"/>
  <c r="H344" i="22"/>
  <c r="H346" i="22"/>
  <c r="H331" i="22"/>
  <c r="H339" i="22"/>
  <c r="H347" i="22"/>
  <c r="H334" i="22"/>
  <c r="H342" i="22"/>
  <c r="H350" i="22"/>
  <c r="H329" i="22"/>
  <c r="H337" i="22"/>
  <c r="H345" i="22"/>
  <c r="H330" i="22"/>
  <c r="H332" i="22"/>
  <c r="H340" i="22"/>
  <c r="H348" i="22"/>
  <c r="H335" i="22"/>
  <c r="H343" i="22"/>
  <c r="H351" i="22"/>
  <c r="H333" i="22"/>
  <c r="H341" i="22"/>
  <c r="H349" i="22"/>
  <c r="H338" i="22"/>
  <c r="M243" i="23"/>
  <c r="M317" i="23"/>
  <c r="M271" i="23"/>
  <c r="M314" i="23"/>
  <c r="M301" i="23"/>
  <c r="M292" i="23"/>
  <c r="H313" i="22"/>
  <c r="H321" i="22"/>
  <c r="H320" i="22"/>
  <c r="H323" i="22"/>
  <c r="H326" i="22"/>
  <c r="H316" i="22"/>
  <c r="H324" i="22"/>
  <c r="H315" i="22"/>
  <c r="H319" i="22"/>
  <c r="H327" i="22"/>
  <c r="H314" i="22"/>
  <c r="H322" i="22"/>
  <c r="H318" i="22"/>
  <c r="H317" i="22"/>
  <c r="H325" i="22"/>
  <c r="M267" i="23"/>
  <c r="M291" i="23"/>
  <c r="H304" i="22"/>
  <c r="H312" i="22"/>
  <c r="H305" i="22"/>
  <c r="H307" i="22"/>
  <c r="H310" i="22"/>
  <c r="H311" i="22"/>
  <c r="H308" i="22"/>
  <c r="H306" i="22"/>
  <c r="H309" i="22"/>
  <c r="H287" i="22"/>
  <c r="H295" i="22"/>
  <c r="H303" i="22"/>
  <c r="H302" i="22"/>
  <c r="H290" i="22"/>
  <c r="H298" i="22"/>
  <c r="H291" i="22"/>
  <c r="H294" i="22"/>
  <c r="H293" i="22"/>
  <c r="H301" i="22"/>
  <c r="H299" i="22"/>
  <c r="H288" i="22"/>
  <c r="H296" i="22"/>
  <c r="H289" i="22"/>
  <c r="H297" i="22"/>
  <c r="H300" i="22"/>
  <c r="H292" i="22"/>
  <c r="M250" i="23"/>
  <c r="M265" i="23"/>
  <c r="M241" i="23"/>
  <c r="M274" i="23"/>
  <c r="M237" i="23"/>
  <c r="M289" i="23"/>
  <c r="M224" i="23"/>
  <c r="M262" i="23"/>
  <c r="H278" i="22"/>
  <c r="H286" i="22"/>
  <c r="H281" i="22"/>
  <c r="H276" i="22"/>
  <c r="H284" i="22"/>
  <c r="H283" i="22"/>
  <c r="H279" i="22"/>
  <c r="H277" i="22"/>
  <c r="H282" i="22"/>
  <c r="H285" i="22"/>
  <c r="H280" i="22"/>
  <c r="H275" i="22"/>
  <c r="M252" i="23"/>
  <c r="M257" i="23"/>
  <c r="H262" i="22"/>
  <c r="H270" i="22"/>
  <c r="H267" i="22"/>
  <c r="H265" i="22"/>
  <c r="H273" i="22"/>
  <c r="H268" i="22"/>
  <c r="H263" i="22"/>
  <c r="H271" i="22"/>
  <c r="H266" i="22"/>
  <c r="H274" i="22"/>
  <c r="H272" i="22"/>
  <c r="H269" i="22"/>
  <c r="H264" i="22"/>
  <c r="M220" i="23"/>
  <c r="M215" i="23"/>
  <c r="M200" i="23"/>
  <c r="M239" i="23"/>
  <c r="H259" i="22"/>
  <c r="H255" i="22"/>
  <c r="H258" i="22"/>
  <c r="H254" i="22"/>
  <c r="H260" i="22"/>
  <c r="H256" i="22"/>
  <c r="H261" i="22"/>
  <c r="H257" i="22"/>
  <c r="H253" i="22"/>
  <c r="H251" i="22"/>
  <c r="H248" i="22"/>
  <c r="H252" i="22"/>
  <c r="H249" i="22"/>
  <c r="H250" i="22"/>
  <c r="H241" i="22"/>
  <c r="H244" i="22"/>
  <c r="H247" i="22"/>
  <c r="H242" i="22"/>
  <c r="H246" i="22"/>
  <c r="H245" i="22"/>
  <c r="H243" i="22"/>
  <c r="H232" i="22"/>
  <c r="H240" i="22"/>
  <c r="H235" i="22"/>
  <c r="H239" i="22"/>
  <c r="H238" i="22"/>
  <c r="H233" i="22"/>
  <c r="H236" i="22"/>
  <c r="H234" i="22"/>
  <c r="H237" i="22"/>
  <c r="M181" i="23"/>
  <c r="M207" i="23"/>
  <c r="M180" i="23"/>
  <c r="M205" i="23"/>
  <c r="M179" i="23"/>
  <c r="M218" i="23"/>
  <c r="M178" i="23"/>
  <c r="M217" i="23"/>
  <c r="M167" i="23"/>
  <c r="M216" i="23"/>
  <c r="M203" i="23"/>
  <c r="M204" i="23"/>
  <c r="M214" i="23"/>
  <c r="M202" i="23"/>
  <c r="M212" i="23"/>
  <c r="M211" i="23"/>
  <c r="M183" i="23"/>
  <c r="M209" i="23"/>
  <c r="M173" i="23"/>
  <c r="M213" i="23"/>
  <c r="I184" i="23"/>
  <c r="J184" i="23" s="1"/>
  <c r="K184" i="23" s="1"/>
  <c r="L184" i="23" s="1"/>
  <c r="I185" i="23"/>
  <c r="J185" i="23" s="1"/>
  <c r="K185" i="23" s="1"/>
  <c r="L185" i="23" s="1"/>
  <c r="I186" i="23"/>
  <c r="J186" i="23" s="1"/>
  <c r="K186" i="23" s="1"/>
  <c r="L186" i="23" s="1"/>
  <c r="I187" i="23"/>
  <c r="J187" i="23" s="1"/>
  <c r="K187" i="23" s="1"/>
  <c r="L187" i="23" s="1"/>
  <c r="I188" i="23"/>
  <c r="J188" i="23" s="1"/>
  <c r="K188" i="23" s="1"/>
  <c r="L188" i="23" s="1"/>
  <c r="I189" i="23"/>
  <c r="J189" i="23" s="1"/>
  <c r="K189" i="23" s="1"/>
  <c r="L189" i="23" s="1"/>
  <c r="I190" i="23"/>
  <c r="J190" i="23" s="1"/>
  <c r="K190" i="23" s="1"/>
  <c r="L190" i="23" s="1"/>
  <c r="I178" i="23"/>
  <c r="J178" i="23" s="1"/>
  <c r="K178" i="23" s="1"/>
  <c r="L178" i="23" s="1"/>
  <c r="I179" i="23"/>
  <c r="J179" i="23" s="1"/>
  <c r="K179" i="23" s="1"/>
  <c r="L179" i="23" s="1"/>
  <c r="I180" i="23"/>
  <c r="J180" i="23" s="1"/>
  <c r="K180" i="23" s="1"/>
  <c r="L180" i="23" s="1"/>
  <c r="I181" i="23"/>
  <c r="J181" i="23" s="1"/>
  <c r="K181" i="23" s="1"/>
  <c r="L181" i="23" s="1"/>
  <c r="I158" i="23"/>
  <c r="J158" i="23" s="1"/>
  <c r="K158" i="23" s="1"/>
  <c r="L158" i="23" s="1"/>
  <c r="I140" i="23"/>
  <c r="J140" i="23" s="1"/>
  <c r="K140" i="23" s="1"/>
  <c r="L140" i="23" s="1"/>
  <c r="I153" i="23"/>
  <c r="J153" i="23" s="1"/>
  <c r="K153" i="23" s="1"/>
  <c r="L153" i="23" s="1"/>
  <c r="I133" i="23"/>
  <c r="J133" i="23" s="1"/>
  <c r="K133" i="23" s="1"/>
  <c r="L133" i="23" s="1"/>
  <c r="I126" i="23"/>
  <c r="J126" i="23" s="1"/>
  <c r="K126" i="23" s="1"/>
  <c r="L126" i="23" s="1"/>
  <c r="I127" i="23"/>
  <c r="J127" i="23" s="1"/>
  <c r="K127" i="23" s="1"/>
  <c r="L127" i="23" s="1"/>
  <c r="I128" i="23"/>
  <c r="J128" i="23" s="1"/>
  <c r="K128" i="23" s="1"/>
  <c r="L128" i="23" s="1"/>
  <c r="I129" i="23"/>
  <c r="J129" i="23" s="1"/>
  <c r="K129" i="23" s="1"/>
  <c r="L129" i="23" s="1"/>
  <c r="I130" i="23"/>
  <c r="J130" i="23" s="1"/>
  <c r="K130" i="23" s="1"/>
  <c r="L130" i="23" s="1"/>
  <c r="I118" i="23"/>
  <c r="J118" i="23" s="1"/>
  <c r="K118" i="23" s="1"/>
  <c r="L118" i="23" s="1"/>
  <c r="I112" i="23"/>
  <c r="J112" i="23" s="1"/>
  <c r="K112" i="23" s="1"/>
  <c r="L112" i="23" s="1"/>
  <c r="I103" i="23"/>
  <c r="J103" i="23" s="1"/>
  <c r="K103" i="23" s="1"/>
  <c r="L103" i="23" s="1"/>
  <c r="I102" i="23"/>
  <c r="J102" i="23" s="1"/>
  <c r="K102" i="23" s="1"/>
  <c r="L102" i="23" s="1"/>
  <c r="I101" i="23"/>
  <c r="J101" i="23" s="1"/>
  <c r="K101" i="23" s="1"/>
  <c r="L101" i="23" s="1"/>
  <c r="I99" i="23"/>
  <c r="J99" i="23" s="1"/>
  <c r="K99" i="23" s="1"/>
  <c r="L99" i="23" s="1"/>
  <c r="I98" i="23"/>
  <c r="J98" i="23" s="1"/>
  <c r="K98" i="23" s="1"/>
  <c r="L98" i="23" s="1"/>
  <c r="I82" i="23"/>
  <c r="J82" i="23" s="1"/>
  <c r="K82" i="23" s="1"/>
  <c r="L82" i="23" s="1"/>
  <c r="I84" i="23"/>
  <c r="J84" i="23" s="1"/>
  <c r="K84" i="23" s="1"/>
  <c r="L84" i="23" s="1"/>
  <c r="I93" i="23"/>
  <c r="J93" i="23" s="1"/>
  <c r="K93" i="23" s="1"/>
  <c r="L93" i="23" s="1"/>
  <c r="I96" i="23"/>
  <c r="J96" i="23" s="1"/>
  <c r="K96" i="23" s="1"/>
  <c r="L96" i="23" s="1"/>
  <c r="I191" i="23"/>
  <c r="J191" i="23" s="1"/>
  <c r="K191" i="23" s="1"/>
  <c r="L191" i="23" s="1"/>
  <c r="I136" i="23"/>
  <c r="J136" i="23" s="1"/>
  <c r="K136" i="23" s="1"/>
  <c r="L136" i="23" s="1"/>
  <c r="I141" i="23"/>
  <c r="J141" i="23" s="1"/>
  <c r="K141" i="23" s="1"/>
  <c r="L141" i="23" s="1"/>
  <c r="I142" i="23"/>
  <c r="J142" i="23" s="1"/>
  <c r="K142" i="23" s="1"/>
  <c r="L142" i="23" s="1"/>
  <c r="I143" i="23"/>
  <c r="J143" i="23" s="1"/>
  <c r="K143" i="23" s="1"/>
  <c r="L143" i="23" s="1"/>
  <c r="I144" i="23"/>
  <c r="J144" i="23" s="1"/>
  <c r="K144" i="23" s="1"/>
  <c r="L144" i="23" s="1"/>
  <c r="I145" i="23"/>
  <c r="J145" i="23" s="1"/>
  <c r="K145" i="23" s="1"/>
  <c r="L145" i="23" s="1"/>
  <c r="I146" i="23"/>
  <c r="J146" i="23" s="1"/>
  <c r="K146" i="23" s="1"/>
  <c r="L146" i="23" s="1"/>
  <c r="I147" i="23"/>
  <c r="J147" i="23" s="1"/>
  <c r="K147" i="23" s="1"/>
  <c r="L147" i="23" s="1"/>
  <c r="I148" i="23"/>
  <c r="J148" i="23" s="1"/>
  <c r="K148" i="23" s="1"/>
  <c r="L148" i="23" s="1"/>
  <c r="I149" i="23"/>
  <c r="J149" i="23" s="1"/>
  <c r="K149" i="23" s="1"/>
  <c r="L149" i="23" s="1"/>
  <c r="I150" i="23"/>
  <c r="J150" i="23" s="1"/>
  <c r="K150" i="23" s="1"/>
  <c r="L150" i="23" s="1"/>
  <c r="I154" i="23"/>
  <c r="J154" i="23" s="1"/>
  <c r="K154" i="23" s="1"/>
  <c r="L154" i="23" s="1"/>
  <c r="I155" i="23"/>
  <c r="J155" i="23" s="1"/>
  <c r="K155" i="23" s="1"/>
  <c r="L155" i="23" s="1"/>
  <c r="I134" i="23"/>
  <c r="J134" i="23" s="1"/>
  <c r="K134" i="23" s="1"/>
  <c r="L134" i="23" s="1"/>
  <c r="I135" i="23"/>
  <c r="J135" i="23" s="1"/>
  <c r="K135" i="23" s="1"/>
  <c r="L135" i="23" s="1"/>
  <c r="I131" i="23"/>
  <c r="J131" i="23" s="1"/>
  <c r="K131" i="23" s="1"/>
  <c r="L131" i="23" s="1"/>
  <c r="I117" i="23"/>
  <c r="J117" i="23" s="1"/>
  <c r="K117" i="23" s="1"/>
  <c r="L117" i="23" s="1"/>
  <c r="I116" i="23"/>
  <c r="J116" i="23" s="1"/>
  <c r="K116" i="23" s="1"/>
  <c r="L116" i="23" s="1"/>
  <c r="I111" i="23"/>
  <c r="J111" i="23" s="1"/>
  <c r="K111" i="23" s="1"/>
  <c r="L111" i="23" s="1"/>
  <c r="I110" i="23"/>
  <c r="J110" i="23" s="1"/>
  <c r="K110" i="23" s="1"/>
  <c r="L110" i="23" s="1"/>
  <c r="I109" i="23"/>
  <c r="J109" i="23" s="1"/>
  <c r="K109" i="23" s="1"/>
  <c r="L109" i="23" s="1"/>
  <c r="I108" i="23"/>
  <c r="J108" i="23" s="1"/>
  <c r="K108" i="23" s="1"/>
  <c r="L108" i="23" s="1"/>
  <c r="I107" i="23"/>
  <c r="J107" i="23" s="1"/>
  <c r="K107" i="23" s="1"/>
  <c r="L107" i="23" s="1"/>
  <c r="I106" i="23"/>
  <c r="J106" i="23" s="1"/>
  <c r="K106" i="23" s="1"/>
  <c r="L106" i="23" s="1"/>
  <c r="I100" i="23"/>
  <c r="J100" i="23" s="1"/>
  <c r="K100" i="23" s="1"/>
  <c r="L100" i="23" s="1"/>
  <c r="I97" i="23"/>
  <c r="J97" i="23" s="1"/>
  <c r="K97" i="23" s="1"/>
  <c r="L97" i="23" s="1"/>
  <c r="I86" i="23"/>
  <c r="J86" i="23" s="1"/>
  <c r="K86" i="23" s="1"/>
  <c r="L86" i="23" s="1"/>
  <c r="I94" i="23"/>
  <c r="J94" i="23" s="1"/>
  <c r="K94" i="23" s="1"/>
  <c r="L94" i="23" s="1"/>
  <c r="I192" i="23"/>
  <c r="J192" i="23" s="1"/>
  <c r="K192" i="23" s="1"/>
  <c r="L192" i="23" s="1"/>
  <c r="I182" i="23"/>
  <c r="J182" i="23" s="1"/>
  <c r="K182" i="23" s="1"/>
  <c r="L182" i="23" s="1"/>
  <c r="I168" i="23"/>
  <c r="J168" i="23" s="1"/>
  <c r="K168" i="23" s="1"/>
  <c r="L168" i="23" s="1"/>
  <c r="I169" i="23"/>
  <c r="J169" i="23" s="1"/>
  <c r="K169" i="23" s="1"/>
  <c r="L169" i="23" s="1"/>
  <c r="I170" i="23"/>
  <c r="J170" i="23" s="1"/>
  <c r="K170" i="23" s="1"/>
  <c r="L170" i="23" s="1"/>
  <c r="I171" i="23"/>
  <c r="J171" i="23" s="1"/>
  <c r="K171" i="23" s="1"/>
  <c r="L171" i="23" s="1"/>
  <c r="I167" i="23"/>
  <c r="J167" i="23" s="1"/>
  <c r="K167" i="23" s="1"/>
  <c r="L167" i="23" s="1"/>
  <c r="I166" i="23"/>
  <c r="J166" i="23" s="1"/>
  <c r="K166" i="23" s="1"/>
  <c r="L166" i="23" s="1"/>
  <c r="I165" i="23"/>
  <c r="J165" i="23" s="1"/>
  <c r="K165" i="23" s="1"/>
  <c r="L165" i="23" s="1"/>
  <c r="I164" i="23"/>
  <c r="J164" i="23" s="1"/>
  <c r="K164" i="23" s="1"/>
  <c r="L164" i="23" s="1"/>
  <c r="I163" i="23"/>
  <c r="J163" i="23" s="1"/>
  <c r="K163" i="23" s="1"/>
  <c r="L163" i="23" s="1"/>
  <c r="I162" i="23"/>
  <c r="J162" i="23" s="1"/>
  <c r="K162" i="23" s="1"/>
  <c r="L162" i="23" s="1"/>
  <c r="I161" i="23"/>
  <c r="J161" i="23" s="1"/>
  <c r="K161" i="23" s="1"/>
  <c r="L161" i="23" s="1"/>
  <c r="I160" i="23"/>
  <c r="J160" i="23" s="1"/>
  <c r="K160" i="23" s="1"/>
  <c r="L160" i="23" s="1"/>
  <c r="I137" i="23"/>
  <c r="J137" i="23" s="1"/>
  <c r="K137" i="23" s="1"/>
  <c r="L137" i="23" s="1"/>
  <c r="I151" i="23"/>
  <c r="J151" i="23" s="1"/>
  <c r="I156" i="23"/>
  <c r="J156" i="23" s="1"/>
  <c r="K156" i="23" s="1"/>
  <c r="L156" i="23" s="1"/>
  <c r="I119" i="23"/>
  <c r="J119" i="23" s="1"/>
  <c r="K119" i="23" s="1"/>
  <c r="L119" i="23" s="1"/>
  <c r="I120" i="23"/>
  <c r="J120" i="23" s="1"/>
  <c r="K120" i="23" s="1"/>
  <c r="L120" i="23" s="1"/>
  <c r="I121" i="23"/>
  <c r="J121" i="23" s="1"/>
  <c r="K121" i="23" s="1"/>
  <c r="L121" i="23" s="1"/>
  <c r="I122" i="23"/>
  <c r="J122" i="23" s="1"/>
  <c r="K122" i="23" s="1"/>
  <c r="L122" i="23" s="1"/>
  <c r="I123" i="23"/>
  <c r="J123" i="23" s="1"/>
  <c r="K123" i="23" s="1"/>
  <c r="L123" i="23" s="1"/>
  <c r="I124" i="23"/>
  <c r="J124" i="23" s="1"/>
  <c r="K124" i="23" s="1"/>
  <c r="L124" i="23" s="1"/>
  <c r="I132" i="23"/>
  <c r="J132" i="23" s="1"/>
  <c r="K132" i="23" s="1"/>
  <c r="L132" i="23" s="1"/>
  <c r="I115" i="23"/>
  <c r="J115" i="23" s="1"/>
  <c r="K115" i="23" s="1"/>
  <c r="L115" i="23" s="1"/>
  <c r="I105" i="23"/>
  <c r="J105" i="23" s="1"/>
  <c r="K105" i="23" s="1"/>
  <c r="L105" i="23" s="1"/>
  <c r="I79" i="23"/>
  <c r="J79" i="23" s="1"/>
  <c r="K79" i="23" s="1"/>
  <c r="L79" i="23" s="1"/>
  <c r="I80" i="23"/>
  <c r="J80" i="23" s="1"/>
  <c r="K80" i="23" s="1"/>
  <c r="L80" i="23" s="1"/>
  <c r="I87" i="23"/>
  <c r="J87" i="23" s="1"/>
  <c r="K87" i="23" s="1"/>
  <c r="L87" i="23" s="1"/>
  <c r="I193" i="23"/>
  <c r="J193" i="23" s="1"/>
  <c r="K193" i="23" s="1"/>
  <c r="L193" i="23" s="1"/>
  <c r="I183" i="23"/>
  <c r="J183" i="23" s="1"/>
  <c r="K183" i="23" s="1"/>
  <c r="L183" i="23" s="1"/>
  <c r="I172" i="23"/>
  <c r="J172" i="23" s="1"/>
  <c r="K172" i="23" s="1"/>
  <c r="L172" i="23" s="1"/>
  <c r="I173" i="23"/>
  <c r="J173" i="23" s="1"/>
  <c r="K173" i="23" s="1"/>
  <c r="L173" i="23" s="1"/>
  <c r="I174" i="23"/>
  <c r="J174" i="23" s="1"/>
  <c r="K174" i="23" s="1"/>
  <c r="L174" i="23" s="1"/>
  <c r="I175" i="23"/>
  <c r="J175" i="23" s="1"/>
  <c r="K175" i="23" s="1"/>
  <c r="L175" i="23" s="1"/>
  <c r="I176" i="23"/>
  <c r="J176" i="23" s="1"/>
  <c r="K176" i="23" s="1"/>
  <c r="L176" i="23" s="1"/>
  <c r="I177" i="23"/>
  <c r="J177" i="23" s="1"/>
  <c r="K177" i="23" s="1"/>
  <c r="L177" i="23" s="1"/>
  <c r="I159" i="23"/>
  <c r="J159" i="23" s="1"/>
  <c r="K159" i="23" s="1"/>
  <c r="L159" i="23" s="1"/>
  <c r="I138" i="23"/>
  <c r="J138" i="23" s="1"/>
  <c r="K138" i="23" s="1"/>
  <c r="L138" i="23" s="1"/>
  <c r="I139" i="23"/>
  <c r="J139" i="23" s="1"/>
  <c r="K139" i="23" s="1"/>
  <c r="L139" i="23" s="1"/>
  <c r="I152" i="23"/>
  <c r="J152" i="23" s="1"/>
  <c r="K152" i="23" s="1"/>
  <c r="L152" i="23" s="1"/>
  <c r="I157" i="23"/>
  <c r="J157" i="23" s="1"/>
  <c r="K157" i="23" s="1"/>
  <c r="L157" i="23" s="1"/>
  <c r="I125" i="23"/>
  <c r="J125" i="23" s="1"/>
  <c r="K125" i="23" s="1"/>
  <c r="L125" i="23" s="1"/>
  <c r="I114" i="23"/>
  <c r="J114" i="23" s="1"/>
  <c r="K114" i="23" s="1"/>
  <c r="L114" i="23" s="1"/>
  <c r="I113" i="23"/>
  <c r="J113" i="23" s="1"/>
  <c r="K113" i="23" s="1"/>
  <c r="L113" i="23" s="1"/>
  <c r="I104" i="23"/>
  <c r="J104" i="23" s="1"/>
  <c r="K104" i="23" s="1"/>
  <c r="L104" i="23" s="1"/>
  <c r="I81" i="23"/>
  <c r="J81" i="23" s="1"/>
  <c r="K81" i="23" s="1"/>
  <c r="L81" i="23" s="1"/>
  <c r="I88" i="23"/>
  <c r="J88" i="23" s="1"/>
  <c r="K88" i="23" s="1"/>
  <c r="L88" i="23" s="1"/>
  <c r="I89" i="23"/>
  <c r="J89" i="23" s="1"/>
  <c r="K89" i="23" s="1"/>
  <c r="L89" i="23" s="1"/>
  <c r="I90" i="23"/>
  <c r="J90" i="23" s="1"/>
  <c r="K90" i="23" s="1"/>
  <c r="L90" i="23" s="1"/>
  <c r="I91" i="23"/>
  <c r="J91" i="23" s="1"/>
  <c r="K91" i="23" s="1"/>
  <c r="L91" i="23" s="1"/>
  <c r="I92" i="23"/>
  <c r="J92" i="23" s="1"/>
  <c r="K92" i="23" s="1"/>
  <c r="L92" i="23" s="1"/>
  <c r="I83" i="23"/>
  <c r="J83" i="23" s="1"/>
  <c r="K83" i="23" s="1"/>
  <c r="L83" i="23" s="1"/>
  <c r="I85" i="23"/>
  <c r="J85" i="23" s="1"/>
  <c r="K85" i="23" s="1"/>
  <c r="L85" i="23" s="1"/>
  <c r="I95" i="23"/>
  <c r="J95" i="23" s="1"/>
  <c r="K95" i="23" s="1"/>
  <c r="L95" i="23" s="1"/>
  <c r="H229" i="22"/>
  <c r="H225" i="22"/>
  <c r="H221" i="22"/>
  <c r="H217" i="22"/>
  <c r="H213" i="22"/>
  <c r="H209" i="22"/>
  <c r="H228" i="22"/>
  <c r="H230" i="22"/>
  <c r="H226" i="22"/>
  <c r="H222" i="22"/>
  <c r="H218" i="22"/>
  <c r="H214" i="22"/>
  <c r="H210" i="22"/>
  <c r="H206" i="22"/>
  <c r="H208" i="22"/>
  <c r="H231" i="22"/>
  <c r="H227" i="22"/>
  <c r="H223" i="22"/>
  <c r="H219" i="22"/>
  <c r="H215" i="22"/>
  <c r="H211" i="22"/>
  <c r="H207" i="22"/>
  <c r="H224" i="22"/>
  <c r="H220" i="22"/>
  <c r="H216" i="22"/>
  <c r="H212" i="22"/>
  <c r="M144" i="23"/>
  <c r="M187" i="23"/>
  <c r="H193" i="22"/>
  <c r="H201" i="22"/>
  <c r="H196" i="22"/>
  <c r="H204" i="22"/>
  <c r="H194" i="22"/>
  <c r="H202" i="22"/>
  <c r="H199" i="22"/>
  <c r="H197" i="22"/>
  <c r="H205" i="22"/>
  <c r="H200" i="22"/>
  <c r="H195" i="22"/>
  <c r="H203" i="22"/>
  <c r="H198" i="22"/>
  <c r="M160" i="23"/>
  <c r="M146" i="23"/>
  <c r="H181" i="22"/>
  <c r="H183" i="22"/>
  <c r="H185" i="22"/>
  <c r="H187" i="22"/>
  <c r="H189" i="22"/>
  <c r="H191" i="22"/>
  <c r="H182" i="22"/>
  <c r="H184" i="22"/>
  <c r="H186" i="22"/>
  <c r="H188" i="22"/>
  <c r="H190" i="22"/>
  <c r="H192" i="22"/>
  <c r="M176" i="23"/>
  <c r="M175" i="23"/>
  <c r="M148" i="23"/>
  <c r="M172" i="23"/>
  <c r="M138" i="23"/>
  <c r="M154" i="23"/>
  <c r="H178" i="22"/>
  <c r="H174" i="22"/>
  <c r="H170" i="22"/>
  <c r="H166" i="22"/>
  <c r="H162" i="22"/>
  <c r="H177" i="22"/>
  <c r="H161" i="22"/>
  <c r="H179" i="22"/>
  <c r="H175" i="22"/>
  <c r="H171" i="22"/>
  <c r="H167" i="22"/>
  <c r="H163" i="22"/>
  <c r="H159" i="22"/>
  <c r="H169" i="22"/>
  <c r="H165" i="22"/>
  <c r="H180" i="22"/>
  <c r="H176" i="22"/>
  <c r="H172" i="22"/>
  <c r="H168" i="22"/>
  <c r="H164" i="22"/>
  <c r="H160" i="22"/>
  <c r="H173" i="22"/>
  <c r="M132" i="23"/>
  <c r="M149" i="23"/>
  <c r="M121" i="23"/>
  <c r="M134" i="23"/>
  <c r="H147" i="22"/>
  <c r="H149" i="22"/>
  <c r="H151" i="22"/>
  <c r="H153" i="22"/>
  <c r="H155" i="22"/>
  <c r="H157" i="22"/>
  <c r="H148" i="22"/>
  <c r="H150" i="22"/>
  <c r="H152" i="22"/>
  <c r="H154" i="22"/>
  <c r="H156" i="22"/>
  <c r="H158" i="22"/>
  <c r="M129" i="23"/>
  <c r="M110" i="23"/>
  <c r="M108" i="23"/>
  <c r="H129" i="22"/>
  <c r="H132" i="22"/>
  <c r="H140" i="22"/>
  <c r="H145" i="22"/>
  <c r="H135" i="22"/>
  <c r="H143" i="22"/>
  <c r="H130" i="22"/>
  <c r="H138" i="22"/>
  <c r="H146" i="22"/>
  <c r="H133" i="22"/>
  <c r="H141" i="22"/>
  <c r="H139" i="22"/>
  <c r="H136" i="22"/>
  <c r="H144" i="22"/>
  <c r="H131" i="22"/>
  <c r="H134" i="22"/>
  <c r="H142" i="22"/>
  <c r="H137" i="22"/>
  <c r="H120" i="22"/>
  <c r="H122" i="22"/>
  <c r="H124" i="22"/>
  <c r="H126" i="22"/>
  <c r="H128" i="22"/>
  <c r="H121" i="22"/>
  <c r="H123" i="22"/>
  <c r="H125" i="22"/>
  <c r="H127" i="22"/>
  <c r="H115" i="22"/>
  <c r="H117" i="22"/>
  <c r="H119" i="22"/>
  <c r="H116" i="22"/>
  <c r="H118" i="22"/>
  <c r="M95" i="23"/>
  <c r="M62" i="23"/>
  <c r="H104" i="22"/>
  <c r="H106" i="22"/>
  <c r="H108" i="22"/>
  <c r="H110" i="22"/>
  <c r="H112" i="22"/>
  <c r="H114" i="22"/>
  <c r="H105" i="22"/>
  <c r="H111" i="22"/>
  <c r="H107" i="22"/>
  <c r="H109" i="22"/>
  <c r="H113" i="22"/>
  <c r="H103" i="22"/>
  <c r="M73" i="23"/>
  <c r="M90" i="23"/>
  <c r="H95" i="22"/>
  <c r="H101" i="22"/>
  <c r="H102" i="22"/>
  <c r="H98" i="22"/>
  <c r="H96" i="22"/>
  <c r="H99" i="22"/>
  <c r="H97" i="22"/>
  <c r="H100" i="22"/>
  <c r="H82" i="22"/>
  <c r="H83" i="22"/>
  <c r="H86" i="22"/>
  <c r="H94" i="22"/>
  <c r="H89" i="22"/>
  <c r="H92" i="22"/>
  <c r="H84" i="22"/>
  <c r="H87" i="22"/>
  <c r="H90" i="22"/>
  <c r="H85" i="22"/>
  <c r="H93" i="22"/>
  <c r="H91" i="22"/>
  <c r="H88" i="22"/>
  <c r="I78" i="23"/>
  <c r="J78" i="23" s="1"/>
  <c r="K78" i="23" s="1"/>
  <c r="L78" i="23" s="1"/>
  <c r="I68" i="23"/>
  <c r="J68" i="23" s="1"/>
  <c r="K68" i="23" s="1"/>
  <c r="L68" i="23" s="1"/>
  <c r="I71" i="23"/>
  <c r="J71" i="23" s="1"/>
  <c r="K71" i="23" s="1"/>
  <c r="L71" i="23" s="1"/>
  <c r="I77" i="23"/>
  <c r="J77" i="23" s="1"/>
  <c r="K77" i="23" s="1"/>
  <c r="L77" i="23" s="1"/>
  <c r="I63" i="23"/>
  <c r="J63" i="23" s="1"/>
  <c r="K63" i="23" s="1"/>
  <c r="L63" i="23" s="1"/>
  <c r="I67" i="23"/>
  <c r="J67" i="23" s="1"/>
  <c r="K67" i="23" s="1"/>
  <c r="L67" i="23" s="1"/>
  <c r="I76" i="23"/>
  <c r="J76" i="23" s="1"/>
  <c r="K76" i="23" s="1"/>
  <c r="L76" i="23" s="1"/>
  <c r="I62" i="23"/>
  <c r="J62" i="23" s="1"/>
  <c r="K62" i="23" s="1"/>
  <c r="L62" i="23" s="1"/>
  <c r="I70" i="23"/>
  <c r="J70" i="23" s="1"/>
  <c r="K70" i="23" s="1"/>
  <c r="L70" i="23" s="1"/>
  <c r="I75" i="23"/>
  <c r="J75" i="23" s="1"/>
  <c r="K75" i="23" s="1"/>
  <c r="L75" i="23" s="1"/>
  <c r="I66" i="23"/>
  <c r="J66" i="23" s="1"/>
  <c r="K66" i="23" s="1"/>
  <c r="L66" i="23" s="1"/>
  <c r="I65" i="23"/>
  <c r="J65" i="23" s="1"/>
  <c r="K65" i="23" s="1"/>
  <c r="L65" i="23" s="1"/>
  <c r="I69" i="23"/>
  <c r="J69" i="23" s="1"/>
  <c r="K69" i="23" s="1"/>
  <c r="L69" i="23" s="1"/>
  <c r="I74" i="23"/>
  <c r="J74" i="23" s="1"/>
  <c r="K74" i="23" s="1"/>
  <c r="L74" i="23" s="1"/>
  <c r="I73" i="23"/>
  <c r="J73" i="23" s="1"/>
  <c r="K73" i="23" s="1"/>
  <c r="L73" i="23" s="1"/>
  <c r="I64" i="23"/>
  <c r="J64" i="23" s="1"/>
  <c r="K64" i="23" s="1"/>
  <c r="L64" i="23" s="1"/>
  <c r="I72" i="23"/>
  <c r="J72" i="23" s="1"/>
  <c r="K72" i="23" s="1"/>
  <c r="L72" i="23" s="1"/>
  <c r="I61" i="23"/>
  <c r="J61" i="23" s="1"/>
  <c r="K61" i="23" s="1"/>
  <c r="L61" i="23" s="1"/>
  <c r="I56" i="23"/>
  <c r="J56" i="23" s="1"/>
  <c r="K56" i="23" s="1"/>
  <c r="L56" i="23" s="1"/>
  <c r="I48" i="23"/>
  <c r="J48" i="23" s="1"/>
  <c r="K48" i="23" s="1"/>
  <c r="L48" i="23" s="1"/>
  <c r="I53" i="23"/>
  <c r="J53" i="23" s="1"/>
  <c r="K53" i="23" s="1"/>
  <c r="L53" i="23" s="1"/>
  <c r="I52" i="23"/>
  <c r="J52" i="23" s="1"/>
  <c r="K52" i="23" s="1"/>
  <c r="L52" i="23" s="1"/>
  <c r="I58" i="23"/>
  <c r="J58" i="23" s="1"/>
  <c r="K58" i="23" s="1"/>
  <c r="L58" i="23" s="1"/>
  <c r="I59" i="23"/>
  <c r="J59" i="23" s="1"/>
  <c r="K59" i="23" s="1"/>
  <c r="L59" i="23" s="1"/>
  <c r="I55" i="23"/>
  <c r="J55" i="23" s="1"/>
  <c r="K55" i="23" s="1"/>
  <c r="L55" i="23" s="1"/>
  <c r="I60" i="23"/>
  <c r="J60" i="23" s="1"/>
  <c r="K60" i="23" s="1"/>
  <c r="L60" i="23" s="1"/>
  <c r="I51" i="23"/>
  <c r="J51" i="23" s="1"/>
  <c r="K51" i="23" s="1"/>
  <c r="L51" i="23" s="1"/>
  <c r="I50" i="23"/>
  <c r="J50" i="23" s="1"/>
  <c r="K50" i="23" s="1"/>
  <c r="L50" i="23" s="1"/>
  <c r="I54" i="23"/>
  <c r="J54" i="23" s="1"/>
  <c r="K54" i="23" s="1"/>
  <c r="L54" i="23" s="1"/>
  <c r="I57" i="23"/>
  <c r="J57" i="23" s="1"/>
  <c r="K57" i="23" s="1"/>
  <c r="L57" i="23" s="1"/>
  <c r="I47" i="23"/>
  <c r="J47" i="23" s="1"/>
  <c r="K47" i="23" s="1"/>
  <c r="L47" i="23" s="1"/>
  <c r="I49" i="23"/>
  <c r="J49" i="23" s="1"/>
  <c r="K49" i="23" s="1"/>
  <c r="L49" i="23" s="1"/>
  <c r="I43" i="23"/>
  <c r="J43" i="23" s="1"/>
  <c r="K43" i="23" s="1"/>
  <c r="L43" i="23" s="1"/>
  <c r="I37" i="23"/>
  <c r="J37" i="23" s="1"/>
  <c r="K37" i="23" s="1"/>
  <c r="L37" i="23" s="1"/>
  <c r="I40" i="23"/>
  <c r="J40" i="23" s="1"/>
  <c r="K40" i="23" s="1"/>
  <c r="L40" i="23" s="1"/>
  <c r="I26" i="23"/>
  <c r="J26" i="23" s="1"/>
  <c r="K26" i="23" s="1"/>
  <c r="L26" i="23" s="1"/>
  <c r="I7" i="23"/>
  <c r="J7" i="23" s="1"/>
  <c r="K7" i="23" s="1"/>
  <c r="L7" i="23" s="1"/>
  <c r="I16" i="23"/>
  <c r="J16" i="23" s="1"/>
  <c r="K16" i="23" s="1"/>
  <c r="L16" i="23" s="1"/>
  <c r="I46" i="23"/>
  <c r="J46" i="23" s="1"/>
  <c r="K46" i="23" s="1"/>
  <c r="L46" i="23" s="1"/>
  <c r="I33" i="23"/>
  <c r="J33" i="23" s="1"/>
  <c r="K33" i="23" s="1"/>
  <c r="L33" i="23" s="1"/>
  <c r="I36" i="23"/>
  <c r="J36" i="23" s="1"/>
  <c r="K36" i="23" s="1"/>
  <c r="L36" i="23" s="1"/>
  <c r="I28" i="23"/>
  <c r="J28" i="23" s="1"/>
  <c r="K28" i="23" s="1"/>
  <c r="L28" i="23" s="1"/>
  <c r="I21" i="23"/>
  <c r="J21" i="23" s="1"/>
  <c r="K21" i="23" s="1"/>
  <c r="L21" i="23" s="1"/>
  <c r="I25" i="23"/>
  <c r="J25" i="23" s="1"/>
  <c r="K25" i="23" s="1"/>
  <c r="L25" i="23" s="1"/>
  <c r="I11" i="23"/>
  <c r="J11" i="23" s="1"/>
  <c r="K11" i="23" s="1"/>
  <c r="L11" i="23" s="1"/>
  <c r="I15" i="23"/>
  <c r="J15" i="23" s="1"/>
  <c r="K15" i="23" s="1"/>
  <c r="L15" i="23" s="1"/>
  <c r="I4" i="23"/>
  <c r="J4" i="23" s="1"/>
  <c r="K4" i="23" s="1"/>
  <c r="L4" i="23" s="1"/>
  <c r="I39" i="23"/>
  <c r="J39" i="23" s="1"/>
  <c r="K39" i="23" s="1"/>
  <c r="L39" i="23" s="1"/>
  <c r="I20" i="23"/>
  <c r="J20" i="23" s="1"/>
  <c r="K20" i="23" s="1"/>
  <c r="L20" i="23" s="1"/>
  <c r="I24" i="23"/>
  <c r="J24" i="23" s="1"/>
  <c r="K24" i="23" s="1"/>
  <c r="L24" i="23" s="1"/>
  <c r="I10" i="23"/>
  <c r="J10" i="23" s="1"/>
  <c r="I14" i="23"/>
  <c r="J14" i="23" s="1"/>
  <c r="K14" i="23" s="1"/>
  <c r="L14" i="23" s="1"/>
  <c r="I19" i="23"/>
  <c r="J19" i="23" s="1"/>
  <c r="K19" i="23" s="1"/>
  <c r="L19" i="23" s="1"/>
  <c r="I3" i="23"/>
  <c r="J3" i="23" s="1"/>
  <c r="K3" i="23" s="1"/>
  <c r="L3" i="23" s="1"/>
  <c r="I45" i="23"/>
  <c r="J45" i="23" s="1"/>
  <c r="K45" i="23" s="1"/>
  <c r="L45" i="23" s="1"/>
  <c r="I32" i="23"/>
  <c r="J32" i="23" s="1"/>
  <c r="K32" i="23" s="1"/>
  <c r="L32" i="23" s="1"/>
  <c r="I35" i="23"/>
  <c r="J35" i="23" s="1"/>
  <c r="K35" i="23" s="1"/>
  <c r="L35" i="23" s="1"/>
  <c r="I42" i="23"/>
  <c r="J42" i="23" s="1"/>
  <c r="K42" i="23" s="1"/>
  <c r="L42" i="23" s="1"/>
  <c r="I9" i="23"/>
  <c r="J9" i="23" s="1"/>
  <c r="K9" i="23" s="1"/>
  <c r="L9" i="23" s="1"/>
  <c r="I13" i="23"/>
  <c r="J13" i="23" s="1"/>
  <c r="K13" i="23" s="1"/>
  <c r="L13" i="23" s="1"/>
  <c r="I18" i="23"/>
  <c r="J18" i="23" s="1"/>
  <c r="K18" i="23" s="1"/>
  <c r="L18" i="23" s="1"/>
  <c r="I2" i="23"/>
  <c r="J2" i="23" s="1"/>
  <c r="I6" i="23"/>
  <c r="J6" i="23" s="1"/>
  <c r="K6" i="23" s="1"/>
  <c r="L6" i="23" s="1"/>
  <c r="I44" i="23"/>
  <c r="J44" i="23" s="1"/>
  <c r="K44" i="23" s="1"/>
  <c r="L44" i="23" s="1"/>
  <c r="I38" i="23"/>
  <c r="J38" i="23" s="1"/>
  <c r="K38" i="23" s="1"/>
  <c r="L38" i="23" s="1"/>
  <c r="I41" i="23"/>
  <c r="J41" i="23" s="1"/>
  <c r="K41" i="23" s="1"/>
  <c r="L41" i="23" s="1"/>
  <c r="I30" i="23"/>
  <c r="J30" i="23" s="1"/>
  <c r="K30" i="23" s="1"/>
  <c r="L30" i="23" s="1"/>
  <c r="I23" i="23"/>
  <c r="J23" i="23" s="1"/>
  <c r="K23" i="23" s="1"/>
  <c r="L23" i="23" s="1"/>
  <c r="I8" i="23"/>
  <c r="J8" i="23" s="1"/>
  <c r="K8" i="23" s="1"/>
  <c r="L8" i="23" s="1"/>
  <c r="I31" i="23"/>
  <c r="J31" i="23" s="1"/>
  <c r="K31" i="23" s="1"/>
  <c r="L31" i="23" s="1"/>
  <c r="I34" i="23"/>
  <c r="J34" i="23" s="1"/>
  <c r="K34" i="23" s="1"/>
  <c r="L34" i="23" s="1"/>
  <c r="I29" i="23"/>
  <c r="J29" i="23" s="1"/>
  <c r="K29" i="23" s="1"/>
  <c r="L29" i="23" s="1"/>
  <c r="I22" i="23"/>
  <c r="J22" i="23" s="1"/>
  <c r="K22" i="23" s="1"/>
  <c r="L22" i="23" s="1"/>
  <c r="I27" i="23"/>
  <c r="J27" i="23" s="1"/>
  <c r="K27" i="23" s="1"/>
  <c r="L27" i="23" s="1"/>
  <c r="I12" i="23"/>
  <c r="J12" i="23" s="1"/>
  <c r="K12" i="23" s="1"/>
  <c r="L12" i="23" s="1"/>
  <c r="I17" i="23"/>
  <c r="J17" i="23" s="1"/>
  <c r="K17" i="23" s="1"/>
  <c r="L17" i="23" s="1"/>
  <c r="I5" i="23"/>
  <c r="J5" i="23" s="1"/>
  <c r="K5" i="23" s="1"/>
  <c r="L5" i="23" s="1"/>
  <c r="M70" i="23"/>
  <c r="H73" i="22"/>
  <c r="H81" i="22"/>
  <c r="H79" i="22"/>
  <c r="H80" i="22"/>
  <c r="H78" i="22"/>
  <c r="H76" i="22"/>
  <c r="H74" i="22"/>
  <c r="H77" i="22"/>
  <c r="H75" i="22"/>
  <c r="M45" i="23"/>
  <c r="M47" i="23"/>
  <c r="M28" i="23"/>
  <c r="M31" i="23"/>
  <c r="H55" i="22"/>
  <c r="H63" i="22"/>
  <c r="H71" i="22"/>
  <c r="H58" i="22"/>
  <c r="H66" i="22"/>
  <c r="H61" i="22"/>
  <c r="H69" i="22"/>
  <c r="H56" i="22"/>
  <c r="H64" i="22"/>
  <c r="H72" i="22"/>
  <c r="H59" i="22"/>
  <c r="H67" i="22"/>
  <c r="H62" i="22"/>
  <c r="H70" i="22"/>
  <c r="H60" i="22"/>
  <c r="H57" i="22"/>
  <c r="H65" i="22"/>
  <c r="H68" i="22"/>
  <c r="H53" i="22"/>
  <c r="H54" i="22"/>
  <c r="M30" i="23"/>
  <c r="M37" i="23"/>
  <c r="H38" i="22"/>
  <c r="H46" i="22"/>
  <c r="H41" i="22"/>
  <c r="H49" i="22"/>
  <c r="H44" i="22"/>
  <c r="H52" i="22"/>
  <c r="H48" i="22"/>
  <c r="H39" i="22"/>
  <c r="H47" i="22"/>
  <c r="H42" i="22"/>
  <c r="H50" i="22"/>
  <c r="H45" i="22"/>
  <c r="H40" i="22"/>
  <c r="H43" i="22"/>
  <c r="H51" i="22"/>
  <c r="M12" i="23"/>
  <c r="M17" i="23"/>
  <c r="H36" i="22"/>
  <c r="H37" i="22"/>
  <c r="H29" i="22"/>
  <c r="H31" i="22"/>
  <c r="H33" i="22"/>
  <c r="H35" i="22"/>
  <c r="H32" i="22"/>
  <c r="H34" i="22"/>
  <c r="H30" i="22"/>
  <c r="M7" i="23"/>
  <c r="H16" i="22"/>
  <c r="H24" i="22"/>
  <c r="H19" i="22"/>
  <c r="H27" i="22"/>
  <c r="H22" i="22"/>
  <c r="H28" i="22"/>
  <c r="H17" i="22"/>
  <c r="H25" i="22"/>
  <c r="H20" i="22"/>
  <c r="H23" i="22"/>
  <c r="H21" i="22"/>
  <c r="H18" i="22"/>
  <c r="H26" i="22"/>
  <c r="H6" i="22"/>
  <c r="H14" i="22"/>
  <c r="H9" i="22"/>
  <c r="H12" i="22"/>
  <c r="H7" i="22"/>
  <c r="H15" i="22"/>
  <c r="H10" i="22"/>
  <c r="H13" i="22"/>
  <c r="H8" i="22"/>
  <c r="H11" i="22"/>
  <c r="H3" i="22"/>
  <c r="H4" i="22"/>
  <c r="H5" i="22"/>
  <c r="H2" i="22"/>
  <c r="G5" i="24"/>
  <c r="G2" i="24"/>
  <c r="K151" i="23" l="1"/>
  <c r="L151" i="23" s="1"/>
  <c r="K6" i="27" a="1"/>
  <c r="K14" i="27" a="1"/>
  <c r="K9" i="27" a="1"/>
  <c r="K15" i="27" a="1"/>
  <c r="K8" i="27" a="1"/>
  <c r="K7" i="27" a="1"/>
  <c r="K16" i="27" a="1"/>
  <c r="K10" i="27" a="1"/>
  <c r="K17" i="27" a="1"/>
  <c r="K11" i="27" a="1"/>
  <c r="K12" i="27" a="1"/>
  <c r="K13" i="27" a="1"/>
  <c r="C33" i="26" a="1"/>
  <c r="B33" i="26" a="1"/>
  <c r="B32" i="26" a="1"/>
  <c r="C32" i="26" a="1"/>
  <c r="C34" i="26" a="1"/>
  <c r="K10" i="23"/>
  <c r="L10" i="23" s="1"/>
  <c r="K23" i="27"/>
  <c r="B41" i="26"/>
  <c r="G22" i="27"/>
  <c r="H22" i="27" s="1" a="1"/>
  <c r="L23" i="27" a="1"/>
  <c r="L21" i="27" a="1"/>
  <c r="L22" i="27" a="1"/>
  <c r="K22" i="27"/>
  <c r="K21" i="27"/>
  <c r="G20" i="27"/>
  <c r="H20" i="27" s="1" a="1"/>
  <c r="G23" i="27"/>
  <c r="H23" i="27" s="1" a="1"/>
  <c r="G21" i="27"/>
  <c r="H21" i="27" s="1" a="1"/>
  <c r="C42" i="26" a="1"/>
  <c r="C40" i="26" a="1"/>
  <c r="C41" i="26" a="1"/>
  <c r="B42" i="26"/>
  <c r="C39" i="26" a="1"/>
  <c r="K701" i="23"/>
  <c r="L701" i="23" s="1"/>
  <c r="B40" i="26"/>
  <c r="K274" i="23"/>
  <c r="L274" i="23" s="1"/>
  <c r="B39" i="26"/>
  <c r="B34" i="26" a="1"/>
  <c r="K2" i="23"/>
  <c r="L2" i="23" s="1"/>
  <c r="G4" i="24"/>
  <c r="K24" i="27" l="1"/>
  <c r="D31" i="26"/>
  <c r="D34" i="27" s="1"/>
  <c r="C34" i="27" s="1"/>
  <c r="L17" i="27" s="1"/>
  <c r="H9" i="27" s="1"/>
  <c r="G9" i="27" s="1"/>
  <c r="D18" i="27" s="1"/>
  <c r="C18" i="27" s="1"/>
  <c r="L16" i="27" l="1"/>
  <c r="L15" i="27" s="1"/>
  <c r="L14" i="27" s="1"/>
  <c r="L13" i="27" s="1"/>
  <c r="L12" i="27" s="1"/>
  <c r="L11" i="27" s="1"/>
  <c r="L10" i="27" s="1"/>
  <c r="L9" i="27" s="1"/>
  <c r="L8" i="27" s="1"/>
  <c r="L7" i="27" s="1"/>
  <c r="L6" i="27" s="1"/>
  <c r="D34" i="26" s="1"/>
  <c r="D33" i="26" s="1"/>
  <c r="C35" i="26" s="1"/>
  <c r="L24" i="27"/>
  <c r="B35" i="26"/>
  <c r="D32" i="26"/>
  <c r="D35" i="26" l="1"/>
  <c r="F8" i="24" l="1"/>
  <c r="G8" i="24" s="1"/>
  <c r="G6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<sst xmlns="http://schemas.openxmlformats.org/spreadsheetml/2006/main" count="7511" uniqueCount="616">
  <si>
    <t>Etiquetas de fila</t>
  </si>
  <si>
    <t>Total general</t>
  </si>
  <si>
    <t>Nº doc.</t>
  </si>
  <si>
    <t>Fecha doc.</t>
  </si>
  <si>
    <t xml:space="preserve">       Importe en ML</t>
  </si>
  <si>
    <t>Usuario</t>
  </si>
  <si>
    <t>Fe.valor</t>
  </si>
  <si>
    <t>Fecha</t>
  </si>
  <si>
    <t>Comprobante</t>
  </si>
  <si>
    <t>Sucursal</t>
  </si>
  <si>
    <t>Importe</t>
  </si>
  <si>
    <t>Descripción</t>
  </si>
  <si>
    <t>CH/PAG</t>
  </si>
  <si>
    <t>HSBC</t>
  </si>
  <si>
    <t>Concepto/Cod,Op,</t>
  </si>
  <si>
    <t>Cod,Op,Bco,</t>
  </si>
  <si>
    <t>FLETES Y SERVICIOS PUJATO S.A PUJATO 12</t>
  </si>
  <si>
    <t>Banco</t>
  </si>
  <si>
    <t>Etiquetas de columna</t>
  </si>
  <si>
    <t xml:space="preserve">CHEQUE 48 HORAS          </t>
  </si>
  <si>
    <t>CH/RECIB48</t>
  </si>
  <si>
    <t>MES</t>
  </si>
  <si>
    <t>EDET S.A. SAN MIGUEL DE TUCUMAN 14</t>
  </si>
  <si>
    <t>Totales</t>
  </si>
  <si>
    <t>Cheques a Conformar</t>
  </si>
  <si>
    <t>Cheques Pendientes al</t>
  </si>
  <si>
    <t>LANGELLA JUAN RODOLFO ALDERETES 14</t>
  </si>
  <si>
    <t>FERNANDEZ HECTOR JOSE SIMOCA 14</t>
  </si>
  <si>
    <t>GALICIA</t>
  </si>
  <si>
    <t>VITRIU NICOLAS YERBA BUENA 14</t>
  </si>
  <si>
    <t>Suarez Elio Hernan Los altos 02</t>
  </si>
  <si>
    <t>Remetal S.A. SAN MIGUEL DE TUCUMAN 14</t>
  </si>
  <si>
    <t>Numero CH</t>
  </si>
  <si>
    <t>numero de cheque</t>
  </si>
  <si>
    <t>importe</t>
  </si>
  <si>
    <t>pagado</t>
  </si>
  <si>
    <t>estado</t>
  </si>
  <si>
    <t>estado dos</t>
  </si>
  <si>
    <t>Suma de importe</t>
  </si>
  <si>
    <t>a pagar</t>
  </si>
  <si>
    <t>estado tres</t>
  </si>
  <si>
    <t>en cartera</t>
  </si>
  <si>
    <t>FECHA DE CORTE</t>
  </si>
  <si>
    <t>HOY</t>
  </si>
  <si>
    <t>CIERRE</t>
  </si>
  <si>
    <t>CHEQUES PENDIENTES POR COBRAR</t>
  </si>
  <si>
    <t>CHEQUES A PAGAR EN EL DÍA</t>
  </si>
  <si>
    <t>mes</t>
  </si>
  <si>
    <t>periodo</t>
  </si>
  <si>
    <t>semana actual</t>
  </si>
  <si>
    <t>semana</t>
  </si>
  <si>
    <t>AÑO</t>
  </si>
  <si>
    <t>(Todas)</t>
  </si>
  <si>
    <t>EL SOL MATERIALES SA SAN MIGUEL DE TUCUMAN 14</t>
  </si>
  <si>
    <t>ANJOR SA CORDOBA 03</t>
  </si>
  <si>
    <t>Transportes La Sevillanita S.RALDERETES 14</t>
  </si>
  <si>
    <t>RASUK JORGE LUIS YERBA BUENA 14</t>
  </si>
  <si>
    <t>TS OASIS SRL BANDA DEL RIO SALI 14</t>
  </si>
  <si>
    <t>Marchese Grandi Meson y Asoc SAN MIGUEL DE TUCUMAN 14</t>
  </si>
  <si>
    <t>CAMPOAGRO SRL YERBA BUENA 14</t>
  </si>
  <si>
    <t>BERCOVICH COMERCIAL SAS SAN MIGUEL DE TUCUMAN 14</t>
  </si>
  <si>
    <t>MACRO</t>
  </si>
  <si>
    <t xml:space="preserve">CHEQUE P/CAMARA          </t>
  </si>
  <si>
    <t xml:space="preserve">CHEQUE CANJE INTERNO     </t>
  </si>
  <si>
    <t>CAFELI S.R.L. SAN MIGUEL DE TUCUMAN 14</t>
  </si>
  <si>
    <t>. tucumán</t>
  </si>
  <si>
    <t>Agricola Garcia S.A. SAN MIGUEL DE TUCUMAN 14</t>
  </si>
  <si>
    <t>02/01/2025</t>
  </si>
  <si>
    <t>03/01/2025</t>
  </si>
  <si>
    <t>06/01/2025</t>
  </si>
  <si>
    <t>07/01/2025</t>
  </si>
  <si>
    <t>08/01/2025</t>
  </si>
  <si>
    <t>14/01/2025</t>
  </si>
  <si>
    <t>16/01/2025</t>
  </si>
  <si>
    <t>15/01/2025</t>
  </si>
  <si>
    <t>17/01/2025</t>
  </si>
  <si>
    <t>21/01/2025</t>
  </si>
  <si>
    <t>23/01/2025</t>
  </si>
  <si>
    <t>27/01/2025</t>
  </si>
  <si>
    <t>31/01/2025</t>
  </si>
  <si>
    <t>03/02/2025</t>
  </si>
  <si>
    <t>04/02/2025</t>
  </si>
  <si>
    <t>06/02/2025</t>
  </si>
  <si>
    <t>07/02/2025</t>
  </si>
  <si>
    <t>10/02/2025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</si>
  <si>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</si>
  <si>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</si>
  <si>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</si>
  <si>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</si>
  <si>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</si>
  <si>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</si>
  <si>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</si>
  <si>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</si>
  <si>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</si>
  <si>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</si>
  <si>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06/03/2025</t>
  </si>
  <si>
    <t>07/03/2025</t>
  </si>
  <si>
    <t>13/03/2025</t>
  </si>
  <si>
    <t>14/03/2025</t>
  </si>
  <si>
    <t>12/03/2025</t>
  </si>
  <si>
    <t>20/03/2025</t>
  </si>
  <si>
    <t>26/03/2025</t>
  </si>
  <si>
    <t>28/03/2025</t>
  </si>
  <si>
    <t>01/04/2025</t>
  </si>
  <si>
    <t>31/03/2025</t>
  </si>
  <si>
    <t>07/04/2025</t>
  </si>
  <si>
    <t>11/04/2025</t>
  </si>
  <si>
    <t>14/04/2025</t>
  </si>
  <si>
    <t>15/04/2025</t>
  </si>
  <si>
    <t>22/04/2025</t>
  </si>
  <si>
    <t>25/04/2025</t>
  </si>
  <si>
    <t>28/04/2025</t>
  </si>
  <si>
    <t>29/04/2025</t>
  </si>
  <si>
    <t>06/05/2025</t>
  </si>
  <si>
    <t>08/05/2025</t>
  </si>
  <si>
    <t>07/05/2025</t>
  </si>
  <si>
    <t>09/05/2025</t>
  </si>
  <si>
    <t>12/05/2025</t>
  </si>
  <si>
    <t>20/05/2025</t>
  </si>
  <si>
    <t>19/05/2025</t>
  </si>
  <si>
    <t>21/05/2025</t>
  </si>
  <si>
    <t>23/05/2025</t>
  </si>
  <si>
    <t>invalidado med.EOLIVERA -Destruido/ Sin uso</t>
  </si>
  <si>
    <t>proximo a vencer</t>
  </si>
  <si>
    <t>26/05/2025</t>
  </si>
  <si>
    <t>27/05/2025</t>
  </si>
  <si>
    <t>29/05/2025</t>
  </si>
  <si>
    <t>30/05/2025</t>
  </si>
  <si>
    <t>03/06/2025</t>
  </si>
  <si>
    <t>06/06/2025</t>
  </si>
  <si>
    <t>09/06/2025</t>
  </si>
  <si>
    <t>10/06/2025</t>
  </si>
  <si>
    <t>12/06/2025</t>
  </si>
  <si>
    <t>13/06/2025</t>
  </si>
  <si>
    <t>18/06/2025</t>
  </si>
  <si>
    <t>19/06/2025</t>
  </si>
  <si>
    <t>23/06/2025</t>
  </si>
  <si>
    <t>25/06/2025</t>
  </si>
  <si>
    <t>M.A.D Serv y mant eléctri SAN MIGUEL DE TUCUMAN 14</t>
  </si>
  <si>
    <t>30/06/2025</t>
  </si>
  <si>
    <t>01/07/2025</t>
  </si>
  <si>
    <t>03/07/2025</t>
  </si>
  <si>
    <t>04/07/2025</t>
  </si>
  <si>
    <t>10/07/2025</t>
  </si>
  <si>
    <t>08/07/2025</t>
  </si>
  <si>
    <t>11/07/2025</t>
  </si>
  <si>
    <t>15/07/2025</t>
  </si>
  <si>
    <t>16/07/2025</t>
  </si>
  <si>
    <t>17/07/2025</t>
  </si>
  <si>
    <t>18/07/2025</t>
  </si>
  <si>
    <t>21/07/2025</t>
  </si>
  <si>
    <t>22/07/2025</t>
  </si>
  <si>
    <t>-</t>
  </si>
  <si>
    <t>28/07/2025</t>
  </si>
  <si>
    <t>29/07/2025</t>
  </si>
  <si>
    <t>30/07/2025</t>
  </si>
  <si>
    <t>08/08/2025</t>
  </si>
  <si>
    <t>11/08/2025</t>
  </si>
  <si>
    <t>12/08/2025</t>
  </si>
  <si>
    <t>18/08/2025</t>
  </si>
  <si>
    <t>19/08/2025</t>
  </si>
  <si>
    <t>20/08/2025</t>
  </si>
  <si>
    <t>21/08/2025</t>
  </si>
  <si>
    <t>25/08/2025</t>
  </si>
  <si>
    <t>26/08/2025</t>
  </si>
  <si>
    <t>29/08/2025</t>
  </si>
  <si>
    <t>01/09/2025</t>
  </si>
  <si>
    <t>02/09/2025</t>
  </si>
  <si>
    <t>04/09/2025</t>
  </si>
  <si>
    <t>05/09/2025</t>
  </si>
  <si>
    <t>08/09/2025</t>
  </si>
  <si>
    <t>12/09/2025</t>
  </si>
  <si>
    <t>22/09/2025</t>
  </si>
  <si>
    <t>23/09/2025</t>
  </si>
  <si>
    <t>25/09/2025</t>
  </si>
  <si>
    <t>26/09/2025</t>
  </si>
  <si>
    <t>29/09/2025</t>
  </si>
  <si>
    <t>30/09/2025</t>
  </si>
  <si>
    <t>02/10/2025</t>
  </si>
  <si>
    <t>invalidado med.EOLIVERA -Rechazado</t>
  </si>
  <si>
    <t>06/10/2025</t>
  </si>
  <si>
    <t>07/10/2025</t>
  </si>
  <si>
    <t>14/10/2025</t>
  </si>
  <si>
    <t>15/10/2025</t>
  </si>
  <si>
    <t>16/10/2025</t>
  </si>
  <si>
    <t>17/10/2025</t>
  </si>
  <si>
    <t>22/10/2025</t>
  </si>
  <si>
    <t>23/10/2025</t>
  </si>
  <si>
    <t>24/10/2025</t>
  </si>
  <si>
    <t>27/10/2025</t>
  </si>
  <si>
    <t>29/10/2025</t>
  </si>
  <si>
    <t>30/10/2025</t>
  </si>
  <si>
    <t>03/11/2025</t>
  </si>
  <si>
    <t>04/11/2025</t>
  </si>
  <si>
    <t>11/11/2025</t>
  </si>
  <si>
    <t>12/11/2025</t>
  </si>
  <si>
    <t>14/11/2025</t>
  </si>
  <si>
    <t>VERON MARIANA BEATRIZ NUEVA ESPERANZA 13</t>
  </si>
  <si>
    <t>18/11/2025</t>
  </si>
  <si>
    <t>26/11/2025</t>
  </si>
  <si>
    <t>27/11/2025</t>
  </si>
  <si>
    <t>28/11/2025</t>
  </si>
  <si>
    <t>01/12/2025</t>
  </si>
  <si>
    <t>02/12/2025</t>
  </si>
  <si>
    <t>03/12/2025</t>
  </si>
  <si>
    <t>05/12/2025</t>
  </si>
  <si>
    <t>09/12/2025</t>
  </si>
  <si>
    <t>11/12/2025</t>
  </si>
  <si>
    <t>12/12/2025</t>
  </si>
  <si>
    <t>15/12/2025</t>
  </si>
  <si>
    <t>16/12/2025</t>
  </si>
  <si>
    <t>18/12/2025</t>
  </si>
  <si>
    <t>19/12/2025</t>
  </si>
  <si>
    <t>22/12/2025</t>
  </si>
  <si>
    <t>23/12/2025</t>
  </si>
  <si>
    <t>26/12/2025</t>
  </si>
  <si>
    <t>30/12/2025</t>
  </si>
  <si>
    <t>05/01/2026</t>
  </si>
  <si>
    <t>06/01/2026</t>
  </si>
  <si>
    <t>12/01/2026</t>
  </si>
  <si>
    <t>15/01/2026</t>
  </si>
  <si>
    <t>19/01/2026</t>
  </si>
  <si>
    <t>20/01/2026</t>
  </si>
  <si>
    <t>21/01/2026</t>
  </si>
  <si>
    <t>22/01/2026</t>
  </si>
  <si>
    <t>28/01/2026</t>
  </si>
  <si>
    <t>26/01/2026</t>
  </si>
  <si>
    <t>30/01/2026</t>
  </si>
  <si>
    <t>04/02/2026</t>
  </si>
  <si>
    <t>05/02/2026</t>
  </si>
  <si>
    <t>09/02/2026</t>
  </si>
  <si>
    <t>10/02/2026</t>
  </si>
  <si>
    <t>11/02/2026</t>
  </si>
  <si>
    <t>18/02/2026</t>
  </si>
  <si>
    <t>20/02/2026</t>
  </si>
  <si>
    <t>23/02/2026</t>
  </si>
  <si>
    <t>24/02/2026</t>
  </si>
  <si>
    <t>25/02/2026</t>
  </si>
  <si>
    <t>26/02/2026</t>
  </si>
  <si>
    <t>27/02/2026</t>
  </si>
  <si>
    <t>03/03/2026</t>
  </si>
  <si>
    <t>04/03/2026</t>
  </si>
  <si>
    <t xml:space="preserve">   CHEQUES A CONFORMAR HOY</t>
  </si>
  <si>
    <t>Nº Cheque</t>
  </si>
  <si>
    <t>—</t>
  </si>
  <si>
    <t>TOTAL A CONFORMAR</t>
  </si>
  <si>
    <t>Concepto</t>
  </si>
  <si>
    <t>Total</t>
  </si>
  <si>
    <t>TOTAL CHEQUES A PAGAR</t>
  </si>
  <si>
    <t xml:space="preserve">   CHEQUES CADUCADOS / FUERA DE FECHA</t>
  </si>
  <si>
    <t>Cantidad</t>
  </si>
  <si>
    <t>Importe Total</t>
  </si>
  <si>
    <t>TOTAL CADUCADOS</t>
  </si>
  <si>
    <t xml:space="preserve">   RESUMEN ANUAL</t>
  </si>
  <si>
    <t>Mes</t>
  </si>
  <si>
    <t>Cant. Cheques</t>
  </si>
  <si>
    <t>Importe Total ($)</t>
  </si>
  <si>
    <t>Año</t>
  </si>
  <si>
    <t>Plazo Prom. (días)</t>
  </si>
  <si>
    <t>Nivel</t>
  </si>
  <si>
    <t>Enero</t>
  </si>
  <si>
    <t>Febrero</t>
  </si>
  <si>
    <t>Marzo</t>
  </si>
  <si>
    <t>Abril</t>
  </si>
  <si>
    <t>TOTAL</t>
  </si>
  <si>
    <t>Mayo</t>
  </si>
  <si>
    <t>Junio</t>
  </si>
  <si>
    <t xml:space="preserve">   DISTRIBUCIÓN POR BANCO</t>
  </si>
  <si>
    <t>Julio</t>
  </si>
  <si>
    <t>Agosto</t>
  </si>
  <si>
    <t>Septiembre</t>
  </si>
  <si>
    <t>Octubre</t>
  </si>
  <si>
    <t>Noviembre</t>
  </si>
  <si>
    <t>Diciembre</t>
  </si>
  <si>
    <t xml:space="preserve">   PLAZO PROMEDIO DE COBRO POR BANCO (días)</t>
  </si>
  <si>
    <t>Cheques Pagados</t>
  </si>
  <si>
    <t xml:space="preserve">  CHEQUES CADUCADOS / FUERA DE FECHA</t>
  </si>
  <si>
    <t>PROMEDIO GENERAL</t>
  </si>
  <si>
    <t xml:space="preserve">   CHEQUES A PAGAR</t>
  </si>
  <si>
    <t>Cheques a conformar hoy</t>
  </si>
  <si>
    <t>Cheques pendientes vencen esta semana</t>
  </si>
  <si>
    <t>Cheques que vencen en la próxima semana</t>
  </si>
  <si>
    <t>Cheques que vencen en más de 15 días</t>
  </si>
  <si>
    <t>COMBUSTIBLES DEL NORTE S.A. LAS LAJITAS 09</t>
  </si>
  <si>
    <t>RODRIGUEZ NESTOR HORACIO YERBA BUENA 14</t>
  </si>
  <si>
    <t>FANTINI-LOPEZ EL CALDEN AGROS JESUS MARIA 14</t>
  </si>
  <si>
    <t>SUAREZ GABRIEL SEBASTIAN SANTIAGO DEL ESTERO 13</t>
  </si>
  <si>
    <t>Pulmajo S.R.L. CONCEPCION 14</t>
  </si>
  <si>
    <t>PETROANDINA S.R.L SALTA 09</t>
  </si>
  <si>
    <t>GRUPO MARGEN DEL NOA SA YERBA BUENA 14</t>
  </si>
  <si>
    <t>SOUK S. A. S. SANTIAGO DEL ESTERO 13</t>
  </si>
  <si>
    <t>Laborda Carlos SAN MIGUEL DE TUCUMAN 14</t>
  </si>
  <si>
    <t>LOS NOGALES S.R.L General Jose de San 16</t>
  </si>
  <si>
    <t>EL IMPENETRABLE SRL CORRIENTES 04</t>
  </si>
  <si>
    <t>DE CIA GALFRASCOLI PIERO FABIOQUIMILI 13</t>
  </si>
  <si>
    <t>TRANSPORTE QUERANDIES SRL SANTA FE 12</t>
  </si>
  <si>
    <t>Cheque de terceros tucumán</t>
  </si>
  <si>
    <t>AGROTRANSPORTE ALDAO S.A. CAMILO ALDAO 03</t>
  </si>
  <si>
    <t>ALBORNOZ RODRIGO EZEQUIEL - PAMPA MAYO 14</t>
  </si>
  <si>
    <t>CAJAL JUAN MARTIN SAN MIGUEL DE TUCUMAN 14</t>
  </si>
  <si>
    <t>AYALA HERNAN OSVALDO SAN MIGUEL DE TUCUMAN 14</t>
  </si>
  <si>
    <t>BUSTOS EXEQUIEL ANTONIO BANDA DEL RIO SALI 14</t>
  </si>
  <si>
    <t>MOYANO JULIO CESAR BANDA DEL RIO SALI 14</t>
  </si>
  <si>
    <t>TRANSPORTE BARBERAN HNOS SRL CHABAS 12</t>
  </si>
  <si>
    <t>ZALAZAR ATTIS LOURDES NOEMI NUEVA ESPERANZA 13</t>
  </si>
  <si>
    <t>Cheque de terceros TUCUMAN</t>
  </si>
  <si>
    <t>LENARDUZZI DIEGO LEONARDO SAN JUSTO 12</t>
  </si>
  <si>
    <t>MOYANO SERGIO ESTEBAN BANDA DEL RIO SALI 14</t>
  </si>
  <si>
    <t>YOMEL S.A. 9 de Julio 01</t>
  </si>
  <si>
    <t>20/01/2025</t>
  </si>
  <si>
    <t>28/01/2025</t>
  </si>
  <si>
    <t>11/02/2025</t>
  </si>
  <si>
    <t>12/02/2025</t>
  </si>
  <si>
    <t>28/02/2025</t>
  </si>
  <si>
    <t>05/03/2025</t>
  </si>
  <si>
    <t>25/03/2025</t>
  </si>
  <si>
    <t>16/04/2025</t>
  </si>
  <si>
    <t>28/05/2025</t>
  </si>
  <si>
    <t>11/06/2025</t>
  </si>
  <si>
    <t>13/08/2025</t>
  </si>
  <si>
    <t>22/08/2025</t>
  </si>
  <si>
    <t>07/11/2025</t>
  </si>
  <si>
    <t>04/12/2025</t>
  </si>
  <si>
    <t>17/12/2025</t>
  </si>
  <si>
    <t>09/01/2026</t>
  </si>
  <si>
    <t>13/01/2026</t>
  </si>
  <si>
    <t>14/01/2026</t>
  </si>
  <si>
    <t>06/02/2026</t>
  </si>
  <si>
    <t>12/02/2026</t>
  </si>
  <si>
    <t>13/02/2026</t>
  </si>
  <si>
    <t>Estado</t>
  </si>
  <si>
    <t>06/03/2026</t>
  </si>
  <si>
    <t>Año:</t>
  </si>
  <si>
    <t>09/03/2026</t>
  </si>
  <si>
    <t>ASOC.ARG.PROT.OBTENCIONES VEGECIUDAD AUTONOMA DE BUENOS AIRES 01</t>
  </si>
  <si>
    <t>YUNGAS AGROINSUMOS S.A YERBA BUENA 14</t>
  </si>
  <si>
    <t>CAMPOSTRINI S R L VILLAGUAY 05</t>
  </si>
  <si>
    <t>TRANSPORTE Y LOGISTICA DEL ESTLAS CEJAS 14</t>
  </si>
  <si>
    <t>LOGISTICA CENTRO S.R.L CORONDA 12</t>
  </si>
  <si>
    <t>PRADO JAVIER EDUARDO - FLORIDA 13</t>
  </si>
  <si>
    <t>PAIS WALTER LUIS SAN MIGUEL DE TUCUMAN 14</t>
  </si>
  <si>
    <t>TRANSPORTE PRINCE SRL ROSARIO NORTE 12</t>
  </si>
  <si>
    <t>TRANS TRUCKS SRL SOLDINI 12</t>
  </si>
  <si>
    <t>Monsanto Argentina SRL CAPITAL FEDERAL 00</t>
  </si>
  <si>
    <t>MOLINA JUAN F. Y MOLINA ROQUE Lastenia 14</t>
  </si>
  <si>
    <t>MARTO ALBERTO ANTONIO LA RAMADA DE ABAJO 14</t>
  </si>
  <si>
    <t>AYALA WALTER DANIEL ALDERETES 14</t>
  </si>
  <si>
    <t>Pulverizaciones Tuninetti S.R.Las Rosas 01</t>
  </si>
  <si>
    <t>LIZONDO OSCAR FABIAN METAN 09</t>
  </si>
  <si>
    <t>VERON,MARIANA BEATRIZ NUEVA ESPERANZA 13</t>
  </si>
  <si>
    <t>Medina Lauro Jose Las Cejas 14</t>
  </si>
  <si>
    <t>MALATINI SRL GRAL DEHEZA 03</t>
  </si>
  <si>
    <t>ESTANCIA EL AZUL S.A SAN MIGUEL DE TUCUMAN 14</t>
  </si>
  <si>
    <t>GOMEZ MANUEL ARCENIO METAN 09</t>
  </si>
  <si>
    <t>SAN LORENZO CEREALES S.R.L SAN LORENZO 12</t>
  </si>
  <si>
    <t>MARIA FERNANDA SRL LA TRINIDAD 14</t>
  </si>
  <si>
    <t>IBAÑEZ MAXIMILIANO DAVID JUAN BAUTISTA ALBERDI 14</t>
  </si>
  <si>
    <t>SERVICOM S.R.L SAN MIGUEL DE TUCUMAN 14</t>
  </si>
  <si>
    <t>Ventimiglia Nelly Irma Jesus Maria 03</t>
  </si>
  <si>
    <t>JAVIER EDUARDO PRADO FLORIDA 13</t>
  </si>
  <si>
    <t>LOS LAURELES SERVICIOS AGRICOLSan Miguel De Tucuman 14</t>
  </si>
  <si>
    <t>CARIGNANO RAUL JUAN YERBA BUENA 14</t>
  </si>
  <si>
    <t>EL CERRITO SRL CERRILLOS 09</t>
  </si>
  <si>
    <t>LAVENIA VITO CARMELO LASTENIA 14</t>
  </si>
  <si>
    <t>GIRAUD SILVIA DEL CARMEN RAMONCRESPO 05</t>
  </si>
  <si>
    <t>ROMAN BARCELO Y JORGE CARRERASLAS LAJITAS 09</t>
  </si>
  <si>
    <t>DON KOKO S.R.L CAMILO ALDAO 03</t>
  </si>
  <si>
    <t xml:space="preserve">TRANSPORTE PRINCE SRL ROSARIO NORTE 12                                      </t>
  </si>
  <si>
    <t xml:space="preserve">TRANS TRUCKS SRL SOLDINI 12                                                 </t>
  </si>
  <si>
    <t xml:space="preserve">BUSTOS EXEQUIEL ANTONIO BANDA DEL RIO SALI 14                            </t>
  </si>
  <si>
    <t>SURIAGRO SRL SAN MIGUEL DE TUCUMAN 14</t>
  </si>
  <si>
    <t>LOGISTICA DEL NORTE S.R.L. SAN MIGUEL DE TUCUMAN 14</t>
  </si>
  <si>
    <t>WILLIAMS LOGISTICA SA CIUDAD AUTONOMA BUENOS AIRES 00</t>
  </si>
  <si>
    <t>COSENTINO DROVETA AGUSTIN BANDA DEL RIO SALI 14</t>
  </si>
  <si>
    <t>NOVA SAU Cañada de Gomez 03</t>
  </si>
  <si>
    <t>PIAZZA OSCAR ESTEBAN SAN MIGUEL DE TUCUMAN 14</t>
  </si>
  <si>
    <t>OLGUIN MARIO ROBERTO ETRURIA 03</t>
  </si>
  <si>
    <t>Romero, Hector Ruben Alpachiri 14</t>
  </si>
  <si>
    <t>E y Po SRL CONCEPCION 14</t>
  </si>
  <si>
    <t>Ruiz Bejar SRL SAN MIGUEL DE TUCUMAN 14</t>
  </si>
  <si>
    <t>Gulf Oil Argentina SA Lomas Del Mirador 01</t>
  </si>
  <si>
    <t>EMPRENDIMIENTOS ASSUN S.A. SANTIAGO DEL ESTERO 13</t>
  </si>
  <si>
    <t>CORTEVA AGRISCIENCE ARGENTINA CIUDAD AUTONOMA DE BUENOS AIRES 01</t>
  </si>
  <si>
    <t>LASTRINA CARMELO ALTO VERDE 14</t>
  </si>
  <si>
    <t>ANTONACCI LUIS GABRIEL LA FLORIDA 14</t>
  </si>
  <si>
    <t>TRANSPORTE CLASON SRL ROSARIO 12</t>
  </si>
  <si>
    <t>ARAGON CARLOS DANIEL LA BANDA 13</t>
  </si>
  <si>
    <t>GARNIER MARCELO, HERNAN Y DIEGCOLON 05</t>
  </si>
  <si>
    <t>GUERRERO DANIEL MARCELO - ALDERETES 14</t>
  </si>
  <si>
    <t>Cheque de terceros Tucuman</t>
  </si>
  <si>
    <t>AGROQUIMICA ALBERDI S.R.L. CONCEPCION 14</t>
  </si>
  <si>
    <t>TRANSPORTE RAUL S.R.L SAN MIGUEL DE TUCUMAN 14</t>
  </si>
  <si>
    <t>ABUT TRANSPORTES SA CENTENO 12</t>
  </si>
  <si>
    <t>TRANSPORTE LUIS SANDOVAL S.A.SLOS VALLISTOS 14</t>
  </si>
  <si>
    <t>GOMEZ JESSICA NOELIA LAS TALITAS 14</t>
  </si>
  <si>
    <t>ELIAS LUCIANO EMANUEL LAS TALITAS 14</t>
  </si>
  <si>
    <t>BUSTOS CESAR ANIBAL BANDAL DE RIO SALI 14</t>
  </si>
  <si>
    <t>ENTREGAS SERDEN S.R.L SAN LORENZO 12</t>
  </si>
  <si>
    <t>DANIEL MARCELO GUERRERO ALDERETES 14</t>
  </si>
  <si>
    <t>Roda Transformecanica Serv.SRLSAN MIGUEL DE TUCUMAN 14</t>
  </si>
  <si>
    <t>GARCIA JORGE LUIS METAN 09</t>
  </si>
  <si>
    <t>TRANSPORTE GLOBAL SAS SAN MIGUEL DE TUCUMAN 14</t>
  </si>
  <si>
    <t>GOMEZ JOSE PATRICIO SAN MIGUEL DE TUCUMAN 14</t>
  </si>
  <si>
    <t>RUIZ CRISTIAN ALEJANDRO . LA FLORIDA 14</t>
  </si>
  <si>
    <t>GUIFFREY MARCELO GUSTAVO VILLA ELISA 05</t>
  </si>
  <si>
    <t>Syngenta Agro S.A. Vicente López 01</t>
  </si>
  <si>
    <t>AACREA BUENOS AIRES 01</t>
  </si>
  <si>
    <t>Aso, Eduardo SAN MIGUEL DE TUCUMAN 14</t>
  </si>
  <si>
    <t>Avila Carlos Alberto SAN MIGUEL DE TUCUMAN 14</t>
  </si>
  <si>
    <t>BUSSINES AND TRANSPORT SRL . 30712924507 14</t>
  </si>
  <si>
    <t>COCCOLO LOGISTICA SA cañada rosquin 12</t>
  </si>
  <si>
    <t>Paz Pablo Jose SAN MIGUEL DE TUCUMAN 14</t>
  </si>
  <si>
    <t>Tucagro S.R.L CEVIL POZO 14</t>
  </si>
  <si>
    <t>SIGMA AGRO SA MERCEDES 01</t>
  </si>
  <si>
    <t>BERNADAL SERGIO RODOLFO BANDA DEL RIO SALI- TUCUMAN 14</t>
  </si>
  <si>
    <t>MARCOS SCHMUKLER S.A SAN SALVADOR 05</t>
  </si>
  <si>
    <t>ZIVILLICA JOSE LUIS SAN MIGUEL DE TUCUMAN 14</t>
  </si>
  <si>
    <t>BONURA CARLOS RUBEN LOS RALOS 14</t>
  </si>
  <si>
    <t>TECNOMYL SA CORDOBA 03</t>
  </si>
  <si>
    <t>AGROGANADERA DEL NOA CEVIL POZO 14</t>
  </si>
  <si>
    <t>EL PIONERO SAS TUCUMAN 14</t>
  </si>
  <si>
    <t>UPL ARGENTINA S.A. CIUDAD AUTONOMA BUENOS AIRES 01</t>
  </si>
  <si>
    <t>TRANS-MAGG S.R.L ACEBAL 12</t>
  </si>
  <si>
    <t>Suc. de Ventimiglia Nelly IrmJesus Maria 03</t>
  </si>
  <si>
    <t>Transporte Coronda S.A. CORDOBA 03</t>
  </si>
  <si>
    <t>CARLI SERGIO EDUARDO SANTA FE 12</t>
  </si>
  <si>
    <t>SALTOS JOSUE GONZALO NUEVA ESPERANZA 13</t>
  </si>
  <si>
    <t>LLANOS RAMON ROQUE SAN MIGUEL DE TUCUMAN 14</t>
  </si>
  <si>
    <t>ALLENDE CECILIO ALBERTO GOBERNADOR FEBRE 05</t>
  </si>
  <si>
    <t>UDRIZARD VIVIANA ISABEL CONCORDIA 05</t>
  </si>
  <si>
    <t>ACOSTA EMILIA ROMINA JOAQUIN V GONZALEZ 09</t>
  </si>
  <si>
    <t>GDM ARGENTINA SA Chacabuco 01</t>
  </si>
  <si>
    <t>NUTRITERRA S.A CHIMBAS 10</t>
  </si>
  <si>
    <t>SUMMIT AGRO ARGENTINA S.A CIUDAD AUTONOMA DE BUENOS AIRES 01</t>
  </si>
  <si>
    <t>ADVANTA SEMILLAS SAIC JUNIN 01</t>
  </si>
  <si>
    <t>Pro Agro S.R.L SAN MIGUEL DE TUCUMAN 14</t>
  </si>
  <si>
    <t>Anulado</t>
  </si>
  <si>
    <t>Establecimiento Minero Sofia SElena 03</t>
  </si>
  <si>
    <t>GONZALEZ LUIS ALEJANDRO YERBA BUENA 14</t>
  </si>
  <si>
    <t>TRANSPORTE LAVENIA SAS LASTENIA 14</t>
  </si>
  <si>
    <t>FOLMER SERGIO NICOLAS entre rios 05</t>
  </si>
  <si>
    <t>RAMIREZ CECILIA LORENA LAS LAJITAS 09</t>
  </si>
  <si>
    <t>TENSAC S.H. SAN MIGUEL DE TUCUMAN 14</t>
  </si>
  <si>
    <t>FERNANDEZ CESAR ANDRES ALEJANDSALTA 09</t>
  </si>
  <si>
    <t>LEGUMBRES SACIFIA SAN MIGUEL DE TUCUMAN 14</t>
  </si>
  <si>
    <t>TENSAC S.H.</t>
  </si>
  <si>
    <t>CRIADERO KLEIN SA PLA, PARTIDO DE ALBERTI 01</t>
  </si>
  <si>
    <t>PEREZ FABIAN ESTELIO ENTRE RIOS 05</t>
  </si>
  <si>
    <t>MARIA FERNANDA SRL</t>
  </si>
  <si>
    <t>AGROTRANSPORTE ALDAO S.A.</t>
  </si>
  <si>
    <t>TRANSPORTE BARBERAN HNOS SRL</t>
  </si>
  <si>
    <t>Suc. de Ventimiglia Nelly  Irma</t>
  </si>
  <si>
    <t>FUNDACION ARGENINTA</t>
  </si>
  <si>
    <t>AYALA WALTER DANIEL</t>
  </si>
  <si>
    <t>KAPP ALEJANDRA MATILDE</t>
  </si>
  <si>
    <t>BOHL RENE</t>
  </si>
  <si>
    <t>BERNADAL SERGIO RODOLFO</t>
  </si>
  <si>
    <t>VENUTTI CESAR AGUSTIN .</t>
  </si>
  <si>
    <t>JAVIER EDUARDO PRADO</t>
  </si>
  <si>
    <t>ANTONACCI LUIS GABRIEL</t>
  </si>
  <si>
    <t>TRANS TRUCKS SRL</t>
  </si>
  <si>
    <t>WILLIAMS LOGISTICA SA</t>
  </si>
  <si>
    <t>TRANSPORTE RAUL S.R.L</t>
  </si>
  <si>
    <t>FLETES Y SERVICIOS PUJATO S.A</t>
  </si>
  <si>
    <t>ECONOMIC FUEL SRL</t>
  </si>
  <si>
    <t>ALADIO SERGIO ANTONIO</t>
  </si>
  <si>
    <t>Moraiz Pisarenko, Pedro I. SAN MIGUEL DE TUCUMAN 14</t>
  </si>
  <si>
    <t>MAGLI FLORENCIA CAROLINA LAS TALITAS 14</t>
  </si>
  <si>
    <t>TOURNOUR ADRIAN LEONEL VILLA ELISA 05</t>
  </si>
  <si>
    <t>ILUZZI MIGUEL ANGEL CIUDAD AUTONOMA BUENOS AIRES 00</t>
  </si>
  <si>
    <t>NAVYTRANS SA CAPITAL FEDERAL 00</t>
  </si>
  <si>
    <t>AGUERA CRISTIAN MARTIN CONCEPCION 14</t>
  </si>
  <si>
    <t>FUNDACION INNOVA-T CIUDAD AUTONOMA DE BUENOS AIRES 01</t>
  </si>
  <si>
    <t>ARPAFLU SRL CAPTAL FEDERAL 00</t>
  </si>
  <si>
    <t>AGROALAS SA Las Cejas 14</t>
  </si>
  <si>
    <t>10/01/2025</t>
  </si>
  <si>
    <t>29/01/2025</t>
  </si>
  <si>
    <t>05/02/2025</t>
  </si>
  <si>
    <t>27/02/2025</t>
  </si>
  <si>
    <t>11/03/2025</t>
  </si>
  <si>
    <t>21/03/2025</t>
  </si>
  <si>
    <t>04/04/2025</t>
  </si>
  <si>
    <t>10/04/2025</t>
  </si>
  <si>
    <t>22/05/2025</t>
  </si>
  <si>
    <t>02/06/2025</t>
  </si>
  <si>
    <t>04/06/2025</t>
  </si>
  <si>
    <t>24/06/2025</t>
  </si>
  <si>
    <t>CH/CJE.48H</t>
  </si>
  <si>
    <t xml:space="preserve">CH. 48HS.94231553        </t>
  </si>
  <si>
    <t>26/06/2025</t>
  </si>
  <si>
    <t xml:space="preserve">CH. 48HS.94231549        </t>
  </si>
  <si>
    <t>27/06/2025</t>
  </si>
  <si>
    <t xml:space="preserve">CH. 48HS.94231556        </t>
  </si>
  <si>
    <t xml:space="preserve">CH. 48HS.94231557        </t>
  </si>
  <si>
    <t xml:space="preserve">CH. 48HS.94231555        </t>
  </si>
  <si>
    <t>02/07/2025</t>
  </si>
  <si>
    <t>07/07/2025</t>
  </si>
  <si>
    <t xml:space="preserve">CH. 48HS.94231558        </t>
  </si>
  <si>
    <t>23/07/2025</t>
  </si>
  <si>
    <t>24/07/2025</t>
  </si>
  <si>
    <t xml:space="preserve">ECH.48HS 3111698         </t>
  </si>
  <si>
    <t>14/08/2025</t>
  </si>
  <si>
    <t>03/09/2025</t>
  </si>
  <si>
    <t>09/09/2025</t>
  </si>
  <si>
    <t>17/09/2025</t>
  </si>
  <si>
    <t>19/09/2025</t>
  </si>
  <si>
    <t>09/10/2025</t>
  </si>
  <si>
    <t>13/10/2025</t>
  </si>
  <si>
    <t>20/10/2025</t>
  </si>
  <si>
    <t>21/10/2025</t>
  </si>
  <si>
    <t>31/10/2025</t>
  </si>
  <si>
    <t>05/11/2025</t>
  </si>
  <si>
    <t>10/11/2025</t>
  </si>
  <si>
    <t>17/11/2025</t>
  </si>
  <si>
    <t>19/11/2025</t>
  </si>
  <si>
    <t>20/11/2025</t>
  </si>
  <si>
    <t>10/12/2025</t>
  </si>
  <si>
    <t>29/12/2025</t>
  </si>
  <si>
    <t>16/01/2026</t>
  </si>
  <si>
    <t>29/01/2026</t>
  </si>
  <si>
    <t>02/03/2026</t>
  </si>
  <si>
    <t>05/03/2026</t>
  </si>
  <si>
    <t>MAZZA ERNESTO RODOLFO FAMAILLA - TUCUMAN 14</t>
  </si>
  <si>
    <t>EMPRESA: VILUCO SA</t>
  </si>
  <si>
    <t>VILUCO S.A.  —  Control de Cheques</t>
  </si>
  <si>
    <t>VILUCO S.A.  —  Análisis de Cheques</t>
  </si>
  <si>
    <t>11/03/2026</t>
  </si>
  <si>
    <t>16/03/2026</t>
  </si>
  <si>
    <t>17/03/2026</t>
  </si>
  <si>
    <t>20/03/2026</t>
  </si>
  <si>
    <t>TRAPICHE SA BANDA DEL RIO SALI 14</t>
  </si>
  <si>
    <t>26/03/2026</t>
  </si>
  <si>
    <t>RIO CHICO SA CIUDADELA 01</t>
  </si>
  <si>
    <t>30/03/2026</t>
  </si>
  <si>
    <t>SANTOS JUAN ALBERTO SANTIAGO DEL ESTERO 13</t>
  </si>
  <si>
    <t>GUERRERO DANIEL MARCELO ALDERETES 14</t>
  </si>
  <si>
    <t>CHEQUE CANJE INTERNO</t>
  </si>
  <si>
    <t>CHEQUE P/CAMARA</t>
  </si>
  <si>
    <t>. TUCUMAN</t>
  </si>
  <si>
    <t>ALMIROTY E HIJOS SRL CABA 00</t>
  </si>
  <si>
    <t>LUBRE S.R.L. LOS NOGALES 14</t>
  </si>
  <si>
    <t>THEAUX AGUSTIN LA COCHA 14</t>
  </si>
  <si>
    <t>invalidado med.EOLIVERA -Vencimiento BCRA</t>
  </si>
  <si>
    <t>BLEXA S. A. SALTA 09</t>
  </si>
  <si>
    <t>CH DEP 48</t>
  </si>
  <si>
    <t>TRT SA SANTA FE 12</t>
  </si>
  <si>
    <t>TRANSPORTE Y LOG VIENTO NORTE LAS TALITAS 14</t>
  </si>
  <si>
    <t>MEDINA DISTRIBUCIONES SAS TAFI VIEJO 14</t>
  </si>
  <si>
    <t>ALGOSERVICIOS SA CAPTAL FEDERAL 00</t>
  </si>
  <si>
    <t>08/06/2026</t>
  </si>
  <si>
    <t>09/06/2026</t>
  </si>
  <si>
    <t>10/06/2026</t>
  </si>
  <si>
    <t>12/06/2026</t>
  </si>
  <si>
    <t>16/06/2026</t>
  </si>
  <si>
    <t>17/06/2026</t>
  </si>
  <si>
    <t>18/06/2026</t>
  </si>
  <si>
    <t>22/06/2026</t>
  </si>
  <si>
    <t>23/06/2026</t>
  </si>
  <si>
    <t>CITRUSVIL S.A. CEVIL POZO 14</t>
  </si>
  <si>
    <t>Consorcio de Propietarios SPCLLules 14</t>
  </si>
  <si>
    <t>25/06/2026</t>
  </si>
  <si>
    <t>26/06/2026</t>
  </si>
  <si>
    <t>JAVIER EDUARDO FLORIDA 13</t>
  </si>
  <si>
    <t>ECONOMIC FUEL SRL JUJUY 08</t>
  </si>
  <si>
    <t>29/06/2026</t>
  </si>
  <si>
    <t>30/06/2026</t>
  </si>
  <si>
    <t>01/07/2026</t>
  </si>
  <si>
    <t>03/07/2026</t>
  </si>
  <si>
    <t>06/07/2026</t>
  </si>
  <si>
    <t>07/07/2026</t>
  </si>
  <si>
    <t>08/07/2026</t>
  </si>
  <si>
    <t>CERGEN SRL CAPITAL FEDERAL 00</t>
  </si>
  <si>
    <t>14/07/2026</t>
  </si>
  <si>
    <t>15/07/2026</t>
  </si>
  <si>
    <t>GEOTECNOLOGIA S.R.L SAN MIGUEL DE TUCUMAN 14</t>
  </si>
  <si>
    <t>PROFERTIL S.A. Bahia Blanca 01</t>
  </si>
  <si>
    <t>22/07/2026</t>
  </si>
  <si>
    <t>23/07/2026</t>
  </si>
  <si>
    <t>24/07/2026</t>
  </si>
  <si>
    <t>27/07/2026</t>
  </si>
  <si>
    <t>28/07/2026</t>
  </si>
  <si>
    <t>29/07/2026</t>
  </si>
  <si>
    <t>31/07/2026</t>
  </si>
  <si>
    <t>03/08/2026</t>
  </si>
  <si>
    <t>EDUARDO SAN ROMAN TUCUMN 14</t>
  </si>
  <si>
    <t>CASAS GERMAN DAVID YERBA BENA 14</t>
  </si>
  <si>
    <t>05/08/2026</t>
  </si>
  <si>
    <t>clearing</t>
  </si>
  <si>
    <t>OLIVA DANIEL DAVID PICHANAL 09</t>
  </si>
  <si>
    <t>10/08/2026</t>
  </si>
  <si>
    <t>11/08/2026</t>
  </si>
  <si>
    <t>12/08/2026</t>
  </si>
  <si>
    <t>13/08/2026</t>
  </si>
  <si>
    <t>14/08/2026</t>
  </si>
  <si>
    <t>La Cosecha S.R.L. Las Parejas 12</t>
  </si>
  <si>
    <t>SERRANO GUERRERO GERARDO FRANCSAN MIGUEL DE TUCUMAN 14</t>
  </si>
  <si>
    <t>18/08/2026</t>
  </si>
  <si>
    <t>19/08/2026</t>
  </si>
  <si>
    <t>20/08/2026</t>
  </si>
  <si>
    <t>21/08/2026</t>
  </si>
  <si>
    <t>BUENA RUTA SA YERBA BUENA 14</t>
  </si>
  <si>
    <t>Agro Yutuyaco S.R.L. Laferrere 01</t>
  </si>
  <si>
    <t>24/08/2026</t>
  </si>
  <si>
    <t>25/08/2026</t>
  </si>
  <si>
    <t>26/08/2026</t>
  </si>
  <si>
    <t>27/08/2026</t>
  </si>
  <si>
    <t>28/08/2026</t>
  </si>
  <si>
    <t>Cheques a Vencer Semana 07/09 al 11/09</t>
  </si>
  <si>
    <t>31/08/2026</t>
  </si>
  <si>
    <t>01/09/2026</t>
  </si>
  <si>
    <t>02/09/2026</t>
  </si>
  <si>
    <t>03/09/2026</t>
  </si>
  <si>
    <t>04/09/2026</t>
  </si>
  <si>
    <t>04/09/202</t>
  </si>
  <si>
    <t>Cheques a Vencer Semana 14/09 al 18/09</t>
  </si>
  <si>
    <t>Cheques a Vencer Semana 21/09 en adelante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</si>
</sst>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&quot;$&quot;\ #,##0.00"/>
    <numFmt numFmtId="167" formatCode="&quot;Fecha de actualización: &quot;dd/mm/yyyy"/>
    <numFmt numFmtId="168" formatCode="&quot;Actualizado al: &quot;dd/mm/yyyy&quot;  |  Fuente: sap nuevo&quot;"/>
    <numFmt numFmtId="169" formatCode="0.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rgb="FFFFFFFF"/>
      <name val="Arial"/>
      <family val="2"/>
    </font>
    <font>
      <i/>
      <sz val="9"/>
      <color rgb="FF555555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sz val="10"/>
      <color rgb="FF999999"/>
      <name val="Arial"/>
      <family val="2"/>
    </font>
    <font>
      <b/>
      <sz val="10"/>
      <name val="Arial"/>
      <family val="2"/>
    </font>
    <font>
      <i/>
      <sz val="9"/>
      <color rgb="FF444444"/>
      <name val="Arial"/>
      <family val="2"/>
    </font>
    <font>
      <b/>
      <sz val="10"/>
      <color rgb="FF1B3A6B"/>
      <name val="Arial"/>
      <family val="2"/>
    </font>
    <font>
      <sz val="10"/>
      <color rgb="FF1B3A6B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B3A6B"/>
      </patternFill>
    </fill>
    <fill>
      <patternFill patternType="solid">
        <fgColor rgb="FFD6E4F0"/>
      </patternFill>
    </fill>
    <fill>
      <patternFill patternType="solid">
        <fgColor rgb="FFEEF3FA"/>
      </patternFill>
    </fill>
    <fill>
      <patternFill patternType="solid">
        <fgColor rgb="FF2E6DB4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8B1C1C"/>
      </patternFill>
    </fill>
    <fill>
      <patternFill patternType="solid">
        <fgColor rgb="FFFDECEA"/>
      </patternFill>
    </fill>
    <fill>
      <patternFill patternType="solid">
        <fgColor rgb="FFFFF2CC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2E6DB4"/>
      </left>
      <right style="thin">
        <color rgb="FF2E6DB4"/>
      </right>
      <top style="thin">
        <color rgb="FF2E6DB4"/>
      </top>
      <bottom style="thin">
        <color rgb="FF2E6DB4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BDD0E8"/>
      </left>
      <right style="thin">
        <color rgb="FFBDD0E8"/>
      </right>
      <top style="thin">
        <color rgb="FFBDD0E8"/>
      </top>
      <bottom style="thin">
        <color rgb="FFBDD0E8"/>
      </bottom>
      <diagonal/>
    </border>
    <border>
      <left style="thin">
        <color rgb="FF8B1C1C"/>
      </left>
      <right style="thin">
        <color rgb="FF8B1C1C"/>
      </right>
      <top style="thin">
        <color rgb="FF8B1C1C"/>
      </top>
      <bottom style="thin">
        <color rgb="FF8B1C1C"/>
      </bottom>
      <diagonal/>
    </border>
  </borders>
  <cellStyleXfs count="5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1" fillId="0" borderId="0"/>
    <xf numFmtId="0" fontId="22" fillId="0" borderId="0"/>
    <xf numFmtId="0" fontId="23" fillId="0" borderId="0"/>
    <xf numFmtId="0" fontId="25" fillId="0" borderId="0"/>
  </cellStyleXfs>
  <cellXfs count="111">
    <xf numFmtId="0" fontId="0" fillId="0" borderId="0" xfId="0"/>
    <xf numFmtId="0" fontId="18" fillId="0" borderId="0" xfId="0" applyFont="1" applyAlignment="1">
      <alignment horizontal="center" vertical="center"/>
    </xf>
    <xf numFmtId="165" fontId="18" fillId="0" borderId="0" xfId="1" applyFont="1" applyAlignment="1">
      <alignment horizontal="center" vertical="center"/>
    </xf>
    <xf numFmtId="14" fontId="0" fillId="0" borderId="0" xfId="0" applyNumberFormat="1"/>
    <xf numFmtId="165" fontId="0" fillId="0" borderId="0" xfId="1" applyFont="1"/>
    <xf numFmtId="164" fontId="0" fillId="0" borderId="0" xfId="2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" fontId="0" fillId="0" borderId="0" xfId="0" applyNumberFormat="1"/>
    <xf numFmtId="166" fontId="0" fillId="0" borderId="0" xfId="0" applyNumberFormat="1"/>
    <xf numFmtId="0" fontId="0" fillId="0" borderId="10" xfId="0" applyBorder="1"/>
    <xf numFmtId="164" fontId="0" fillId="35" borderId="0" xfId="2" applyFont="1" applyFill="1"/>
    <xf numFmtId="164" fontId="16" fillId="35" borderId="0" xfId="0" applyNumberFormat="1" applyFont="1" applyFill="1"/>
    <xf numFmtId="0" fontId="16" fillId="35" borderId="0" xfId="0" applyFont="1" applyFill="1"/>
    <xf numFmtId="164" fontId="16" fillId="33" borderId="0" xfId="0" applyNumberFormat="1" applyFont="1" applyFill="1"/>
    <xf numFmtId="166" fontId="0" fillId="35" borderId="0" xfId="0" applyNumberFormat="1" applyFill="1"/>
    <xf numFmtId="0" fontId="0" fillId="37" borderId="0" xfId="0" applyFill="1"/>
    <xf numFmtId="0" fontId="0" fillId="0" borderId="0" xfId="0" applyAlignment="1">
      <alignment horizontal="center"/>
    </xf>
    <xf numFmtId="44" fontId="0" fillId="0" borderId="0" xfId="0" applyNumberFormat="1"/>
    <xf numFmtId="4" fontId="0" fillId="0" borderId="0" xfId="0" applyNumberFormat="1" applyAlignment="1">
      <alignment horizontal="right"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center"/>
    </xf>
    <xf numFmtId="0" fontId="16" fillId="36" borderId="0" xfId="0" applyFont="1" applyFill="1" applyAlignment="1">
      <alignment horizontal="center"/>
    </xf>
    <xf numFmtId="0" fontId="16" fillId="37" borderId="0" xfId="0" applyFont="1" applyFill="1"/>
    <xf numFmtId="14" fontId="0" fillId="37" borderId="0" xfId="0" applyNumberFormat="1" applyFill="1"/>
    <xf numFmtId="0" fontId="24" fillId="38" borderId="13" xfId="0" applyFont="1" applyFill="1" applyBorder="1" applyAlignment="1">
      <alignment horizontal="center"/>
    </xf>
    <xf numFmtId="14" fontId="24" fillId="38" borderId="13" xfId="0" applyNumberFormat="1" applyFont="1" applyFill="1" applyBorder="1" applyAlignment="1">
      <alignment horizontal="center"/>
    </xf>
    <xf numFmtId="0" fontId="24" fillId="38" borderId="14" xfId="0" applyFont="1" applyFill="1" applyBorder="1" applyAlignment="1">
      <alignment horizontal="center"/>
    </xf>
    <xf numFmtId="0" fontId="0" fillId="35" borderId="0" xfId="0" applyFill="1" applyAlignment="1">
      <alignment horizontal="left"/>
    </xf>
    <xf numFmtId="14" fontId="0" fillId="35" borderId="0" xfId="0" applyNumberFormat="1" applyFill="1" applyAlignment="1">
      <alignment horizontal="center"/>
    </xf>
    <xf numFmtId="0" fontId="0" fillId="34" borderId="0" xfId="0" applyFill="1"/>
    <xf numFmtId="0" fontId="18" fillId="34" borderId="0" xfId="0" applyFont="1" applyFill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165" fontId="26" fillId="0" borderId="13" xfId="1" applyFont="1" applyBorder="1" applyAlignment="1">
      <alignment horizontal="center" vertical="center" wrapText="1"/>
    </xf>
    <xf numFmtId="14" fontId="26" fillId="0" borderId="13" xfId="0" applyNumberFormat="1" applyFont="1" applyBorder="1" applyAlignment="1">
      <alignment horizontal="center" vertical="center" wrapText="1"/>
    </xf>
    <xf numFmtId="0" fontId="26" fillId="0" borderId="0" xfId="0" applyFont="1"/>
    <xf numFmtId="14" fontId="26" fillId="0" borderId="0" xfId="0" applyNumberFormat="1" applyFont="1"/>
    <xf numFmtId="165" fontId="26" fillId="0" borderId="0" xfId="1" applyFont="1"/>
    <xf numFmtId="0" fontId="26" fillId="39" borderId="0" xfId="0" applyFont="1" applyFill="1"/>
    <xf numFmtId="14" fontId="26" fillId="39" borderId="0" xfId="0" applyNumberFormat="1" applyFont="1" applyFill="1"/>
    <xf numFmtId="0" fontId="26" fillId="36" borderId="0" xfId="0" applyFont="1" applyFill="1"/>
    <xf numFmtId="0" fontId="26" fillId="39" borderId="11" xfId="0" applyFont="1" applyFill="1" applyBorder="1" applyAlignment="1">
      <alignment horizontal="center" vertical="center" wrapText="1"/>
    </xf>
    <xf numFmtId="0" fontId="26" fillId="39" borderId="0" xfId="0" applyFont="1" applyFill="1" applyAlignment="1">
      <alignment horizontal="center" vertical="center" wrapText="1"/>
    </xf>
    <xf numFmtId="0" fontId="26" fillId="39" borderId="12" xfId="0" applyFont="1" applyFill="1" applyBorder="1" applyAlignment="1">
      <alignment horizontal="center" vertical="center" wrapText="1"/>
    </xf>
    <xf numFmtId="0" fontId="27" fillId="39" borderId="0" xfId="0" applyFont="1" applyFill="1" applyAlignment="1">
      <alignment horizontal="center" vertical="center"/>
    </xf>
    <xf numFmtId="14" fontId="27" fillId="39" borderId="0" xfId="0" applyNumberFormat="1" applyFont="1" applyFill="1" applyAlignment="1">
      <alignment horizontal="center" vertical="center"/>
    </xf>
    <xf numFmtId="0" fontId="26" fillId="39" borderId="10" xfId="0" applyFont="1" applyFill="1" applyBorder="1" applyAlignment="1">
      <alignment horizontal="center" vertical="center" wrapText="1"/>
    </xf>
    <xf numFmtId="14" fontId="26" fillId="39" borderId="10" xfId="0" applyNumberFormat="1" applyFont="1" applyFill="1" applyBorder="1" applyAlignment="1">
      <alignment vertical="center"/>
    </xf>
    <xf numFmtId="165" fontId="0" fillId="0" borderId="0" xfId="1" applyFont="1" applyBorder="1"/>
    <xf numFmtId="0" fontId="0" fillId="39" borderId="0" xfId="0" applyFill="1"/>
    <xf numFmtId="14" fontId="0" fillId="39" borderId="0" xfId="0" applyNumberFormat="1" applyFill="1"/>
    <xf numFmtId="0" fontId="0" fillId="36" borderId="0" xfId="0" applyFill="1"/>
    <xf numFmtId="165" fontId="1" fillId="0" borderId="0" xfId="1" applyFont="1"/>
    <xf numFmtId="0" fontId="0" fillId="42" borderId="0" xfId="0" applyFill="1"/>
    <xf numFmtId="0" fontId="31" fillId="40" borderId="16" xfId="0" applyFont="1" applyFill="1" applyBorder="1" applyAlignment="1">
      <alignment horizontal="center" vertical="center" wrapText="1"/>
    </xf>
    <xf numFmtId="0" fontId="32" fillId="44" borderId="17" xfId="0" applyFont="1" applyFill="1" applyBorder="1" applyAlignment="1">
      <alignment horizontal="center" vertical="center"/>
    </xf>
    <xf numFmtId="14" fontId="32" fillId="44" borderId="17" xfId="0" applyNumberFormat="1" applyFont="1" applyFill="1" applyBorder="1" applyAlignment="1">
      <alignment horizontal="center" vertical="center"/>
    </xf>
    <xf numFmtId="4" fontId="32" fillId="44" borderId="17" xfId="0" applyNumberFormat="1" applyFont="1" applyFill="1" applyBorder="1" applyAlignment="1">
      <alignment horizontal="right" vertical="center"/>
    </xf>
    <xf numFmtId="0" fontId="33" fillId="44" borderId="17" xfId="0" applyFont="1" applyFill="1" applyBorder="1" applyAlignment="1">
      <alignment horizontal="center" vertical="center"/>
    </xf>
    <xf numFmtId="0" fontId="32" fillId="45" borderId="17" xfId="0" applyFont="1" applyFill="1" applyBorder="1" applyAlignment="1">
      <alignment horizontal="center" vertical="center"/>
    </xf>
    <xf numFmtId="14" fontId="32" fillId="45" borderId="17" xfId="0" applyNumberFormat="1" applyFont="1" applyFill="1" applyBorder="1" applyAlignment="1">
      <alignment horizontal="center" vertical="center"/>
    </xf>
    <xf numFmtId="4" fontId="32" fillId="45" borderId="17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left" vertical="center" indent="1"/>
    </xf>
    <xf numFmtId="0" fontId="31" fillId="46" borderId="18" xfId="0" applyFont="1" applyFill="1" applyBorder="1" applyAlignment="1">
      <alignment horizontal="right" vertical="center"/>
    </xf>
    <xf numFmtId="4" fontId="31" fillId="46" borderId="18" xfId="0" applyNumberFormat="1" applyFont="1" applyFill="1" applyBorder="1" applyAlignment="1">
      <alignment horizontal="right" vertical="center"/>
    </xf>
    <xf numFmtId="0" fontId="32" fillId="44" borderId="17" xfId="0" applyFont="1" applyFill="1" applyBorder="1" applyAlignment="1">
      <alignment horizontal="left" vertical="center" indent="1"/>
    </xf>
    <xf numFmtId="4" fontId="19" fillId="44" borderId="17" xfId="0" applyNumberFormat="1" applyFont="1" applyFill="1" applyBorder="1" applyAlignment="1">
      <alignment horizontal="right" vertical="center"/>
    </xf>
    <xf numFmtId="4" fontId="34" fillId="44" borderId="17" xfId="0" applyNumberFormat="1" applyFont="1" applyFill="1" applyBorder="1" applyAlignment="1">
      <alignment horizontal="right" vertical="center"/>
    </xf>
    <xf numFmtId="0" fontId="32" fillId="45" borderId="17" xfId="0" applyFont="1" applyFill="1" applyBorder="1" applyAlignment="1">
      <alignment horizontal="left" vertical="center" indent="1"/>
    </xf>
    <xf numFmtId="4" fontId="19" fillId="45" borderId="17" xfId="0" applyNumberFormat="1" applyFont="1" applyFill="1" applyBorder="1" applyAlignment="1">
      <alignment horizontal="right" vertical="center"/>
    </xf>
    <xf numFmtId="4" fontId="34" fillId="45" borderId="17" xfId="0" applyNumberFormat="1" applyFont="1" applyFill="1" applyBorder="1" applyAlignment="1">
      <alignment horizontal="right" vertical="center"/>
    </xf>
    <xf numFmtId="0" fontId="31" fillId="40" borderId="16" xfId="0" applyFont="1" applyFill="1" applyBorder="1" applyAlignment="1">
      <alignment horizontal="left" vertical="center" indent="1"/>
    </xf>
    <xf numFmtId="4" fontId="31" fillId="40" borderId="16" xfId="0" applyNumberFormat="1" applyFont="1" applyFill="1" applyBorder="1" applyAlignment="1">
      <alignment horizontal="right" vertical="center"/>
    </xf>
    <xf numFmtId="0" fontId="31" fillId="46" borderId="18" xfId="0" applyFont="1" applyFill="1" applyBorder="1" applyAlignment="1">
      <alignment horizontal="center" vertical="center" wrapText="1"/>
    </xf>
    <xf numFmtId="0" fontId="19" fillId="44" borderId="17" xfId="0" applyFont="1" applyFill="1" applyBorder="1" applyAlignment="1">
      <alignment horizontal="center" vertical="center"/>
    </xf>
    <xf numFmtId="0" fontId="32" fillId="47" borderId="17" xfId="0" applyFont="1" applyFill="1" applyBorder="1" applyAlignment="1">
      <alignment horizontal="left" vertical="center" indent="1"/>
    </xf>
    <xf numFmtId="0" fontId="19" fillId="47" borderId="17" xfId="0" applyFont="1" applyFill="1" applyBorder="1" applyAlignment="1">
      <alignment horizontal="center" vertical="center"/>
    </xf>
    <xf numFmtId="4" fontId="19" fillId="47" borderId="17" xfId="0" applyNumberFormat="1" applyFont="1" applyFill="1" applyBorder="1" applyAlignment="1">
      <alignment horizontal="right" vertical="center"/>
    </xf>
    <xf numFmtId="0" fontId="33" fillId="47" borderId="17" xfId="0" applyFont="1" applyFill="1" applyBorder="1" applyAlignment="1">
      <alignment horizontal="center" vertical="center"/>
    </xf>
    <xf numFmtId="0" fontId="19" fillId="45" borderId="17" xfId="0" applyFont="1" applyFill="1" applyBorder="1" applyAlignment="1">
      <alignment horizontal="center" vertical="center"/>
    </xf>
    <xf numFmtId="3" fontId="19" fillId="45" borderId="17" xfId="0" applyNumberFormat="1" applyFont="1" applyFill="1" applyBorder="1" applyAlignment="1">
      <alignment horizontal="right" vertical="center"/>
    </xf>
    <xf numFmtId="1" fontId="19" fillId="45" borderId="17" xfId="0" applyNumberFormat="1" applyFont="1" applyFill="1" applyBorder="1" applyAlignment="1">
      <alignment horizontal="center" vertical="center"/>
    </xf>
    <xf numFmtId="169" fontId="36" fillId="45" borderId="17" xfId="0" applyNumberFormat="1" applyFont="1" applyFill="1" applyBorder="1" applyAlignment="1">
      <alignment horizontal="center" vertical="center"/>
    </xf>
    <xf numFmtId="0" fontId="37" fillId="45" borderId="17" xfId="0" applyFont="1" applyFill="1" applyBorder="1" applyAlignment="1">
      <alignment horizontal="center" vertical="center"/>
    </xf>
    <xf numFmtId="3" fontId="19" fillId="44" borderId="17" xfId="0" applyNumberFormat="1" applyFont="1" applyFill="1" applyBorder="1" applyAlignment="1">
      <alignment horizontal="right" vertical="center"/>
    </xf>
    <xf numFmtId="1" fontId="19" fillId="44" borderId="17" xfId="0" applyNumberFormat="1" applyFont="1" applyFill="1" applyBorder="1" applyAlignment="1">
      <alignment horizontal="center" vertical="center"/>
    </xf>
    <xf numFmtId="169" fontId="36" fillId="44" borderId="17" xfId="0" applyNumberFormat="1" applyFont="1" applyFill="1" applyBorder="1" applyAlignment="1">
      <alignment horizontal="center" vertical="center"/>
    </xf>
    <xf numFmtId="0" fontId="37" fillId="44" borderId="17" xfId="0" applyFont="1" applyFill="1" applyBorder="1" applyAlignment="1">
      <alignment horizontal="center" vertical="center"/>
    </xf>
    <xf numFmtId="0" fontId="31" fillId="40" borderId="16" xfId="0" applyFont="1" applyFill="1" applyBorder="1" applyAlignment="1">
      <alignment horizontal="right" vertical="center"/>
    </xf>
    <xf numFmtId="3" fontId="31" fillId="40" borderId="16" xfId="0" applyNumberFormat="1" applyFont="1" applyFill="1" applyBorder="1" applyAlignment="1">
      <alignment horizontal="right" vertical="center"/>
    </xf>
    <xf numFmtId="0" fontId="32" fillId="41" borderId="17" xfId="0" applyFont="1" applyFill="1" applyBorder="1" applyAlignment="1">
      <alignment horizontal="left" vertical="center" indent="1"/>
    </xf>
    <xf numFmtId="0" fontId="19" fillId="41" borderId="17" xfId="0" applyFont="1" applyFill="1" applyBorder="1" applyAlignment="1">
      <alignment horizontal="center" vertical="center"/>
    </xf>
    <xf numFmtId="3" fontId="19" fillId="41" borderId="17" xfId="0" applyNumberFormat="1" applyFont="1" applyFill="1" applyBorder="1" applyAlignment="1">
      <alignment horizontal="right" vertical="center"/>
    </xf>
    <xf numFmtId="169" fontId="19" fillId="45" borderId="17" xfId="0" applyNumberFormat="1" applyFont="1" applyFill="1" applyBorder="1" applyAlignment="1">
      <alignment horizontal="center" vertical="center"/>
    </xf>
    <xf numFmtId="169" fontId="19" fillId="44" borderId="17" xfId="0" applyNumberFormat="1" applyFont="1" applyFill="1" applyBorder="1" applyAlignment="1">
      <alignment horizontal="center" vertical="center"/>
    </xf>
    <xf numFmtId="169" fontId="31" fillId="40" borderId="16" xfId="0" applyNumberFormat="1" applyFont="1" applyFill="1" applyBorder="1" applyAlignment="1">
      <alignment horizontal="right" vertical="center"/>
    </xf>
    <xf numFmtId="0" fontId="16" fillId="48" borderId="10" xfId="0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4" fontId="23" fillId="0" borderId="0" xfId="0" applyNumberFormat="1" applyFont="1" applyAlignment="1">
      <alignment vertical="top"/>
    </xf>
    <xf numFmtId="14" fontId="0" fillId="0" borderId="0" xfId="0" pivotButton="1" applyNumberFormat="1"/>
    <xf numFmtId="0" fontId="16" fillId="36" borderId="0" xfId="0" applyFont="1" applyFill="1" applyAlignment="1">
      <alignment horizontal="center"/>
    </xf>
    <xf numFmtId="0" fontId="16" fillId="33" borderId="0" xfId="0" applyFont="1" applyFill="1" applyAlignment="1">
      <alignment horizontal="center"/>
    </xf>
    <xf numFmtId="0" fontId="16" fillId="35" borderId="0" xfId="0" applyFont="1" applyFill="1" applyAlignment="1">
      <alignment horizontal="left"/>
    </xf>
    <xf numFmtId="0" fontId="28" fillId="40" borderId="0" xfId="0" applyFont="1" applyFill="1" applyAlignment="1">
      <alignment horizontal="center" vertical="center"/>
    </xf>
    <xf numFmtId="0" fontId="0" fillId="0" borderId="0" xfId="0"/>
    <xf numFmtId="167" fontId="29" fillId="41" borderId="0" xfId="0" applyNumberFormat="1" applyFont="1" applyFill="1" applyAlignment="1">
      <alignment horizontal="center" vertical="center"/>
    </xf>
    <xf numFmtId="0" fontId="30" fillId="43" borderId="15" xfId="0" applyFont="1" applyFill="1" applyBorder="1" applyAlignment="1">
      <alignment horizontal="left" vertical="center"/>
    </xf>
    <xf numFmtId="0" fontId="30" fillId="46" borderId="18" xfId="0" applyFont="1" applyFill="1" applyBorder="1" applyAlignment="1">
      <alignment horizontal="left" vertical="center"/>
    </xf>
    <xf numFmtId="168" fontId="35" fillId="41" borderId="0" xfId="0" applyNumberFormat="1" applyFont="1" applyFill="1" applyAlignment="1">
      <alignment horizontal="center" vertical="center"/>
    </xf>
  </cellXfs>
  <cellStyles count="50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1" builtinId="3"/>
    <cellStyle name="Moneda" xfId="2" builtinId="4"/>
    <cellStyle name="Neutral" xfId="10" builtinId="28" customBuiltin="1"/>
    <cellStyle name="Normal" xfId="0" builtinId="0"/>
    <cellStyle name="Normal 2" xfId="44" xr:uid="{00000000-0005-0000-0000-000024000000}"/>
    <cellStyle name="Normal 3" xfId="45" xr:uid="{00000000-0005-0000-0000-000025000000}"/>
    <cellStyle name="Normal 4" xfId="46" xr:uid="{00000000-0005-0000-0000-000026000000}"/>
    <cellStyle name="Normal 5" xfId="47" xr:uid="{00000000-0005-0000-0000-000027000000}"/>
    <cellStyle name="Normal 6" xfId="48" xr:uid="{00000000-0005-0000-0000-000028000000}"/>
    <cellStyle name="Normal 7" xfId="49" xr:uid="{00000000-0005-0000-0000-000029000000}"/>
    <cellStyle name="Notas" xfId="17" builtinId="10" customBuiltin="1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9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4900775463" createdVersion="6" refreshedVersion="8" minRefreshableVersion="3" recordCount="1753" xr:uid="{00000000-000A-0000-FFFF-FFFF1A000000}">
  <cacheSource type="worksheet">
    <worksheetSource ref="A1:L1048576" sheet="sap nuevo"/>
  </cacheSource>
  <cacheFields count="12">
    <cacheField name="Nº doc." numFmtId="0">
      <sharedItems containsString="0" containsBlank="1" containsNumber="1" containsInteger="1" minValue="1200000001" maxValue="3000001859"/>
    </cacheField>
    <cacheField name="Fecha doc." numFmtId="0">
      <sharedItems containsNonDate="0" containsDate="1" containsString="0" containsBlank="1" minDate="2025-01-03T00:00:00" maxDate="2026-09-03T00:00:00"/>
    </cacheField>
    <cacheField name="       Importe en ML" numFmtId="0">
      <sharedItems containsString="0" containsBlank="1" containsNumber="1" minValue="0" maxValue="47000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3111702"/>
        <n v="3111703"/>
        <n v="94231468"/>
        <n v="94231469"/>
        <n v="94231470"/>
        <n v="94231471"/>
        <n v="94231472"/>
        <n v="94231473"/>
        <n v="94231474"/>
        <n v="94231475"/>
        <n v="94231476"/>
        <n v="97123392"/>
        <n v="97123393"/>
        <n v="97123394"/>
        <n v="97123395"/>
        <n v="97123397"/>
        <n v="97123398"/>
        <n v="97123399"/>
        <n v="97123400"/>
        <n v="97123404"/>
        <n v="97123405"/>
        <n v="97123396"/>
        <n v="97123401"/>
        <n v="97123402"/>
        <n v="97123403"/>
        <n v="3111704"/>
        <n v="3111715"/>
        <n v="3111716"/>
        <n v="3111707"/>
        <n v="3111708"/>
        <n v="3111709"/>
        <n v="3111711"/>
        <n v="3111712"/>
        <n v="3111713"/>
        <n v="3111714"/>
        <n v="3111705"/>
        <n v="3111706"/>
        <n v="3111710"/>
        <n v="3111717"/>
        <n v="3111718"/>
        <n v="3111719"/>
        <n v="3111720"/>
        <n v="3111721"/>
        <n v="3111722"/>
        <n v="3111723"/>
        <n v="3111724"/>
        <n v="3111725"/>
        <n v="3111726"/>
        <n v="3111727"/>
        <n v="3111728"/>
        <n v="3111729"/>
        <n v="94231477"/>
        <n v="94231478"/>
        <n v="94231479"/>
        <n v="94231480"/>
        <n v="94231481"/>
        <n v="94231482"/>
        <n v="94231483"/>
        <n v="94231484"/>
        <n v="94231485"/>
        <n v="94231486"/>
        <n v="94231487"/>
        <n v="94231488"/>
        <n v="94231489"/>
        <n v="94231490"/>
        <n v="94231491"/>
        <n v="94231492"/>
        <n v="94231493"/>
        <n v="94231494"/>
        <n v="94231495"/>
        <n v="94231496"/>
        <n v="94231497"/>
        <n v="94231498"/>
        <n v="94231499"/>
        <n v="94231500"/>
        <n v="94231501"/>
        <n v="94231502"/>
        <n v="94231503"/>
        <n v="94231504"/>
        <n v="94231505"/>
        <n v="94231506"/>
        <n v="94231507"/>
        <n v="94231508"/>
        <n v="94231509"/>
        <n v="94231510"/>
        <n v="94231511"/>
        <n v="3111731"/>
        <n v="3111732"/>
        <n v="3111734"/>
        <n v="3111735"/>
        <n v="3111730"/>
        <n v="3111733"/>
        <n v="3111736"/>
        <n v="3111737"/>
        <n v="94231512"/>
        <n v="3111738"/>
        <n v="3111739"/>
        <n v="3111740"/>
        <n v="3111741"/>
        <n v="94231513"/>
        <n v="94231514"/>
        <n v="94231515"/>
        <n v="94231516"/>
        <n v="94231517"/>
        <n v="94231518"/>
        <n v="94231519"/>
        <n v="94231520"/>
        <n v="97123406"/>
        <n v="97123407"/>
        <n v="97123408"/>
        <n v="97123409"/>
        <n v="97123410"/>
        <n v="97123411"/>
        <n v="97123412"/>
        <n v="97123413"/>
        <n v="97123414"/>
        <n v="97123415"/>
        <n v="97123416"/>
        <n v="97123417"/>
        <n v="97123418"/>
        <n v="97123419"/>
        <n v="97123420"/>
        <n v="3111742"/>
        <n v="97123423"/>
        <n v="97123424"/>
        <n v="97123427"/>
        <n v="97123428"/>
        <n v="97123429"/>
        <n v="97123430"/>
        <n v="97123431"/>
        <n v="97123432"/>
        <n v="97123433"/>
        <n v="97123421"/>
        <n v="97123422"/>
        <n v="97123425"/>
        <n v="97123426"/>
        <n v="3111743"/>
        <n v="3111744"/>
        <n v="3111745"/>
        <n v="3111746"/>
        <n v="3111747"/>
        <n v="3111748"/>
        <n v="3111749"/>
        <n v="3111750"/>
        <n v="3111751"/>
        <n v="3111752"/>
        <n v="3111755"/>
        <n v="3111756"/>
        <n v="3111757"/>
        <n v="3111758"/>
        <n v="94231521"/>
        <n v="3111753"/>
        <n v="3111754"/>
        <n v="3111759"/>
        <n v="3111760"/>
        <n v="3111761"/>
        <n v="3111762"/>
        <n v="3111767"/>
        <n v="3111768"/>
        <n v="3111769"/>
        <n v="3111763"/>
        <n v="3111764"/>
        <n v="3111770"/>
        <n v="3111771"/>
        <n v="3111772"/>
        <n v="3111773"/>
        <n v="3111765"/>
        <n v="3111766"/>
        <n v="3111774"/>
        <n v="3111775"/>
        <n v="3111776"/>
        <n v="3111777"/>
        <n v="3111778"/>
        <n v="3111779"/>
        <n v="3111780"/>
        <n v="3400721"/>
        <n v="3400723"/>
        <n v="3400724"/>
        <n v="3400725"/>
        <n v="3400726"/>
        <n v="3400727"/>
        <n v="3400728"/>
        <n v="3400722"/>
        <n v="3400729"/>
        <n v="3400730"/>
        <n v="3400731"/>
        <n v="3400732"/>
        <n v="3400733"/>
        <n v="3400734"/>
        <n v="94231522"/>
        <n v="3400735"/>
        <n v="3400736"/>
        <n v="3400737"/>
        <n v="3400738"/>
        <n v="3400739"/>
        <n v="3400740"/>
        <n v="3400741"/>
        <n v="94231523"/>
        <n v="97123434"/>
        <n v="97123435"/>
        <n v="97123439"/>
        <n v="97123440"/>
        <n v="97123441"/>
        <n v="97123442"/>
        <n v="97123443"/>
        <n v="97123444"/>
        <n v="97123445"/>
        <n v="97123446"/>
        <n v="97123448"/>
        <n v="97123449"/>
        <n v="97123451"/>
        <n v="97123452"/>
        <n v="97123436"/>
        <n v="97123437"/>
        <n v="97123438"/>
        <n v="97123447"/>
        <n v="97123450"/>
        <n v="97123453"/>
        <n v="97123454"/>
        <n v="97123455"/>
        <n v="97123456"/>
        <n v="97123457"/>
        <n v="97123458"/>
        <n v="97123459"/>
        <n v="97123460"/>
        <n v="97123463"/>
        <n v="97123464"/>
        <n v="97123466"/>
        <n v="97123467"/>
        <n v="97123461"/>
        <n v="97123462"/>
        <n v="97123465"/>
        <n v="94231524"/>
        <n v="94231525"/>
        <n v="94231526"/>
        <n v="94231527"/>
        <n v="97123468"/>
        <n v="97123469"/>
        <n v="97123470"/>
        <n v="97123471"/>
        <n v="97123472"/>
        <n v="97123473"/>
        <n v="97123474"/>
        <n v="97123475"/>
        <n v="97123476"/>
        <n v="97123477"/>
        <n v="97123478"/>
        <n v="97123479"/>
        <n v="97123480"/>
        <n v="97123481"/>
        <n v="94231528"/>
        <n v="94231529"/>
        <n v="94231530"/>
        <n v="94231531"/>
        <n v="94231532"/>
        <n v="94231533"/>
        <n v="94231534"/>
        <n v="94231535"/>
        <n v="94231536"/>
        <n v="94231537"/>
        <n v="94231538"/>
        <n v="94231539"/>
        <n v="94231540"/>
        <n v="94231541"/>
        <n v="97123482"/>
        <n v="97123483"/>
        <n v="97123484"/>
        <n v="97123487"/>
        <n v="97123488"/>
        <n v="97123489"/>
        <n v="97123490"/>
        <n v="97123485"/>
        <n v="97123486"/>
        <n v="97123491"/>
        <n v="97123492"/>
        <n v="3400742"/>
        <n v="3400743"/>
        <n v="97123496"/>
        <n v="97123497"/>
        <n v="97123493"/>
        <n v="97123494"/>
        <n v="97123495"/>
        <n v="97123498"/>
        <n v="94231542"/>
        <n v="94231543"/>
        <n v="94231544"/>
        <n v="94231545"/>
        <n v="97123508"/>
        <n v="97123509"/>
        <n v="97123510"/>
        <n v="97123511"/>
        <n v="97123499"/>
        <n v="97123500"/>
        <n v="97123501"/>
        <n v="97123502"/>
        <n v="97123503"/>
        <n v="97123505"/>
        <n v="97123506"/>
        <n v="97123507"/>
        <n v="97123504"/>
        <n v="97123512"/>
        <n v="97123513"/>
        <n v="97123514"/>
        <n v="97123515"/>
        <n v="97123516"/>
        <n v="97123517"/>
        <n v="97123520"/>
        <n v="97123521"/>
        <n v="97123523"/>
        <n v="97123524"/>
        <n v="97123535"/>
        <n v="97123536"/>
        <n v="97123519"/>
        <n v="97123522"/>
        <n v="97123525"/>
        <n v="97123526"/>
        <n v="97123527"/>
        <n v="97123528"/>
        <n v="97123529"/>
        <n v="97123530"/>
        <n v="97123531"/>
        <n v="97123532"/>
        <n v="97123533"/>
        <n v="97123534"/>
        <n v="97123538"/>
        <n v="97123539"/>
        <n v="97123540"/>
        <n v="97123541"/>
        <n v="97123542"/>
        <n v="97123543"/>
        <n v="97123544"/>
        <n v="97123545"/>
        <n v="97123546"/>
        <n v="97123547"/>
        <n v="97123548"/>
        <n v="97123549"/>
        <n v="97123550"/>
        <n v="97123551"/>
        <n v="97123552"/>
        <n v="94231546"/>
        <n v="97123554"/>
        <n v="97123555"/>
        <n v="97123556"/>
        <n v="97123557"/>
        <n v="97123558"/>
        <n v="97123559"/>
        <n v="97123560"/>
        <n v="97123562"/>
        <n v="97123553"/>
        <n v="97123563"/>
        <n v="97123564"/>
        <n v="97123561"/>
        <n v="97123566"/>
        <n v="97123567"/>
        <n v="97123568"/>
        <n v="97123569"/>
        <n v="97123570"/>
        <n v="97123571"/>
        <n v="97123565"/>
        <n v="97123572"/>
        <n v="94231547"/>
        <n v="94231548"/>
        <n v="94231549"/>
        <n v="94231550"/>
        <n v="94231551"/>
        <n v="94231552"/>
        <n v="94231553"/>
        <n v="97123582"/>
        <n v="97123583"/>
        <n v="97123584"/>
        <n v="97123585"/>
        <n v="97123586"/>
        <n v="97123587"/>
        <n v="97123573"/>
        <n v="97123574"/>
        <n v="97123575"/>
        <n v="97123576"/>
        <n v="97123577"/>
        <n v="97123578"/>
        <n v="97123579"/>
        <n v="97123580"/>
        <n v="97123581"/>
        <n v="97123588"/>
        <n v="97123589"/>
        <n v="97123590"/>
        <n v="97123591"/>
        <n v="97123592"/>
        <n v="97123593"/>
        <n v="97123594"/>
        <n v="97123595"/>
        <n v="97123596"/>
        <n v="94231554"/>
        <n v="97123601"/>
        <n v="97123602"/>
        <n v="97123605"/>
        <n v="97123606"/>
        <n v="97123597"/>
        <n v="97123598"/>
        <n v="97123599"/>
        <n v="97123600"/>
        <n v="97123603"/>
        <n v="97123604"/>
        <n v="97123607"/>
        <n v="97123608"/>
        <n v="94231555"/>
        <n v="94231556"/>
        <n v="94231557"/>
        <n v="94231558"/>
        <n v="97123609"/>
        <n v="97123610"/>
        <n v="97123611"/>
        <n v="97123612"/>
        <n v="97123613"/>
        <n v="97123614"/>
        <n v="97123615"/>
        <n v="97123616"/>
        <n v="97123622"/>
        <n v="97123623"/>
        <n v="97123626"/>
        <n v="97123627"/>
        <n v="97123628"/>
        <n v="97123617"/>
        <n v="97123618"/>
        <n v="97123619"/>
        <n v="97123620"/>
        <n v="97123621"/>
        <n v="97123624"/>
        <n v="97123625"/>
        <n v="97123632"/>
        <n v="97123633"/>
        <n v="97123635"/>
        <n v="97123636"/>
        <n v="97123629"/>
        <n v="97123630"/>
        <n v="97123631"/>
        <n v="97123634"/>
        <n v="97123637"/>
        <n v="97123638"/>
        <n v="97123639"/>
        <n v="97123640"/>
        <n v="97123641"/>
        <n v="97123642"/>
        <n v="97123643"/>
        <n v="97123644"/>
        <n v="97123645"/>
        <n v="97123646"/>
        <n v="97123647"/>
        <n v="97123648"/>
        <n v="97123649"/>
        <n v="97123650"/>
        <n v="97123651"/>
        <n v="97123652"/>
        <n v="97123653"/>
        <n v="97123654"/>
        <n v="97123655"/>
        <n v="97123656"/>
        <n v="97123657"/>
        <n v="97123658"/>
        <n v="97123659"/>
        <n v="97123660"/>
        <n v="97123661"/>
        <n v="97123662"/>
        <n v="97123663"/>
        <n v="97123664"/>
        <n v="97123665"/>
        <n v="97123669"/>
        <n v="97123668"/>
        <n v="97123666"/>
        <n v="97123667"/>
        <n v="97123670"/>
        <n v="97123671"/>
        <n v="97123672"/>
        <n v="97123673"/>
        <n v="97123674"/>
        <n v="97123675"/>
        <n v="97123676"/>
        <n v="97123677"/>
        <n v="97123678"/>
        <n v="97123679"/>
        <n v="97123680"/>
        <n v="97123681"/>
        <n v="97123682"/>
        <n v="97123683"/>
        <n v="97123684"/>
        <n v="97123685"/>
        <n v="97123686"/>
        <n v="97123687"/>
        <n v="12452655"/>
        <n v="97123688"/>
        <n v="97123689"/>
        <n v="97123690"/>
        <n v="97123691"/>
        <n v="97123692"/>
        <n v="97123693"/>
        <n v="97123694"/>
        <n v="97123695"/>
        <n v="97123696"/>
        <n v="97123697"/>
        <n v="97123698"/>
        <n v="97123699"/>
        <n v="97123700"/>
        <n v="97123701"/>
        <n v="97123702"/>
        <n v="97123703"/>
        <n v="97123704"/>
        <n v="97123705"/>
        <n v="97123706"/>
        <n v="97123707"/>
        <n v="97123708"/>
        <n v="97123709"/>
        <n v="97123710"/>
        <n v="97123711"/>
        <n v="97123712"/>
        <n v="97123713"/>
        <n v="97123714"/>
        <n v="97123715"/>
        <n v="97123716"/>
        <n v="97123717"/>
        <n v="97123718"/>
        <n v="97123719"/>
        <n v="97123720"/>
        <n v="97123722"/>
        <n v="97123723"/>
        <n v="97123726"/>
        <n v="97123727"/>
        <n v="97123728"/>
        <n v="97123729"/>
        <n v="97123731"/>
        <n v="97123732"/>
        <n v="97123733"/>
        <n v="97123734"/>
        <n v="97123735"/>
        <n v="97123736"/>
        <n v="97123721"/>
        <n v="97123724"/>
        <n v="97123725"/>
        <n v="97123730"/>
        <n v="97123737"/>
        <n v="97123738"/>
        <n v="97123739"/>
        <n v="97123740"/>
        <n v="97123741"/>
        <n v="97123742"/>
        <n v="97123743"/>
        <n v="97123744"/>
        <n v="97121392"/>
        <n v="97123745"/>
        <n v="97123746"/>
        <n v="97123747"/>
        <n v="97123748"/>
        <n v="97123749"/>
        <n v="97123750"/>
        <n v="97123751"/>
        <n v="97123752"/>
        <n v="97123753"/>
        <n v="97123754"/>
        <n v="97123755"/>
        <n v="97123756"/>
        <n v="97123757"/>
        <n v="97123758"/>
        <n v="97123759"/>
        <n v="97123760"/>
        <n v="97123761"/>
        <n v="97123762"/>
        <n v="97123763"/>
        <n v="97123764"/>
        <n v="97123765"/>
        <n v="97123766"/>
        <n v="97123767"/>
        <n v="97123768"/>
        <n v="97123769"/>
        <n v="97123770"/>
        <n v="97123771"/>
        <n v="97123772"/>
        <n v="97123773"/>
        <n v="97123774"/>
        <n v="97123775"/>
        <n v="97123776"/>
        <n v="97123777"/>
        <n v="97123778"/>
        <n v="97123779"/>
        <n v="97123780"/>
        <n v="97123781"/>
        <n v="97123782"/>
        <n v="97123783"/>
        <n v="97123784"/>
        <n v="97123785"/>
        <n v="97123786"/>
        <n v="97123787"/>
        <n v="97123788"/>
        <n v="97123789"/>
        <n v="97123790"/>
        <n v="97123791"/>
        <n v="97123792"/>
        <n v="97123793"/>
        <n v="97123794"/>
        <n v="97123795"/>
        <n v="97123796"/>
        <n v="97123797"/>
        <n v="97123798"/>
        <n v="97123799"/>
        <n v="97123800"/>
        <n v="97123801"/>
        <n v="97123802"/>
        <n v="97123803"/>
        <n v="97123804"/>
        <n v="97123805"/>
        <n v="97123806"/>
        <n v="97123807"/>
        <n v="97123808"/>
        <n v="97123809"/>
        <n v="97123810"/>
        <n v="97123811"/>
        <n v="97123812"/>
        <n v="97123813"/>
        <n v="97123816"/>
        <n v="97123817"/>
        <n v="97123818"/>
        <n v="97123819"/>
        <n v="97123814"/>
        <n v="97123815"/>
        <n v="97121393"/>
        <n v="97123518"/>
        <n v="97123820"/>
        <n v="97123821"/>
        <n v="97123822"/>
        <n v="97123823"/>
        <n v="97123824"/>
        <n v="97123825"/>
        <n v="97123826"/>
        <n v="97123827"/>
        <n v="97123828"/>
        <n v="97123829"/>
        <n v="97123830"/>
        <n v="97123831"/>
        <n v="97123832"/>
        <n v="97123833"/>
        <n v="97123834"/>
        <n v="97123835"/>
        <n v="97123836"/>
        <n v="97123837"/>
        <n v="97123838"/>
        <n v="97123839"/>
        <n v="97123840"/>
        <n v="97123841"/>
        <n v="97123842"/>
        <n v="97123843"/>
        <n v="97123844"/>
        <n v="97123845"/>
        <n v="97123846"/>
        <n v="97123847"/>
        <n v="97123848"/>
        <n v="97123849"/>
        <n v="97123850"/>
        <n v="97123851"/>
        <n v="97123852"/>
        <n v="97123853"/>
        <n v="97123854"/>
        <n v="97123855"/>
        <n v="97123856"/>
        <n v="97123857"/>
        <n v="97123858"/>
        <n v="97123859"/>
        <n v="97123860"/>
        <n v="97123861"/>
        <n v="97123862"/>
        <n v="97123863"/>
        <n v="97123864"/>
        <n v="97123865"/>
        <n v="97123866"/>
        <n v="97123867"/>
        <n v="97123868"/>
        <n v="97123869"/>
        <n v="97123870"/>
        <n v="97123871"/>
        <n v="97123872"/>
        <n v="97123873"/>
        <n v="97123874"/>
        <n v="97123875"/>
        <n v="97123876"/>
        <n v="97123877"/>
        <n v="97123878"/>
        <n v="97123879"/>
        <n v="97123880"/>
        <n v="97123881"/>
        <n v="97121394"/>
        <n v="97121395"/>
        <n v="97123882"/>
        <n v="97123883"/>
        <n v="97123884"/>
        <n v="97123885"/>
        <n v="97123886"/>
        <n v="97123887"/>
        <n v="97123888"/>
        <n v="97123889"/>
        <n v="97123894"/>
        <n v="97123895"/>
        <n v="97123890"/>
        <n v="97123891"/>
        <n v="97123892"/>
        <n v="97123893"/>
        <n v="97123896"/>
        <n v="97123897"/>
        <n v="97123898"/>
        <n v="97123899"/>
        <n v="97123900"/>
        <n v="97123901"/>
        <n v="97123902"/>
        <n v="97123903"/>
        <n v="97123904"/>
        <n v="97123905"/>
        <n v="97123906"/>
        <n v="97123907"/>
        <n v="97123908"/>
        <n v="97123909"/>
        <n v="97123910"/>
        <n v="97123911"/>
        <n v="97123912"/>
        <n v="97123913"/>
        <n v="97123914"/>
        <n v="97123915"/>
        <n v="97123916"/>
        <n v="97123917"/>
        <n v="97123918"/>
        <n v="97123919"/>
        <n v="97123920"/>
        <n v="97123921"/>
        <n v="97123922"/>
        <n v="97123923"/>
        <n v="97123924"/>
        <n v="97123925"/>
        <n v="97123926"/>
        <n v="97123927"/>
        <n v="97123928"/>
        <n v="97123929"/>
        <n v="97123930"/>
        <n v="97123931"/>
        <n v="97123932"/>
        <n v="97123933"/>
        <n v="97123934"/>
        <n v="97123935"/>
        <n v="97123936"/>
        <n v="97123937"/>
        <n v="97123938"/>
        <n v="97123939"/>
        <n v="97123940"/>
        <n v="97123941"/>
        <n v="97123942"/>
        <n v="97123943"/>
        <n v="97123944"/>
        <n v="97123945"/>
        <n v="97123946"/>
        <n v="97123947"/>
        <n v="97123948"/>
        <n v="97123949"/>
        <n v="97123950"/>
        <n v="97123953"/>
        <n v="97123954"/>
        <n v="97123955"/>
        <n v="97123956"/>
        <n v="97123960"/>
        <n v="97123961"/>
        <n v="97123963"/>
        <n v="97123964"/>
        <n v="97123951"/>
        <n v="97123952"/>
        <n v="97123958"/>
        <n v="97123959"/>
        <n v="97123962"/>
        <n v="97123957"/>
        <n v="97123965"/>
        <n v="97123966"/>
        <n v="97123967"/>
        <n v="97123968"/>
        <n v="97123969"/>
        <n v="97123970"/>
        <n v="97123971"/>
        <n v="97123972"/>
        <n v="97123973"/>
        <n v="97123974"/>
        <n v="97123975"/>
        <n v="97123976"/>
        <n v="97123977"/>
        <n v="97123978"/>
        <n v="97123979"/>
        <n v="97123980"/>
        <n v="12452657"/>
        <n v="97123981"/>
        <n v="97123982"/>
        <n v="97123983"/>
        <n v="97123984"/>
        <n v="97123985"/>
        <n v="97123986"/>
        <n v="97123987"/>
        <n v="97123988"/>
        <n v="97123989"/>
        <n v="97123990"/>
        <n v="97123991"/>
        <n v="97123992"/>
        <n v="97123993"/>
        <n v="97123994"/>
        <n v="97123995"/>
        <n v="97123996"/>
        <n v="97123997"/>
        <n v="97123998"/>
        <n v="97123999"/>
        <n v="97124000"/>
        <n v="97124001"/>
        <n v="97124002"/>
        <n v="97124003"/>
        <n v="97124004"/>
        <n v="97124005"/>
        <n v="97124006"/>
        <n v="97124007"/>
        <n v="97124008"/>
        <n v="97124009"/>
        <n v="97124010"/>
        <n v="97124011"/>
        <n v="97124012"/>
        <n v="97124013"/>
        <n v="97124014"/>
        <n v="97124015"/>
        <n v="97124016"/>
        <n v="97124017"/>
        <n v="97124018"/>
        <n v="97124019"/>
        <n v="97124020"/>
        <n v="97124021"/>
        <n v="97124022"/>
        <n v="97124023"/>
        <n v="97124024"/>
        <n v="97124025"/>
        <n v="97124026"/>
        <n v="97124027"/>
        <n v="97124028"/>
        <n v="97124029"/>
        <n v="97124030"/>
        <n v="97124031"/>
        <n v="97124032"/>
        <n v="97124033"/>
        <n v="97124034"/>
        <n v="97124035"/>
        <n v="97124036"/>
        <n v="97124037"/>
        <n v="97124038"/>
        <n v="97124039"/>
        <n v="97124040"/>
        <n v="97124041"/>
        <n v="97124042"/>
        <n v="97124043"/>
        <n v="97124044"/>
        <n v="97124045"/>
        <n v="97124046"/>
        <n v="97124047"/>
        <n v="97124048"/>
        <n v="97124049"/>
        <n v="97124050"/>
        <n v="97124051"/>
        <n v="97124052"/>
        <n v="97124053"/>
        <n v="97124054"/>
        <n v="97124055"/>
        <n v="97124056"/>
        <n v="97124057"/>
        <n v="97124058"/>
        <n v="97124059"/>
        <n v="97124060"/>
        <n v="97124061"/>
        <n v="97124062"/>
        <n v="97124063"/>
        <n v="97124064"/>
        <n v="97124065"/>
        <n v="97124066"/>
        <n v="97124067"/>
        <n v="97124068"/>
        <n v="97124069"/>
        <n v="97124070"/>
        <n v="97124071"/>
        <n v="97124072"/>
        <n v="97124073"/>
        <n v="97124074"/>
        <n v="97124075"/>
        <n v="97124076"/>
        <n v="97124077"/>
        <n v="97124078"/>
        <n v="97124079"/>
        <n v="97124080"/>
        <n v="97124081"/>
        <n v="97124082"/>
        <n v="97124083"/>
        <n v="97124084"/>
        <n v="97124085"/>
        <n v="97124086"/>
        <n v="97124087"/>
        <n v="97124088"/>
        <n v="97124089"/>
        <n v="97124090"/>
        <n v="97124091"/>
        <n v="97124092"/>
        <n v="97124093"/>
        <n v="97124094"/>
        <n v="97124095"/>
        <n v="12452658"/>
        <n v="97124096"/>
        <n v="97124097"/>
        <n v="97124098"/>
        <n v="97124099"/>
        <n v="97124100"/>
        <n v="97124101"/>
        <n v="97124102"/>
        <n v="97124103"/>
        <n v="97124104"/>
        <n v="97124105"/>
        <n v="97124106"/>
        <n v="97124107"/>
        <n v="97124108"/>
        <n v="97124109"/>
        <n v="97124110"/>
        <n v="97124111"/>
        <n v="97124112"/>
        <n v="97124113"/>
        <n v="97124114"/>
        <n v="97124115"/>
        <n v="97124116"/>
        <n v="97124117"/>
        <n v="97124118"/>
        <n v="97124119"/>
        <n v="97124120"/>
        <n v="97124121"/>
        <n v="97124122"/>
        <n v="97124123"/>
        <n v="97124124"/>
        <n v="97124125"/>
        <n v="97124126"/>
        <n v="97124131"/>
        <n v="97124132"/>
        <n v="97124133"/>
        <n v="97124134"/>
        <n v="97124135"/>
        <n v="97124136"/>
        <n v="97124127"/>
        <n v="97124128"/>
        <n v="97124129"/>
        <n v="97124130"/>
        <n v="97124137"/>
        <n v="97124138"/>
        <n v="97124139"/>
        <n v="97124140"/>
        <n v="97124141"/>
        <n v="97124142"/>
        <n v="97124143"/>
        <n v="97124144"/>
        <n v="97124145"/>
        <n v="97124146"/>
        <n v="97124147"/>
        <n v="97124148"/>
        <n v="97124149"/>
        <n v="97124150"/>
        <n v="97124151"/>
        <n v="97124152"/>
        <n v="97124153"/>
        <n v="97124154"/>
        <n v="97124155"/>
        <n v="97124156"/>
        <n v="97124157"/>
        <n v="97124158"/>
        <n v="97124159"/>
        <n v="97124160"/>
        <n v="97124161"/>
        <n v="97124162"/>
        <n v="97124163"/>
        <n v="97124164"/>
        <n v="97124165"/>
        <n v="97124166"/>
        <n v="97124167"/>
        <n v="97124168"/>
        <n v="97124169"/>
        <n v="97124170"/>
        <n v="97124171"/>
        <n v="97124172"/>
        <n v="97124173"/>
        <n v="97124174"/>
        <n v="97124175"/>
        <n v="97124176"/>
        <n v="97124177"/>
        <n v="97124178"/>
        <n v="97124179"/>
        <n v="97124180"/>
        <n v="97124181"/>
        <n v="97124182"/>
        <n v="97124183"/>
        <n v="97124184"/>
        <n v="97124185"/>
        <n v="97124186"/>
        <n v="97124187"/>
        <n v="97124188"/>
        <n v="97124192"/>
        <n v="97124193"/>
        <n v="97124194"/>
        <n v="97124195"/>
        <n v="97124199"/>
        <n v="97124200"/>
        <n v="97124202"/>
        <n v="97124203"/>
        <n v="97124204"/>
        <n v="97124205"/>
        <n v="97124207"/>
        <n v="97124208"/>
        <n v="97124189"/>
        <n v="97124190"/>
        <n v="97124191"/>
        <n v="97124196"/>
        <n v="97124197"/>
        <n v="97124198"/>
        <n v="97124201"/>
        <n v="97124206"/>
        <n v="97124209"/>
        <n v="97124210"/>
        <n v="97121396"/>
        <n v="97124211"/>
        <n v="97124212"/>
        <n v="97124213"/>
        <n v="97124214"/>
        <n v="97124215"/>
        <n v="97124216"/>
        <n v="97124217"/>
        <n v="97124218"/>
        <n v="97124219"/>
        <n v="97124220"/>
        <n v="97124221"/>
        <n v="97124222"/>
        <n v="97124225"/>
        <n v="97124226"/>
        <n v="97124233"/>
        <n v="97124234"/>
        <n v="97124239"/>
        <n v="97124240"/>
        <n v="97124223"/>
        <n v="97124224"/>
        <n v="97124227"/>
        <n v="97124228"/>
        <n v="97124229"/>
        <n v="97124230"/>
        <n v="97124231"/>
        <n v="97124232"/>
        <n v="97124235"/>
        <n v="97124236"/>
        <n v="97124237"/>
        <n v="97124238"/>
        <n v="97124241"/>
        <n v="97124242"/>
        <n v="97124243"/>
        <n v="97124245"/>
        <n v="97124246"/>
        <n v="97124247"/>
        <n v="97124248"/>
        <n v="97124255"/>
        <n v="97124256"/>
        <n v="97124257"/>
        <n v="97124258"/>
        <n v="97124259"/>
        <n v="97124260"/>
        <n v="97124261"/>
        <n v="97124262"/>
        <n v="97124244"/>
        <n v="97124249"/>
        <n v="97124250"/>
        <n v="97124251"/>
        <n v="97124252"/>
        <n v="97124253"/>
        <n v="97124254"/>
        <n v="97124263"/>
        <n v="97124264"/>
        <n v="97124265"/>
        <n v="97124266"/>
        <n v="97124267"/>
        <n v="97124279"/>
        <n v="97124280"/>
        <n v="97124281"/>
        <n v="97124282"/>
        <n v="97124283"/>
        <n v="97124268"/>
        <n v="97124269"/>
        <n v="97124270"/>
        <n v="97124271"/>
        <n v="97124272"/>
        <n v="97124273"/>
        <n v="97124274"/>
        <n v="97124275"/>
        <n v="97124276"/>
        <n v="97124277"/>
        <n v="97124278"/>
        <n v="97124284"/>
        <n v="97124285"/>
        <n v="97124286"/>
        <n v="97124287"/>
        <n v="97124288"/>
        <n v="97121397"/>
        <n v="97124289"/>
        <n v="97124290"/>
        <n v="97124291"/>
        <n v="97124292"/>
        <n v="97124293"/>
        <n v="97124294"/>
        <n v="97124295"/>
        <n v="97124296"/>
        <n v="97124297"/>
        <n v="97124298"/>
        <n v="97124299"/>
        <n v="97124300"/>
        <n v="97124301"/>
        <n v="97124302"/>
        <n v="97124303"/>
        <n v="97124304"/>
        <n v="97124305"/>
        <n v="97124306"/>
        <n v="97124307"/>
        <n v="97124308"/>
        <n v="97124309"/>
        <n v="97124310"/>
        <n v="97124311"/>
        <n v="97124312"/>
        <n v="97124313"/>
        <n v="97124314"/>
        <n v="97124315"/>
        <n v="97124316"/>
        <n v="97124317"/>
        <n v="97124318"/>
        <n v="97124319"/>
        <n v="97121398"/>
        <n v="97124320"/>
        <n v="97124321"/>
        <n v="97124322"/>
        <n v="97124323"/>
        <n v="97124324"/>
        <n v="97124325"/>
        <n v="97124326"/>
        <n v="97124327"/>
        <n v="97124328"/>
        <n v="97124329"/>
        <n v="97124330"/>
        <n v="97124331"/>
        <n v="97124332"/>
        <n v="97121399"/>
        <n v="97124333"/>
        <n v="97124334"/>
        <n v="97124335"/>
        <n v="97124336"/>
        <n v="97124337"/>
        <n v="97124338"/>
        <n v="97124339"/>
        <n v="97124340"/>
        <n v="97124341"/>
        <n v="97124353"/>
        <n v="97124354"/>
        <n v="97124342"/>
        <n v="97124343"/>
        <n v="97124344"/>
        <n v="97124345"/>
        <n v="97124346"/>
        <n v="97124347"/>
        <n v="97124348"/>
        <n v="97124349"/>
        <n v="97124350"/>
        <n v="97124351"/>
        <n v="97124352"/>
        <n v="97124355"/>
        <n v="97124356"/>
        <n v="97124357"/>
        <n v="97124358"/>
        <n v="97124359"/>
        <n v="97124360"/>
        <n v="97124361"/>
        <n v="97124362"/>
        <n v="97124363"/>
        <n v="97124364"/>
        <n v="97124365"/>
        <n v="97124366"/>
        <n v="97124367"/>
        <n v="97124368"/>
        <n v="97124369"/>
        <n v="97124370"/>
        <n v="97124371"/>
        <n v="97124372"/>
        <n v="97124373"/>
        <n v="97124374"/>
        <n v="97124375"/>
        <n v="97124376"/>
        <n v="97124377"/>
        <n v="97124378"/>
        <n v="97124379"/>
        <n v="12452659"/>
        <n v="12452660"/>
        <n v="97124380"/>
        <n v="97124381"/>
        <n v="97124382"/>
        <n v="97124383"/>
        <n v="97124384"/>
        <n v="97124385"/>
        <n v="97124386"/>
        <n v="97124387"/>
        <n v="97124388"/>
        <n v="97124395"/>
        <n v="97124396"/>
        <n v="97124397"/>
        <n v="97124389"/>
        <n v="97124390"/>
        <n v="97124391"/>
        <n v="97124392"/>
        <n v="97124393"/>
        <n v="97124394"/>
        <n v="97124398"/>
        <n v="97124399"/>
        <n v="97124400"/>
        <n v="97124401"/>
        <n v="97124402"/>
        <n v="97124403"/>
        <n v="97124404"/>
        <n v="97124405"/>
        <n v="97124406"/>
        <n v="97124407"/>
        <n v="97124408"/>
        <n v="97124409"/>
        <n v="97124410"/>
        <n v="97124411"/>
        <n v="97124412"/>
        <n v="97124413"/>
        <n v="97124414"/>
        <n v="97124415"/>
        <n v="97124416"/>
        <n v="97124417"/>
        <n v="97124418"/>
        <n v="97124419"/>
        <n v="97124420"/>
        <n v="12452661"/>
        <n v="97124421"/>
        <n v="97124422"/>
        <n v="97124423"/>
        <n v="97124431"/>
        <n v="97124432"/>
        <n v="97124434"/>
        <n v="97124435"/>
        <n v="97124424"/>
        <n v="97124425"/>
        <n v="97124426"/>
        <n v="97124427"/>
        <n v="97124428"/>
        <n v="97124429"/>
        <n v="97124430"/>
        <n v="97124433"/>
        <n v="97124436"/>
        <n v="97124437"/>
        <n v="97124438"/>
        <n v="97124439"/>
        <n v="97124440"/>
        <n v="97124441"/>
        <n v="97124442"/>
        <n v="97124443"/>
        <n v="97124444"/>
        <n v="97124445"/>
        <n v="97124446"/>
        <n v="97124447"/>
        <n v="97124448"/>
        <n v="97124449"/>
        <n v="97124450"/>
        <n v="97124451"/>
        <n v="97124452"/>
        <n v="97124453"/>
        <n v="97124454"/>
        <n v="97124455"/>
        <n v="97124456"/>
        <n v="97124457"/>
        <n v="97124458"/>
        <n v="97124459"/>
        <n v="97124460"/>
        <n v="97124461"/>
        <n v="97124462"/>
        <n v="97124463"/>
        <n v="97124464"/>
        <n v="97124465"/>
        <n v="97124466"/>
        <n v="97124467"/>
        <n v="97124468"/>
        <n v="97124469"/>
        <n v="97124470"/>
        <n v="97124471"/>
        <n v="97124472"/>
        <n v="97124473"/>
        <n v="97124474"/>
        <n v="97124475"/>
        <n v="97124476"/>
        <n v="97124477"/>
        <n v="97124478"/>
        <n v="97124479"/>
        <n v="97124480"/>
        <n v="97124481"/>
        <n v="97124482"/>
        <n v="97124483"/>
        <n v="97124484"/>
        <n v="97124485"/>
        <n v="97124486"/>
        <n v="97124487"/>
        <n v="97124488"/>
        <n v="97124489"/>
        <n v="97124490"/>
        <n v="97124491"/>
        <n v="97124492"/>
        <n v="97124493"/>
        <n v="97124494"/>
        <n v="97124495"/>
        <n v="97124496"/>
        <n v="97124497"/>
        <n v="97124498"/>
        <n v="97124499"/>
        <n v="97124500"/>
        <n v="97124501"/>
        <n v="97124502"/>
        <n v="97124503"/>
        <n v="97124504"/>
        <n v="97124505"/>
        <n v="97124506"/>
        <n v="97124507"/>
        <n v="97124508"/>
        <n v="97124509"/>
        <n v="97124510"/>
        <n v="97124511"/>
        <n v="97124512"/>
        <n v="97124513"/>
        <n v="97124514"/>
        <n v="97124515"/>
        <n v="97124516"/>
        <n v="97124517"/>
        <n v="97124518"/>
        <n v="97124519"/>
        <n v="97124520"/>
        <n v="97124521"/>
        <n v="97124522"/>
        <n v="97124523"/>
        <n v="97124524"/>
        <n v="97124525"/>
        <n v="97124526"/>
        <n v="97124527"/>
        <n v="97124528"/>
        <n v="97124529"/>
        <n v="97124530"/>
        <n v="97124531"/>
        <n v="97124532"/>
        <n v="97124533"/>
        <n v="97124534"/>
        <n v="97124535"/>
        <n v="97124536"/>
        <n v="97124537"/>
        <n v="97124538"/>
        <n v="97124539"/>
        <n v="97124540"/>
        <n v="97124541"/>
        <n v="97124542"/>
        <n v="97124543"/>
        <n v="97124553"/>
        <n v="97124554"/>
        <n v="97124555"/>
        <n v="97124556"/>
        <n v="97124544"/>
        <n v="97124545"/>
        <n v="97124546"/>
        <n v="97124547"/>
        <n v="97124548"/>
        <n v="97124549"/>
        <n v="97124550"/>
        <n v="97124551"/>
        <n v="97124552"/>
        <n v="97124557"/>
        <n v="97124558"/>
        <n v="97124559"/>
        <n v="97124560"/>
        <n v="12452662"/>
        <n v="97124561"/>
        <n v="97124562"/>
        <n v="97124563"/>
        <n v="97124564"/>
        <n v="97124565"/>
        <n v="97124566"/>
        <n v="97124567"/>
        <n v="97124568"/>
        <n v="97124569"/>
        <n v="97124570"/>
        <n v="97124571"/>
        <n v="97124572"/>
        <n v="97124573"/>
        <n v="97124574"/>
        <n v="97124575"/>
        <n v="97124576"/>
        <n v="97124577"/>
        <n v="97124578"/>
        <n v="97124579"/>
        <n v="97124580"/>
        <n v="97124581"/>
        <n v="97124582"/>
        <n v="97124583"/>
        <n v="97124584"/>
        <n v="97124585"/>
        <n v="97124586"/>
        <n v="97124587"/>
        <n v="97124588"/>
        <n v="97124589"/>
        <n v="97124590"/>
        <n v="97124591"/>
        <n v="97124592"/>
        <n v="97124593"/>
        <n v="97124594"/>
        <n v="97124595"/>
        <n v="97124596"/>
        <n v="97124597"/>
        <n v="97124598"/>
        <n v="97124599"/>
        <n v="97124600"/>
        <n v="97124611"/>
        <n v="97124612"/>
        <n v="97124613"/>
        <n v="97124614"/>
        <n v="97124615"/>
        <n v="97124616"/>
        <n v="97124617"/>
        <n v="97124618"/>
        <n v="97124619"/>
        <n v="97121400"/>
        <n v="97124601"/>
        <n v="97124602"/>
        <n v="97124603"/>
        <n v="97124604"/>
        <n v="97124605"/>
        <n v="97124606"/>
        <n v="97124607"/>
        <n v="97124608"/>
        <n v="97124609"/>
        <n v="97124610"/>
        <n v="97124620"/>
        <n v="97124621"/>
        <n v="97124622"/>
        <n v="97124623"/>
        <n v="97124624"/>
        <n v="97124625"/>
        <n v="97124626"/>
        <n v="97124627"/>
        <n v="97124628"/>
        <n v="97124629"/>
        <n v="97124630"/>
        <n v="97124631"/>
        <n v="97124632"/>
        <n v="97124633"/>
        <n v="97124634"/>
        <n v="97124635"/>
        <n v="97124636"/>
        <n v="97124637"/>
        <n v="97124638"/>
        <n v="97124639"/>
        <n v="97124640"/>
        <n v="97124641"/>
        <n v="97124642"/>
        <n v="97124643"/>
        <n v="97124644"/>
        <n v="97124645"/>
        <n v="97124646"/>
        <n v="97124647"/>
        <n v="12452663"/>
        <n v="97124648"/>
        <n v="97124649"/>
        <n v="97124650"/>
        <n v="97124651"/>
        <n v="97124652"/>
        <n v="97124653"/>
        <n v="97124654"/>
        <n v="97124655"/>
        <n v="97124656"/>
        <m/>
        <n v="97121401" u="1"/>
        <n v="97121402" u="1"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</sharedItems>
    </cacheField>
    <cacheField name="importe" numFmtId="0">
      <sharedItems containsString="0" containsBlank="1" containsNumber="1" minValue="0" maxValue="470000000"/>
    </cacheField>
    <cacheField name="Fe.valor" numFmtId="14">
      <sharedItems containsNonDate="0" containsDate="1" containsString="0" containsBlank="1" minDate="2025-01-03T00:00:00" maxDate="2026-09-09T00:00:00" count="238">
        <d v="2025-01-03T00:00:00"/>
        <d v="2025-01-10T00:00:00"/>
        <d v="2025-01-13T00:00:00"/>
        <d v="2025-01-15T00:00:00"/>
        <d v="2025-01-16T00:00:00"/>
        <d v="2025-01-17T00:00:00"/>
        <d v="2025-01-20T00:00:00"/>
        <d v="2025-01-22T00:00:00"/>
        <d v="2025-01-24T00:00:00"/>
        <d v="2025-01-28T00:00:00"/>
        <d v="2025-01-27T00:00:00"/>
        <d v="2025-01-31T00:00:00"/>
        <d v="2025-02-03T00:00:00"/>
        <d v="2025-01-30T00:00:00"/>
        <d v="2025-02-04T00:00:00"/>
        <d v="2025-02-06T00:00:00"/>
        <d v="2025-02-07T00:00:00"/>
        <d v="2025-02-10T00:00:00"/>
        <d v="2025-02-11T00:00:00"/>
        <d v="2025-02-12T00:00:00"/>
        <d v="2025-02-14T00:00:00"/>
        <d v="2025-02-13T00:00:00"/>
        <d v="2025-02-17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5T00:00:00"/>
        <d v="2025-02-27T00:00:00"/>
        <d v="2025-03-12T00:00:00"/>
        <d v="2025-03-19T00:00:00"/>
        <d v="2025-03-20T00:00:00"/>
        <d v="2025-03-21T00:00:00"/>
        <d v="2025-03-25T00:00:00"/>
        <d v="2025-03-27T00:00:00"/>
        <d v="2025-03-28T00:00:00"/>
        <d v="2025-03-31T00:00:00"/>
        <d v="2025-04-04T00:00:00"/>
        <d v="2025-05-19T00:00:00"/>
        <d v="2025-06-18T00:00:00"/>
        <d v="2025-04-09T00:00:00"/>
        <d v="2025-04-11T00:00:00"/>
        <d v="2025-04-14T00:00:00"/>
        <d v="2025-04-16T00:00:00"/>
        <d v="2025-04-24T00:00:00"/>
        <d v="2025-04-25T00:00:00"/>
        <d v="2025-04-28T00:00:00"/>
        <d v="2025-04-30T00:00:00"/>
        <d v="2025-05-06T00:00:00"/>
        <d v="2025-05-07T00:00:00"/>
        <d v="2025-05-05T00:00:00"/>
        <d v="2025-05-08T00:00:00"/>
        <d v="2025-05-09T00:00:00"/>
        <d v="2025-05-20T00:00:00"/>
        <d v="2025-05-23T00:00:00"/>
        <d v="2025-05-26T00:00:00"/>
        <d v="2025-05-27T00:00:00"/>
        <d v="2025-05-29T00:00:00"/>
        <d v="2025-05-30T00:00:00"/>
        <d v="2025-06-02T00:00:00"/>
        <d v="2025-06-03T00:00:00"/>
        <d v="2025-06-05T00:00:00"/>
        <d v="2025-06-09T00:00:00"/>
        <d v="2025-06-10T00:00:00"/>
        <d v="2025-06-07T00:00:00"/>
        <d v="2025-06-11T00:00:00"/>
        <d v="2025-06-13T00:00:00"/>
        <d v="2025-06-19T00:00:00"/>
        <d v="2025-06-16T00:00:00"/>
        <d v="2025-06-23T00:00:00"/>
        <d v="2025-06-26T00:00:00"/>
        <d v="2025-06-27T00:00:00"/>
        <d v="2025-06-25T00:00:00"/>
        <d v="2025-06-30T00:00:00"/>
        <d v="2025-07-01T00:00:00"/>
        <d v="2025-07-03T00:00:00"/>
        <d v="2025-07-04T00:00:00"/>
        <d v="2025-07-10T00:00:00"/>
        <d v="2025-07-14T00:00:00"/>
        <d v="2025-07-15T00:00:00"/>
        <d v="2025-07-16T00:00:00"/>
        <d v="2025-07-17T00:00:00"/>
        <d v="2025-07-18T00:00:00"/>
        <d v="2025-08-07T00:00:00"/>
        <d v="2025-08-08T00:00:00"/>
        <d v="2025-08-13T00:00:00"/>
        <d v="2025-08-14T00:00:00"/>
        <d v="2025-08-18T00:00:00"/>
        <d v="2025-08-21T00:00:00"/>
        <d v="2025-08-22T00:00:00"/>
        <d v="2025-08-28T00:00:00"/>
        <d v="2025-08-29T00:00:00"/>
        <d v="2025-09-01T00:00:00"/>
        <d v="2026-06-30T00:00:00"/>
        <d v="2025-09-04T00:00:00"/>
        <d v="2025-09-03T00:00:00"/>
        <d v="2025-09-08T00:00:00"/>
        <d v="2025-09-11T00:00:00"/>
        <d v="2025-09-12T00:00:00"/>
        <d v="2025-09-19T00:00:00"/>
        <d v="2025-09-23T00:00:00"/>
        <d v="2025-09-24T00:00:00"/>
        <d v="2025-09-25T00:00:00"/>
        <d v="2025-09-18T00:00:00"/>
        <d v="2025-08-31T00:00:00"/>
        <d v="2025-09-26T00:00:00"/>
        <d v="2025-09-29T00:00:00"/>
        <d v="2025-10-03T00:00:00"/>
        <d v="2025-10-06T00:00:00"/>
        <d v="2026-08-14T00:00:00"/>
        <d v="2026-06-22T00:00:00"/>
        <d v="2025-10-09T00:00:00"/>
        <d v="2025-10-13T00:00:00"/>
        <d v="2025-10-14T00:00:00"/>
        <d v="2025-10-16T00:00:00"/>
        <d v="2025-10-15T00:00:00"/>
        <d v="2025-10-20T00:00:00"/>
        <d v="2025-10-22T00:00:00"/>
        <d v="2025-10-23T00:00:00"/>
        <d v="2025-10-24T00:00:00"/>
        <d v="2025-10-29T00:00:00"/>
        <d v="2025-10-30T00:00:00"/>
        <d v="2025-10-31T00:00:00"/>
        <d v="2025-11-03T00:00:00"/>
        <d v="2025-11-07T00:00:00"/>
        <d v="2025-12-15T00:00:00"/>
        <d v="2026-01-05T00:00:00"/>
        <d v="2026-02-03T00:00:00"/>
        <d v="2026-03-05T00:00:00"/>
        <d v="2025-11-14T00:00:00"/>
        <d v="2025-12-01T00:00:00"/>
        <d v="2026-09-05T00:00:00"/>
        <d v="2026-01-16T00:00:00"/>
        <d v="2025-12-16T00:00:00"/>
        <d v="2025-11-17T00:00:00"/>
        <d v="2025-12-12T00:00:00"/>
        <d v="2025-11-25T00:00:00"/>
        <d v="2025-11-26T00:00:00"/>
        <d v="2025-11-29T00:00:00"/>
        <d v="2025-11-28T00:00:00"/>
        <d v="2025-12-09T00:00:00"/>
        <d v="2025-12-10T00:00:00"/>
        <d v="2026-01-21T00:00:00"/>
        <d v="2026-02-20T00:00:00"/>
        <d v="2025-12-05T00:00:00"/>
        <d v="2025-12-11T00:00:00"/>
        <d v="2025-12-17T00:00:00"/>
        <d v="2025-12-29T00:00:00"/>
        <d v="2026-01-27T00:00:00"/>
        <d v="2026-01-19T00:00:00"/>
        <d v="2026-02-16T00:00:00"/>
        <d v="2025-12-18T00:00:00"/>
        <d v="2025-12-19T00:00:00"/>
        <d v="2026-02-05T00:00:00"/>
        <d v="2025-12-23T00:00:00"/>
        <d v="2025-12-22T00:00:00"/>
        <d v="2025-12-26T00:00:00"/>
        <d v="2026-01-08T00:00:00"/>
        <d v="2026-01-09T00:00:00"/>
        <d v="2026-01-12T00:00:00"/>
        <d v="2026-02-04T00:00:00"/>
        <d v="2026-01-13T00:00:00"/>
        <d v="2026-01-14T00:00:00"/>
        <d v="2026-01-20T00:00:00"/>
        <d v="2026-01-28T00:00:00"/>
        <d v="2026-01-29T00:00:00"/>
        <d v="2026-02-06T00:00:00"/>
        <d v="2026-02-09T00:00:00"/>
        <d v="2026-02-10T00:00:00"/>
        <d v="2026-02-19T00:00:00"/>
        <d v="2026-02-18T00:00:00"/>
        <d v="2026-02-23T00:00:00"/>
        <d v="2026-02-25T00:00:00"/>
        <d v="2026-02-26T00:00:00"/>
        <d v="2026-02-27T00:00:00"/>
        <d v="2026-03-02T00:00:00"/>
        <d v="2026-03-04T00:00:00"/>
        <d v="2026-03-06T00:00:00"/>
        <d v="2026-03-12T00:00:00"/>
        <d v="2026-03-13T00:00:00"/>
        <d v="2026-03-16T00:00:00"/>
        <d v="2026-03-19T00:00:00"/>
        <d v="2026-03-25T00:00:00"/>
        <d v="2026-03-27T00:00:00"/>
        <d v="2026-03-30T00:00:00"/>
        <d v="2026-04-07T00:00:00"/>
        <d v="2026-05-04T00:00:00"/>
        <d v="2026-04-10T00:00:00"/>
        <d v="2026-04-13T00:00:00"/>
        <d v="2026-04-16T00:00:00"/>
        <d v="2026-04-22T00:00:00"/>
        <d v="2026-04-23T00:00:00"/>
        <d v="2026-04-27T00:00:00"/>
        <d v="2026-04-30T00:00:00"/>
        <d v="2026-05-08T00:00:00"/>
        <d v="2026-05-15T00:00:00"/>
        <d v="2026-05-14T00:00:00"/>
        <d v="2026-05-18T00:00:00"/>
        <d v="2026-05-22T00:00:00"/>
        <d v="2026-05-28T00:00:00"/>
        <d v="2026-05-29T00:00:00"/>
        <d v="2026-06-01T00:00:00"/>
        <d v="2026-06-04T00:00:00"/>
        <d v="2026-06-05T00:00:00"/>
        <d v="2026-06-08T00:00:00"/>
        <d v="2026-06-11T00:00:00"/>
        <d v="2026-06-12T00:00:00"/>
        <d v="2026-06-16T00:00:00"/>
        <d v="2026-06-17T00:00:00"/>
        <d v="2026-06-19T00:00:00"/>
        <d v="2026-06-25T00:00:00"/>
        <d v="2026-06-26T00:00:00"/>
        <d v="2026-07-02T00:00:00"/>
        <d v="2026-07-06T00:00:00"/>
        <d v="2026-07-13T00:00:00"/>
        <d v="2026-07-22T00:00:00"/>
        <d v="2026-07-25T00:00:00"/>
        <d v="2026-08-25T00:00:00"/>
        <d v="2026-07-27T00:00:00"/>
        <d v="2026-08-24T00:00:00"/>
        <d v="2026-08-31T00:00:00"/>
        <d v="2026-07-30T00:00:00"/>
        <d v="2026-08-07T00:00:00"/>
        <d v="2026-08-04T00:00:00"/>
        <d v="2026-08-10T00:00:00"/>
        <d v="2026-08-11T00:00:00"/>
        <d v="2026-08-13T00:00:00"/>
        <d v="2026-08-17T00:00:00"/>
        <d v="2026-08-26T00:00:00"/>
        <d v="2026-08-20T00:00:00"/>
        <d v="2026-09-02T00:00:00"/>
        <d v="2026-09-03T00:00:00"/>
        <d v="2026-09-04T00:00:00"/>
        <d v="2026-09-08T00:00:00"/>
        <m/>
      </sharedItems>
    </cacheField>
    <cacheField name="Banco" numFmtId="0">
      <sharedItems containsBlank="1" count="7">
        <s v="HSBC"/>
        <s v="MACRO"/>
        <m/>
        <s v="GALICIA" u="1"/>
        <s v="NACION" u="1"/>
        <s v="Credicoop" u="1"/>
        <s v="COMAFI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5">
        <s v="excluir"/>
        <s v="a pagar"/>
        <s v="proximo a vencer"/>
        <m/>
        <e v="#REF!" u="1"/>
      </sharedItems>
    </cacheField>
    <cacheField name="estado tres" numFmtId="0">
      <sharedItems containsBlank="1" count="4">
        <s v="no semana"/>
        <s v="para la semana"/>
        <m/>
        <e v="#REF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49033796294" createdVersion="6" refreshedVersion="8" minRefreshableVersion="3" recordCount="1753" xr:uid="{00000000-000A-0000-FFFF-FFFF13000000}">
  <cacheSource type="worksheet">
    <worksheetSource ref="A1:M1048576" sheet="sap nuevo"/>
  </cacheSource>
  <cacheFields count="13">
    <cacheField name="Nº doc." numFmtId="0">
      <sharedItems containsString="0" containsBlank="1" containsNumber="1" containsInteger="1" minValue="1200000001" maxValue="3000001859"/>
    </cacheField>
    <cacheField name="Fecha doc." numFmtId="0">
      <sharedItems containsNonDate="0" containsDate="1" containsString="0" containsBlank="1" minDate="2025-01-03T00:00:00" maxDate="2026-09-03T00:00:00"/>
    </cacheField>
    <cacheField name="       Importe en ML" numFmtId="0">
      <sharedItems containsString="0" containsBlank="1" containsNumber="1" minValue="0" maxValue="47000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3111702"/>
        <n v="3111703"/>
        <n v="94231468"/>
        <n v="94231469"/>
        <n v="94231470"/>
        <n v="94231471"/>
        <n v="94231472"/>
        <n v="94231473"/>
        <n v="94231474"/>
        <n v="94231475"/>
        <n v="94231476"/>
        <n v="97123392"/>
        <n v="97123393"/>
        <n v="97123394"/>
        <n v="97123395"/>
        <n v="97123397"/>
        <n v="97123398"/>
        <n v="97123399"/>
        <n v="97123400"/>
        <n v="97123404"/>
        <n v="97123405"/>
        <n v="97123396"/>
        <n v="97123401"/>
        <n v="97123402"/>
        <n v="97123403"/>
        <n v="3111704"/>
        <n v="3111715"/>
        <n v="3111716"/>
        <n v="3111707"/>
        <n v="3111708"/>
        <n v="3111709"/>
        <n v="3111711"/>
        <n v="3111712"/>
        <n v="3111713"/>
        <n v="3111714"/>
        <n v="3111705"/>
        <n v="3111706"/>
        <n v="3111710"/>
        <n v="3111717"/>
        <n v="3111718"/>
        <n v="3111719"/>
        <n v="3111720"/>
        <n v="3111721"/>
        <n v="3111722"/>
        <n v="3111723"/>
        <n v="3111724"/>
        <n v="3111725"/>
        <n v="3111726"/>
        <n v="3111727"/>
        <n v="3111728"/>
        <n v="3111729"/>
        <n v="94231477"/>
        <n v="94231478"/>
        <n v="94231479"/>
        <n v="94231480"/>
        <n v="94231481"/>
        <n v="94231482"/>
        <n v="94231483"/>
        <n v="94231484"/>
        <n v="94231485"/>
        <n v="94231486"/>
        <n v="94231487"/>
        <n v="94231488"/>
        <n v="94231489"/>
        <n v="94231490"/>
        <n v="94231491"/>
        <n v="94231492"/>
        <n v="94231493"/>
        <n v="94231494"/>
        <n v="94231495"/>
        <n v="94231496"/>
        <n v="94231497"/>
        <n v="94231498"/>
        <n v="94231499"/>
        <n v="94231500"/>
        <n v="94231501"/>
        <n v="94231502"/>
        <n v="94231503"/>
        <n v="94231504"/>
        <n v="94231505"/>
        <n v="94231506"/>
        <n v="94231507"/>
        <n v="94231508"/>
        <n v="94231509"/>
        <n v="94231510"/>
        <n v="94231511"/>
        <n v="3111731"/>
        <n v="3111732"/>
        <n v="3111734"/>
        <n v="3111735"/>
        <n v="3111730"/>
        <n v="3111733"/>
        <n v="3111736"/>
        <n v="3111737"/>
        <n v="94231512"/>
        <n v="3111738"/>
        <n v="3111739"/>
        <n v="3111740"/>
        <n v="3111741"/>
        <n v="94231513"/>
        <n v="94231514"/>
        <n v="94231515"/>
        <n v="94231516"/>
        <n v="94231517"/>
        <n v="94231518"/>
        <n v="94231519"/>
        <n v="94231520"/>
        <n v="97123406"/>
        <n v="97123407"/>
        <n v="97123408"/>
        <n v="97123409"/>
        <n v="97123410"/>
        <n v="97123411"/>
        <n v="97123412"/>
        <n v="97123413"/>
        <n v="97123414"/>
        <n v="97123415"/>
        <n v="97123416"/>
        <n v="97123417"/>
        <n v="97123418"/>
        <n v="97123419"/>
        <n v="97123420"/>
        <n v="3111742"/>
        <n v="97123423"/>
        <n v="97123424"/>
        <n v="97123427"/>
        <n v="97123428"/>
        <n v="97123429"/>
        <n v="97123430"/>
        <n v="97123431"/>
        <n v="97123432"/>
        <n v="97123433"/>
        <n v="97123421"/>
        <n v="97123422"/>
        <n v="97123425"/>
        <n v="97123426"/>
        <n v="3111743"/>
        <n v="3111744"/>
        <n v="3111745"/>
        <n v="3111746"/>
        <n v="3111747"/>
        <n v="3111748"/>
        <n v="3111749"/>
        <n v="3111750"/>
        <n v="3111751"/>
        <n v="3111752"/>
        <n v="3111755"/>
        <n v="3111756"/>
        <n v="3111757"/>
        <n v="3111758"/>
        <n v="94231521"/>
        <n v="3111753"/>
        <n v="3111754"/>
        <n v="3111759"/>
        <n v="3111760"/>
        <n v="3111761"/>
        <n v="3111762"/>
        <n v="3111767"/>
        <n v="3111768"/>
        <n v="3111769"/>
        <n v="3111763"/>
        <n v="3111764"/>
        <n v="3111770"/>
        <n v="3111771"/>
        <n v="3111772"/>
        <n v="3111773"/>
        <n v="3111765"/>
        <n v="3111766"/>
        <n v="3111774"/>
        <n v="3111775"/>
        <n v="3111776"/>
        <n v="3111777"/>
        <n v="3111778"/>
        <n v="3111779"/>
        <n v="3111780"/>
        <n v="3400721"/>
        <n v="3400723"/>
        <n v="3400724"/>
        <n v="3400725"/>
        <n v="3400726"/>
        <n v="3400727"/>
        <n v="3400728"/>
        <n v="3400722"/>
        <n v="3400729"/>
        <n v="3400730"/>
        <n v="3400731"/>
        <n v="3400732"/>
        <n v="3400733"/>
        <n v="3400734"/>
        <n v="94231522"/>
        <n v="3400735"/>
        <n v="3400736"/>
        <n v="3400737"/>
        <n v="3400738"/>
        <n v="3400739"/>
        <n v="3400740"/>
        <n v="3400741"/>
        <n v="94231523"/>
        <n v="97123434"/>
        <n v="97123435"/>
        <n v="97123439"/>
        <n v="97123440"/>
        <n v="97123441"/>
        <n v="97123442"/>
        <n v="97123443"/>
        <n v="97123444"/>
        <n v="97123445"/>
        <n v="97123446"/>
        <n v="97123448"/>
        <n v="97123449"/>
        <n v="97123451"/>
        <n v="97123452"/>
        <n v="97123436"/>
        <n v="97123437"/>
        <n v="97123438"/>
        <n v="97123447"/>
        <n v="97123450"/>
        <n v="97123453"/>
        <n v="97123454"/>
        <n v="97123455"/>
        <n v="97123456"/>
        <n v="97123457"/>
        <n v="97123458"/>
        <n v="97123459"/>
        <n v="97123460"/>
        <n v="97123463"/>
        <n v="97123464"/>
        <n v="97123466"/>
        <n v="97123467"/>
        <n v="97123461"/>
        <n v="97123462"/>
        <n v="97123465"/>
        <n v="94231524"/>
        <n v="94231525"/>
        <n v="94231526"/>
        <n v="94231527"/>
        <n v="97123468"/>
        <n v="97123469"/>
        <n v="97123470"/>
        <n v="97123471"/>
        <n v="97123472"/>
        <n v="97123473"/>
        <n v="97123474"/>
        <n v="97123475"/>
        <n v="97123476"/>
        <n v="97123477"/>
        <n v="97123478"/>
        <n v="97123479"/>
        <n v="97123480"/>
        <n v="97123481"/>
        <n v="94231528"/>
        <n v="94231529"/>
        <n v="94231530"/>
        <n v="94231531"/>
        <n v="94231532"/>
        <n v="94231533"/>
        <n v="94231534"/>
        <n v="94231535"/>
        <n v="94231536"/>
        <n v="94231537"/>
        <n v="94231538"/>
        <n v="94231539"/>
        <n v="94231540"/>
        <n v="94231541"/>
        <n v="97123482"/>
        <n v="97123483"/>
        <n v="97123484"/>
        <n v="97123487"/>
        <n v="97123488"/>
        <n v="97123489"/>
        <n v="97123490"/>
        <n v="97123485"/>
        <n v="97123486"/>
        <n v="97123491"/>
        <n v="97123492"/>
        <n v="3400742"/>
        <n v="3400743"/>
        <n v="97123496"/>
        <n v="97123497"/>
        <n v="97123493"/>
        <n v="97123494"/>
        <n v="97123495"/>
        <n v="97123498"/>
        <n v="94231542"/>
        <n v="94231543"/>
        <n v="94231544"/>
        <n v="94231545"/>
        <n v="97123508"/>
        <n v="97123509"/>
        <n v="97123510"/>
        <n v="97123511"/>
        <n v="97123499"/>
        <n v="97123500"/>
        <n v="97123501"/>
        <n v="97123502"/>
        <n v="97123503"/>
        <n v="97123505"/>
        <n v="97123506"/>
        <n v="97123507"/>
        <n v="97123504"/>
        <n v="97123512"/>
        <n v="97123513"/>
        <n v="97123514"/>
        <n v="97123515"/>
        <n v="97123516"/>
        <n v="97123517"/>
        <n v="97123520"/>
        <n v="97123521"/>
        <n v="97123523"/>
        <n v="97123524"/>
        <n v="97123535"/>
        <n v="97123536"/>
        <n v="97123519"/>
        <n v="97123522"/>
        <n v="97123525"/>
        <n v="97123526"/>
        <n v="97123527"/>
        <n v="97123528"/>
        <n v="97123529"/>
        <n v="97123530"/>
        <n v="97123531"/>
        <n v="97123532"/>
        <n v="97123533"/>
        <n v="97123534"/>
        <n v="97123538"/>
        <n v="97123539"/>
        <n v="97123540"/>
        <n v="97123541"/>
        <n v="97123542"/>
        <n v="97123543"/>
        <n v="97123544"/>
        <n v="97123545"/>
        <n v="97123546"/>
        <n v="97123547"/>
        <n v="97123548"/>
        <n v="97123549"/>
        <n v="97123550"/>
        <n v="97123551"/>
        <n v="97123552"/>
        <n v="94231546"/>
        <n v="97123554"/>
        <n v="97123555"/>
        <n v="97123556"/>
        <n v="97123557"/>
        <n v="97123558"/>
        <n v="97123559"/>
        <n v="97123560"/>
        <n v="97123562"/>
        <n v="97123553"/>
        <n v="97123563"/>
        <n v="97123564"/>
        <n v="97123561"/>
        <n v="97123566"/>
        <n v="97123567"/>
        <n v="97123568"/>
        <n v="97123569"/>
        <n v="97123570"/>
        <n v="97123571"/>
        <n v="97123565"/>
        <n v="97123572"/>
        <n v="94231547"/>
        <n v="94231548"/>
        <n v="94231549"/>
        <n v="94231550"/>
        <n v="94231551"/>
        <n v="94231552"/>
        <n v="94231553"/>
        <n v="97123582"/>
        <n v="97123583"/>
        <n v="97123584"/>
        <n v="97123585"/>
        <n v="97123586"/>
        <n v="97123587"/>
        <n v="97123573"/>
        <n v="97123574"/>
        <n v="97123575"/>
        <n v="97123576"/>
        <n v="97123577"/>
        <n v="97123578"/>
        <n v="97123579"/>
        <n v="97123580"/>
        <n v="97123581"/>
        <n v="97123588"/>
        <n v="97123589"/>
        <n v="97123590"/>
        <n v="97123591"/>
        <n v="97123592"/>
        <n v="97123593"/>
        <n v="97123594"/>
        <n v="97123595"/>
        <n v="97123596"/>
        <n v="94231554"/>
        <n v="97123601"/>
        <n v="97123602"/>
        <n v="97123605"/>
        <n v="97123606"/>
        <n v="97123597"/>
        <n v="97123598"/>
        <n v="97123599"/>
        <n v="97123600"/>
        <n v="97123603"/>
        <n v="97123604"/>
        <n v="97123607"/>
        <n v="97123608"/>
        <n v="94231555"/>
        <n v="94231556"/>
        <n v="94231557"/>
        <n v="94231558"/>
        <n v="97123609"/>
        <n v="97123610"/>
        <n v="97123611"/>
        <n v="97123612"/>
        <n v="97123613"/>
        <n v="97123614"/>
        <n v="97123615"/>
        <n v="97123616"/>
        <n v="97123622"/>
        <n v="97123623"/>
        <n v="97123626"/>
        <n v="97123627"/>
        <n v="97123628"/>
        <n v="97123617"/>
        <n v="97123618"/>
        <n v="97123619"/>
        <n v="97123620"/>
        <n v="97123621"/>
        <n v="97123624"/>
        <n v="97123625"/>
        <n v="97123632"/>
        <n v="97123633"/>
        <n v="97123635"/>
        <n v="97123636"/>
        <n v="97123629"/>
        <n v="97123630"/>
        <n v="97123631"/>
        <n v="97123634"/>
        <n v="97123637"/>
        <n v="97123638"/>
        <n v="97123639"/>
        <n v="97123640"/>
        <n v="97123641"/>
        <n v="97123642"/>
        <n v="97123643"/>
        <n v="97123644"/>
        <n v="97123645"/>
        <n v="97123646"/>
        <n v="97123647"/>
        <n v="97123648"/>
        <n v="97123649"/>
        <n v="97123650"/>
        <n v="97123651"/>
        <n v="97123652"/>
        <n v="97123653"/>
        <n v="97123654"/>
        <n v="97123655"/>
        <n v="97123656"/>
        <n v="97123657"/>
        <n v="97123658"/>
        <n v="97123659"/>
        <n v="97123660"/>
        <n v="97123661"/>
        <n v="97123662"/>
        <n v="97123663"/>
        <n v="97123664"/>
        <n v="97123665"/>
        <n v="97123669"/>
        <n v="97123668"/>
        <n v="97123666"/>
        <n v="97123667"/>
        <n v="97123670"/>
        <n v="97123671"/>
        <n v="97123672"/>
        <n v="97123673"/>
        <n v="97123674"/>
        <n v="97123675"/>
        <n v="97123676"/>
        <n v="97123677"/>
        <n v="97123678"/>
        <n v="97123679"/>
        <n v="97123680"/>
        <n v="97123681"/>
        <n v="97123682"/>
        <n v="97123683"/>
        <n v="97123684"/>
        <n v="97123685"/>
        <n v="97123686"/>
        <n v="97123687"/>
        <n v="12452655"/>
        <n v="97123688"/>
        <n v="97123689"/>
        <n v="97123690"/>
        <n v="97123691"/>
        <n v="97123692"/>
        <n v="97123693"/>
        <n v="97123694"/>
        <n v="97123695"/>
        <n v="97123696"/>
        <n v="97123697"/>
        <n v="97123698"/>
        <n v="97123699"/>
        <n v="97123700"/>
        <n v="97123701"/>
        <n v="97123702"/>
        <n v="97123703"/>
        <n v="97123704"/>
        <n v="97123705"/>
        <n v="97123706"/>
        <n v="97123707"/>
        <n v="97123708"/>
        <n v="97123709"/>
        <n v="97123710"/>
        <n v="97123711"/>
        <n v="97123712"/>
        <n v="97123713"/>
        <n v="97123714"/>
        <n v="97123715"/>
        <n v="97123716"/>
        <n v="97123717"/>
        <n v="97123718"/>
        <n v="97123719"/>
        <n v="97123720"/>
        <n v="97123722"/>
        <n v="97123723"/>
        <n v="97123726"/>
        <n v="97123727"/>
        <n v="97123728"/>
        <n v="97123729"/>
        <n v="97123731"/>
        <n v="97123732"/>
        <n v="97123733"/>
        <n v="97123734"/>
        <n v="97123735"/>
        <n v="97123736"/>
        <n v="97123721"/>
        <n v="97123724"/>
        <n v="97123725"/>
        <n v="97123730"/>
        <n v="97123737"/>
        <n v="97123738"/>
        <n v="97123739"/>
        <n v="97123740"/>
        <n v="97123741"/>
        <n v="97123742"/>
        <n v="97123743"/>
        <n v="97123744"/>
        <n v="97121392"/>
        <n v="97123745"/>
        <n v="97123746"/>
        <n v="97123747"/>
        <n v="97123748"/>
        <n v="97123749"/>
        <n v="97123750"/>
        <n v="97123751"/>
        <n v="97123752"/>
        <n v="97123753"/>
        <n v="97123754"/>
        <n v="97123755"/>
        <n v="97123756"/>
        <n v="97123757"/>
        <n v="97123758"/>
        <n v="97123759"/>
        <n v="97123760"/>
        <n v="97123761"/>
        <n v="97123762"/>
        <n v="97123763"/>
        <n v="97123764"/>
        <n v="97123765"/>
        <n v="97123766"/>
        <n v="97123767"/>
        <n v="97123768"/>
        <n v="97123769"/>
        <n v="97123770"/>
        <n v="97123771"/>
        <n v="97123772"/>
        <n v="97123773"/>
        <n v="97123774"/>
        <n v="97123775"/>
        <n v="97123776"/>
        <n v="97123777"/>
        <n v="97123778"/>
        <n v="97123779"/>
        <n v="97123780"/>
        <n v="97123781"/>
        <n v="97123782"/>
        <n v="97123783"/>
        <n v="97123784"/>
        <n v="97123785"/>
        <n v="97123786"/>
        <n v="97123787"/>
        <n v="97123788"/>
        <n v="97123789"/>
        <n v="97123790"/>
        <n v="97123791"/>
        <n v="97123792"/>
        <n v="97123793"/>
        <n v="97123794"/>
        <n v="97123795"/>
        <n v="97123796"/>
        <n v="97123797"/>
        <n v="97123798"/>
        <n v="97123799"/>
        <n v="97123800"/>
        <n v="97123801"/>
        <n v="97123802"/>
        <n v="97123803"/>
        <n v="97123804"/>
        <n v="97123805"/>
        <n v="97123806"/>
        <n v="97123807"/>
        <n v="97123808"/>
        <n v="97123809"/>
        <n v="97123810"/>
        <n v="97123811"/>
        <n v="97123812"/>
        <n v="97123813"/>
        <n v="97123816"/>
        <n v="97123817"/>
        <n v="97123818"/>
        <n v="97123819"/>
        <n v="97123814"/>
        <n v="97123815"/>
        <n v="97121393"/>
        <n v="97123518"/>
        <n v="97123820"/>
        <n v="97123821"/>
        <n v="97123822"/>
        <n v="97123823"/>
        <n v="97123824"/>
        <n v="97123825"/>
        <n v="97123826"/>
        <n v="97123827"/>
        <n v="97123828"/>
        <n v="97123829"/>
        <n v="97123830"/>
        <n v="97123831"/>
        <n v="97123832"/>
        <n v="97123833"/>
        <n v="97123834"/>
        <n v="97123835"/>
        <n v="97123836"/>
        <n v="97123837"/>
        <n v="97123838"/>
        <n v="97123839"/>
        <n v="97123840"/>
        <n v="97123841"/>
        <n v="97123842"/>
        <n v="97123843"/>
        <n v="97123844"/>
        <n v="97123845"/>
        <n v="97123846"/>
        <n v="97123847"/>
        <n v="97123848"/>
        <n v="97123849"/>
        <n v="97123850"/>
        <n v="97123851"/>
        <n v="97123852"/>
        <n v="97123853"/>
        <n v="97123854"/>
        <n v="97123855"/>
        <n v="97123856"/>
        <n v="97123857"/>
        <n v="97123858"/>
        <n v="97123859"/>
        <n v="97123860"/>
        <n v="97123861"/>
        <n v="97123862"/>
        <n v="97123863"/>
        <n v="97123864"/>
        <n v="97123865"/>
        <n v="97123866"/>
        <n v="97123867"/>
        <n v="97123868"/>
        <n v="97123869"/>
        <n v="97123870"/>
        <n v="97123871"/>
        <n v="97123872"/>
        <n v="97123873"/>
        <n v="97123874"/>
        <n v="97123875"/>
        <n v="97123876"/>
        <n v="97123877"/>
        <n v="97123878"/>
        <n v="97123879"/>
        <n v="97123880"/>
        <n v="97123881"/>
        <n v="97121394"/>
        <n v="97121395"/>
        <n v="97123882"/>
        <n v="97123883"/>
        <n v="97123884"/>
        <n v="97123885"/>
        <n v="97123886"/>
        <n v="97123887"/>
        <n v="97123888"/>
        <n v="97123889"/>
        <n v="97123894"/>
        <n v="97123895"/>
        <n v="97123890"/>
        <n v="97123891"/>
        <n v="97123892"/>
        <n v="97123893"/>
        <n v="97123896"/>
        <n v="97123897"/>
        <n v="97123898"/>
        <n v="97123899"/>
        <n v="97123900"/>
        <n v="97123901"/>
        <n v="97123902"/>
        <n v="97123903"/>
        <n v="97123904"/>
        <n v="97123905"/>
        <n v="97123906"/>
        <n v="97123907"/>
        <n v="97123908"/>
        <n v="97123909"/>
        <n v="97123910"/>
        <n v="97123911"/>
        <n v="97123912"/>
        <n v="97123913"/>
        <n v="97123914"/>
        <n v="97123915"/>
        <n v="97123916"/>
        <n v="97123917"/>
        <n v="97123918"/>
        <n v="97123919"/>
        <n v="97123920"/>
        <n v="97123921"/>
        <n v="97123922"/>
        <n v="97123923"/>
        <n v="97123924"/>
        <n v="97123925"/>
        <n v="97123926"/>
        <n v="97123927"/>
        <n v="97123928"/>
        <n v="97123929"/>
        <n v="97123930"/>
        <n v="97123931"/>
        <n v="97123932"/>
        <n v="97123933"/>
        <n v="97123934"/>
        <n v="97123935"/>
        <n v="97123936"/>
        <n v="97123937"/>
        <n v="97123938"/>
        <n v="97123939"/>
        <n v="97123940"/>
        <n v="97123941"/>
        <n v="97123942"/>
        <n v="97123943"/>
        <n v="97123944"/>
        <n v="97123945"/>
        <n v="97123946"/>
        <n v="97123947"/>
        <n v="97123948"/>
        <n v="97123949"/>
        <n v="97123950"/>
        <n v="97123953"/>
        <n v="97123954"/>
        <n v="97123955"/>
        <n v="97123956"/>
        <n v="97123960"/>
        <n v="97123961"/>
        <n v="97123963"/>
        <n v="97123964"/>
        <n v="97123951"/>
        <n v="97123952"/>
        <n v="97123958"/>
        <n v="97123959"/>
        <n v="97123962"/>
        <n v="97123957"/>
        <n v="97123965"/>
        <n v="97123966"/>
        <n v="97123967"/>
        <n v="97123968"/>
        <n v="97123969"/>
        <n v="97123970"/>
        <n v="97123971"/>
        <n v="97123972"/>
        <n v="97123973"/>
        <n v="97123974"/>
        <n v="97123975"/>
        <n v="97123976"/>
        <n v="97123977"/>
        <n v="97123978"/>
        <n v="97123979"/>
        <n v="97123980"/>
        <n v="12452657"/>
        <n v="97123981"/>
        <n v="97123982"/>
        <n v="97123983"/>
        <n v="97123984"/>
        <n v="97123985"/>
        <n v="97123986"/>
        <n v="97123987"/>
        <n v="97123988"/>
        <n v="97123989"/>
        <n v="97123990"/>
        <n v="97123991"/>
        <n v="97123992"/>
        <n v="97123993"/>
        <n v="97123994"/>
        <n v="97123995"/>
        <n v="97123996"/>
        <n v="97123997"/>
        <n v="97123998"/>
        <n v="97123999"/>
        <n v="97124000"/>
        <n v="97124001"/>
        <n v="97124002"/>
        <n v="97124003"/>
        <n v="97124004"/>
        <n v="97124005"/>
        <n v="97124006"/>
        <n v="97124007"/>
        <n v="97124008"/>
        <n v="97124009"/>
        <n v="97124010"/>
        <n v="97124011"/>
        <n v="97124012"/>
        <n v="97124013"/>
        <n v="97124014"/>
        <n v="97124015"/>
        <n v="97124016"/>
        <n v="97124017"/>
        <n v="97124018"/>
        <n v="97124019"/>
        <n v="97124020"/>
        <n v="97124021"/>
        <n v="97124022"/>
        <n v="97124023"/>
        <n v="97124024"/>
        <n v="97124025"/>
        <n v="97124026"/>
        <n v="97124027"/>
        <n v="97124028"/>
        <n v="97124029"/>
        <n v="97124030"/>
        <n v="97124031"/>
        <n v="97124032"/>
        <n v="97124033"/>
        <n v="97124034"/>
        <n v="97124035"/>
        <n v="97124036"/>
        <n v="97124037"/>
        <n v="97124038"/>
        <n v="97124039"/>
        <n v="97124040"/>
        <n v="97124041"/>
        <n v="97124042"/>
        <n v="97124043"/>
        <n v="97124044"/>
        <n v="97124045"/>
        <n v="97124046"/>
        <n v="97124047"/>
        <n v="97124048"/>
        <n v="97124049"/>
        <n v="97124050"/>
        <n v="97124051"/>
        <n v="97124052"/>
        <n v="97124053"/>
        <n v="97124054"/>
        <n v="97124055"/>
        <n v="97124056"/>
        <n v="97124057"/>
        <n v="97124058"/>
        <n v="97124059"/>
        <n v="97124060"/>
        <n v="97124061"/>
        <n v="97124062"/>
        <n v="97124063"/>
        <n v="97124064"/>
        <n v="97124065"/>
        <n v="97124066"/>
        <n v="97124067"/>
        <n v="97124068"/>
        <n v="97124069"/>
        <n v="97124070"/>
        <n v="97124071"/>
        <n v="97124072"/>
        <n v="97124073"/>
        <n v="97124074"/>
        <n v="97124075"/>
        <n v="97124076"/>
        <n v="97124077"/>
        <n v="97124078"/>
        <n v="97124079"/>
        <n v="97124080"/>
        <n v="97124081"/>
        <n v="97124082"/>
        <n v="97124083"/>
        <n v="97124084"/>
        <n v="97124085"/>
        <n v="97124086"/>
        <n v="97124087"/>
        <n v="97124088"/>
        <n v="97124089"/>
        <n v="97124090"/>
        <n v="97124091"/>
        <n v="97124092"/>
        <n v="97124093"/>
        <n v="97124094"/>
        <n v="97124095"/>
        <n v="12452658"/>
        <n v="97124096"/>
        <n v="97124097"/>
        <n v="97124098"/>
        <n v="97124099"/>
        <n v="97124100"/>
        <n v="97124101"/>
        <n v="97124102"/>
        <n v="97124103"/>
        <n v="97124104"/>
        <n v="97124105"/>
        <n v="97124106"/>
        <n v="97124107"/>
        <n v="97124108"/>
        <n v="97124109"/>
        <n v="97124110"/>
        <n v="97124111"/>
        <n v="97124112"/>
        <n v="97124113"/>
        <n v="97124114"/>
        <n v="97124115"/>
        <n v="97124116"/>
        <n v="97124117"/>
        <n v="97124118"/>
        <n v="97124119"/>
        <n v="97124120"/>
        <n v="97124121"/>
        <n v="97124122"/>
        <n v="97124123"/>
        <n v="97124124"/>
        <n v="97124125"/>
        <n v="97124126"/>
        <n v="97124131"/>
        <n v="97124132"/>
        <n v="97124133"/>
        <n v="97124134"/>
        <n v="97124135"/>
        <n v="97124136"/>
        <n v="97124127"/>
        <n v="97124128"/>
        <n v="97124129"/>
        <n v="97124130"/>
        <n v="97124137"/>
        <n v="97124138"/>
        <n v="97124139"/>
        <n v="97124140"/>
        <n v="97124141"/>
        <n v="97124142"/>
        <n v="97124143"/>
        <n v="97124144"/>
        <n v="97124145"/>
        <n v="97124146"/>
        <n v="97124147"/>
        <n v="97124148"/>
        <n v="97124149"/>
        <n v="97124150"/>
        <n v="97124151"/>
        <n v="97124152"/>
        <n v="97124153"/>
        <n v="97124154"/>
        <n v="97124155"/>
        <n v="97124156"/>
        <n v="97124157"/>
        <n v="97124158"/>
        <n v="97124159"/>
        <n v="97124160"/>
        <n v="97124161"/>
        <n v="97124162"/>
        <n v="97124163"/>
        <n v="97124164"/>
        <n v="97124165"/>
        <n v="97124166"/>
        <n v="97124167"/>
        <n v="97124168"/>
        <n v="97124169"/>
        <n v="97124170"/>
        <n v="97124171"/>
        <n v="97124172"/>
        <n v="97124173"/>
        <n v="97124174"/>
        <n v="97124175"/>
        <n v="97124176"/>
        <n v="97124177"/>
        <n v="97124178"/>
        <n v="97124179"/>
        <n v="97124180"/>
        <n v="97124181"/>
        <n v="97124182"/>
        <n v="97124183"/>
        <n v="97124184"/>
        <n v="97124185"/>
        <n v="97124186"/>
        <n v="97124187"/>
        <n v="97124188"/>
        <n v="97124192"/>
        <n v="97124193"/>
        <n v="97124194"/>
        <n v="97124195"/>
        <n v="97124199"/>
        <n v="97124200"/>
        <n v="97124202"/>
        <n v="97124203"/>
        <n v="97124204"/>
        <n v="97124205"/>
        <n v="97124207"/>
        <n v="97124208"/>
        <n v="97124189"/>
        <n v="97124190"/>
        <n v="97124191"/>
        <n v="97124196"/>
        <n v="97124197"/>
        <n v="97124198"/>
        <n v="97124201"/>
        <n v="97124206"/>
        <n v="97124209"/>
        <n v="97124210"/>
        <n v="97121396"/>
        <n v="97124211"/>
        <n v="97124212"/>
        <n v="97124213"/>
        <n v="97124214"/>
        <n v="97124215"/>
        <n v="97124216"/>
        <n v="97124217"/>
        <n v="97124218"/>
        <n v="97124219"/>
        <n v="97124220"/>
        <n v="97124221"/>
        <n v="97124222"/>
        <n v="97124225"/>
        <n v="97124226"/>
        <n v="97124233"/>
        <n v="97124234"/>
        <n v="97124239"/>
        <n v="97124240"/>
        <n v="97124223"/>
        <n v="97124224"/>
        <n v="97124227"/>
        <n v="97124228"/>
        <n v="97124229"/>
        <n v="97124230"/>
        <n v="97124231"/>
        <n v="97124232"/>
        <n v="97124235"/>
        <n v="97124236"/>
        <n v="97124237"/>
        <n v="97124238"/>
        <n v="97124241"/>
        <n v="97124242"/>
        <n v="97124243"/>
        <n v="97124245"/>
        <n v="97124246"/>
        <n v="97124247"/>
        <n v="97124248"/>
        <n v="97124255"/>
        <n v="97124256"/>
        <n v="97124257"/>
        <n v="97124258"/>
        <n v="97124259"/>
        <n v="97124260"/>
        <n v="97124261"/>
        <n v="97124262"/>
        <n v="97124244"/>
        <n v="97124249"/>
        <n v="97124250"/>
        <n v="97124251"/>
        <n v="97124252"/>
        <n v="97124253"/>
        <n v="97124254"/>
        <n v="97124263"/>
        <n v="97124264"/>
        <n v="97124265"/>
        <n v="97124266"/>
        <n v="97124267"/>
        <n v="97124279"/>
        <n v="97124280"/>
        <n v="97124281"/>
        <n v="97124282"/>
        <n v="97124283"/>
        <n v="97124268"/>
        <n v="97124269"/>
        <n v="97124270"/>
        <n v="97124271"/>
        <n v="97124272"/>
        <n v="97124273"/>
        <n v="97124274"/>
        <n v="97124275"/>
        <n v="97124276"/>
        <n v="97124277"/>
        <n v="97124278"/>
        <n v="97124284"/>
        <n v="97124285"/>
        <n v="97124286"/>
        <n v="97124287"/>
        <n v="97124288"/>
        <n v="97121397"/>
        <n v="97124289"/>
        <n v="97124290"/>
        <n v="97124291"/>
        <n v="97124292"/>
        <n v="97124293"/>
        <n v="97124294"/>
        <n v="97124295"/>
        <n v="97124296"/>
        <n v="97124297"/>
        <n v="97124298"/>
        <n v="97124299"/>
        <n v="97124300"/>
        <n v="97124301"/>
        <n v="97124302"/>
        <n v="97124303"/>
        <n v="97124304"/>
        <n v="97124305"/>
        <n v="97124306"/>
        <n v="97124307"/>
        <n v="97124308"/>
        <n v="97124309"/>
        <n v="97124310"/>
        <n v="97124311"/>
        <n v="97124312"/>
        <n v="97124313"/>
        <n v="97124314"/>
        <n v="97124315"/>
        <n v="97124316"/>
        <n v="97124317"/>
        <n v="97124318"/>
        <n v="97124319"/>
        <n v="97121398"/>
        <n v="97124320"/>
        <n v="97124321"/>
        <n v="97124322"/>
        <n v="97124323"/>
        <n v="97124324"/>
        <n v="97124325"/>
        <n v="97124326"/>
        <n v="97124327"/>
        <n v="97124328"/>
        <n v="97124329"/>
        <n v="97124330"/>
        <n v="97124331"/>
        <n v="97124332"/>
        <n v="97121399"/>
        <n v="97124333"/>
        <n v="97124334"/>
        <n v="97124335"/>
        <n v="97124336"/>
        <n v="97124337"/>
        <n v="97124338"/>
        <n v="97124339"/>
        <n v="97124340"/>
        <n v="97124341"/>
        <n v="97124353"/>
        <n v="97124354"/>
        <n v="97124342"/>
        <n v="97124343"/>
        <n v="97124344"/>
        <n v="97124345"/>
        <n v="97124346"/>
        <n v="97124347"/>
        <n v="97124348"/>
        <n v="97124349"/>
        <n v="97124350"/>
        <n v="97124351"/>
        <n v="97124352"/>
        <n v="97124355"/>
        <n v="97124356"/>
        <n v="97124357"/>
        <n v="97124358"/>
        <n v="97124359"/>
        <n v="97124360"/>
        <n v="97124361"/>
        <n v="97124362"/>
        <n v="97124363"/>
        <n v="97124364"/>
        <n v="97124365"/>
        <n v="97124366"/>
        <n v="97124367"/>
        <n v="97124368"/>
        <n v="97124369"/>
        <n v="97124370"/>
        <n v="97124371"/>
        <n v="97124372"/>
        <n v="97124373"/>
        <n v="97124374"/>
        <n v="97124375"/>
        <n v="97124376"/>
        <n v="97124377"/>
        <n v="97124378"/>
        <n v="97124379"/>
        <n v="12452659"/>
        <n v="12452660"/>
        <n v="97124380"/>
        <n v="97124381"/>
        <n v="97124382"/>
        <n v="97124383"/>
        <n v="97124384"/>
        <n v="97124385"/>
        <n v="97124386"/>
        <n v="97124387"/>
        <n v="97124388"/>
        <n v="97124395"/>
        <n v="97124396"/>
        <n v="97124397"/>
        <n v="97124389"/>
        <n v="97124390"/>
        <n v="97124391"/>
        <n v="97124392"/>
        <n v="97124393"/>
        <n v="97124394"/>
        <n v="97124398"/>
        <n v="97124399"/>
        <n v="97124400"/>
        <n v="97124401"/>
        <n v="97124402"/>
        <n v="97124403"/>
        <n v="97124404"/>
        <n v="97124405"/>
        <n v="97124406"/>
        <n v="97124407"/>
        <n v="97124408"/>
        <n v="97124409"/>
        <n v="97124410"/>
        <n v="97124411"/>
        <n v="97124412"/>
        <n v="97124413"/>
        <n v="97124414"/>
        <n v="97124415"/>
        <n v="97124416"/>
        <n v="97124417"/>
        <n v="97124418"/>
        <n v="97124419"/>
        <n v="97124420"/>
        <n v="12452661"/>
        <n v="97124421"/>
        <n v="97124422"/>
        <n v="97124423"/>
        <n v="97124431"/>
        <n v="97124432"/>
        <n v="97124434"/>
        <n v="97124435"/>
        <n v="97124424"/>
        <n v="97124425"/>
        <n v="97124426"/>
        <n v="97124427"/>
        <n v="97124428"/>
        <n v="97124429"/>
        <n v="97124430"/>
        <n v="97124433"/>
        <n v="97124436"/>
        <n v="97124437"/>
        <n v="97124438"/>
        <n v="97124439"/>
        <n v="97124440"/>
        <n v="97124441"/>
        <n v="97124442"/>
        <n v="97124443"/>
        <n v="97124444"/>
        <n v="97124445"/>
        <n v="97124446"/>
        <n v="97124447"/>
        <n v="97124448"/>
        <n v="97124449"/>
        <n v="97124450"/>
        <n v="97124451"/>
        <n v="97124452"/>
        <n v="97124453"/>
        <n v="97124454"/>
        <n v="97124455"/>
        <n v="97124456"/>
        <n v="97124457"/>
        <n v="97124458"/>
        <n v="97124459"/>
        <n v="97124460"/>
        <n v="97124461"/>
        <n v="97124462"/>
        <n v="97124463"/>
        <n v="97124464"/>
        <n v="97124465"/>
        <n v="97124466"/>
        <n v="97124467"/>
        <n v="97124468"/>
        <n v="97124469"/>
        <n v="97124470"/>
        <n v="97124471"/>
        <n v="97124472"/>
        <n v="97124473"/>
        <n v="97124474"/>
        <n v="97124475"/>
        <n v="97124476"/>
        <n v="97124477"/>
        <n v="97124478"/>
        <n v="97124479"/>
        <n v="97124480"/>
        <n v="97124481"/>
        <n v="97124482"/>
        <n v="97124483"/>
        <n v="97124484"/>
        <n v="97124485"/>
        <n v="97124486"/>
        <n v="97124487"/>
        <n v="97124488"/>
        <n v="97124489"/>
        <n v="97124490"/>
        <n v="97124491"/>
        <n v="97124492"/>
        <n v="97124493"/>
        <n v="97124494"/>
        <n v="97124495"/>
        <n v="97124496"/>
        <n v="97124497"/>
        <n v="97124498"/>
        <n v="97124499"/>
        <n v="97124500"/>
        <n v="97124501"/>
        <n v="97124502"/>
        <n v="97124503"/>
        <n v="97124504"/>
        <n v="97124505"/>
        <n v="97124506"/>
        <n v="97124507"/>
        <n v="97124508"/>
        <n v="97124509"/>
        <n v="97124510"/>
        <n v="97124511"/>
        <n v="97124512"/>
        <n v="97124513"/>
        <n v="97124514"/>
        <n v="97124515"/>
        <n v="97124516"/>
        <n v="97124517"/>
        <n v="97124518"/>
        <n v="97124519"/>
        <n v="97124520"/>
        <n v="97124521"/>
        <n v="97124522"/>
        <n v="97124523"/>
        <n v="97124524"/>
        <n v="97124525"/>
        <n v="97124526"/>
        <n v="97124527"/>
        <n v="97124528"/>
        <n v="97124529"/>
        <n v="97124530"/>
        <n v="97124531"/>
        <n v="97124532"/>
        <n v="97124533"/>
        <n v="97124534"/>
        <n v="97124535"/>
        <n v="97124536"/>
        <n v="97124537"/>
        <n v="97124538"/>
        <n v="97124539"/>
        <n v="97124540"/>
        <n v="97124541"/>
        <n v="97124542"/>
        <n v="97124543"/>
        <n v="97124553"/>
        <n v="97124554"/>
        <n v="97124555"/>
        <n v="97124556"/>
        <n v="97124544"/>
        <n v="97124545"/>
        <n v="97124546"/>
        <n v="97124547"/>
        <n v="97124548"/>
        <n v="97124549"/>
        <n v="97124550"/>
        <n v="97124551"/>
        <n v="97124552"/>
        <n v="97124557"/>
        <n v="97124558"/>
        <n v="97124559"/>
        <n v="97124560"/>
        <n v="12452662"/>
        <n v="97124561"/>
        <n v="97124562"/>
        <n v="97124563"/>
        <n v="97124564"/>
        <n v="97124565"/>
        <n v="97124566"/>
        <n v="97124567"/>
        <n v="97124568"/>
        <n v="97124569"/>
        <n v="97124570"/>
        <n v="97124571"/>
        <n v="97124572"/>
        <n v="97124573"/>
        <n v="97124574"/>
        <n v="97124575"/>
        <n v="97124576"/>
        <n v="97124577"/>
        <n v="97124578"/>
        <n v="97124579"/>
        <n v="97124580"/>
        <n v="97124581"/>
        <n v="97124582"/>
        <n v="97124583"/>
        <n v="97124584"/>
        <n v="97124585"/>
        <n v="97124586"/>
        <n v="97124587"/>
        <n v="97124588"/>
        <n v="97124589"/>
        <n v="97124590"/>
        <n v="97124591"/>
        <n v="97124592"/>
        <n v="97124593"/>
        <n v="97124594"/>
        <n v="97124595"/>
        <n v="97124596"/>
        <n v="97124597"/>
        <n v="97124598"/>
        <n v="97124599"/>
        <n v="97124600"/>
        <n v="97124611"/>
        <n v="97124612"/>
        <n v="97124613"/>
        <n v="97124614"/>
        <n v="97124615"/>
        <n v="97124616"/>
        <n v="97124617"/>
        <n v="97124618"/>
        <n v="97124619"/>
        <n v="97121400"/>
        <n v="97124601"/>
        <n v="97124602"/>
        <n v="97124603"/>
        <n v="97124604"/>
        <n v="97124605"/>
        <n v="97124606"/>
        <n v="97124607"/>
        <n v="97124608"/>
        <n v="97124609"/>
        <n v="97124610"/>
        <n v="97124620"/>
        <n v="97124621"/>
        <n v="97124622"/>
        <n v="97124623"/>
        <n v="97124624"/>
        <n v="97124625"/>
        <n v="97124626"/>
        <n v="97124627"/>
        <n v="97124628"/>
        <n v="97124629"/>
        <n v="97124630"/>
        <n v="97124631"/>
        <n v="97124632"/>
        <n v="97124633"/>
        <n v="97124634"/>
        <n v="97124635"/>
        <n v="97124636"/>
        <n v="97124637"/>
        <n v="97124638"/>
        <n v="97124639"/>
        <n v="97124640"/>
        <n v="97124641"/>
        <n v="97124642"/>
        <n v="97124643"/>
        <n v="97124644"/>
        <n v="97124645"/>
        <n v="97124646"/>
        <n v="97124647"/>
        <n v="12452663"/>
        <n v="97124648"/>
        <n v="97124649"/>
        <n v="97124650"/>
        <n v="97124651"/>
        <n v="97124652"/>
        <n v="97124653"/>
        <n v="97124654"/>
        <n v="97124655"/>
        <n v="97124656"/>
        <m/>
        <n v="97121401" u="1"/>
        <n v="97121402" u="1"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</sharedItems>
    </cacheField>
    <cacheField name="importe" numFmtId="0">
      <sharedItems containsString="0" containsBlank="1" containsNumber="1" minValue="0" maxValue="470000000"/>
    </cacheField>
    <cacheField name="Fe.valor" numFmtId="14">
      <sharedItems containsNonDate="0" containsDate="1" containsString="0" containsBlank="1" minDate="2025-01-03T00:00:00" maxDate="2026-09-09T00:00:00" count="238">
        <d v="2025-01-03T00:00:00"/>
        <d v="2025-01-10T00:00:00"/>
        <d v="2025-01-13T00:00:00"/>
        <d v="2025-01-15T00:00:00"/>
        <d v="2025-01-16T00:00:00"/>
        <d v="2025-01-17T00:00:00"/>
        <d v="2025-01-20T00:00:00"/>
        <d v="2025-01-22T00:00:00"/>
        <d v="2025-01-24T00:00:00"/>
        <d v="2025-01-28T00:00:00"/>
        <d v="2025-01-27T00:00:00"/>
        <d v="2025-01-31T00:00:00"/>
        <d v="2025-02-03T00:00:00"/>
        <d v="2025-01-30T00:00:00"/>
        <d v="2025-02-04T00:00:00"/>
        <d v="2025-02-06T00:00:00"/>
        <d v="2025-02-07T00:00:00"/>
        <d v="2025-02-10T00:00:00"/>
        <d v="2025-02-11T00:00:00"/>
        <d v="2025-02-12T00:00:00"/>
        <d v="2025-02-14T00:00:00"/>
        <d v="2025-02-13T00:00:00"/>
        <d v="2025-02-17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5T00:00:00"/>
        <d v="2025-02-27T00:00:00"/>
        <d v="2025-03-12T00:00:00"/>
        <d v="2025-03-19T00:00:00"/>
        <d v="2025-03-20T00:00:00"/>
        <d v="2025-03-21T00:00:00"/>
        <d v="2025-03-25T00:00:00"/>
        <d v="2025-03-27T00:00:00"/>
        <d v="2025-03-28T00:00:00"/>
        <d v="2025-03-31T00:00:00"/>
        <d v="2025-04-04T00:00:00"/>
        <d v="2025-05-19T00:00:00"/>
        <d v="2025-06-18T00:00:00"/>
        <d v="2025-04-09T00:00:00"/>
        <d v="2025-04-11T00:00:00"/>
        <d v="2025-04-14T00:00:00"/>
        <d v="2025-04-16T00:00:00"/>
        <d v="2025-04-24T00:00:00"/>
        <d v="2025-04-25T00:00:00"/>
        <d v="2025-04-28T00:00:00"/>
        <d v="2025-04-30T00:00:00"/>
        <d v="2025-05-06T00:00:00"/>
        <d v="2025-05-07T00:00:00"/>
        <d v="2025-05-05T00:00:00"/>
        <d v="2025-05-08T00:00:00"/>
        <d v="2025-05-09T00:00:00"/>
        <d v="2025-05-20T00:00:00"/>
        <d v="2025-05-23T00:00:00"/>
        <d v="2025-05-26T00:00:00"/>
        <d v="2025-05-27T00:00:00"/>
        <d v="2025-05-29T00:00:00"/>
        <d v="2025-05-30T00:00:00"/>
        <d v="2025-06-02T00:00:00"/>
        <d v="2025-06-03T00:00:00"/>
        <d v="2025-06-05T00:00:00"/>
        <d v="2025-06-09T00:00:00"/>
        <d v="2025-06-10T00:00:00"/>
        <d v="2025-06-07T00:00:00"/>
        <d v="2025-06-11T00:00:00"/>
        <d v="2025-06-13T00:00:00"/>
        <d v="2025-06-19T00:00:00"/>
        <d v="2025-06-16T00:00:00"/>
        <d v="2025-06-23T00:00:00"/>
        <d v="2025-06-26T00:00:00"/>
        <d v="2025-06-27T00:00:00"/>
        <d v="2025-06-25T00:00:00"/>
        <d v="2025-06-30T00:00:00"/>
        <d v="2025-07-01T00:00:00"/>
        <d v="2025-07-03T00:00:00"/>
        <d v="2025-07-04T00:00:00"/>
        <d v="2025-07-10T00:00:00"/>
        <d v="2025-07-14T00:00:00"/>
        <d v="2025-07-15T00:00:00"/>
        <d v="2025-07-16T00:00:00"/>
        <d v="2025-07-17T00:00:00"/>
        <d v="2025-07-18T00:00:00"/>
        <d v="2025-08-07T00:00:00"/>
        <d v="2025-08-08T00:00:00"/>
        <d v="2025-08-13T00:00:00"/>
        <d v="2025-08-14T00:00:00"/>
        <d v="2025-08-18T00:00:00"/>
        <d v="2025-08-21T00:00:00"/>
        <d v="2025-08-22T00:00:00"/>
        <d v="2025-08-28T00:00:00"/>
        <d v="2025-08-29T00:00:00"/>
        <d v="2025-09-01T00:00:00"/>
        <d v="2026-06-30T00:00:00"/>
        <d v="2025-09-04T00:00:00"/>
        <d v="2025-09-03T00:00:00"/>
        <d v="2025-09-08T00:00:00"/>
        <d v="2025-09-11T00:00:00"/>
        <d v="2025-09-12T00:00:00"/>
        <d v="2025-09-19T00:00:00"/>
        <d v="2025-09-23T00:00:00"/>
        <d v="2025-09-24T00:00:00"/>
        <d v="2025-09-25T00:00:00"/>
        <d v="2025-09-18T00:00:00"/>
        <d v="2025-08-31T00:00:00"/>
        <d v="2025-09-26T00:00:00"/>
        <d v="2025-09-29T00:00:00"/>
        <d v="2025-10-03T00:00:00"/>
        <d v="2025-10-06T00:00:00"/>
        <d v="2026-08-14T00:00:00"/>
        <d v="2026-06-22T00:00:00"/>
        <d v="2025-10-09T00:00:00"/>
        <d v="2025-10-13T00:00:00"/>
        <d v="2025-10-14T00:00:00"/>
        <d v="2025-10-16T00:00:00"/>
        <d v="2025-10-15T00:00:00"/>
        <d v="2025-10-20T00:00:00"/>
        <d v="2025-10-22T00:00:00"/>
        <d v="2025-10-23T00:00:00"/>
        <d v="2025-10-24T00:00:00"/>
        <d v="2025-10-29T00:00:00"/>
        <d v="2025-10-30T00:00:00"/>
        <d v="2025-10-31T00:00:00"/>
        <d v="2025-11-03T00:00:00"/>
        <d v="2025-11-07T00:00:00"/>
        <d v="2025-12-15T00:00:00"/>
        <d v="2026-01-05T00:00:00"/>
        <d v="2026-02-03T00:00:00"/>
        <d v="2026-03-05T00:00:00"/>
        <d v="2025-11-14T00:00:00"/>
        <d v="2025-12-01T00:00:00"/>
        <d v="2026-09-05T00:00:00"/>
        <d v="2026-01-16T00:00:00"/>
        <d v="2025-12-16T00:00:00"/>
        <d v="2025-11-17T00:00:00"/>
        <d v="2025-12-12T00:00:00"/>
        <d v="2025-11-25T00:00:00"/>
        <d v="2025-11-26T00:00:00"/>
        <d v="2025-11-29T00:00:00"/>
        <d v="2025-11-28T00:00:00"/>
        <d v="2025-12-09T00:00:00"/>
        <d v="2025-12-10T00:00:00"/>
        <d v="2026-01-21T00:00:00"/>
        <d v="2026-02-20T00:00:00"/>
        <d v="2025-12-05T00:00:00"/>
        <d v="2025-12-11T00:00:00"/>
        <d v="2025-12-17T00:00:00"/>
        <d v="2025-12-29T00:00:00"/>
        <d v="2026-01-27T00:00:00"/>
        <d v="2026-01-19T00:00:00"/>
        <d v="2026-02-16T00:00:00"/>
        <d v="2025-12-18T00:00:00"/>
        <d v="2025-12-19T00:00:00"/>
        <d v="2026-02-05T00:00:00"/>
        <d v="2025-12-23T00:00:00"/>
        <d v="2025-12-22T00:00:00"/>
        <d v="2025-12-26T00:00:00"/>
        <d v="2026-01-08T00:00:00"/>
        <d v="2026-01-09T00:00:00"/>
        <d v="2026-01-12T00:00:00"/>
        <d v="2026-02-04T00:00:00"/>
        <d v="2026-01-13T00:00:00"/>
        <d v="2026-01-14T00:00:00"/>
        <d v="2026-01-20T00:00:00"/>
        <d v="2026-01-28T00:00:00"/>
        <d v="2026-01-29T00:00:00"/>
        <d v="2026-02-06T00:00:00"/>
        <d v="2026-02-09T00:00:00"/>
        <d v="2026-02-10T00:00:00"/>
        <d v="2026-02-19T00:00:00"/>
        <d v="2026-02-18T00:00:00"/>
        <d v="2026-02-23T00:00:00"/>
        <d v="2026-02-25T00:00:00"/>
        <d v="2026-02-26T00:00:00"/>
        <d v="2026-02-27T00:00:00"/>
        <d v="2026-03-02T00:00:00"/>
        <d v="2026-03-04T00:00:00"/>
        <d v="2026-03-06T00:00:00"/>
        <d v="2026-03-12T00:00:00"/>
        <d v="2026-03-13T00:00:00"/>
        <d v="2026-03-16T00:00:00"/>
        <d v="2026-03-19T00:00:00"/>
        <d v="2026-03-25T00:00:00"/>
        <d v="2026-03-27T00:00:00"/>
        <d v="2026-03-30T00:00:00"/>
        <d v="2026-04-07T00:00:00"/>
        <d v="2026-05-04T00:00:00"/>
        <d v="2026-04-10T00:00:00"/>
        <d v="2026-04-13T00:00:00"/>
        <d v="2026-04-16T00:00:00"/>
        <d v="2026-04-22T00:00:00"/>
        <d v="2026-04-23T00:00:00"/>
        <d v="2026-04-27T00:00:00"/>
        <d v="2026-04-30T00:00:00"/>
        <d v="2026-05-08T00:00:00"/>
        <d v="2026-05-15T00:00:00"/>
        <d v="2026-05-14T00:00:00"/>
        <d v="2026-05-18T00:00:00"/>
        <d v="2026-05-22T00:00:00"/>
        <d v="2026-05-28T00:00:00"/>
        <d v="2026-05-29T00:00:00"/>
        <d v="2026-06-01T00:00:00"/>
        <d v="2026-06-04T00:00:00"/>
        <d v="2026-06-05T00:00:00"/>
        <d v="2026-06-08T00:00:00"/>
        <d v="2026-06-11T00:00:00"/>
        <d v="2026-06-12T00:00:00"/>
        <d v="2026-06-16T00:00:00"/>
        <d v="2026-06-17T00:00:00"/>
        <d v="2026-06-19T00:00:00"/>
        <d v="2026-06-25T00:00:00"/>
        <d v="2026-06-26T00:00:00"/>
        <d v="2026-07-02T00:00:00"/>
        <d v="2026-07-06T00:00:00"/>
        <d v="2026-07-13T00:00:00"/>
        <d v="2026-07-22T00:00:00"/>
        <d v="2026-07-25T00:00:00"/>
        <d v="2026-08-25T00:00:00"/>
        <d v="2026-07-27T00:00:00"/>
        <d v="2026-08-24T00:00:00"/>
        <d v="2026-08-31T00:00:00"/>
        <d v="2026-07-30T00:00:00"/>
        <d v="2026-08-07T00:00:00"/>
        <d v="2026-08-04T00:00:00"/>
        <d v="2026-08-10T00:00:00"/>
        <d v="2026-08-11T00:00:00"/>
        <d v="2026-08-13T00:00:00"/>
        <d v="2026-08-17T00:00:00"/>
        <d v="2026-08-26T00:00:00"/>
        <d v="2026-08-20T00:00:00"/>
        <d v="2026-09-02T00:00:00"/>
        <d v="2026-09-03T00:00:00"/>
        <d v="2026-09-04T00:00:00"/>
        <d v="2026-09-08T00:00:00"/>
        <m/>
      </sharedItems>
    </cacheField>
    <cacheField name="Banco" numFmtId="0">
      <sharedItems containsBlank="1" containsMixedTypes="1" containsNumber="1" containsInteger="1" minValue="902318" maxValue="902328" count="14">
        <s v="HSBC"/>
        <s v="MACRO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/>
    </cacheField>
    <cacheField name="estado tres" numFmtId="0">
      <sharedItems containsBlank="1"/>
    </cacheField>
    <cacheField name="en cartera" numFmtId="0">
      <sharedItems containsBlank="1" count="3">
        <s v="no clearing"/>
        <s v="clearing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icia Maribel Diaz" refreshedDate="46272.350681365744" createdVersion="6" refreshedVersion="8" minRefreshableVersion="3" recordCount="1753" xr:uid="{00000000-000A-0000-FFFF-FFFF21000000}">
  <cacheSource type="worksheet">
    <worksheetSource ref="A1:K1048576" sheet="sap nuevo"/>
  </cacheSource>
  <cacheFields count="11">
    <cacheField name="Nº doc." numFmtId="0">
      <sharedItems containsString="0" containsBlank="1" containsNumber="1" containsInteger="1" minValue="1200000001" maxValue="3000001859"/>
    </cacheField>
    <cacheField name="Fecha doc." numFmtId="0">
      <sharedItems containsNonDate="0" containsDate="1" containsString="0" containsBlank="1" minDate="2025-01-03T00:00:00" maxDate="2026-09-03T00:00:00"/>
    </cacheField>
    <cacheField name="       Importe en ML" numFmtId="0">
      <sharedItems containsString="0" containsBlank="1" containsNumber="1" minValue="0" maxValue="470000000"/>
    </cacheField>
    <cacheField name="Usuario" numFmtId="0">
      <sharedItems containsBlank="1"/>
    </cacheField>
    <cacheField name="numero de cheque" numFmtId="0">
      <sharedItems containsString="0" containsBlank="1" containsNumber="1" containsInteger="1" minValue="1" maxValue="99268131" count="8000">
        <n v="3111702"/>
        <n v="3111703"/>
        <n v="94231468"/>
        <n v="94231469"/>
        <n v="94231470"/>
        <n v="94231471"/>
        <n v="94231472"/>
        <n v="94231473"/>
        <n v="94231474"/>
        <n v="94231475"/>
        <n v="94231476"/>
        <n v="97123392"/>
        <n v="97123393"/>
        <n v="97123394"/>
        <n v="97123395"/>
        <n v="97123397"/>
        <n v="97123398"/>
        <n v="97123399"/>
        <n v="97123400"/>
        <n v="97123404"/>
        <n v="97123405"/>
        <n v="97123396"/>
        <n v="97123401"/>
        <n v="97123402"/>
        <n v="97123403"/>
        <n v="3111704"/>
        <n v="3111715"/>
        <n v="3111716"/>
        <n v="3111707"/>
        <n v="3111708"/>
        <n v="3111709"/>
        <n v="3111711"/>
        <n v="3111712"/>
        <n v="3111713"/>
        <n v="3111714"/>
        <n v="3111705"/>
        <n v="3111706"/>
        <n v="3111710"/>
        <n v="3111717"/>
        <n v="3111718"/>
        <n v="3111719"/>
        <n v="3111720"/>
        <n v="3111721"/>
        <n v="3111722"/>
        <n v="3111723"/>
        <n v="3111724"/>
        <n v="3111725"/>
        <n v="3111726"/>
        <n v="3111727"/>
        <n v="3111728"/>
        <n v="3111729"/>
        <n v="94231477"/>
        <n v="94231478"/>
        <n v="94231479"/>
        <n v="94231480"/>
        <n v="94231481"/>
        <n v="94231482"/>
        <n v="94231483"/>
        <n v="94231484"/>
        <n v="94231485"/>
        <n v="94231486"/>
        <n v="94231487"/>
        <n v="94231488"/>
        <n v="94231489"/>
        <n v="94231490"/>
        <n v="94231491"/>
        <n v="94231492"/>
        <n v="94231493"/>
        <n v="94231494"/>
        <n v="94231495"/>
        <n v="94231496"/>
        <n v="94231497"/>
        <n v="94231498"/>
        <n v="94231499"/>
        <n v="94231500"/>
        <n v="94231501"/>
        <n v="94231502"/>
        <n v="94231503"/>
        <n v="94231504"/>
        <n v="94231505"/>
        <n v="94231506"/>
        <n v="94231507"/>
        <n v="94231508"/>
        <n v="94231509"/>
        <n v="94231510"/>
        <n v="94231511"/>
        <n v="3111731"/>
        <n v="3111732"/>
        <n v="3111734"/>
        <n v="3111735"/>
        <n v="3111730"/>
        <n v="3111733"/>
        <n v="3111736"/>
        <n v="3111737"/>
        <n v="94231512"/>
        <n v="3111738"/>
        <n v="3111739"/>
        <n v="3111740"/>
        <n v="3111741"/>
        <n v="94231513"/>
        <n v="94231514"/>
        <n v="94231515"/>
        <n v="94231516"/>
        <n v="94231517"/>
        <n v="94231518"/>
        <n v="94231519"/>
        <n v="94231520"/>
        <n v="97123406"/>
        <n v="97123407"/>
        <n v="97123408"/>
        <n v="97123409"/>
        <n v="97123410"/>
        <n v="97123411"/>
        <n v="97123412"/>
        <n v="97123413"/>
        <n v="97123414"/>
        <n v="97123415"/>
        <n v="97123416"/>
        <n v="97123417"/>
        <n v="97123418"/>
        <n v="97123419"/>
        <n v="97123420"/>
        <n v="3111742"/>
        <n v="97123423"/>
        <n v="97123424"/>
        <n v="97123427"/>
        <n v="97123428"/>
        <n v="97123429"/>
        <n v="97123430"/>
        <n v="97123431"/>
        <n v="97123432"/>
        <n v="97123433"/>
        <n v="97123421"/>
        <n v="97123422"/>
        <n v="97123425"/>
        <n v="97123426"/>
        <n v="3111743"/>
        <n v="3111744"/>
        <n v="3111745"/>
        <n v="3111746"/>
        <n v="3111747"/>
        <n v="3111748"/>
        <n v="3111749"/>
        <n v="3111750"/>
        <n v="3111751"/>
        <n v="3111752"/>
        <n v="3111755"/>
        <n v="3111756"/>
        <n v="3111757"/>
        <n v="3111758"/>
        <n v="94231521"/>
        <n v="3111753"/>
        <n v="3111754"/>
        <n v="3111759"/>
        <n v="3111760"/>
        <n v="3111761"/>
        <n v="3111762"/>
        <n v="3111767"/>
        <n v="3111768"/>
        <n v="3111769"/>
        <n v="3111763"/>
        <n v="3111764"/>
        <n v="3111770"/>
        <n v="3111771"/>
        <n v="3111772"/>
        <n v="3111773"/>
        <n v="3111765"/>
        <n v="3111766"/>
        <n v="3111774"/>
        <n v="3111775"/>
        <n v="3111776"/>
        <n v="3111777"/>
        <n v="3111778"/>
        <n v="3111779"/>
        <n v="3111780"/>
        <n v="3400721"/>
        <n v="3400723"/>
        <n v="3400724"/>
        <n v="3400725"/>
        <n v="3400726"/>
        <n v="3400727"/>
        <n v="3400728"/>
        <n v="3400722"/>
        <n v="3400729"/>
        <n v="3400730"/>
        <n v="3400731"/>
        <n v="3400732"/>
        <n v="3400733"/>
        <n v="3400734"/>
        <n v="94231522"/>
        <n v="3400735"/>
        <n v="3400736"/>
        <n v="3400737"/>
        <n v="3400738"/>
        <n v="3400739"/>
        <n v="3400740"/>
        <n v="3400741"/>
        <n v="94231523"/>
        <n v="97123434"/>
        <n v="97123435"/>
        <n v="97123439"/>
        <n v="97123440"/>
        <n v="97123441"/>
        <n v="97123442"/>
        <n v="97123443"/>
        <n v="97123444"/>
        <n v="97123445"/>
        <n v="97123446"/>
        <n v="97123448"/>
        <n v="97123449"/>
        <n v="97123451"/>
        <n v="97123452"/>
        <n v="97123436"/>
        <n v="97123437"/>
        <n v="97123438"/>
        <n v="97123447"/>
        <n v="97123450"/>
        <n v="97123453"/>
        <n v="97123454"/>
        <n v="97123455"/>
        <n v="97123456"/>
        <n v="97123457"/>
        <n v="97123458"/>
        <n v="97123459"/>
        <n v="97123460"/>
        <n v="97123463"/>
        <n v="97123464"/>
        <n v="97123466"/>
        <n v="97123467"/>
        <n v="97123461"/>
        <n v="97123462"/>
        <n v="97123465"/>
        <n v="94231524"/>
        <n v="94231525"/>
        <n v="94231526"/>
        <n v="94231527"/>
        <n v="97123468"/>
        <n v="97123469"/>
        <n v="97123470"/>
        <n v="97123471"/>
        <n v="97123472"/>
        <n v="97123473"/>
        <n v="97123474"/>
        <n v="97123475"/>
        <n v="97123476"/>
        <n v="97123477"/>
        <n v="97123478"/>
        <n v="97123479"/>
        <n v="97123480"/>
        <n v="97123481"/>
        <n v="94231528"/>
        <n v="94231529"/>
        <n v="94231530"/>
        <n v="94231531"/>
        <n v="94231532"/>
        <n v="94231533"/>
        <n v="94231534"/>
        <n v="94231535"/>
        <n v="94231536"/>
        <n v="94231537"/>
        <n v="94231538"/>
        <n v="94231539"/>
        <n v="94231540"/>
        <n v="94231541"/>
        <n v="97123482"/>
        <n v="97123483"/>
        <n v="97123484"/>
        <n v="97123487"/>
        <n v="97123488"/>
        <n v="97123489"/>
        <n v="97123490"/>
        <n v="97123485"/>
        <n v="97123486"/>
        <n v="97123491"/>
        <n v="97123492"/>
        <n v="3400742"/>
        <n v="3400743"/>
        <n v="97123496"/>
        <n v="97123497"/>
        <n v="97123493"/>
        <n v="97123494"/>
        <n v="97123495"/>
        <n v="97123498"/>
        <n v="94231542"/>
        <n v="94231543"/>
        <n v="94231544"/>
        <n v="94231545"/>
        <n v="97123508"/>
        <n v="97123509"/>
        <n v="97123510"/>
        <n v="97123511"/>
        <n v="97123499"/>
        <n v="97123500"/>
        <n v="97123501"/>
        <n v="97123502"/>
        <n v="97123503"/>
        <n v="97123505"/>
        <n v="97123506"/>
        <n v="97123507"/>
        <n v="97123504"/>
        <n v="97123512"/>
        <n v="97123513"/>
        <n v="97123514"/>
        <n v="97123515"/>
        <n v="97123516"/>
        <n v="97123517"/>
        <n v="97123520"/>
        <n v="97123521"/>
        <n v="97123523"/>
        <n v="97123524"/>
        <n v="97123535"/>
        <n v="97123536"/>
        <n v="97123519"/>
        <n v="97123522"/>
        <n v="97123525"/>
        <n v="97123526"/>
        <n v="97123527"/>
        <n v="97123528"/>
        <n v="97123529"/>
        <n v="97123530"/>
        <n v="97123531"/>
        <n v="97123532"/>
        <n v="97123533"/>
        <n v="97123534"/>
        <n v="97123538"/>
        <n v="97123539"/>
        <n v="97123540"/>
        <n v="97123541"/>
        <n v="97123542"/>
        <n v="97123543"/>
        <n v="97123544"/>
        <n v="97123545"/>
        <n v="97123546"/>
        <n v="97123547"/>
        <n v="97123548"/>
        <n v="97123549"/>
        <n v="97123550"/>
        <n v="97123551"/>
        <n v="97123552"/>
        <n v="94231546"/>
        <n v="97123554"/>
        <n v="97123555"/>
        <n v="97123556"/>
        <n v="97123557"/>
        <n v="97123558"/>
        <n v="97123559"/>
        <n v="97123560"/>
        <n v="97123562"/>
        <n v="97123553"/>
        <n v="97123563"/>
        <n v="97123564"/>
        <n v="97123561"/>
        <n v="97123566"/>
        <n v="97123567"/>
        <n v="97123568"/>
        <n v="97123569"/>
        <n v="97123570"/>
        <n v="97123571"/>
        <n v="97123565"/>
        <n v="97123572"/>
        <n v="94231547"/>
        <n v="94231548"/>
        <n v="94231549"/>
        <n v="94231550"/>
        <n v="94231551"/>
        <n v="94231552"/>
        <n v="94231553"/>
        <n v="97123582"/>
        <n v="97123583"/>
        <n v="97123584"/>
        <n v="97123585"/>
        <n v="97123586"/>
        <n v="97123587"/>
        <n v="97123573"/>
        <n v="97123574"/>
        <n v="97123575"/>
        <n v="97123576"/>
        <n v="97123577"/>
        <n v="97123578"/>
        <n v="97123579"/>
        <n v="97123580"/>
        <n v="97123581"/>
        <n v="97123588"/>
        <n v="97123589"/>
        <n v="97123590"/>
        <n v="97123591"/>
        <n v="97123592"/>
        <n v="97123593"/>
        <n v="97123594"/>
        <n v="97123595"/>
        <n v="97123596"/>
        <n v="94231554"/>
        <n v="97123601"/>
        <n v="97123602"/>
        <n v="97123605"/>
        <n v="97123606"/>
        <n v="97123597"/>
        <n v="97123598"/>
        <n v="97123599"/>
        <n v="97123600"/>
        <n v="97123603"/>
        <n v="97123604"/>
        <n v="97123607"/>
        <n v="97123608"/>
        <n v="94231555"/>
        <n v="94231556"/>
        <n v="94231557"/>
        <n v="94231558"/>
        <n v="97123609"/>
        <n v="97123610"/>
        <n v="97123611"/>
        <n v="97123612"/>
        <n v="97123613"/>
        <n v="97123614"/>
        <n v="97123615"/>
        <n v="97123616"/>
        <n v="97123622"/>
        <n v="97123623"/>
        <n v="97123626"/>
        <n v="97123627"/>
        <n v="97123628"/>
        <n v="97123617"/>
        <n v="97123618"/>
        <n v="97123619"/>
        <n v="97123620"/>
        <n v="97123621"/>
        <n v="97123624"/>
        <n v="97123625"/>
        <n v="97123632"/>
        <n v="97123633"/>
        <n v="97123635"/>
        <n v="97123636"/>
        <n v="97123629"/>
        <n v="97123630"/>
        <n v="97123631"/>
        <n v="97123634"/>
        <n v="97123637"/>
        <n v="97123638"/>
        <n v="97123639"/>
        <n v="97123640"/>
        <n v="97123641"/>
        <n v="97123642"/>
        <n v="97123643"/>
        <n v="97123644"/>
        <n v="97123645"/>
        <n v="97123646"/>
        <n v="97123647"/>
        <n v="97123648"/>
        <n v="97123649"/>
        <n v="97123650"/>
        <n v="97123651"/>
        <n v="97123652"/>
        <n v="97123653"/>
        <n v="97123654"/>
        <n v="97123655"/>
        <n v="97123656"/>
        <n v="97123657"/>
        <n v="97123658"/>
        <n v="97123659"/>
        <n v="97123660"/>
        <n v="97123661"/>
        <n v="97123662"/>
        <n v="97123663"/>
        <n v="97123664"/>
        <n v="97123665"/>
        <n v="97123669"/>
        <n v="97123668"/>
        <n v="97123666"/>
        <n v="97123667"/>
        <n v="97123670"/>
        <n v="97123671"/>
        <n v="97123672"/>
        <n v="97123673"/>
        <n v="97123674"/>
        <n v="97123675"/>
        <n v="97123676"/>
        <n v="97123677"/>
        <n v="97123678"/>
        <n v="97123679"/>
        <n v="97123680"/>
        <n v="97123681"/>
        <n v="97123682"/>
        <n v="97123683"/>
        <n v="97123684"/>
        <n v="97123685"/>
        <n v="97123686"/>
        <n v="97123687"/>
        <n v="12452655"/>
        <n v="97123688"/>
        <n v="97123689"/>
        <n v="97123690"/>
        <n v="97123691"/>
        <n v="97123692"/>
        <n v="97123693"/>
        <n v="97123694"/>
        <n v="97123695"/>
        <n v="97123696"/>
        <n v="97123697"/>
        <n v="97123698"/>
        <n v="97123699"/>
        <n v="97123700"/>
        <n v="97123701"/>
        <n v="97123702"/>
        <n v="97123703"/>
        <n v="97123704"/>
        <n v="97123705"/>
        <n v="97123706"/>
        <n v="97123707"/>
        <n v="97123708"/>
        <n v="97123709"/>
        <n v="97123710"/>
        <n v="97123711"/>
        <n v="97123712"/>
        <n v="97123713"/>
        <n v="97123714"/>
        <n v="97123715"/>
        <n v="97123716"/>
        <n v="97123717"/>
        <n v="97123718"/>
        <n v="97123719"/>
        <n v="97123720"/>
        <n v="97123722"/>
        <n v="97123723"/>
        <n v="97123726"/>
        <n v="97123727"/>
        <n v="97123728"/>
        <n v="97123729"/>
        <n v="97123731"/>
        <n v="97123732"/>
        <n v="97123733"/>
        <n v="97123734"/>
        <n v="97123735"/>
        <n v="97123736"/>
        <n v="97123721"/>
        <n v="97123724"/>
        <n v="97123725"/>
        <n v="97123730"/>
        <n v="97123737"/>
        <n v="97123738"/>
        <n v="97123739"/>
        <n v="97123740"/>
        <n v="97123741"/>
        <n v="97123742"/>
        <n v="97123743"/>
        <n v="97123744"/>
        <n v="97121392"/>
        <n v="97123745"/>
        <n v="97123746"/>
        <n v="97123747"/>
        <n v="97123748"/>
        <n v="97123749"/>
        <n v="97123750"/>
        <n v="97123751"/>
        <n v="97123752"/>
        <n v="97123753"/>
        <n v="97123754"/>
        <n v="97123755"/>
        <n v="97123756"/>
        <n v="97123757"/>
        <n v="97123758"/>
        <n v="97123759"/>
        <n v="97123760"/>
        <n v="97123761"/>
        <n v="97123762"/>
        <n v="97123763"/>
        <n v="97123764"/>
        <n v="97123765"/>
        <n v="97123766"/>
        <n v="97123767"/>
        <n v="97123768"/>
        <n v="97123769"/>
        <n v="97123770"/>
        <n v="97123771"/>
        <n v="97123772"/>
        <n v="97123773"/>
        <n v="97123774"/>
        <n v="97123775"/>
        <n v="97123776"/>
        <n v="97123777"/>
        <n v="97123778"/>
        <n v="97123779"/>
        <n v="97123780"/>
        <n v="97123781"/>
        <n v="97123782"/>
        <n v="97123783"/>
        <n v="97123784"/>
        <n v="97123785"/>
        <n v="97123786"/>
        <n v="97123787"/>
        <n v="97123788"/>
        <n v="97123789"/>
        <n v="97123790"/>
        <n v="97123791"/>
        <n v="97123792"/>
        <n v="97123793"/>
        <n v="97123794"/>
        <n v="97123795"/>
        <n v="97123796"/>
        <n v="97123797"/>
        <n v="97123798"/>
        <n v="97123799"/>
        <n v="97123800"/>
        <n v="97123801"/>
        <n v="97123802"/>
        <n v="97123803"/>
        <n v="97123804"/>
        <n v="97123805"/>
        <n v="97123806"/>
        <n v="97123807"/>
        <n v="97123808"/>
        <n v="97123809"/>
        <n v="97123810"/>
        <n v="97123811"/>
        <n v="97123812"/>
        <n v="97123813"/>
        <n v="97123816"/>
        <n v="97123817"/>
        <n v="97123818"/>
        <n v="97123819"/>
        <n v="97123814"/>
        <n v="97123815"/>
        <n v="97121393"/>
        <n v="97123518"/>
        <n v="97123820"/>
        <n v="97123821"/>
        <n v="97123822"/>
        <n v="97123823"/>
        <n v="97123824"/>
        <n v="97123825"/>
        <n v="97123826"/>
        <n v="97123827"/>
        <n v="97123828"/>
        <n v="97123829"/>
        <n v="97123830"/>
        <n v="97123831"/>
        <n v="97123832"/>
        <n v="97123833"/>
        <n v="97123834"/>
        <n v="97123835"/>
        <n v="97123836"/>
        <n v="97123837"/>
        <n v="97123838"/>
        <n v="97123839"/>
        <n v="97123840"/>
        <n v="97123841"/>
        <n v="97123842"/>
        <n v="97123843"/>
        <n v="97123844"/>
        <n v="97123845"/>
        <n v="97123846"/>
        <n v="97123847"/>
        <n v="97123848"/>
        <n v="97123849"/>
        <n v="97123850"/>
        <n v="97123851"/>
        <n v="97123852"/>
        <n v="97123853"/>
        <n v="97123854"/>
        <n v="97123855"/>
        <n v="97123856"/>
        <n v="97123857"/>
        <n v="97123858"/>
        <n v="97123859"/>
        <n v="97123860"/>
        <n v="97123861"/>
        <n v="97123862"/>
        <n v="97123863"/>
        <n v="97123864"/>
        <n v="97123865"/>
        <n v="97123866"/>
        <n v="97123867"/>
        <n v="97123868"/>
        <n v="97123869"/>
        <n v="97123870"/>
        <n v="97123871"/>
        <n v="97123872"/>
        <n v="97123873"/>
        <n v="97123874"/>
        <n v="97123875"/>
        <n v="97123876"/>
        <n v="97123877"/>
        <n v="97123878"/>
        <n v="97123879"/>
        <n v="97123880"/>
        <n v="97123881"/>
        <n v="97121394"/>
        <n v="97121395"/>
        <n v="97123882"/>
        <n v="97123883"/>
        <n v="97123884"/>
        <n v="97123885"/>
        <n v="97123886"/>
        <n v="97123887"/>
        <n v="97123888"/>
        <n v="97123889"/>
        <n v="97123894"/>
        <n v="97123895"/>
        <n v="97123890"/>
        <n v="97123891"/>
        <n v="97123892"/>
        <n v="97123893"/>
        <n v="97123896"/>
        <n v="97123897"/>
        <n v="97123898"/>
        <n v="97123899"/>
        <n v="97123900"/>
        <n v="97123901"/>
        <n v="97123902"/>
        <n v="97123903"/>
        <n v="97123904"/>
        <n v="97123905"/>
        <n v="97123906"/>
        <n v="97123907"/>
        <n v="97123908"/>
        <n v="97123909"/>
        <n v="97123910"/>
        <n v="97123911"/>
        <n v="97123912"/>
        <n v="97123913"/>
        <n v="97123914"/>
        <n v="97123915"/>
        <n v="97123916"/>
        <n v="97123917"/>
        <n v="97123918"/>
        <n v="97123919"/>
        <n v="97123920"/>
        <n v="97123921"/>
        <n v="97123922"/>
        <n v="97123923"/>
        <n v="97123924"/>
        <n v="97123925"/>
        <n v="97123926"/>
        <n v="97123927"/>
        <n v="97123928"/>
        <n v="97123929"/>
        <n v="97123930"/>
        <n v="97123931"/>
        <n v="97123932"/>
        <n v="97123933"/>
        <n v="97123934"/>
        <n v="97123935"/>
        <n v="97123936"/>
        <n v="97123937"/>
        <n v="97123938"/>
        <n v="97123939"/>
        <n v="97123940"/>
        <n v="97123941"/>
        <n v="97123942"/>
        <n v="97123943"/>
        <n v="97123944"/>
        <n v="97123945"/>
        <n v="97123946"/>
        <n v="97123947"/>
        <n v="97123948"/>
        <n v="97123949"/>
        <n v="97123950"/>
        <n v="97123953"/>
        <n v="97123954"/>
        <n v="97123955"/>
        <n v="97123956"/>
        <n v="97123960"/>
        <n v="97123961"/>
        <n v="97123963"/>
        <n v="97123964"/>
        <n v="97123951"/>
        <n v="97123952"/>
        <n v="97123958"/>
        <n v="97123959"/>
        <n v="97123962"/>
        <n v="97123957"/>
        <n v="97123965"/>
        <n v="97123966"/>
        <n v="97123967"/>
        <n v="97123968"/>
        <n v="97123969"/>
        <n v="97123970"/>
        <n v="97123971"/>
        <n v="97123972"/>
        <n v="97123973"/>
        <n v="97123974"/>
        <n v="97123975"/>
        <n v="97123976"/>
        <n v="97123977"/>
        <n v="97123978"/>
        <n v="97123979"/>
        <n v="97123980"/>
        <n v="12452657"/>
        <n v="97123981"/>
        <n v="97123982"/>
        <n v="97123983"/>
        <n v="97123984"/>
        <n v="97123985"/>
        <n v="97123986"/>
        <n v="97123987"/>
        <n v="97123988"/>
        <n v="97123989"/>
        <n v="97123990"/>
        <n v="97123991"/>
        <n v="97123992"/>
        <n v="97123993"/>
        <n v="97123994"/>
        <n v="97123995"/>
        <n v="97123996"/>
        <n v="97123997"/>
        <n v="97123998"/>
        <n v="97123999"/>
        <n v="97124000"/>
        <n v="97124001"/>
        <n v="97124002"/>
        <n v="97124003"/>
        <n v="97124004"/>
        <n v="97124005"/>
        <n v="97124006"/>
        <n v="97124007"/>
        <n v="97124008"/>
        <n v="97124009"/>
        <n v="97124010"/>
        <n v="97124011"/>
        <n v="97124012"/>
        <n v="97124013"/>
        <n v="97124014"/>
        <n v="97124015"/>
        <n v="97124016"/>
        <n v="97124017"/>
        <n v="97124018"/>
        <n v="97124019"/>
        <n v="97124020"/>
        <n v="97124021"/>
        <n v="97124022"/>
        <n v="97124023"/>
        <n v="97124024"/>
        <n v="97124025"/>
        <n v="97124026"/>
        <n v="97124027"/>
        <n v="97124028"/>
        <n v="97124029"/>
        <n v="97124030"/>
        <n v="97124031"/>
        <n v="97124032"/>
        <n v="97124033"/>
        <n v="97124034"/>
        <n v="97124035"/>
        <n v="97124036"/>
        <n v="97124037"/>
        <n v="97124038"/>
        <n v="97124039"/>
        <n v="97124040"/>
        <n v="97124041"/>
        <n v="97124042"/>
        <n v="97124043"/>
        <n v="97124044"/>
        <n v="97124045"/>
        <n v="97124046"/>
        <n v="97124047"/>
        <n v="97124048"/>
        <n v="97124049"/>
        <n v="97124050"/>
        <n v="97124051"/>
        <n v="97124052"/>
        <n v="97124053"/>
        <n v="97124054"/>
        <n v="97124055"/>
        <n v="97124056"/>
        <n v="97124057"/>
        <n v="97124058"/>
        <n v="97124059"/>
        <n v="97124060"/>
        <n v="97124061"/>
        <n v="97124062"/>
        <n v="97124063"/>
        <n v="97124064"/>
        <n v="97124065"/>
        <n v="97124066"/>
        <n v="97124067"/>
        <n v="97124068"/>
        <n v="97124069"/>
        <n v="97124070"/>
        <n v="97124071"/>
        <n v="97124072"/>
        <n v="97124073"/>
        <n v="97124074"/>
        <n v="97124075"/>
        <n v="97124076"/>
        <n v="97124077"/>
        <n v="97124078"/>
        <n v="97124079"/>
        <n v="97124080"/>
        <n v="97124081"/>
        <n v="97124082"/>
        <n v="97124083"/>
        <n v="97124084"/>
        <n v="97124085"/>
        <n v="97124086"/>
        <n v="97124087"/>
        <n v="97124088"/>
        <n v="97124089"/>
        <n v="97124090"/>
        <n v="97124091"/>
        <n v="97124092"/>
        <n v="97124093"/>
        <n v="97124094"/>
        <n v="97124095"/>
        <n v="12452658"/>
        <n v="97124096"/>
        <n v="97124097"/>
        <n v="97124098"/>
        <n v="97124099"/>
        <n v="97124100"/>
        <n v="97124101"/>
        <n v="97124102"/>
        <n v="97124103"/>
        <n v="97124104"/>
        <n v="97124105"/>
        <n v="97124106"/>
        <n v="97124107"/>
        <n v="97124108"/>
        <n v="97124109"/>
        <n v="97124110"/>
        <n v="97124111"/>
        <n v="97124112"/>
        <n v="97124113"/>
        <n v="97124114"/>
        <n v="97124115"/>
        <n v="97124116"/>
        <n v="97124117"/>
        <n v="97124118"/>
        <n v="97124119"/>
        <n v="97124120"/>
        <n v="97124121"/>
        <n v="97124122"/>
        <n v="97124123"/>
        <n v="97124124"/>
        <n v="97124125"/>
        <n v="97124126"/>
        <n v="97124131"/>
        <n v="97124132"/>
        <n v="97124133"/>
        <n v="97124134"/>
        <n v="97124135"/>
        <n v="97124136"/>
        <n v="97124127"/>
        <n v="97124128"/>
        <n v="97124129"/>
        <n v="97124130"/>
        <n v="97124137"/>
        <n v="97124138"/>
        <n v="97124139"/>
        <n v="97124140"/>
        <n v="97124141"/>
        <n v="97124142"/>
        <n v="97124143"/>
        <n v="97124144"/>
        <n v="97124145"/>
        <n v="97124146"/>
        <n v="97124147"/>
        <n v="97124148"/>
        <n v="97124149"/>
        <n v="97124150"/>
        <n v="97124151"/>
        <n v="97124152"/>
        <n v="97124153"/>
        <n v="97124154"/>
        <n v="97124155"/>
        <n v="97124156"/>
        <n v="97124157"/>
        <n v="97124158"/>
        <n v="97124159"/>
        <n v="97124160"/>
        <n v="97124161"/>
        <n v="97124162"/>
        <n v="97124163"/>
        <n v="97124164"/>
        <n v="97124165"/>
        <n v="97124166"/>
        <n v="97124167"/>
        <n v="97124168"/>
        <n v="97124169"/>
        <n v="97124170"/>
        <n v="97124171"/>
        <n v="97124172"/>
        <n v="97124173"/>
        <n v="97124174"/>
        <n v="97124175"/>
        <n v="97124176"/>
        <n v="97124177"/>
        <n v="97124178"/>
        <n v="97124179"/>
        <n v="97124180"/>
        <n v="97124181"/>
        <n v="97124182"/>
        <n v="97124183"/>
        <n v="97124184"/>
        <n v="97124185"/>
        <n v="97124186"/>
        <n v="97124187"/>
        <n v="97124188"/>
        <n v="97124192"/>
        <n v="97124193"/>
        <n v="97124194"/>
        <n v="97124195"/>
        <n v="97124199"/>
        <n v="97124200"/>
        <n v="97124202"/>
        <n v="97124203"/>
        <n v="97124204"/>
        <n v="97124205"/>
        <n v="97124207"/>
        <n v="97124208"/>
        <n v="97124189"/>
        <n v="97124190"/>
        <n v="97124191"/>
        <n v="97124196"/>
        <n v="97124197"/>
        <n v="97124198"/>
        <n v="97124201"/>
        <n v="97124206"/>
        <n v="97124209"/>
        <n v="97124210"/>
        <n v="97121396"/>
        <n v="97124211"/>
        <n v="97124212"/>
        <n v="97124213"/>
        <n v="97124214"/>
        <n v="97124215"/>
        <n v="97124216"/>
        <n v="97124217"/>
        <n v="97124218"/>
        <n v="97124219"/>
        <n v="97124220"/>
        <n v="97124221"/>
        <n v="97124222"/>
        <n v="97124225"/>
        <n v="97124226"/>
        <n v="97124233"/>
        <n v="97124234"/>
        <n v="97124239"/>
        <n v="97124240"/>
        <n v="97124223"/>
        <n v="97124224"/>
        <n v="97124227"/>
        <n v="97124228"/>
        <n v="97124229"/>
        <n v="97124230"/>
        <n v="97124231"/>
        <n v="97124232"/>
        <n v="97124235"/>
        <n v="97124236"/>
        <n v="97124237"/>
        <n v="97124238"/>
        <n v="97124241"/>
        <n v="97124242"/>
        <n v="97124243"/>
        <n v="97124245"/>
        <n v="97124246"/>
        <n v="97124247"/>
        <n v="97124248"/>
        <n v="97124255"/>
        <n v="97124256"/>
        <n v="97124257"/>
        <n v="97124258"/>
        <n v="97124259"/>
        <n v="97124260"/>
        <n v="97124261"/>
        <n v="97124262"/>
        <n v="97124244"/>
        <n v="97124249"/>
        <n v="97124250"/>
        <n v="97124251"/>
        <n v="97124252"/>
        <n v="97124253"/>
        <n v="97124254"/>
        <n v="97124263"/>
        <n v="97124264"/>
        <n v="97124265"/>
        <n v="97124266"/>
        <n v="97124267"/>
        <n v="97124279"/>
        <n v="97124280"/>
        <n v="97124281"/>
        <n v="97124282"/>
        <n v="97124283"/>
        <n v="97124268"/>
        <n v="97124269"/>
        <n v="97124270"/>
        <n v="97124271"/>
        <n v="97124272"/>
        <n v="97124273"/>
        <n v="97124274"/>
        <n v="97124275"/>
        <n v="97124276"/>
        <n v="97124277"/>
        <n v="97124278"/>
        <n v="97124284"/>
        <n v="97124285"/>
        <n v="97124286"/>
        <n v="97124287"/>
        <n v="97124288"/>
        <n v="97121397"/>
        <n v="97124289"/>
        <n v="97124290"/>
        <n v="97124291"/>
        <n v="97124292"/>
        <n v="97124293"/>
        <n v="97124294"/>
        <n v="97124295"/>
        <n v="97124296"/>
        <n v="97124297"/>
        <n v="97124298"/>
        <n v="97124299"/>
        <n v="97124300"/>
        <n v="97124301"/>
        <n v="97124302"/>
        <n v="97124303"/>
        <n v="97124304"/>
        <n v="97124305"/>
        <n v="97124306"/>
        <n v="97124307"/>
        <n v="97124308"/>
        <n v="97124309"/>
        <n v="97124310"/>
        <n v="97124311"/>
        <n v="97124312"/>
        <n v="97124313"/>
        <n v="97124314"/>
        <n v="97124315"/>
        <n v="97124316"/>
        <n v="97124317"/>
        <n v="97124318"/>
        <n v="97124319"/>
        <n v="97121398"/>
        <n v="97124320"/>
        <n v="97124321"/>
        <n v="97124322"/>
        <n v="97124323"/>
        <n v="97124324"/>
        <n v="97124325"/>
        <n v="97124326"/>
        <n v="97124327"/>
        <n v="97124328"/>
        <n v="97124329"/>
        <n v="97124330"/>
        <n v="97124331"/>
        <n v="97124332"/>
        <n v="97121399"/>
        <n v="97124333"/>
        <n v="97124334"/>
        <n v="97124335"/>
        <n v="97124336"/>
        <n v="97124337"/>
        <n v="97124338"/>
        <n v="97124339"/>
        <n v="97124340"/>
        <n v="97124341"/>
        <n v="97124353"/>
        <n v="97124354"/>
        <n v="97124342"/>
        <n v="97124343"/>
        <n v="97124344"/>
        <n v="97124345"/>
        <n v="97124346"/>
        <n v="97124347"/>
        <n v="97124348"/>
        <n v="97124349"/>
        <n v="97124350"/>
        <n v="97124351"/>
        <n v="97124352"/>
        <n v="97124355"/>
        <n v="97124356"/>
        <n v="97124357"/>
        <n v="97124358"/>
        <n v="97124359"/>
        <n v="97124360"/>
        <n v="97124361"/>
        <n v="97124362"/>
        <n v="97124363"/>
        <n v="97124364"/>
        <n v="97124365"/>
        <n v="97124366"/>
        <n v="97124367"/>
        <n v="97124368"/>
        <n v="97124369"/>
        <n v="97124370"/>
        <n v="97124371"/>
        <n v="97124372"/>
        <n v="97124373"/>
        <n v="97124374"/>
        <n v="97124375"/>
        <n v="97124376"/>
        <n v="97124377"/>
        <n v="97124378"/>
        <n v="97124379"/>
        <n v="12452659"/>
        <n v="12452660"/>
        <n v="97124380"/>
        <n v="97124381"/>
        <n v="97124382"/>
        <n v="97124383"/>
        <n v="97124384"/>
        <n v="97124385"/>
        <n v="97124386"/>
        <n v="97124387"/>
        <n v="97124388"/>
        <n v="97124395"/>
        <n v="97124396"/>
        <n v="97124397"/>
        <n v="97124389"/>
        <n v="97124390"/>
        <n v="97124391"/>
        <n v="97124392"/>
        <n v="97124393"/>
        <n v="97124394"/>
        <n v="97124398"/>
        <n v="97124399"/>
        <n v="97124400"/>
        <n v="97124401"/>
        <n v="97124402"/>
        <n v="97124403"/>
        <n v="97124404"/>
        <n v="97124405"/>
        <n v="97124406"/>
        <n v="97124407"/>
        <n v="97124408"/>
        <n v="97124409"/>
        <n v="97124410"/>
        <n v="97124411"/>
        <n v="97124412"/>
        <n v="97124413"/>
        <n v="97124414"/>
        <n v="97124415"/>
        <n v="97124416"/>
        <n v="97124417"/>
        <n v="97124418"/>
        <n v="97124419"/>
        <n v="97124420"/>
        <n v="12452661"/>
        <n v="97124421"/>
        <n v="97124422"/>
        <n v="97124423"/>
        <n v="97124431"/>
        <n v="97124432"/>
        <n v="97124434"/>
        <n v="97124435"/>
        <n v="97124424"/>
        <n v="97124425"/>
        <n v="97124426"/>
        <n v="97124427"/>
        <n v="97124428"/>
        <n v="97124429"/>
        <n v="97124430"/>
        <n v="97124433"/>
        <n v="97124436"/>
        <n v="97124437"/>
        <n v="97124438"/>
        <n v="97124439"/>
        <n v="97124440"/>
        <n v="97124441"/>
        <n v="97124442"/>
        <n v="97124443"/>
        <n v="97124444"/>
        <n v="97124445"/>
        <n v="97124446"/>
        <n v="97124447"/>
        <n v="97124448"/>
        <n v="97124449"/>
        <n v="97124450"/>
        <n v="97124451"/>
        <n v="97124452"/>
        <n v="97124453"/>
        <n v="97124454"/>
        <n v="97124455"/>
        <n v="97124456"/>
        <n v="97124457"/>
        <n v="97124458"/>
        <n v="97124459"/>
        <n v="97124460"/>
        <n v="97124461"/>
        <n v="97124462"/>
        <n v="97124463"/>
        <n v="97124464"/>
        <n v="97124465"/>
        <n v="97124466"/>
        <n v="97124467"/>
        <n v="97124468"/>
        <n v="97124469"/>
        <n v="97124470"/>
        <n v="97124471"/>
        <n v="97124472"/>
        <n v="97124473"/>
        <n v="97124474"/>
        <n v="97124475"/>
        <n v="97124476"/>
        <n v="97124477"/>
        <n v="97124478"/>
        <n v="97124479"/>
        <n v="97124480"/>
        <n v="97124481"/>
        <n v="97124482"/>
        <n v="97124483"/>
        <n v="97124484"/>
        <n v="97124485"/>
        <n v="97124486"/>
        <n v="97124487"/>
        <n v="97124488"/>
        <n v="97124489"/>
        <n v="97124490"/>
        <n v="97124491"/>
        <n v="97124492"/>
        <n v="97124493"/>
        <n v="97124494"/>
        <n v="97124495"/>
        <n v="97124496"/>
        <n v="97124497"/>
        <n v="97124498"/>
        <n v="97124499"/>
        <n v="97124500"/>
        <n v="97124501"/>
        <n v="97124502"/>
        <n v="97124503"/>
        <n v="97124504"/>
        <n v="97124505"/>
        <n v="97124506"/>
        <n v="97124507"/>
        <n v="97124508"/>
        <n v="97124509"/>
        <n v="97124510"/>
        <n v="97124511"/>
        <n v="97124512"/>
        <n v="97124513"/>
        <n v="97124514"/>
        <n v="97124515"/>
        <n v="97124516"/>
        <n v="97124517"/>
        <n v="97124518"/>
        <n v="97124519"/>
        <n v="97124520"/>
        <n v="97124521"/>
        <n v="97124522"/>
        <n v="97124523"/>
        <n v="97124524"/>
        <n v="97124525"/>
        <n v="97124526"/>
        <n v="97124527"/>
        <n v="97124528"/>
        <n v="97124529"/>
        <n v="97124530"/>
        <n v="97124531"/>
        <n v="97124532"/>
        <n v="97124533"/>
        <n v="97124534"/>
        <n v="97124535"/>
        <n v="97124536"/>
        <n v="97124537"/>
        <n v="97124538"/>
        <n v="97124539"/>
        <n v="97124540"/>
        <n v="97124541"/>
        <n v="97124542"/>
        <n v="97124543"/>
        <n v="97124553"/>
        <n v="97124554"/>
        <n v="97124555"/>
        <n v="97124556"/>
        <n v="97124544"/>
        <n v="97124545"/>
        <n v="97124546"/>
        <n v="97124547"/>
        <n v="97124548"/>
        <n v="97124549"/>
        <n v="97124550"/>
        <n v="97124551"/>
        <n v="97124552"/>
        <n v="97124557"/>
        <n v="97124558"/>
        <n v="97124559"/>
        <n v="97124560"/>
        <n v="12452662"/>
        <n v="97124561"/>
        <n v="97124562"/>
        <n v="97124563"/>
        <n v="97124564"/>
        <n v="97124565"/>
        <n v="97124566"/>
        <n v="97124567"/>
        <n v="97124568"/>
        <n v="97124569"/>
        <n v="97124570"/>
        <n v="97124571"/>
        <n v="97124572"/>
        <n v="97124573"/>
        <n v="97124574"/>
        <n v="97124575"/>
        <n v="97124576"/>
        <n v="97124577"/>
        <n v="97124578"/>
        <n v="97124579"/>
        <n v="97124580"/>
        <n v="97124581"/>
        <n v="97124582"/>
        <n v="97124583"/>
        <n v="97124584"/>
        <n v="97124585"/>
        <n v="97124586"/>
        <n v="97124587"/>
        <n v="97124588"/>
        <n v="97124589"/>
        <n v="97124590"/>
        <n v="97124591"/>
        <n v="97124592"/>
        <n v="97124593"/>
        <n v="97124594"/>
        <n v="97124595"/>
        <n v="97124596"/>
        <n v="97124597"/>
        <n v="97124598"/>
        <n v="97124599"/>
        <n v="97124600"/>
        <n v="97124611"/>
        <n v="97124612"/>
        <n v="97124613"/>
        <n v="97124614"/>
        <n v="97124615"/>
        <n v="97124616"/>
        <n v="97124617"/>
        <n v="97124618"/>
        <n v="97124619"/>
        <n v="97121400"/>
        <n v="97124601"/>
        <n v="97124602"/>
        <n v="97124603"/>
        <n v="97124604"/>
        <n v="97124605"/>
        <n v="97124606"/>
        <n v="97124607"/>
        <n v="97124608"/>
        <n v="97124609"/>
        <n v="97124610"/>
        <n v="97124620"/>
        <n v="97124621"/>
        <n v="97124622"/>
        <n v="97124623"/>
        <n v="97124624"/>
        <n v="97124625"/>
        <n v="97124626"/>
        <n v="97124627"/>
        <n v="97124628"/>
        <n v="97124629"/>
        <n v="97124630"/>
        <n v="97124631"/>
        <n v="97124632"/>
        <n v="97124633"/>
        <n v="97124634"/>
        <n v="97124635"/>
        <n v="97124636"/>
        <n v="97124637"/>
        <n v="97124638"/>
        <n v="97124639"/>
        <n v="97124640"/>
        <n v="97124641"/>
        <n v="97124642"/>
        <n v="97124643"/>
        <n v="97124644"/>
        <n v="97124645"/>
        <n v="97124646"/>
        <n v="97124647"/>
        <n v="12452663"/>
        <n v="97124648"/>
        <n v="97124649"/>
        <n v="97124650"/>
        <n v="97124651"/>
        <n v="97124652"/>
        <n v="97124653"/>
        <n v="97124654"/>
        <n v="97124655"/>
        <n v="97124656"/>
        <m/>
        <n v="97121401" u="1"/>
        <n v="97121402" u="1"/>
        <n v="3045959" u="1"/>
        <n v="3045960" u="1"/>
        <n v="3045961" u="1"/>
        <n v="3045962" u="1"/>
        <n v="3045963" u="1"/>
        <n v="3045964" u="1"/>
        <n v="3045958" u="1"/>
        <n v="93655828" u="1"/>
        <n v="93919608" u="1"/>
        <n v="93919609" u="1"/>
        <n v="95363988" u="1"/>
        <n v="95363989" u="1"/>
        <n v="95363990" u="1"/>
        <n v="95363991" u="1"/>
        <n v="95363992" u="1"/>
        <n v="3045965" u="1"/>
        <n v="3045966" u="1"/>
        <n v="3045967" u="1"/>
        <n v="3045968" u="1"/>
        <n v="3045969" u="1"/>
        <n v="3045970" u="1"/>
        <n v="3045971" u="1"/>
        <n v="95363993" u="1"/>
        <n v="95363994" u="1"/>
        <n v="95363995" u="1"/>
        <n v="95363996" u="1"/>
        <n v="95363997" u="1"/>
        <n v="95363998" u="1"/>
        <n v="95363999" u="1"/>
        <n v="95364000" u="1"/>
        <n v="95364001" u="1"/>
        <n v="95364002" u="1"/>
        <n v="95364003" u="1"/>
        <n v="3045972" u="1"/>
        <n v="3045973" u="1"/>
        <n v="3045974" u="1"/>
        <n v="3045975" u="1"/>
        <n v="3045976" u="1"/>
        <n v="3045977" u="1"/>
        <n v="3045978" u="1"/>
        <n v="3045979" u="1"/>
        <n v="3045980" u="1"/>
        <n v="3045981" u="1"/>
        <n v="3045982" u="1"/>
        <n v="3045983" u="1"/>
        <n v="3045984" u="1"/>
        <n v="3045985" u="1"/>
        <n v="3045986" u="1"/>
        <n v="95364004" u="1"/>
        <n v="95364005" u="1"/>
        <n v="95364006" u="1"/>
        <n v="95364007" u="1"/>
        <n v="95364008" u="1"/>
        <n v="55259926" u="1"/>
        <n v="55259927" u="1"/>
        <n v="55259928" u="1"/>
        <n v="55259929" u="1"/>
        <n v="95364009" u="1"/>
        <n v="95364010" u="1"/>
        <n v="95364011" u="1"/>
        <n v="95364012" u="1"/>
        <n v="95364013" u="1"/>
        <n v="95364014" u="1"/>
        <n v="95364015" u="1"/>
        <n v="95364016" u="1"/>
        <n v="95364017" u="1"/>
        <n v="95364018" u="1"/>
        <n v="95364019" u="1"/>
        <n v="95364020" u="1"/>
        <n v="95364021" u="1"/>
        <n v="95364022" u="1"/>
        <n v="95364023" u="1"/>
        <n v="95364024" u="1"/>
        <n v="3045987" u="1"/>
        <n v="3045988" u="1"/>
        <n v="3045989" u="1"/>
        <n v="3045990" u="1"/>
        <n v="3045991" u="1"/>
        <n v="3045992" u="1"/>
        <n v="3045993" u="1"/>
        <n v="3045994" u="1"/>
        <n v="3045995" u="1"/>
        <n v="3045996" u="1"/>
        <n v="3045997" u="1"/>
        <n v="3045998" u="1"/>
        <n v="94462901" u="1"/>
        <n v="3045999" u="1"/>
        <n v="3046000" u="1"/>
        <n v="3046001" u="1"/>
        <n v="3046002" u="1"/>
        <n v="3046003" u="1"/>
        <n v="3046004" u="1"/>
        <n v="3046005" u="1"/>
        <n v="3046006" u="1"/>
        <n v="3046007" u="1"/>
        <n v="3046008" u="1"/>
        <n v="3046009" u="1"/>
        <n v="3046010" u="1"/>
        <n v="3046011" u="1"/>
        <n v="3046012" u="1"/>
        <n v="3046013" u="1"/>
        <n v="3046014" u="1"/>
        <n v="3046015" u="1"/>
        <n v="3046016" u="1"/>
        <n v="3046017" u="1"/>
        <n v="3046018" u="1"/>
        <n v="3046019" u="1"/>
        <n v="95364025" u="1"/>
        <n v="95364026" u="1"/>
        <n v="95364027" u="1"/>
        <n v="95364028" u="1"/>
        <n v="95364029" u="1"/>
        <n v="3046020" u="1"/>
        <n v="3046021" u="1"/>
        <n v="3046022" u="1"/>
        <n v="3046023" u="1"/>
        <n v="95364030" u="1"/>
        <n v="95364031" u="1"/>
        <n v="95364032" u="1"/>
        <n v="95364033" u="1"/>
        <n v="95364034" u="1"/>
        <n v="95364035" u="1"/>
        <n v="95364036" u="1"/>
        <n v="94462902" u="1"/>
        <n v="94462904" u="1"/>
        <n v="94462905" u="1"/>
        <n v="94462906" u="1"/>
        <n v="94462907" u="1"/>
        <n v="94462908" u="1"/>
        <n v="94462909" u="1"/>
        <n v="94462910" u="1"/>
        <n v="94462911" u="1"/>
        <n v="94462912" u="1"/>
        <n v="94462913" u="1"/>
        <n v="94462914" u="1"/>
        <n v="94462915" u="1"/>
        <n v="94462916" u="1"/>
        <n v="94462917" u="1"/>
        <n v="94462918" u="1"/>
        <n v="95364037" u="1"/>
        <n v="95364038" u="1"/>
        <n v="95364039" u="1"/>
        <n v="95364040" u="1"/>
        <n v="95364041" u="1"/>
        <n v="95364042" u="1"/>
        <n v="95364043" u="1"/>
        <n v="95364044" u="1"/>
        <n v="3046024" u="1"/>
        <n v="3046025" u="1"/>
        <n v="4462919" u="1"/>
        <n v="3046026" u="1"/>
        <n v="3046027" u="1"/>
        <n v="3046028" u="1"/>
        <n v="3046029" u="1"/>
        <n v="95364045" u="1"/>
        <n v="95364046" u="1"/>
        <n v="95364047" u="1"/>
        <n v="95364048" u="1"/>
        <n v="95364049" u="1"/>
        <n v="95364050" u="1"/>
        <n v="95364051" u="1"/>
        <n v="95364052" u="1"/>
        <n v="95364053" u="1"/>
        <n v="95364054" u="1"/>
        <n v="95364055" u="1"/>
        <n v="95364056" u="1"/>
        <n v="95364057" u="1"/>
        <n v="95364058" u="1"/>
        <n v="95364059" u="1"/>
        <n v="95364060" u="1"/>
        <n v="95364061" u="1"/>
        <n v="95364062" u="1"/>
        <n v="95364063" u="1"/>
        <n v="95364064" u="1"/>
        <n v="95364065" u="1"/>
        <n v="95364066" u="1"/>
        <n v="95364067" u="1"/>
        <n v="95364068" u="1"/>
        <n v="95364069" u="1"/>
        <n v="95364070" u="1"/>
        <n v="95364071" u="1"/>
        <n v="95364072" u="1"/>
        <n v="95364073" u="1"/>
        <n v="95364074" u="1"/>
        <n v="95364075" u="1"/>
        <n v="95364076" u="1"/>
        <n v="95364077" u="1"/>
        <n v="95364078" u="1"/>
        <n v="95364079" u="1"/>
        <n v="95364080" u="1"/>
        <n v="94462920" u="1"/>
        <n v="94462921" u="1"/>
        <n v="94462922" u="1"/>
        <n v="94462923" u="1"/>
        <n v="95364081" u="1"/>
        <n v="95364082" u="1"/>
        <n v="95364083" u="1"/>
        <n v="95364084" u="1"/>
        <n v="95364085" u="1"/>
        <n v="95364086" u="1"/>
        <n v="95364087" u="1"/>
        <n v="95364088" u="1"/>
        <n v="95364089" u="1"/>
        <n v="95364090" u="1"/>
        <n v="95364091" u="1"/>
        <n v="95364092" u="1"/>
        <n v="95364093" u="1"/>
        <n v="95364094" u="1"/>
        <n v="95364095" u="1"/>
        <n v="95364096" u="1"/>
        <n v="95364097" u="1"/>
        <n v="95364098" u="1"/>
        <n v="95364099" u="1"/>
        <n v="95364100" u="1"/>
        <n v="95364101" u="1"/>
        <n v="95364102" u="1"/>
        <n v="95364103" u="1"/>
        <n v="95364104" u="1"/>
        <n v="95364105" u="1"/>
        <n v="95364106" u="1"/>
        <n v="95364107" u="1"/>
        <n v="95364108" u="1"/>
        <n v="95364109" u="1"/>
        <n v="95364110" u="1"/>
        <n v="95364111" u="1"/>
        <n v="95364112" u="1"/>
        <n v="95364113" u="1"/>
        <n v="95364114" u="1"/>
        <n v="95364115" u="1"/>
        <n v="95364116" u="1"/>
        <n v="95364117" u="1"/>
        <n v="95364118" u="1"/>
        <n v="95364119" u="1"/>
        <n v="95364120" u="1"/>
        <n v="95364121" u="1"/>
        <n v="95364122" u="1"/>
        <n v="95364123" u="1"/>
        <n v="95364124" u="1"/>
        <n v="95364125" u="1"/>
        <n v="95364126" u="1"/>
        <n v="95364127" u="1"/>
        <n v="95364128" u="1"/>
        <n v="95364129" u="1"/>
        <n v="95364130" u="1"/>
        <n v="95364131" u="1"/>
        <n v="94462924" u="1"/>
        <n v="95364132" u="1"/>
        <n v="95364133" u="1"/>
        <n v="95364134" u="1"/>
        <n v="95364135" u="1"/>
        <n v="95364136" u="1"/>
        <n v="95364137" u="1"/>
        <n v="95364138" u="1"/>
        <n v="95364139" u="1"/>
        <n v="95364140" u="1"/>
        <n v="95364141" u="1"/>
        <n v="95364142" u="1"/>
        <n v="95364143" u="1"/>
        <n v="95364144" u="1"/>
        <n v="95364145" u="1"/>
        <n v="95364146" u="1"/>
        <n v="95364147" u="1"/>
        <n v="95364148" u="1"/>
        <n v="95364149" u="1"/>
        <n v="95364150" u="1"/>
        <n v="95364151" u="1"/>
        <n v="95364152" u="1"/>
        <n v="95364153" u="1"/>
        <n v="95364154" u="1"/>
        <n v="95364155" u="1"/>
        <n v="95364156" u="1"/>
        <n v="95364157" u="1"/>
        <n v="95364158" u="1"/>
        <n v="95364159" u="1"/>
        <n v="95364160" u="1"/>
        <n v="95364161" u="1"/>
        <n v="95364162" u="1"/>
        <n v="95364163" u="1"/>
        <n v="95364164" u="1"/>
        <n v="95364165" u="1"/>
        <n v="95364166" u="1"/>
        <n v="95364167" u="1"/>
        <n v="95364168" u="1"/>
        <n v="95364169" u="1"/>
        <n v="95364170" u="1"/>
        <n v="95364171" u="1"/>
        <n v="95364172" u="1"/>
        <n v="95364173" u="1"/>
        <n v="95364174" u="1"/>
        <n v="95364175" u="1"/>
        <n v="95364176" u="1"/>
        <n v="95364177" u="1"/>
        <n v="95364178" u="1"/>
        <n v="95364179" u="1"/>
        <n v="95364180" u="1"/>
        <n v="94462925" u="1"/>
        <n v="95364181" u="1"/>
        <n v="95364182" u="1"/>
        <n v="95364183" u="1"/>
        <n v="95364184" u="1"/>
        <n v="95364185" u="1"/>
        <n v="95364186" u="1"/>
        <n v="95364187" u="1"/>
        <n v="99267932" u="1"/>
        <n v="99267933" u="1"/>
        <n v="99267934" u="1"/>
        <n v="99267935" u="1"/>
        <n v="99267936" u="1"/>
        <n v="99267937" u="1"/>
        <n v="99267938" u="1"/>
        <n v="99267939" u="1"/>
        <n v="99267940" u="1"/>
        <n v="94462927" u="1"/>
        <n v="99267941" u="1"/>
        <n v="99267942" u="1"/>
        <n v="99267943" u="1"/>
        <n v="99267944" u="1"/>
        <n v="99267945" u="1"/>
        <n v="99267946" u="1"/>
        <n v="99267947" u="1"/>
        <n v="99267948" u="1"/>
        <n v="99267949" u="1"/>
        <n v="99267950" u="1"/>
        <n v="99267951" u="1"/>
        <n v="99267952" u="1"/>
        <n v="99267953" u="1"/>
        <n v="99267954" u="1"/>
        <n v="99267955" u="1"/>
        <n v="99267956" u="1"/>
        <n v="99267957" u="1"/>
        <n v="99267958" u="1"/>
        <n v="99267959" u="1"/>
        <n v="99267960" u="1"/>
        <n v="99267961" u="1"/>
        <n v="99267962" u="1"/>
        <n v="99267963" u="1"/>
        <n v="99267964" u="1"/>
        <n v="99267965" u="1"/>
        <n v="99267966" u="1"/>
        <n v="99267967" u="1"/>
        <n v="99267968" u="1"/>
        <n v="99267969" u="1"/>
        <n v="99267970" u="1"/>
        <n v="99267971" u="1"/>
        <n v="99267972" u="1"/>
        <n v="99267973" u="1"/>
        <n v="99267974" u="1"/>
        <n v="99267975" u="1"/>
        <n v="99267976" u="1"/>
        <n v="99267977" u="1"/>
        <n v="99267978" u="1"/>
        <n v="99267979" u="1"/>
        <n v="99267980" u="1"/>
        <n v="99267981" u="1"/>
        <n v="55259930" u="1"/>
        <n v="99267982" u="1"/>
        <n v="99267983" u="1"/>
        <n v="99267984" u="1"/>
        <n v="99267985" u="1"/>
        <n v="99267986" u="1"/>
        <n v="99267987" u="1"/>
        <n v="99267988" u="1"/>
        <n v="99267989" u="1"/>
        <n v="99267990" u="1"/>
        <n v="99267991" u="1"/>
        <n v="99267992" u="1"/>
        <n v="99267993" u="1"/>
        <n v="99267994" u="1"/>
        <n v="99267995" u="1"/>
        <n v="99267996" u="1"/>
        <n v="99267997" u="1"/>
        <n v="99267998" u="1"/>
        <n v="55259931" u="1"/>
        <n v="99267999" u="1"/>
        <n v="99268000" u="1"/>
        <n v="99268001" u="1"/>
        <n v="99268002" u="1"/>
        <n v="99268003" u="1"/>
        <n v="99268004" u="1"/>
        <n v="99268005" u="1"/>
        <n v="99268006" u="1"/>
        <n v="99268007" u="1"/>
        <n v="99268008" u="1"/>
        <n v="99268009" u="1"/>
        <n v="99268010" u="1"/>
        <n v="99268011" u="1"/>
        <n v="99268012" u="1"/>
        <n v="99268013" u="1"/>
        <n v="99268014" u="1"/>
        <n v="99268015" u="1"/>
        <n v="99268016" u="1"/>
        <n v="99268017" u="1"/>
        <n v="99268018" u="1"/>
        <n v="99268019" u="1"/>
        <n v="99268020" u="1"/>
        <n v="99268021" u="1"/>
        <n v="99268022" u="1"/>
        <n v="99268023" u="1"/>
        <n v="99268024" u="1"/>
        <n v="99268025" u="1"/>
        <n v="99268026" u="1"/>
        <n v="99268027" u="1"/>
        <n v="99268028" u="1"/>
        <n v="99268029" u="1"/>
        <n v="99268030" u="1"/>
        <n v="99268031" u="1"/>
        <n v="99268032" u="1"/>
        <n v="99268033" u="1"/>
        <n v="99268034" u="1"/>
        <n v="99268035" u="1"/>
        <n v="99268036" u="1"/>
        <n v="99268037" u="1"/>
        <n v="99268038" u="1"/>
        <n v="99268039" u="1"/>
        <n v="99268040" u="1"/>
        <n v="99268041" u="1"/>
        <n v="99268042" u="1"/>
        <n v="99268043" u="1"/>
        <n v="99268044" u="1"/>
        <n v="99268050" u="1"/>
        <n v="99268051" u="1"/>
        <n v="99268052" u="1"/>
        <n v="99268053" u="1"/>
        <n v="99268054" u="1"/>
        <n v="99268055" u="1"/>
        <n v="99268056" u="1"/>
        <n v="99268057" u="1"/>
        <n v="99268058" u="1"/>
        <n v="99268045" u="1"/>
        <n v="99268046" u="1"/>
        <n v="99268047" u="1"/>
        <n v="99268048" u="1"/>
        <n v="99268049" u="1"/>
        <n v="99268059" u="1"/>
        <n v="99268060" u="1"/>
        <n v="99268061" u="1"/>
        <n v="55259932" u="1"/>
        <n v="99268062" u="1"/>
        <n v="99268063" u="1"/>
        <n v="99268064" u="1"/>
        <n v="99268065" u="1"/>
        <n v="99268066" u="1"/>
        <n v="99268067" u="1"/>
        <n v="99268068" u="1"/>
        <n v="99268069" u="1"/>
        <n v="99268070" u="1"/>
        <n v="99268071" u="1"/>
        <n v="99268072" u="1"/>
        <n v="99268073" u="1"/>
        <n v="99268074" u="1"/>
        <n v="99268075" u="1"/>
        <n v="99268076" u="1"/>
        <n v="99268077" u="1"/>
        <n v="99268078" u="1"/>
        <n v="99268079" u="1"/>
        <n v="99268080" u="1"/>
        <n v="99268081" u="1"/>
        <n v="99268082" u="1"/>
        <n v="99268083" u="1"/>
        <n v="99268084" u="1"/>
        <n v="99268085" u="1"/>
        <n v="99268086" u="1"/>
        <n v="99268087" u="1"/>
        <n v="99268088" u="1"/>
        <n v="99268089" u="1"/>
        <n v="99268090" u="1"/>
        <n v="99268091" u="1"/>
        <n v="99268092" u="1"/>
        <n v="99268093" u="1"/>
        <n v="99268094" u="1"/>
        <n v="99268095" u="1"/>
        <n v="99268096" u="1"/>
        <n v="99268097" u="1"/>
        <n v="99268098" u="1"/>
        <n v="99268099" u="1"/>
        <n v="99268100" u="1"/>
        <n v="99268101" u="1"/>
        <n v="99268102" u="1"/>
        <n v="99268103" u="1"/>
        <n v="99268104" u="1"/>
        <n v="99268105" u="1"/>
        <n v="99268106" u="1"/>
        <n v="99268107" u="1"/>
        <n v="99268108" u="1"/>
        <n v="99268109" u="1"/>
        <n v="99268110" u="1"/>
        <n v="99268111" u="1"/>
        <n v="99268112" u="1"/>
        <n v="99268113" u="1"/>
        <n v="99268114" u="1"/>
        <n v="99268115" u="1"/>
        <n v="99268116" u="1"/>
        <n v="99268117" u="1"/>
        <n v="99268118" u="1"/>
        <n v="99268119" u="1"/>
        <n v="99268120" u="1"/>
        <n v="99268121" u="1"/>
        <n v="99268122" u="1"/>
        <n v="99268123" u="1"/>
        <n v="99268124" u="1"/>
        <n v="99268125" u="1"/>
        <n v="99268126" u="1"/>
        <n v="99268127" u="1"/>
        <n v="99268128" u="1"/>
        <n v="99268129" u="1"/>
        <n v="99268130" u="1"/>
        <n v="99268131" u="1"/>
        <n v="71643623" u="1"/>
        <n v="71643624" u="1"/>
        <n v="71643625" u="1"/>
        <n v="71643626" u="1"/>
        <n v="71643627" u="1"/>
        <n v="71643628" u="1"/>
        <n v="71643629" u="1"/>
        <n v="71643630" u="1"/>
        <n v="71643631" u="1"/>
        <n v="71643632" u="1"/>
        <n v="71643633" u="1"/>
        <n v="71643634" u="1"/>
        <n v="71643635" u="1"/>
        <n v="71643636" u="1"/>
        <n v="71643637" u="1"/>
        <n v="71643638" u="1"/>
        <n v="71643639" u="1"/>
        <n v="71643640" u="1"/>
        <n v="71643641" u="1"/>
        <n v="71643642" u="1"/>
        <n v="71643643" u="1"/>
        <n v="71643644" u="1"/>
        <n v="71643645" u="1"/>
        <n v="71643646" u="1"/>
        <n v="71643647" u="1"/>
        <n v="71643648" u="1"/>
        <n v="71643649" u="1"/>
        <n v="71643650" u="1"/>
        <n v="71643651" u="1"/>
        <n v="71643652" u="1"/>
        <n v="71643653" u="1"/>
        <n v="71643654" u="1"/>
        <n v="71643655" u="1"/>
        <n v="71643656" u="1"/>
        <n v="71643657" u="1"/>
        <n v="71643658" u="1"/>
        <n v="71643659" u="1"/>
        <n v="71643660" u="1"/>
        <n v="71643661" u="1"/>
        <n v="71643662" u="1"/>
        <n v="71643663" u="1"/>
        <n v="71643664" u="1"/>
        <n v="55259933" u="1"/>
        <n v="71643665" u="1"/>
        <n v="71643666" u="1"/>
        <n v="71643667" u="1"/>
        <n v="71643668" u="1"/>
        <n v="71643669" u="1"/>
        <n v="71643670" u="1"/>
        <n v="71643671" u="1"/>
        <n v="71643672" u="1"/>
        <n v="71643673" u="1"/>
        <n v="71643674" u="1"/>
        <n v="71643675" u="1"/>
        <n v="71643676" u="1"/>
        <n v="71643677" u="1"/>
        <n v="71643678" u="1"/>
        <n v="71643679" u="1"/>
        <n v="71643680" u="1"/>
        <n v="71643681" u="1"/>
        <n v="71643682" u="1"/>
        <n v="71643683" u="1"/>
        <n v="71643684" u="1"/>
        <n v="71643685" u="1"/>
        <n v="71643686" u="1"/>
        <n v="71643687" u="1"/>
        <n v="55259934" u="1"/>
        <n v="71643688" u="1"/>
        <n v="71643689" u="1"/>
        <n v="71643690" u="1"/>
        <n v="71643691" u="1"/>
        <n v="71643692" u="1"/>
        <n v="71643693" u="1"/>
        <n v="71643694" u="1"/>
        <n v="71643695" u="1"/>
        <n v="71643696" u="1"/>
        <n v="71643697" u="1"/>
        <n v="71643698" u="1"/>
        <n v="71643699" u="1"/>
        <n v="71643700" u="1"/>
        <n v="71643701" u="1"/>
        <n v="71643702" u="1"/>
        <n v="71643703" u="1"/>
        <n v="71643704" u="1"/>
        <n v="71643705" u="1"/>
        <n v="71643706" u="1"/>
        <n v="71643707" u="1"/>
        <n v="71643708" u="1"/>
        <n v="71643709" u="1"/>
        <n v="71643710" u="1"/>
        <n v="71643711" u="1"/>
        <n v="71643712" u="1"/>
        <n v="71643713" u="1"/>
        <n v="71643714" u="1"/>
        <n v="71643715" u="1"/>
        <n v="71643716" u="1"/>
        <n v="71643717" u="1"/>
        <n v="71643718" u="1"/>
        <n v="71643719" u="1"/>
        <n v="71643720" u="1"/>
        <n v="71643721" u="1"/>
        <n v="71643723" u="1"/>
        <n v="71643722" u="1"/>
        <n v="71643724" u="1"/>
        <n v="71643725" u="1"/>
        <n v="71643726" u="1"/>
        <n v="71643727" u="1"/>
        <n v="71643728" u="1"/>
        <n v="71643729" u="1"/>
        <n v="55259935" u="1"/>
        <n v="71643730" u="1"/>
        <n v="71643731" u="1"/>
        <n v="71643732" u="1"/>
        <n v="71643733" u="1"/>
        <n v="71643734" u="1"/>
        <n v="71643735" u="1"/>
        <n v="71643736" u="1"/>
        <n v="71643737" u="1"/>
        <n v="71643738" u="1"/>
        <n v="71643739" u="1"/>
        <n v="71643740" u="1"/>
        <n v="71643741" u="1"/>
        <n v="71643742" u="1"/>
        <n v="71643743" u="1"/>
        <n v="71643744" u="1"/>
        <n v="55259936" u="1"/>
        <n v="55259937" u="1"/>
        <n v="71643745" u="1"/>
        <n v="71643746" u="1"/>
        <n v="71643747" u="1"/>
        <n v="71643748" u="1"/>
        <n v="71643749" u="1"/>
        <n v="71643750" u="1"/>
        <n v="71643751" u="1"/>
        <n v="71643752" u="1"/>
        <n v="71643753" u="1"/>
        <n v="71643754" u="1"/>
        <n v="71643755" u="1"/>
        <n v="71643756" u="1"/>
        <n v="71643757" u="1"/>
        <n v="71643758" u="1"/>
        <n v="71643759" u="1"/>
        <n v="71643760" u="1"/>
        <n v="71643761" u="1"/>
        <n v="71643762" u="1"/>
        <n v="71643763" u="1"/>
        <n v="71643764" u="1"/>
        <n v="55259938" u="1"/>
        <n v="71643765" u="1"/>
        <n v="71643766" u="1"/>
        <n v="71643767" u="1"/>
        <n v="71643768" u="1"/>
        <n v="71643769" u="1"/>
        <n v="71643770" u="1"/>
        <n v="71643771" u="1"/>
        <n v="71643772" u="1"/>
        <n v="71643773" u="1"/>
        <n v="71643774" u="1"/>
        <n v="71643775" u="1"/>
        <n v="71643776" u="1"/>
        <n v="71643777" u="1"/>
        <n v="71643778" u="1"/>
        <n v="71643779" u="1"/>
        <n v="71643780" u="1"/>
        <n v="71643781" u="1"/>
        <n v="71643782" u="1"/>
        <n v="71643783" u="1"/>
        <n v="71643784" u="1"/>
        <n v="71643785" u="1"/>
        <n v="71643786" u="1"/>
        <n v="71643787" u="1"/>
        <n v="71643788" u="1"/>
        <n v="71643789" u="1"/>
        <n v="71643790" u="1"/>
        <n v="71643791" u="1"/>
        <n v="71643792" u="1"/>
        <n v="71643793" u="1"/>
        <n v="71643794" u="1"/>
        <n v="71643795" u="1"/>
        <n v="71643796" u="1"/>
        <n v="71643797" u="1"/>
        <n v="71643798" u="1"/>
        <n v="71643799" u="1"/>
        <n v="71643800" u="1"/>
        <n v="55259939" u="1"/>
        <n v="71643801" u="1"/>
        <n v="71643802" u="1"/>
        <n v="71643803" u="1"/>
        <n v="71643804" u="1"/>
        <n v="71643805" u="1"/>
        <n v="71643806" u="1"/>
        <n v="71643807" u="1"/>
        <n v="71643808" u="1"/>
        <n v="71643809" u="1"/>
        <n v="71643810" u="1"/>
        <n v="71643811" u="1"/>
        <n v="71643812" u="1"/>
        <n v="71643813" u="1"/>
        <n v="71643814" u="1"/>
        <n v="71643815" u="1"/>
        <n v="71643816" u="1"/>
        <n v="71643817" u="1"/>
        <n v="71643818" u="1"/>
        <n v="71643819" u="1"/>
        <n v="71643820" u="1"/>
        <n v="71643821" u="1"/>
        <n v="71643822" u="1"/>
        <n v="73815611" u="1"/>
        <n v="73815612" u="1"/>
        <n v="73815613" u="1"/>
        <n v="73815614" u="1"/>
        <n v="73815615" u="1"/>
        <n v="73815616" u="1"/>
        <n v="73815617" u="1"/>
        <n v="73815618" u="1"/>
        <n v="73815619" u="1"/>
        <n v="73815620" u="1"/>
        <n v="73815621" u="1"/>
        <n v="73815622" u="1"/>
        <n v="73815623" u="1"/>
        <n v="73815624" u="1"/>
        <n v="73815625" u="1"/>
        <n v="73815626" u="1"/>
        <n v="73815627" u="1"/>
        <n v="73815628" u="1"/>
        <n v="73815629" u="1"/>
        <n v="73815630" u="1"/>
        <n v="73815631" u="1"/>
        <n v="73815632" u="1"/>
        <n v="73815633" u="1"/>
        <n v="73815634" u="1"/>
        <n v="73815635" u="1"/>
        <n v="74835425" u="1"/>
        <n v="73815636" u="1"/>
        <n v="73815637" u="1"/>
        <n v="73815638" u="1"/>
        <n v="73815639" u="1"/>
        <n v="73815640" u="1"/>
        <n v="73815641" u="1"/>
        <n v="73815642" u="1"/>
        <n v="73815643" u="1"/>
        <n v="73815644" u="1"/>
        <n v="73815645" u="1"/>
        <n v="73815646" u="1"/>
        <n v="73815647" u="1"/>
        <n v="73815648" u="1"/>
        <n v="73815649" u="1"/>
        <n v="73815650" u="1"/>
        <n v="73815651" u="1"/>
        <n v="73815652" u="1"/>
        <n v="73815653" u="1"/>
        <n v="73815654" u="1"/>
        <n v="73815655" u="1"/>
        <n v="73815656" u="1"/>
        <n v="73815657" u="1"/>
        <n v="73815658" u="1"/>
        <n v="73815659" u="1"/>
        <n v="73815660" u="1"/>
        <n v="73815661" u="1"/>
        <n v="73815662" u="1"/>
        <n v="73815663" u="1"/>
        <n v="73815664" u="1"/>
        <n v="73815665" u="1"/>
        <n v="73815666" u="1"/>
        <n v="73815667" u="1"/>
        <n v="73815668" u="1"/>
        <n v="73815669" u="1"/>
        <n v="73815670" u="1"/>
        <n v="73815671" u="1"/>
        <n v="73815672" u="1"/>
        <n v="73815673" u="1"/>
        <n v="73815674" u="1"/>
        <n v="73815675" u="1"/>
        <n v="73815676" u="1"/>
        <n v="73815677" u="1"/>
        <n v="73815678" u="1"/>
        <n v="73815679" u="1"/>
        <n v="73815680" u="1"/>
        <n v="73815681" u="1"/>
        <n v="73815682" u="1"/>
        <n v="73815683" u="1"/>
        <n v="73815684" u="1"/>
        <n v="73815685" u="1"/>
        <n v="73815686" u="1"/>
        <n v="73815687" u="1"/>
        <n v="73815688" u="1"/>
        <n v="73815689" u="1"/>
        <n v="73815690" u="1"/>
        <n v="73815691" u="1"/>
        <n v="73815692" u="1"/>
        <n v="73815693" u="1"/>
        <n v="73815694" u="1"/>
        <n v="73815695" u="1"/>
        <n v="73815696" u="1"/>
        <n v="73815697" u="1"/>
        <n v="73815698" u="1"/>
        <n v="73815699" u="1"/>
        <n v="73815700" u="1"/>
        <n v="73815701" u="1"/>
        <n v="73815702" u="1"/>
        <n v="73815703" u="1"/>
        <n v="73815704" u="1"/>
        <n v="73815705" u="1"/>
        <n v="73815706" u="1"/>
        <n v="73815707" u="1"/>
        <n v="73815708" u="1"/>
        <n v="73815709" u="1"/>
        <n v="73815710" u="1"/>
        <n v="73815711" u="1"/>
        <n v="73815712" u="1"/>
        <n v="73815713" u="1"/>
        <n v="73815714" u="1"/>
        <n v="73815715" u="1"/>
        <n v="73815716" u="1"/>
        <n v="73815717" u="1"/>
        <n v="73815718" u="1"/>
        <n v="73815719" u="1"/>
        <n v="73815720" u="1"/>
        <n v="73815721" u="1"/>
        <n v="73815722" u="1"/>
        <n v="73815723" u="1"/>
        <n v="73815724" u="1"/>
        <n v="74835426" u="1"/>
        <n v="75259940" u="1"/>
        <n v="73815725" u="1"/>
        <n v="73815726" u="1"/>
        <n v="73815727" u="1"/>
        <n v="73815728" u="1"/>
        <n v="73815729" u="1"/>
        <n v="73815730" u="1"/>
        <n v="73815731" u="1"/>
        <n v="73815732" u="1"/>
        <n v="73815733" u="1"/>
        <n v="73815734" u="1"/>
        <n v="73815735" u="1"/>
        <n v="73815736" u="1"/>
        <n v="73815737" u="1"/>
        <n v="73815738" u="1"/>
        <n v="73815739" u="1"/>
        <n v="73815740" u="1"/>
        <n v="73815741" u="1"/>
        <n v="73815742" u="1"/>
        <n v="73815743" u="1"/>
        <n v="73815744" u="1"/>
        <n v="73815745" u="1"/>
        <n v="73815746" u="1"/>
        <n v="73815747" u="1"/>
        <n v="73815748" u="1"/>
        <n v="73815749" u="1"/>
        <n v="73815750" u="1"/>
        <n v="73815751" u="1"/>
        <n v="73815752" u="1"/>
        <n v="73815753" u="1"/>
        <n v="73815754" u="1"/>
        <n v="93419143" u="1"/>
        <n v="93419144" u="1"/>
        <n v="93419145" u="1"/>
        <n v="93419146" u="1"/>
        <n v="93419147" u="1"/>
        <n v="93419148" u="1"/>
        <n v="93419149" u="1"/>
        <n v="93419150" u="1"/>
        <n v="93419151" u="1"/>
        <n v="93419152" u="1"/>
        <n v="93419153" u="1"/>
        <n v="93419154" u="1"/>
        <n v="93419155" u="1"/>
        <n v="93419156" u="1"/>
        <n v="93419157" u="1"/>
        <n v="93419158" u="1"/>
        <n v="93419159" u="1"/>
        <n v="93419160" u="1"/>
        <n v="93419161" u="1"/>
        <n v="93419162" u="1"/>
        <n v="93419163" u="1"/>
        <n v="37746149" u="1"/>
        <n v="93419164" u="1"/>
        <n v="93419165" u="1"/>
        <n v="93419166" u="1"/>
        <n v="93419167" u="1"/>
        <n v="93419168" u="1"/>
        <n v="93419169" u="1"/>
        <n v="93419170" u="1"/>
        <n v="93419171" u="1"/>
        <n v="93419172" u="1"/>
        <n v="93419173" u="1"/>
        <n v="93419174" u="1"/>
        <n v="93419175" u="1"/>
        <n v="93419176" u="1"/>
        <n v="93419177" u="1"/>
        <n v="93419178" u="1"/>
        <n v="93419179" u="1"/>
        <n v="93419180" u="1"/>
        <n v="93419181" u="1"/>
        <n v="93419182" u="1"/>
        <n v="93419183" u="1"/>
        <n v="93419184" u="1"/>
        <n v="93419185" u="1"/>
        <n v="93419186" u="1"/>
        <n v="93419187" u="1"/>
        <n v="93419188" u="1"/>
        <n v="93419189" u="1"/>
        <n v="93419190" u="1"/>
        <n v="93419191" u="1"/>
        <n v="93419192" u="1"/>
        <n v="93419193" u="1"/>
        <n v="93419194" u="1"/>
        <n v="93419195" u="1"/>
        <n v="93419196" u="1"/>
        <n v="93419197" u="1"/>
        <n v="93419198" u="1"/>
        <n v="93419199" u="1"/>
        <n v="93419200" u="1"/>
        <n v="93419201" u="1"/>
        <n v="93419202" u="1"/>
        <n v="93419203" u="1"/>
        <n v="93419204" u="1"/>
        <n v="93419205" u="1"/>
        <n v="93419206" u="1"/>
        <n v="93419207" u="1"/>
        <n v="93419208" u="1"/>
        <n v="93419209" u="1"/>
        <n v="93419210" u="1"/>
        <n v="93419211" u="1"/>
        <n v="93419212" u="1"/>
        <n v="93419213" u="1"/>
        <n v="93419214" u="1"/>
        <n v="93419215" u="1"/>
        <n v="93419216" u="1"/>
        <n v="93419217" u="1"/>
        <n v="93419218" u="1"/>
        <n v="93419219" u="1"/>
        <n v="93419220" u="1"/>
        <n v="93419221" u="1"/>
        <n v="93419222" u="1"/>
        <n v="93419223" u="1"/>
        <n v="93419224" u="1"/>
        <n v="93419225" u="1"/>
        <n v="93419226" u="1"/>
        <n v="93419227" u="1"/>
        <n v="93419228" u="1"/>
        <n v="93419229" u="1"/>
        <n v="93419230" u="1"/>
        <n v="93419231" u="1"/>
        <n v="93419232" u="1"/>
        <n v="93419233" u="1"/>
        <n v="93419234" u="1"/>
        <n v="93419235" u="1"/>
        <n v="93419236" u="1"/>
        <n v="93419237" u="1"/>
        <n v="93419238" u="1"/>
        <n v="93419239" u="1"/>
        <n v="93419240" u="1"/>
        <n v="93419241" u="1"/>
        <n v="93419242" u="1"/>
        <n v="93419243" u="1"/>
        <n v="93419244" u="1"/>
        <n v="93419245" u="1"/>
        <n v="93419246" u="1"/>
        <n v="93419247" u="1"/>
        <n v="93419248" u="1"/>
        <n v="93419249" u="1"/>
        <n v="93419250" u="1"/>
        <n v="93419251" u="1"/>
        <n v="93419252" u="1"/>
        <n v="93419253" u="1"/>
        <n v="93419254" u="1"/>
        <n v="93419255" u="1"/>
        <n v="93419256" u="1"/>
        <n v="93419257" u="1"/>
        <n v="93419258" u="1"/>
        <n v="93419259" u="1"/>
        <n v="93419260" u="1"/>
        <n v="93419261" u="1"/>
        <n v="93419262" u="1"/>
        <n v="93419263" u="1"/>
        <n v="93419264" u="1"/>
        <n v="93419265" u="1"/>
        <n v="93419266" u="1"/>
        <n v="93419267" u="1"/>
        <n v="93419268" u="1"/>
        <n v="93419269" u="1"/>
        <n v="93419270" u="1"/>
        <n v="93419271" u="1"/>
        <n v="93419272" u="1"/>
        <n v="93419273" u="1"/>
        <n v="93419274" u="1"/>
        <n v="93419275" u="1"/>
        <n v="93419276" u="1"/>
        <n v="93419277" u="1"/>
        <n v="93419278" u="1"/>
        <n v="93419279" u="1"/>
        <n v="93419280" u="1"/>
        <n v="93419281" u="1"/>
        <n v="93419282" u="1"/>
        <n v="93419283" u="1"/>
        <n v="93419284" u="1"/>
        <n v="93419285" u="1"/>
        <n v="93419286" u="1"/>
        <n v="93419287" u="1"/>
        <n v="93419288" u="1"/>
        <n v="93419289" u="1"/>
        <n v="93419290" u="1"/>
        <n v="93419291" u="1"/>
        <n v="93419292" u="1"/>
        <n v="93419293" u="1"/>
        <n v="63592596" u="1"/>
        <n v="63592597" u="1"/>
        <n v="63592598" u="1"/>
        <n v="63592599" u="1"/>
        <n v="63592600" u="1"/>
        <n v="63592601" u="1"/>
        <n v="63592602" u="1"/>
        <n v="63592603" u="1"/>
        <n v="63592604" u="1"/>
        <n v="93419294" u="1"/>
        <n v="93419295" u="1"/>
        <n v="93419296" u="1"/>
        <n v="93419297" u="1"/>
        <n v="93419298" u="1"/>
        <n v="93419299" u="1"/>
        <n v="93419300" u="1"/>
        <n v="93419301" u="1"/>
        <n v="93419302" u="1"/>
        <n v="93419303" u="1"/>
        <n v="93419304" u="1"/>
        <n v="63592605" u="1"/>
        <n v="93419305" u="1"/>
        <n v="93419306" u="1"/>
        <n v="93419307" u="1"/>
        <n v="93419308" u="1"/>
        <n v="93419309" u="1"/>
        <n v="93419310" u="1"/>
        <n v="93419311" u="1"/>
        <n v="93419312" u="1"/>
        <n v="93419313" u="1"/>
        <n v="93419314" u="1"/>
        <n v="93419315" u="1"/>
        <n v="93419316" u="1"/>
        <n v="93419317" u="1"/>
        <n v="93419318" u="1"/>
        <n v="93419319" u="1"/>
        <n v="93419320" u="1"/>
        <n v="93419321" u="1"/>
        <n v="93419322" u="1"/>
        <n v="93419323" u="1"/>
        <n v="93419324" u="1"/>
        <n v="93419325" u="1"/>
        <n v="93419326" u="1"/>
        <n v="93419327" u="1"/>
        <n v="93419328" u="1"/>
        <n v="93419329" u="1"/>
        <n v="37746150" u="1"/>
        <n v="37746151" u="1"/>
        <n v="93419330" u="1"/>
        <n v="37746152" u="1"/>
        <n v="37746153" u="1"/>
        <n v="37746154" u="1"/>
        <n v="37746155" u="1"/>
        <n v="37746156" u="1"/>
        <n v="37746157" u="1"/>
        <n v="37746158" u="1"/>
        <n v="37746159" u="1"/>
        <n v="93419331" u="1"/>
        <n v="93419332" u="1"/>
        <n v="93419333" u="1"/>
        <n v="93419334" u="1"/>
        <n v="93419335" u="1"/>
        <n v="93419336" u="1"/>
        <n v="93419337" u="1"/>
        <n v="93419338" u="1"/>
        <n v="93419339" u="1"/>
        <n v="93419340" u="1"/>
        <n v="93419341" u="1"/>
        <n v="93419342" u="1"/>
        <n v="93419343" u="1"/>
        <n v="93419344" u="1"/>
        <n v="93419345" u="1"/>
        <n v="93419346" u="1"/>
        <n v="93419347" u="1"/>
        <n v="93419348" u="1"/>
        <n v="93419349" u="1"/>
        <n v="93419350" u="1"/>
        <n v="93419351" u="1"/>
        <n v="93419352" u="1"/>
        <n v="93419353" u="1"/>
        <n v="93419354" u="1"/>
        <n v="93419355" u="1"/>
        <n v="93419356" u="1"/>
        <n v="93419357" u="1"/>
        <n v="37746160" u="1"/>
        <n v="37746161" u="1"/>
        <n v="37746162" u="1"/>
        <n v="37746163" u="1"/>
        <n v="37746164" u="1"/>
        <n v="37746165" u="1"/>
        <n v="37746166" u="1"/>
        <n v="37746167" u="1"/>
        <n v="37746168" u="1"/>
        <n v="37746169" u="1"/>
        <n v="37746170" u="1"/>
        <n v="37746171" u="1"/>
        <n v="37746172" u="1"/>
        <n v="37746173" u="1"/>
        <n v="37746174" u="1"/>
        <n v="93419358" u="1"/>
        <n v="93419359" u="1"/>
        <n v="93419360" u="1"/>
        <n v="93419361" u="1"/>
        <n v="93419362" u="1"/>
        <n v="93419363" u="1"/>
        <n v="93419364" u="1"/>
        <n v="93419365" u="1"/>
        <n v="93419366" u="1"/>
        <n v="93419367" u="1"/>
        <n v="93419368" u="1"/>
        <n v="93419369" u="1"/>
        <n v="93419370" u="1"/>
        <n v="93419371" u="1"/>
        <n v="93419372" u="1"/>
        <n v="93419373" u="1"/>
        <n v="93419374" u="1"/>
        <n v="93419375" u="1"/>
        <n v="93419376" u="1"/>
        <n v="93419377" u="1"/>
        <n v="93419378" u="1"/>
        <n v="93419379" u="1"/>
        <n v="93419380" u="1"/>
        <n v="93419381" u="1"/>
        <n v="93419382" u="1"/>
        <n v="93419383" u="1"/>
        <n v="93419384" u="1"/>
        <n v="93419385" u="1"/>
        <n v="93419386" u="1"/>
        <n v="93419387" u="1"/>
        <n v="93419388" u="1"/>
        <n v="93419389" u="1"/>
        <n v="93419390" u="1"/>
        <n v="93419391" u="1"/>
        <n v="93419392" u="1"/>
        <n v="93419393" u="1"/>
        <n v="93419394" u="1"/>
        <n v="93419395" u="1"/>
        <n v="93419396" u="1"/>
        <n v="93419397" u="1"/>
        <n v="93419398" u="1"/>
        <n v="93419399" u="1"/>
        <n v="93419400" u="1"/>
        <n v="93419401" u="1"/>
        <n v="93419402" u="1"/>
        <n v="93419403" u="1"/>
        <n v="93419404" u="1"/>
        <n v="93419405" u="1"/>
        <n v="93419406" u="1"/>
        <n v="93419407" u="1"/>
        <n v="93419408" u="1"/>
        <n v="93419409" u="1"/>
        <n v="93419410" u="1"/>
        <n v="93419411" u="1"/>
        <n v="93419412" u="1"/>
        <n v="93419413" u="1"/>
        <n v="93419414" u="1"/>
        <n v="93419415" u="1"/>
        <n v="93419416" u="1"/>
        <n v="93419417" u="1"/>
        <n v="93419418" u="1"/>
        <n v="93419419" u="1"/>
        <n v="93419420" u="1"/>
        <n v="93419421" u="1"/>
        <n v="93419422" u="1"/>
        <n v="93419423" u="1"/>
        <n v="93419424" u="1"/>
        <n v="93419425" u="1"/>
        <n v="93419426" u="1"/>
        <n v="93419427" u="1"/>
        <n v="93419428" u="1"/>
        <n v="93419429" u="1"/>
        <n v="93419430" u="1"/>
        <n v="93419431" u="1"/>
        <n v="93419432" u="1"/>
        <n v="93419433" u="1"/>
        <n v="93419434" u="1"/>
        <n v="93419435" u="1"/>
        <n v="93419436" u="1"/>
        <n v="93419437" u="1"/>
        <n v="93419438" u="1"/>
        <n v="93419439" u="1"/>
        <n v="93419440" u="1"/>
        <n v="93419441" u="1"/>
        <n v="93419442" u="1"/>
        <n v="93419443" u="1"/>
        <n v="93419444" u="1"/>
        <n v="93419445" u="1"/>
        <n v="93419446" u="1"/>
        <n v="93419447" u="1"/>
        <n v="93419448" u="1"/>
        <n v="93419449" u="1"/>
        <n v="93419450" u="1"/>
        <n v="93419451" u="1"/>
        <n v="93419452" u="1"/>
        <n v="93419453" u="1"/>
        <n v="93419454" u="1"/>
        <n v="93419455" u="1"/>
        <n v="93419456" u="1"/>
        <n v="93419457" u="1"/>
        <n v="93419458" u="1"/>
        <n v="93419459" u="1"/>
        <n v="93419460" u="1"/>
        <n v="93419461" u="1"/>
        <n v="93419462" u="1"/>
        <n v="93419463" u="1"/>
        <n v="93419464" u="1"/>
        <n v="93419465" u="1"/>
        <n v="93419466" u="1"/>
        <n v="93419467" u="1"/>
        <n v="93419468" u="1"/>
        <n v="93419469" u="1"/>
        <n v="93419470" u="1"/>
        <n v="93419471" u="1"/>
        <n v="93419472" u="1"/>
        <n v="93419473" u="1"/>
        <n v="93419474" u="1"/>
        <n v="93419475" u="1"/>
        <n v="93419476" u="1"/>
        <n v="93419477" u="1"/>
        <n v="93419478" u="1"/>
        <n v="93419479" u="1"/>
        <n v="93419480" u="1"/>
        <n v="93419481" u="1"/>
        <n v="93419482" u="1"/>
        <n v="93419483" u="1"/>
        <n v="93419484" u="1"/>
        <n v="93419485" u="1"/>
        <n v="93419486" u="1"/>
        <n v="93419487" u="1"/>
        <n v="93419488" u="1"/>
        <n v="93419489" u="1"/>
        <n v="93419490" u="1"/>
        <n v="93419491" u="1"/>
        <n v="93419492" u="1"/>
        <n v="93419493" u="1"/>
        <n v="93419494" u="1"/>
        <n v="93419495" u="1"/>
        <n v="93419496" u="1"/>
        <n v="93419497" u="1"/>
        <n v="93419498" u="1"/>
        <n v="93419499" u="1"/>
        <n v="93419500" u="1"/>
        <n v="93419501" u="1"/>
        <n v="93419502" u="1"/>
        <n v="93419503" u="1"/>
        <n v="93419504" u="1"/>
        <n v="93419505" u="1"/>
        <n v="93419506" u="1"/>
        <n v="93419507" u="1"/>
        <n v="93419508" u="1"/>
        <n v="93419509" u="1"/>
        <n v="93419510" u="1"/>
        <n v="93419511" u="1"/>
        <n v="93419512" u="1"/>
        <n v="93419513" u="1"/>
        <n v="93419514" u="1"/>
        <n v="93419515" u="1"/>
        <n v="93419516" u="1"/>
        <n v="93419517" u="1"/>
        <n v="93419518" u="1"/>
        <n v="93419519" u="1"/>
        <n v="93419520" u="1"/>
        <n v="93419521" u="1"/>
        <n v="93419522" u="1"/>
        <n v="93419523" u="1"/>
        <n v="93419524" u="1"/>
        <n v="93419525" u="1"/>
        <n v="93419526" u="1"/>
        <n v="93419527" u="1"/>
        <n v="93419528" u="1"/>
        <n v="93419529" u="1"/>
        <n v="93419530" u="1"/>
        <n v="93419531" u="1"/>
        <n v="93419532" u="1"/>
        <n v="93419533" u="1"/>
        <n v="93419534" u="1"/>
        <n v="93419535" u="1"/>
        <n v="93419536" u="1"/>
        <n v="93419537" u="1"/>
        <n v="93419538" u="1"/>
        <n v="93419539" u="1"/>
        <n v="93419540" u="1"/>
        <n v="93419541" u="1"/>
        <n v="93419542" u="1"/>
        <n v="93419543" u="1"/>
        <n v="93419544" u="1"/>
        <n v="93419545" u="1"/>
        <n v="93419546" u="1"/>
        <n v="93419547" u="1"/>
        <n v="93419548" u="1"/>
        <n v="93419549" u="1"/>
        <n v="93419550" u="1"/>
        <n v="93419551" u="1"/>
        <n v="93419552" u="1"/>
        <n v="93419553" u="1"/>
        <n v="93419554" u="1"/>
        <n v="93419555" u="1"/>
        <n v="93419556" u="1"/>
        <n v="93419557" u="1"/>
        <n v="93419558" u="1"/>
        <n v="93419559" u="1"/>
        <n v="93419560" u="1"/>
        <n v="93419561" u="1"/>
        <n v="93419562" u="1"/>
        <n v="93419563" u="1"/>
        <n v="93419564" u="1"/>
        <n v="93419565" u="1"/>
        <n v="93419566" u="1"/>
        <n v="93419567" u="1"/>
        <n v="93419568" u="1"/>
        <n v="93419569" u="1"/>
        <n v="93419570" u="1"/>
        <n v="93419571" u="1"/>
        <n v="93419572" u="1"/>
        <n v="93419573" u="1"/>
        <n v="93419574" u="1"/>
        <n v="93419575" u="1"/>
        <n v="93419576" u="1"/>
        <n v="93419577" u="1"/>
        <n v="93419578" u="1"/>
        <n v="93419579" u="1"/>
        <n v="93419580" u="1"/>
        <n v="93419581" u="1"/>
        <n v="93419582" u="1"/>
        <n v="93419583" u="1"/>
        <n v="93419584" u="1"/>
        <n v="93419585" u="1"/>
        <n v="93419586" u="1"/>
        <n v="93419587" u="1"/>
        <n v="93419588" u="1"/>
        <n v="93419589" u="1"/>
        <n v="93419590" u="1"/>
        <n v="93419591" u="1"/>
        <n v="93419592" u="1"/>
        <n v="93419593" u="1"/>
        <n v="93419594" u="1"/>
        <n v="93419595" u="1"/>
        <n v="93419596" u="1"/>
        <n v="93419597" u="1"/>
        <n v="93419598" u="1"/>
        <n v="93419599" u="1"/>
        <n v="93419600" u="1"/>
        <n v="93419601" u="1"/>
        <n v="93419602" u="1"/>
        <n v="93419603" u="1"/>
        <n v="93419604" u="1"/>
        <n v="93419605" u="1"/>
        <n v="93419606" u="1"/>
        <n v="93419607" u="1"/>
        <n v="93419608" u="1"/>
        <n v="93419609" u="1"/>
        <n v="93419610" u="1"/>
        <n v="93419611" u="1"/>
        <n v="93419612" u="1"/>
        <n v="93419613" u="1"/>
        <n v="93419614" u="1"/>
        <n v="93419615" u="1"/>
        <n v="93419616" u="1"/>
        <n v="93419617" u="1"/>
        <n v="93419618" u="1"/>
        <n v="93419619" u="1"/>
        <n v="93419620" u="1"/>
        <n v="93419621" u="1"/>
        <n v="93419622" u="1"/>
        <n v="93419623" u="1"/>
        <n v="93419624" u="1"/>
        <n v="93419625" u="1"/>
        <n v="93419626" u="1"/>
        <n v="93419627" u="1"/>
        <n v="93419628" u="1"/>
        <n v="93419629" u="1"/>
        <n v="93419630" u="1"/>
        <n v="93419631" u="1"/>
        <n v="93419632" u="1"/>
        <n v="93419633" u="1"/>
        <n v="93419634" u="1"/>
        <n v="93419635" u="1"/>
        <n v="93419636" u="1"/>
        <n v="93419637" u="1"/>
        <n v="93419638" u="1"/>
        <n v="93419639" u="1"/>
        <n v="93419640" u="1"/>
        <n v="93419641" u="1"/>
        <n v="93419642" u="1"/>
        <n v="93419643" u="1"/>
        <n v="93419644" u="1"/>
        <n v="93419645" u="1"/>
        <n v="93419646" u="1"/>
        <n v="93419647" u="1"/>
        <n v="93419648" u="1"/>
        <n v="93419649" u="1"/>
        <n v="93419650" u="1"/>
        <n v="93419651" u="1"/>
        <n v="93419652" u="1"/>
        <n v="93419653" u="1"/>
        <n v="93419654" u="1"/>
        <n v="93419655" u="1"/>
        <n v="93419656" u="1"/>
        <n v="93419657" u="1"/>
        <n v="93419658" u="1"/>
        <n v="93419659" u="1"/>
        <n v="93419660" u="1"/>
        <n v="93419661" u="1"/>
        <n v="93419662" u="1"/>
        <n v="93419663" u="1"/>
        <n v="93419664" u="1"/>
        <n v="93419665" u="1"/>
        <n v="93419666" u="1"/>
        <n v="93419667" u="1"/>
        <n v="93419668" u="1"/>
        <n v="93419669" u="1"/>
        <n v="93419670" u="1"/>
        <n v="93419671" u="1"/>
        <n v="93419672" u="1"/>
        <n v="93419673" u="1"/>
        <n v="93419674" u="1"/>
        <n v="93419675" u="1"/>
        <n v="93419676" u="1"/>
        <n v="93419677" u="1"/>
        <n v="93419678" u="1"/>
        <n v="93419679" u="1"/>
        <n v="93419680" u="1"/>
        <n v="93419681" u="1"/>
        <n v="93419682" u="1"/>
        <n v="93419683" u="1"/>
        <n v="93419684" u="1"/>
        <n v="93419685" u="1"/>
        <n v="93419686" u="1"/>
        <n v="93419687" u="1"/>
        <n v="93419688" u="1"/>
        <n v="93419689" u="1"/>
        <n v="93419690" u="1"/>
        <n v="93419691" u="1"/>
        <n v="93419692" u="1"/>
        <n v="93419693" u="1"/>
        <n v="93419694" u="1"/>
        <n v="93419695" u="1"/>
        <n v="93419696" u="1"/>
        <n v="93419697" u="1"/>
        <n v="93419698" u="1"/>
        <n v="93419699" u="1"/>
        <n v="93419700" u="1"/>
        <n v="93419701" u="1"/>
        <n v="93419702" u="1"/>
        <n v="93419703" u="1"/>
        <n v="93419704" u="1"/>
        <n v="93419705" u="1"/>
        <n v="93419706" u="1"/>
        <n v="93419707" u="1"/>
        <n v="93419708" u="1"/>
        <n v="93419709" u="1"/>
        <n v="93419710" u="1"/>
        <n v="93419711" u="1"/>
        <n v="93419712" u="1"/>
        <n v="93419713" u="1"/>
        <n v="93419714" u="1"/>
        <n v="93419715" u="1"/>
        <n v="93419716" u="1"/>
        <n v="93419717" u="1"/>
        <n v="93419718" u="1"/>
        <n v="93419719" u="1"/>
        <n v="93419720" u="1"/>
        <n v="93419721" u="1"/>
        <n v="93419722" u="1"/>
        <n v="93419723" u="1"/>
        <n v="93419724" u="1"/>
        <n v="93419725" u="1"/>
        <n v="93419726" u="1"/>
        <n v="93419727" u="1"/>
        <n v="93419728" u="1"/>
        <n v="93419729" u="1"/>
        <n v="93419730" u="1"/>
        <n v="93419731" u="1"/>
        <n v="93419732" u="1"/>
        <n v="93419733" u="1"/>
        <n v="93419734" u="1"/>
        <n v="93419735" u="1"/>
        <n v="93419736" u="1"/>
        <n v="93419737" u="1"/>
        <n v="93419738" u="1"/>
        <n v="93419739" u="1"/>
        <n v="93419740" u="1"/>
        <n v="93419741" u="1"/>
        <n v="93419742" u="1"/>
        <n v="93419743" u="1"/>
        <n v="93419744" u="1"/>
        <n v="93419745" u="1"/>
        <n v="93419746" u="1"/>
        <n v="93419747" u="1"/>
        <n v="93419748" u="1"/>
        <n v="93419749" u="1"/>
        <n v="93419750" u="1"/>
        <n v="93419751" u="1"/>
        <n v="93419752" u="1"/>
        <n v="93419753" u="1"/>
        <n v="93419754" u="1"/>
        <n v="93419755" u="1"/>
        <n v="93419756" u="1"/>
        <n v="93419757" u="1"/>
        <n v="93419758" u="1"/>
        <n v="93419759" u="1"/>
        <n v="93419760" u="1"/>
        <n v="93419761" u="1"/>
        <n v="93419762" u="1"/>
        <n v="93419763" u="1"/>
        <n v="93419764" u="1"/>
        <n v="93419765" u="1"/>
        <n v="93419766" u="1"/>
        <n v="93419767" u="1"/>
        <n v="93419768" u="1"/>
        <n v="93419769" u="1"/>
        <n v="93419770" u="1"/>
        <n v="93419771" u="1"/>
        <n v="93419772" u="1"/>
        <n v="93419773" u="1"/>
        <n v="93419774" u="1"/>
        <n v="93419775" u="1"/>
        <n v="93419776" u="1"/>
        <n v="93419777" u="1"/>
        <n v="93419778" u="1"/>
        <n v="93419779" u="1"/>
        <n v="93419780" u="1"/>
        <n v="93419781" u="1"/>
        <n v="93419782" u="1"/>
        <n v="93419783" u="1"/>
        <n v="93419784" u="1"/>
        <n v="93419785" u="1"/>
        <n v="93419786" u="1"/>
        <n v="93419787" u="1"/>
        <n v="93419788" u="1"/>
        <n v="93419789" u="1"/>
        <n v="93419790" u="1"/>
        <n v="93419791" u="1"/>
        <n v="93419792" u="1"/>
        <n v="93419793" u="1"/>
        <n v="93419794" u="1"/>
        <n v="93419795" u="1"/>
        <n v="93419796" u="1"/>
        <n v="93419797" u="1"/>
        <n v="93419798" u="1"/>
        <n v="93419799" u="1"/>
        <n v="93419800" u="1"/>
        <n v="93419801" u="1"/>
        <n v="93419802" u="1"/>
        <n v="93419803" u="1"/>
        <n v="93419804" u="1"/>
        <n v="93419805" u="1"/>
        <n v="93419806" u="1"/>
        <n v="93419807" u="1"/>
        <n v="93419808" u="1"/>
        <n v="93419809" u="1"/>
        <n v="93419810" u="1"/>
        <n v="93419811" u="1"/>
        <n v="93419812" u="1"/>
        <n v="93419813" u="1"/>
        <n v="93419814" u="1"/>
        <n v="93419815" u="1"/>
        <n v="93419816" u="1"/>
        <n v="93419817" u="1"/>
        <n v="93419818" u="1"/>
        <n v="93419819" u="1"/>
        <n v="93419820" u="1"/>
        <n v="93419821" u="1"/>
        <n v="93419822" u="1"/>
        <n v="93419823" u="1"/>
        <n v="93419824" u="1"/>
        <n v="93419825" u="1"/>
        <n v="93419826" u="1"/>
        <n v="93419827" u="1"/>
        <n v="93419828" u="1"/>
        <n v="93419829" u="1"/>
        <n v="93419830" u="1"/>
        <n v="93419831" u="1"/>
        <n v="93419832" u="1"/>
        <n v="93419833" u="1"/>
        <n v="93419834" u="1"/>
        <n v="93419835" u="1"/>
        <n v="93419836" u="1"/>
        <n v="93419837" u="1"/>
        <n v="93419838" u="1"/>
        <n v="93419839" u="1"/>
        <n v="93419840" u="1"/>
        <n v="93419841" u="1"/>
        <n v="93419842" u="1"/>
        <n v="93419843" u="1"/>
        <n v="93419844" u="1"/>
        <n v="93419845" u="1"/>
        <n v="93419846" u="1"/>
        <n v="93419847" u="1"/>
        <n v="93419848" u="1"/>
        <n v="93419849" u="1"/>
        <n v="93419850" u="1"/>
        <n v="93654451" u="1"/>
        <n v="93654452" u="1"/>
        <n v="93654453" u="1"/>
        <n v="93654454" u="1"/>
        <n v="93654455" u="1"/>
        <n v="93654456" u="1"/>
        <n v="93654457" u="1"/>
        <n v="93654458" u="1"/>
        <n v="93654459" u="1"/>
        <n v="93654460" u="1"/>
        <n v="93654461" u="1"/>
        <n v="93654462" u="1"/>
        <n v="93654463" u="1"/>
        <n v="93654464" u="1"/>
        <n v="93654465" u="1"/>
        <n v="93654466" u="1"/>
        <n v="93654467" u="1"/>
        <n v="93654468" u="1"/>
        <n v="93654469" u="1"/>
        <n v="93654470" u="1"/>
        <n v="93654471" u="1"/>
        <n v="93654472" u="1"/>
        <n v="93654473" u="1"/>
        <n v="93654474" u="1"/>
        <n v="93654475" u="1"/>
        <n v="93654476" u="1"/>
        <n v="93654477" u="1"/>
        <n v="93654478" u="1"/>
        <n v="93654479" u="1"/>
        <n v="93654480" u="1"/>
        <n v="93654481" u="1"/>
        <n v="93654482" u="1"/>
        <n v="93654483" u="1"/>
        <n v="93654484" u="1"/>
        <n v="93654485" u="1"/>
        <n v="93654486" u="1"/>
        <n v="93654487" u="1"/>
        <n v="93654488" u="1"/>
        <n v="93654489" u="1"/>
        <n v="93654490" u="1"/>
        <n v="93654491" u="1"/>
        <n v="93654492" u="1"/>
        <n v="93654493" u="1"/>
        <n v="93654494" u="1"/>
        <n v="93654495" u="1"/>
        <n v="93654496" u="1"/>
        <n v="93654497" u="1"/>
        <n v="93654498" u="1"/>
        <n v="93654499" u="1"/>
        <n v="93654500" u="1"/>
        <n v="93654501" u="1"/>
        <n v="93654502" u="1"/>
        <n v="93654503" u="1"/>
        <n v="93654504" u="1"/>
        <n v="93654505" u="1"/>
        <n v="93654506" u="1"/>
        <n v="93654507" u="1"/>
        <n v="93654508" u="1"/>
        <n v="93654509" u="1"/>
        <n v="93654510" u="1"/>
        <n v="93654511" u="1"/>
        <n v="93654512" u="1"/>
        <n v="93654513" u="1"/>
        <n v="93654514" u="1"/>
        <n v="93654515" u="1"/>
        <n v="93654516" u="1"/>
        <n v="93654517" u="1"/>
        <n v="93654518" u="1"/>
        <n v="93654519" u="1"/>
        <n v="93654520" u="1"/>
        <n v="93654521" u="1"/>
        <n v="93654522" u="1"/>
        <n v="93654523" u="1"/>
        <n v="93654524" u="1"/>
        <n v="93654525" u="1"/>
        <n v="93654526" u="1"/>
        <n v="93654527" u="1"/>
        <n v="93654528" u="1"/>
        <n v="93654529" u="1"/>
        <n v="93654530" u="1"/>
        <n v="93654531" u="1"/>
        <n v="93654532" u="1"/>
        <n v="93654533" u="1"/>
        <n v="93654534" u="1"/>
        <n v="93654535" u="1"/>
        <n v="93654536" u="1"/>
        <n v="93654537" u="1"/>
        <n v="93654538" u="1"/>
        <n v="93654539" u="1"/>
        <n v="93654540" u="1"/>
        <n v="93654541" u="1"/>
        <n v="93654542" u="1"/>
        <n v="93654543" u="1"/>
        <n v="93654544" u="1"/>
        <n v="93654545" u="1"/>
        <n v="93654546" u="1"/>
        <n v="93654547" u="1"/>
        <n v="93654548" u="1"/>
        <n v="93654549" u="1"/>
        <n v="93654550" u="1"/>
        <n v="93654551" u="1"/>
        <n v="93654552" u="1"/>
        <n v="93654553" u="1"/>
        <n v="93654554" u="1"/>
        <n v="93654555" u="1"/>
        <n v="93654556" u="1"/>
        <n v="93654557" u="1"/>
        <n v="93654558" u="1"/>
        <n v="93654559" u="1"/>
        <n v="93654560" u="1"/>
        <n v="93654561" u="1"/>
        <n v="93654562" u="1"/>
        <n v="93654563" u="1"/>
        <n v="93654564" u="1"/>
        <n v="93654565" u="1"/>
        <n v="93654566" u="1"/>
        <n v="93654567" u="1"/>
        <n v="93654568" u="1"/>
        <n v="93654569" u="1"/>
        <n v="93654570" u="1"/>
        <n v="93654571" u="1"/>
        <n v="93654572" u="1"/>
        <n v="93654573" u="1"/>
        <n v="93654574" u="1"/>
        <n v="93654575" u="1"/>
        <n v="93654576" u="1"/>
        <n v="93654577" u="1"/>
        <n v="93654578" u="1"/>
        <n v="93654579" u="1"/>
        <n v="93654580" u="1"/>
        <n v="93654581" u="1"/>
        <n v="93654582" u="1"/>
        <n v="93654583" u="1"/>
        <n v="93654584" u="1"/>
        <n v="93654585" u="1"/>
        <n v="93654586" u="1"/>
        <n v="93654587" u="1"/>
        <n v="93654588" u="1"/>
        <n v="93654589" u="1"/>
        <n v="93654590" u="1"/>
        <n v="93654591" u="1"/>
        <n v="93654592" u="1"/>
        <n v="93654593" u="1"/>
        <n v="93654594" u="1"/>
        <n v="93654595" u="1"/>
        <n v="93654596" u="1"/>
        <n v="93654597" u="1"/>
        <n v="93654598" u="1"/>
        <n v="93654599" u="1"/>
        <n v="93654600" u="1"/>
        <n v="93654601" u="1"/>
        <n v="93654602" u="1"/>
        <n v="93654603" u="1"/>
        <n v="93654604" u="1"/>
        <n v="93654606" u="1"/>
        <n v="93654607" u="1"/>
        <n v="93654608" u="1"/>
        <n v="93654609" u="1"/>
        <n v="93654610" u="1"/>
        <n v="93654611" u="1"/>
        <n v="93654612" u="1"/>
        <n v="93654613" u="1"/>
        <n v="93654614" u="1"/>
        <n v="93654615" u="1"/>
        <n v="93654616" u="1"/>
        <n v="93654617" u="1"/>
        <n v="93654618" u="1"/>
        <n v="93654619" u="1"/>
        <n v="93654620" u="1"/>
        <n v="93654621" u="1"/>
        <n v="93654622" u="1"/>
        <n v="93654623" u="1"/>
        <n v="93654624" u="1"/>
        <n v="93654625" u="1"/>
        <n v="93654626" u="1"/>
        <n v="93654627" u="1"/>
        <n v="93654628" u="1"/>
        <n v="93654629" u="1"/>
        <n v="93654630" u="1"/>
        <n v="93654631" u="1"/>
        <n v="93654632" u="1"/>
        <n v="93654633" u="1"/>
        <n v="93654634" u="1"/>
        <n v="93654635" u="1"/>
        <n v="93654636" u="1"/>
        <n v="93654637" u="1"/>
        <n v="93654638" u="1"/>
        <n v="93654639" u="1"/>
        <n v="93654640" u="1"/>
        <n v="93654641" u="1"/>
        <n v="93654642" u="1"/>
        <n v="93654643" u="1"/>
        <n v="93654644" u="1"/>
        <n v="93654645" u="1"/>
        <n v="93654646" u="1"/>
        <n v="93654647" u="1"/>
        <n v="93654648" u="1"/>
        <n v="93654649" u="1"/>
        <n v="93654650" u="1"/>
        <n v="93654651" u="1"/>
        <n v="93654652" u="1"/>
        <n v="93654653" u="1"/>
        <n v="93654654" u="1"/>
        <n v="93654655" u="1"/>
        <n v="93654656" u="1"/>
        <n v="93654657" u="1"/>
        <n v="93654658" u="1"/>
        <n v="93654659" u="1"/>
        <n v="93654660" u="1"/>
        <n v="93654661" u="1"/>
        <n v="93654662" u="1"/>
        <n v="93654663" u="1"/>
        <n v="93654664" u="1"/>
        <n v="93654666" u="1"/>
        <n v="93654667" u="1"/>
        <n v="93654668" u="1"/>
        <n v="93654669" u="1"/>
        <n v="93654670" u="1"/>
        <n v="93654671" u="1"/>
        <n v="93654672" u="1"/>
        <n v="93654673" u="1"/>
        <n v="93654674" u="1"/>
        <n v="93654675" u="1"/>
        <n v="93654676" u="1"/>
        <n v="93654677" u="1"/>
        <n v="93654678" u="1"/>
        <n v="93654679" u="1"/>
        <n v="93654680" u="1"/>
        <n v="93654681" u="1"/>
        <n v="93654682" u="1"/>
        <n v="93654683" u="1"/>
        <n v="93654684" u="1"/>
        <n v="93654685" u="1"/>
        <n v="93654686" u="1"/>
        <n v="93654687" u="1"/>
        <n v="93654688" u="1"/>
        <n v="93654689" u="1"/>
        <n v="93654690" u="1"/>
        <n v="93654691" u="1"/>
        <n v="93654692" u="1"/>
        <n v="93654693" u="1"/>
        <n v="93654694" u="1"/>
        <n v="93654695" u="1"/>
        <n v="93654696" u="1"/>
        <n v="93654697" u="1"/>
        <n v="93654698" u="1"/>
        <n v="93654699" u="1"/>
        <n v="93654700" u="1"/>
        <n v="93654701" u="1"/>
        <n v="93654702" u="1"/>
        <n v="93654703" u="1"/>
        <n v="93654704" u="1"/>
        <n v="93654705" u="1"/>
        <n v="93654706" u="1"/>
        <n v="93654707" u="1"/>
        <n v="93654708" u="1"/>
        <n v="93654709" u="1"/>
        <n v="93654710" u="1"/>
        <n v="93654711" u="1"/>
        <n v="93654712" u="1"/>
        <n v="93654713" u="1"/>
        <n v="93654714" u="1"/>
        <n v="93654715" u="1"/>
        <n v="93654716" u="1"/>
        <n v="93654717" u="1"/>
        <n v="93654718" u="1"/>
        <n v="93654719" u="1"/>
        <n v="93654720" u="1"/>
        <n v="93654721" u="1"/>
        <n v="93654722" u="1"/>
        <n v="93654723" u="1"/>
        <n v="93654724" u="1"/>
        <n v="93654725" u="1"/>
        <n v="93654726" u="1"/>
        <n v="93654727" u="1"/>
        <n v="93654728" u="1"/>
        <n v="93654729" u="1"/>
        <n v="93654730" u="1"/>
        <n v="93654731" u="1"/>
        <n v="93654732" u="1"/>
        <n v="93654733" u="1"/>
        <n v="93654734" u="1"/>
        <n v="93654735" u="1"/>
        <n v="93654736" u="1"/>
        <n v="93654737" u="1"/>
        <n v="93654738" u="1"/>
        <n v="93654739" u="1"/>
        <n v="93654740" u="1"/>
        <n v="93654741" u="1"/>
        <n v="93654742" u="1"/>
        <n v="93654743" u="1"/>
        <n v="93654744" u="1"/>
        <n v="93654745" u="1"/>
        <n v="93654746" u="1"/>
        <n v="93654747" u="1"/>
        <n v="93654748" u="1"/>
        <n v="93654749" u="1"/>
        <n v="93654750" u="1"/>
        <n v="93654751" u="1"/>
        <n v="93654752" u="1"/>
        <n v="93654753" u="1"/>
        <n v="93654754" u="1"/>
        <n v="93654755" u="1"/>
        <n v="93654756" u="1"/>
        <n v="93654757" u="1"/>
        <n v="93654758" u="1"/>
        <n v="93654759" u="1"/>
        <n v="93654760" u="1"/>
        <n v="93654761" u="1"/>
        <n v="93654762" u="1"/>
        <n v="93654763" u="1"/>
        <n v="93654764" u="1"/>
        <n v="93654765" u="1"/>
        <n v="93654766" u="1"/>
        <n v="93654767" u="1"/>
        <n v="93654768" u="1"/>
        <n v="93654769" u="1"/>
        <n v="93654770" u="1"/>
        <n v="93654771" u="1"/>
        <n v="93654772" u="1"/>
        <n v="93654773" u="1"/>
        <n v="93654774" u="1"/>
        <n v="93654775" u="1"/>
        <n v="93654776" u="1"/>
        <n v="93654777" u="1"/>
        <n v="93654778" u="1"/>
        <n v="93654779" u="1"/>
        <n v="93654780" u="1"/>
        <n v="93654781" u="1"/>
        <n v="93654782" u="1"/>
        <n v="93654783" u="1"/>
        <n v="93654784" u="1"/>
        <n v="93654785" u="1"/>
        <n v="93654786" u="1"/>
        <n v="93654787" u="1"/>
        <n v="93654788" u="1"/>
        <n v="93654789" u="1"/>
        <n v="93654790" u="1"/>
        <n v="93654791" u="1"/>
        <n v="93654792" u="1"/>
        <n v="93654793" u="1"/>
        <n v="93654794" u="1"/>
        <n v="93654795" u="1"/>
        <n v="93654796" u="1"/>
        <n v="93654797" u="1"/>
        <n v="93654798" u="1"/>
        <n v="93654799" u="1"/>
        <n v="93654800" u="1"/>
        <n v="93654801" u="1"/>
        <n v="93654802" u="1"/>
        <n v="93654803" u="1"/>
        <n v="93654804" u="1"/>
        <n v="93654805" u="1"/>
        <n v="93654806" u="1"/>
        <n v="93654807" u="1"/>
        <n v="93654808" u="1"/>
        <n v="93654809" u="1"/>
        <n v="93654810" u="1"/>
        <n v="93654811" u="1"/>
        <n v="93654812" u="1"/>
        <n v="93654813" u="1"/>
        <n v="93654815" u="1"/>
        <n v="93654816" u="1"/>
        <n v="93654817" u="1"/>
        <n v="93654818" u="1"/>
        <n v="93654823" u="1"/>
        <n v="93654826" u="1"/>
        <n v="93654827" u="1"/>
        <n v="93654830" u="1"/>
        <n v="93654831" u="1"/>
        <n v="93654832" u="1"/>
        <n v="93654833" u="1"/>
        <n v="93654834" u="1"/>
        <n v="93654835" u="1"/>
        <n v="93654836" u="1"/>
        <n v="93654837" u="1"/>
        <n v="93654838" u="1"/>
        <n v="93654839" u="1"/>
        <n v="93654840" u="1"/>
        <n v="93654841" u="1"/>
        <n v="93654842" u="1"/>
        <n v="93654843" u="1"/>
        <n v="93654844" u="1"/>
        <n v="93654845" u="1"/>
        <n v="93654846" u="1"/>
        <n v="93654847" u="1"/>
        <n v="93654848" u="1"/>
        <n v="93654849" u="1"/>
        <n v="93654850" u="1"/>
        <n v="93654851" u="1"/>
        <n v="93654852" u="1"/>
        <n v="93654853" u="1"/>
        <n v="93654854" u="1"/>
        <n v="93654855" u="1"/>
        <n v="93654856" u="1"/>
        <n v="93654857" u="1"/>
        <n v="93654858" u="1"/>
        <n v="93654859" u="1"/>
        <n v="93654860" u="1"/>
        <n v="93654861" u="1"/>
        <n v="93654862" u="1"/>
        <n v="93654863" u="1"/>
        <n v="93654864" u="1"/>
        <n v="93654865" u="1"/>
        <n v="93654866" u="1"/>
        <n v="93654867" u="1"/>
        <n v="93654868" u="1"/>
        <n v="93654869" u="1"/>
        <n v="93654870" u="1"/>
        <n v="93654871" u="1"/>
        <n v="93654872" u="1"/>
        <n v="93654873" u="1"/>
        <n v="93654874" u="1"/>
        <n v="93654875" u="1"/>
        <n v="93654876" u="1"/>
        <n v="93654877" u="1"/>
        <n v="93654878" u="1"/>
        <n v="93654879" u="1"/>
        <n v="93654880" u="1"/>
        <n v="93654881" u="1"/>
        <n v="93654882" u="1"/>
        <n v="93654883" u="1"/>
        <n v="93654884" u="1"/>
        <n v="93654885" u="1"/>
        <n v="1" u="1"/>
        <n v="2" u="1"/>
        <n v="93654886" u="1"/>
        <n v="93654887" u="1"/>
        <n v="93654888" u="1"/>
        <n v="93654889" u="1"/>
        <n v="93654890" u="1"/>
        <n v="93654891" u="1"/>
        <n v="93654892" u="1"/>
        <n v="93654893" u="1"/>
        <n v="93654894" u="1"/>
        <n v="93654895" u="1"/>
        <n v="93654896" u="1"/>
        <n v="93654897" u="1"/>
        <n v="93654898" u="1"/>
        <n v="93654899" u="1"/>
        <n v="93654900" u="1"/>
        <n v="93654901" u="1"/>
        <n v="93654902" u="1"/>
        <n v="93654903" u="1"/>
        <n v="93654904" u="1"/>
        <n v="93654905" u="1"/>
        <n v="93654906" u="1"/>
        <n v="93654907" u="1"/>
        <n v="93654908" u="1"/>
        <n v="93654909" u="1"/>
        <n v="93654910" u="1"/>
        <n v="93654911" u="1"/>
        <n v="3" u="1"/>
        <n v="4" u="1"/>
        <n v="5" u="1"/>
        <n v="6" u="1"/>
        <n v="7" u="1"/>
        <n v="93654912" u="1"/>
        <n v="93654913" u="1"/>
        <n v="93654914" u="1"/>
        <n v="8" u="1"/>
        <n v="9" u="1"/>
        <n v="10" u="1"/>
        <n v="11" u="1"/>
        <n v="12" u="1"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24" u="1"/>
        <n v="25" u="1"/>
        <n v="26" u="1"/>
        <n v="93654918" u="1"/>
        <n v="93654919" u="1"/>
        <n v="93654920" u="1"/>
        <n v="93654921" u="1"/>
        <n v="93654922" u="1"/>
        <n v="93654923" u="1"/>
        <n v="93654924" u="1"/>
        <n v="93654925" u="1"/>
        <n v="93654926" u="1"/>
        <n v="93654927" u="1"/>
        <n v="93654928" u="1"/>
        <n v="93654929" u="1"/>
        <n v="93654915" u="1"/>
        <n v="93654916" u="1"/>
        <n v="93654917" u="1"/>
        <n v="93654955" u="1"/>
        <n v="93654956" u="1"/>
        <n v="93654957" u="1"/>
        <n v="93654958" u="1"/>
        <n v="93654959" u="1"/>
        <n v="93654930" u="1"/>
        <n v="93654931" u="1"/>
        <n v="93654932" u="1"/>
        <n v="93654933" u="1"/>
        <n v="93654934" u="1"/>
        <n v="93654935" u="1"/>
        <n v="93654936" u="1"/>
        <n v="93654937" u="1"/>
        <n v="93654938" u="1"/>
        <n v="93654939" u="1"/>
        <n v="93654940" u="1"/>
        <n v="93654941" u="1"/>
        <n v="93654942" u="1"/>
        <n v="93654943" u="1"/>
        <n v="93654944" u="1"/>
        <n v="93654945" u="1"/>
        <n v="93654946" u="1"/>
        <n v="93654947" u="1"/>
        <n v="93654948" u="1"/>
        <n v="93654949" u="1"/>
        <n v="93654950" u="1"/>
        <n v="93654951" u="1"/>
        <n v="93654952" u="1"/>
        <n v="93654953" u="1"/>
        <n v="93654954" u="1"/>
        <n v="93654960" u="1"/>
        <n v="93654961" u="1"/>
        <n v="93654962" u="1"/>
        <n v="93654963" u="1"/>
        <n v="93654964" u="1"/>
        <n v="93654965" u="1"/>
        <n v="93654966" u="1"/>
        <n v="93654967" u="1"/>
        <n v="93654968" u="1"/>
        <n v="93654969" u="1"/>
        <n v="93654970" u="1"/>
        <n v="93654971" u="1"/>
        <n v="93654972" u="1"/>
        <n v="93654973" u="1"/>
        <n v="93654974" u="1"/>
        <n v="93654975" u="1"/>
        <n v="93654976" u="1"/>
        <n v="93654977" u="1"/>
        <n v="93654978" u="1"/>
        <n v="93654979" u="1"/>
        <n v="93654980" u="1"/>
        <n v="93654981" u="1"/>
        <n v="93654982" u="1"/>
        <n v="93654983" u="1"/>
        <n v="93654984" u="1"/>
        <n v="93654985" u="1"/>
        <n v="93654986" u="1"/>
        <n v="93654987" u="1"/>
        <n v="93654988" u="1"/>
        <n v="93654989" u="1"/>
        <n v="93654990" u="1"/>
        <n v="93654991" u="1"/>
        <n v="93654992" u="1"/>
        <n v="93654993" u="1"/>
        <n v="93654994" u="1"/>
        <n v="93654995" u="1"/>
        <n v="93654996" u="1"/>
        <n v="93654997" u="1"/>
        <n v="93654998" u="1"/>
        <n v="93654999" u="1"/>
        <n v="93655000" u="1"/>
        <n v="93655001" u="1"/>
        <n v="27" u="1"/>
        <n v="93655002" u="1"/>
        <n v="93655003" u="1"/>
        <n v="93655004" u="1"/>
        <n v="93655005" u="1"/>
        <n v="93655006" u="1"/>
        <n v="93655007" u="1"/>
        <n v="93655008" u="1"/>
        <n v="93655009" u="1"/>
        <n v="93655010" u="1"/>
        <n v="93655011" u="1"/>
        <n v="93655012" u="1"/>
        <n v="93655013" u="1"/>
        <n v="93655014" u="1"/>
        <n v="93655015" u="1"/>
        <n v="93655016" u="1"/>
        <n v="93655017" u="1"/>
        <n v="93655018" u="1"/>
        <n v="93655019" u="1"/>
        <n v="93655020" u="1"/>
        <n v="93655021" u="1"/>
        <n v="93655022" u="1"/>
        <n v="93655023" u="1"/>
        <n v="93655024" u="1"/>
        <n v="93655025" u="1"/>
        <n v="93655026" u="1"/>
        <n v="93655027" u="1"/>
        <n v="93655028" u="1"/>
        <n v="93655029" u="1"/>
        <n v="93655030" u="1"/>
        <n v="93655031" u="1"/>
        <n v="93655032" u="1"/>
        <n v="93655033" u="1"/>
        <n v="93655034" u="1"/>
        <n v="93655035" u="1"/>
        <n v="93655036" u="1"/>
        <n v="93655037" u="1"/>
        <n v="93655038" u="1"/>
        <n v="93655039" u="1"/>
        <n v="93655040" u="1"/>
        <n v="28" u="1"/>
        <n v="29" u="1"/>
        <n v="30" u="1"/>
        <n v="31" u="1"/>
        <n v="32" u="1"/>
        <n v="33" u="1"/>
        <n v="34" u="1"/>
        <n v="35" u="1"/>
        <n v="36" u="1"/>
        <n v="93655041" u="1"/>
        <n v="93655042" u="1"/>
        <n v="93655043" u="1"/>
        <n v="93655044" u="1"/>
        <n v="93655045" u="1"/>
        <n v="93655046" u="1"/>
        <n v="93655047" u="1"/>
        <n v="93655048" u="1"/>
        <n v="93655049" u="1"/>
        <n v="93655050" u="1"/>
        <n v="93655051" u="1"/>
        <n v="93655052" u="1"/>
        <n v="93655053" u="1"/>
        <n v="93655054" u="1"/>
        <n v="93655055" u="1"/>
        <n v="93655056" u="1"/>
        <n v="93655057" u="1"/>
        <n v="93655058" u="1"/>
        <n v="93655059" u="1"/>
        <n v="93655060" u="1"/>
        <n v="93655061" u="1"/>
        <n v="93655062" u="1"/>
        <n v="93655063" u="1"/>
        <n v="93655064" u="1"/>
        <n v="93655065" u="1"/>
        <n v="93655066" u="1"/>
        <n v="93655067" u="1"/>
        <n v="93655068" u="1"/>
        <n v="93655069" u="1"/>
        <n v="93655070" u="1"/>
        <n v="93655071" u="1"/>
        <n v="93655072" u="1"/>
        <n v="93655073" u="1"/>
        <n v="93655074" u="1"/>
        <n v="37" u="1"/>
        <n v="38" u="1"/>
        <n v="39" u="1"/>
        <n v="40" u="1"/>
        <n v="41" u="1"/>
        <n v="42" u="1"/>
        <n v="43" u="1"/>
        <n v="44" u="1"/>
        <n v="45" u="1"/>
        <n v="46" u="1"/>
        <n v="47" u="1"/>
        <n v="48" u="1"/>
        <n v="49" u="1"/>
        <n v="50" u="1"/>
        <n v="51" u="1"/>
        <n v="93655075" u="1"/>
        <n v="93655076" u="1"/>
        <n v="93655077" u="1"/>
        <n v="93655078" u="1"/>
        <n v="93655079" u="1"/>
        <n v="93655080" u="1"/>
        <n v="93655081" u="1"/>
        <n v="93655082" u="1"/>
        <n v="93655083" u="1"/>
        <n v="93655084" u="1"/>
        <n v="93655085" u="1"/>
        <n v="93655087" u="1"/>
        <n v="93655088" u="1"/>
        <n v="93655089" u="1"/>
        <n v="52" u="1"/>
        <n v="53" u="1"/>
        <n v="54" u="1"/>
        <n v="55" u="1"/>
        <n v="56" u="1"/>
        <n v="57" u="1"/>
        <n v="58" u="1"/>
        <n v="59" u="1"/>
        <n v="93655090" u="1"/>
        <n v="93655091" u="1"/>
        <n v="93655092" u="1"/>
        <n v="93655093" u="1"/>
        <n v="93655094" u="1"/>
        <n v="93655095" u="1"/>
        <n v="93655096" u="1"/>
        <n v="93655097" u="1"/>
        <n v="93655098" u="1"/>
        <n v="93655099" u="1"/>
        <n v="93655100" u="1"/>
        <n v="93655101" u="1"/>
        <n v="93655102" u="1"/>
        <n v="93655103" u="1"/>
        <n v="93655104" u="1"/>
        <n v="60" u="1"/>
        <n v="93655105" u="1"/>
        <n v="93655106" u="1"/>
        <n v="93655107" u="1"/>
        <n v="93655108" u="1"/>
        <n v="93655109" u="1"/>
        <n v="93655110" u="1"/>
        <n v="93655111" u="1"/>
        <n v="93655112" u="1"/>
        <n v="93655113" u="1"/>
        <n v="93655114" u="1"/>
        <n v="93655115" u="1"/>
        <n v="93655116" u="1"/>
        <n v="93655117" u="1"/>
        <n v="93655118" u="1"/>
        <n v="93655119" u="1"/>
        <n v="93655120" u="1"/>
        <n v="93655121" u="1"/>
        <n v="93655122" u="1"/>
        <n v="93655123" u="1"/>
        <n v="93655124" u="1"/>
        <n v="93655125" u="1"/>
        <n v="93655126" u="1"/>
        <n v="93655127" u="1"/>
        <n v="93655128" u="1"/>
        <n v="93655129" u="1"/>
        <n v="93655130" u="1"/>
        <n v="93655131" u="1"/>
        <n v="93655132" u="1"/>
        <n v="61" u="1"/>
        <n v="62" u="1"/>
        <n v="63" u="1"/>
        <n v="64" u="1"/>
        <n v="65" u="1"/>
        <n v="66" u="1"/>
        <n v="67" u="1"/>
        <n v="68" u="1"/>
        <n v="69" u="1"/>
        <n v="70" u="1"/>
        <n v="71" u="1"/>
        <n v="72" u="1"/>
        <n v="73" u="1"/>
        <n v="74" u="1"/>
        <n v="75" u="1"/>
        <n v="76" u="1"/>
        <n v="77" u="1"/>
        <n v="78" u="1"/>
        <n v="79" u="1"/>
        <n v="80" u="1"/>
        <n v="81" u="1"/>
        <n v="93655133" u="1"/>
        <n v="93655134" u="1"/>
        <n v="93655135" u="1"/>
        <n v="93655136" u="1"/>
        <n v="93655137" u="1"/>
        <n v="93655138" u="1"/>
        <n v="93655139" u="1"/>
        <n v="93655140" u="1"/>
        <n v="93655141" u="1"/>
        <n v="93655142" u="1"/>
        <n v="93655143" u="1"/>
        <n v="93655144" u="1"/>
        <n v="93655145" u="1"/>
        <n v="93655146" u="1"/>
        <n v="93655147" u="1"/>
        <n v="93655148" u="1"/>
        <n v="93655149" u="1"/>
        <n v="93655150" u="1"/>
        <n v="93655151" u="1"/>
        <n v="93655152" u="1"/>
        <n v="93655153" u="1"/>
        <n v="93655154" u="1"/>
        <n v="93655155" u="1"/>
        <n v="93655156" u="1"/>
        <n v="93655157" u="1"/>
        <n v="93655158" u="1"/>
        <n v="93655159" u="1"/>
        <n v="93655160" u="1"/>
        <n v="93655161" u="1"/>
        <n v="93655162" u="1"/>
        <n v="93655163" u="1"/>
        <n v="93655164" u="1"/>
        <n v="93655165" u="1"/>
        <n v="93655166" u="1"/>
        <n v="93655167" u="1"/>
        <n v="93655168" u="1"/>
        <n v="93655169" u="1"/>
        <n v="93655170" u="1"/>
        <n v="93655171" u="1"/>
        <n v="93655172" u="1"/>
        <n v="93655173" u="1"/>
        <n v="93655174" u="1"/>
        <n v="93655175" u="1"/>
        <n v="93655176" u="1"/>
        <n v="93655177" u="1"/>
        <n v="93655178" u="1"/>
        <n v="93655179" u="1"/>
        <n v="93655180" u="1"/>
        <n v="93655181" u="1"/>
        <n v="93655182" u="1"/>
        <n v="93655183" u="1"/>
        <n v="93655184" u="1"/>
        <n v="93655185" u="1"/>
        <n v="93655186" u="1"/>
        <n v="93655187" u="1"/>
        <n v="93655188" u="1"/>
        <n v="93655189" u="1"/>
        <n v="93655190" u="1"/>
        <n v="93655191" u="1"/>
        <n v="93655192" u="1"/>
        <n v="93655193" u="1"/>
        <n v="93655194" u="1"/>
        <n v="93655195" u="1"/>
        <n v="93655196" u="1"/>
        <n v="93655197" u="1"/>
        <n v="93655198" u="1"/>
        <n v="93655199" u="1"/>
        <n v="93655200" u="1"/>
        <n v="93655201" u="1"/>
        <n v="93655202" u="1"/>
        <n v="93655203" u="1"/>
        <n v="93655204" u="1"/>
        <n v="93655205" u="1"/>
        <n v="93655206" u="1"/>
        <n v="93655207" u="1"/>
        <n v="93655208" u="1"/>
        <n v="93655209" u="1"/>
        <n v="93655210" u="1"/>
        <n v="93655211" u="1"/>
        <n v="93655212" u="1"/>
        <n v="93655213" u="1"/>
        <n v="93655214" u="1"/>
        <n v="93655215" u="1"/>
        <n v="93655216" u="1"/>
        <n v="93655217" u="1"/>
        <n v="93655218" u="1"/>
        <n v="93655219" u="1"/>
        <n v="93655220" u="1"/>
        <n v="93655221" u="1"/>
        <n v="93655222" u="1"/>
        <n v="93655223" u="1"/>
        <n v="93655224" u="1"/>
        <n v="82" u="1"/>
        <n v="83" u="1"/>
        <n v="84" u="1"/>
        <n v="85" u="1"/>
        <n v="86" u="1"/>
        <n v="87" u="1"/>
        <n v="88" u="1"/>
        <n v="93655225" u="1"/>
        <n v="93655226" u="1"/>
        <n v="93655227" u="1"/>
        <n v="93655228" u="1"/>
        <n v="93655229" u="1"/>
        <n v="93655230" u="1"/>
        <n v="93655231" u="1"/>
        <n v="93655232" u="1"/>
        <n v="93655233" u="1"/>
        <n v="93655234" u="1"/>
        <n v="93655235" u="1"/>
        <n v="93655236" u="1"/>
        <n v="93655237" u="1"/>
        <n v="93655238" u="1"/>
        <n v="93655239" u="1"/>
        <n v="93655240" u="1"/>
        <n v="93655241" u="1"/>
        <n v="93655242" u="1"/>
        <n v="93655243" u="1"/>
        <n v="93655244" u="1"/>
        <n v="93655245" u="1"/>
        <n v="93655246" u="1"/>
        <n v="89" u="1"/>
        <n v="90" u="1"/>
        <n v="91" u="1"/>
        <n v="92" u="1"/>
        <n v="93" u="1"/>
        <n v="94" u="1"/>
        <n v="95" u="1"/>
        <n v="96" u="1"/>
        <n v="97" u="1"/>
        <n v="98" u="1"/>
        <n v="93655247" u="1"/>
        <n v="93655248" u="1"/>
        <n v="93655249" u="1"/>
        <n v="93655250" u="1"/>
        <n v="93655251" u="1"/>
        <n v="93655252" u="1"/>
        <n v="93655253" u="1"/>
        <n v="93655254" u="1"/>
        <n v="93655255" u="1"/>
        <n v="93655256" u="1"/>
        <n v="93655257" u="1"/>
        <n v="93655258" u="1"/>
        <n v="93655259" u="1"/>
        <n v="93655260" u="1"/>
        <n v="93655261" u="1"/>
        <n v="93655262" u="1"/>
        <n v="93655263" u="1"/>
        <n v="93655264" u="1"/>
        <n v="93655265" u="1"/>
        <n v="93655266" u="1"/>
        <n v="93655267" u="1"/>
        <n v="93655268" u="1"/>
        <n v="93655269" u="1"/>
        <n v="93655270" u="1"/>
        <n v="93655271" u="1"/>
        <n v="93655272" u="1"/>
        <n v="93655273" u="1"/>
        <n v="93655274" u="1"/>
        <n v="93655275" u="1"/>
        <n v="93655276" u="1"/>
        <n v="93655277" u="1"/>
        <n v="93655278" u="1"/>
        <n v="93655279" u="1"/>
        <n v="99" u="1"/>
        <n v="100" u="1"/>
        <n v="101" u="1"/>
        <n v="102" u="1"/>
        <n v="103" u="1"/>
        <n v="104" u="1"/>
        <n v="105" u="1"/>
        <n v="106" u="1"/>
        <n v="107" u="1"/>
        <n v="108" u="1"/>
        <n v="93655280" u="1"/>
        <n v="93655281" u="1"/>
        <n v="93655282" u="1"/>
        <n v="93655283" u="1"/>
        <n v="93655284" u="1"/>
        <n v="93655285" u="1"/>
        <n v="93655286" u="1"/>
        <n v="93655287" u="1"/>
        <n v="93655288" u="1"/>
        <n v="93655289" u="1"/>
        <n v="93655290" u="1"/>
        <n v="93655291" u="1"/>
        <n v="93655292" u="1"/>
        <n v="93655293" u="1"/>
        <n v="93655294" u="1"/>
        <n v="93655295" u="1"/>
        <n v="93655296" u="1"/>
        <n v="93655297" u="1"/>
        <n v="93655298" u="1"/>
        <n v="93655299" u="1"/>
        <n v="93655300" u="1"/>
        <n v="93655301" u="1"/>
        <n v="93655302" u="1"/>
        <n v="93655303" u="1"/>
        <n v="93655304" u="1"/>
        <n v="93655305" u="1"/>
        <n v="93655306" u="1"/>
        <n v="93655307" u="1"/>
        <n v="93655308" u="1"/>
        <n v="93655309" u="1"/>
        <n v="93655310" u="1"/>
        <n v="93655311" u="1"/>
        <n v="93655312" u="1"/>
        <n v="93655313" u="1"/>
        <n v="93655314" u="1"/>
        <n v="93655315" u="1"/>
        <n v="93655316" u="1"/>
        <n v="93655317" u="1"/>
        <n v="109" u="1"/>
        <n v="110" u="1"/>
        <n v="111" u="1"/>
        <n v="112" u="1"/>
        <n v="113" u="1"/>
        <n v="114" u="1"/>
        <n v="115" u="1"/>
        <n v="93655318" u="1"/>
        <n v="93655319" u="1"/>
        <n v="93655320" u="1"/>
        <n v="93655321" u="1"/>
        <n v="93655322" u="1"/>
        <n v="93655323" u="1"/>
        <n v="93655324" u="1"/>
        <n v="93655325" u="1"/>
        <n v="93655326" u="1"/>
        <n v="93655327" u="1"/>
        <n v="93655328" u="1"/>
        <n v="93655329" u="1"/>
        <n v="93655330" u="1"/>
        <n v="93655331" u="1"/>
        <n v="93655332" u="1"/>
        <n v="93655333" u="1"/>
        <n v="116" u="1"/>
        <n v="117" u="1"/>
        <n v="118" u="1"/>
        <n v="119" u="1"/>
        <n v="93655334" u="1"/>
        <n v="93655335" u="1"/>
        <n v="93655336" u="1"/>
        <n v="93655337" u="1"/>
        <n v="93655338" u="1"/>
        <n v="93655339" u="1"/>
        <n v="93655340" u="1"/>
        <n v="93655341" u="1"/>
        <n v="93655342" u="1"/>
        <n v="93655343" u="1"/>
        <n v="93655344" u="1"/>
        <n v="120" u="1"/>
        <n v="121" u="1"/>
        <n v="122" u="1"/>
        <n v="123" u="1"/>
        <n v="124" u="1"/>
        <n v="128" u="1"/>
        <n v="126" u="1"/>
        <n v="93655345" u="1"/>
        <n v="93655346" u="1"/>
        <n v="127" u="1"/>
        <n v="93655347" u="1"/>
        <n v="93655348" u="1"/>
        <n v="93655349" u="1"/>
        <n v="93655350" u="1"/>
        <n v="93655351" u="1"/>
        <n v="93655352" u="1"/>
        <n v="93655353" u="1"/>
        <n v="93655354" u="1"/>
        <n v="93655355" u="1"/>
        <n v="93655356" u="1"/>
        <n v="93655357" u="1"/>
        <n v="93655358" u="1"/>
        <n v="93655359" u="1"/>
        <n v="93655360" u="1"/>
        <n v="93655361" u="1"/>
        <n v="93655362" u="1"/>
        <n v="93655363" u="1"/>
        <n v="93655364" u="1"/>
        <n v="93655365" u="1"/>
        <n v="93655366" u="1"/>
        <n v="93655367" u="1"/>
        <n v="93655368" u="1"/>
        <n v="93655369" u="1"/>
        <n v="93655370" u="1"/>
        <n v="93655371" u="1"/>
        <n v="93655372" u="1"/>
        <n v="93655373" u="1"/>
        <n v="93655374" u="1"/>
        <n v="93655375" u="1"/>
        <n v="93655376" u="1"/>
        <n v="93655377" u="1"/>
        <n v="93655378" u="1"/>
        <n v="93655379" u="1"/>
        <n v="93655380" u="1"/>
        <n v="93655381" u="1"/>
        <n v="93655382" u="1"/>
        <n v="93655383" u="1"/>
        <n v="93655384" u="1"/>
        <n v="93655385" u="1"/>
        <n v="93655386" u="1"/>
        <n v="93655387" u="1"/>
        <n v="93655388" u="1"/>
        <n v="93655389" u="1"/>
        <n v="93655390" u="1"/>
        <n v="93655391" u="1"/>
        <n v="132" u="1"/>
        <n v="133" u="1"/>
        <n v="134" u="1"/>
        <n v="131" u="1"/>
        <n v="137" u="1"/>
        <n v="135" u="1"/>
        <n v="136" u="1"/>
        <n v="138" u="1"/>
        <n v="139" u="1"/>
        <n v="140" u="1"/>
        <n v="141" u="1"/>
        <n v="142" u="1"/>
        <n v="146" u="1"/>
        <n v="93655392" u="1"/>
        <n v="93655393" u="1"/>
        <n v="93655394" u="1"/>
        <n v="93655395" u="1"/>
        <n v="93655396" u="1"/>
        <n v="93655397" u="1"/>
        <n v="93655398" u="1"/>
        <n v="93655399" u="1"/>
        <n v="93655400" u="1"/>
        <n v="93655401" u="1"/>
        <n v="93655402" u="1"/>
        <n v="93655403" u="1"/>
        <n v="144" u="1"/>
        <n v="145" u="1"/>
        <n v="147" u="1"/>
        <n v="148" u="1"/>
        <n v="149" u="1"/>
        <n v="150" u="1"/>
        <n v="151" u="1"/>
        <n v="152" u="1"/>
        <n v="153" u="1"/>
        <n v="177" u="1"/>
        <n v="176" u="1"/>
        <n v="175" u="1"/>
        <n v="157" u="1"/>
        <n v="158" u="1"/>
        <n v="172" u="1"/>
        <n v="160" u="1"/>
        <n v="161" u="1"/>
        <n v="162" u="1"/>
        <n v="163" u="1"/>
        <n v="167" u="1"/>
        <n v="165" u="1"/>
        <n v="166" u="1"/>
        <n v="164" u="1"/>
        <n v="168" u="1"/>
        <n v="169" u="1"/>
        <n v="170" u="1"/>
        <n v="171" u="1"/>
        <n v="173" u="1"/>
        <n v="174" u="1"/>
        <n v="178" u="1"/>
        <n v="182" u="1"/>
        <n v="93655404" u="1"/>
        <n v="93655405" u="1"/>
        <n v="93655406" u="1"/>
        <n v="93655407" u="1"/>
        <n v="93655408" u="1"/>
        <n v="93655409" u="1"/>
        <n v="93655410" u="1"/>
        <n v="93655411" u="1"/>
        <n v="93655412" u="1"/>
        <n v="93655413" u="1"/>
        <n v="93655414" u="1"/>
        <n v="93655415" u="1"/>
        <n v="93655416" u="1"/>
        <n v="93655417" u="1"/>
        <n v="93655418" u="1"/>
        <n v="93655419" u="1"/>
        <n v="93655420" u="1"/>
        <n v="93655421" u="1"/>
        <n v="93655422" u="1"/>
        <n v="93655423" u="1"/>
        <n v="93655424" u="1"/>
        <n v="93655425" u="1"/>
        <n v="93655426" u="1"/>
        <n v="93655427" u="1"/>
        <n v="93655428" u="1"/>
        <n v="93655429" u="1"/>
        <n v="93655430" u="1"/>
        <n v="93655431" u="1"/>
        <n v="93655432" u="1"/>
        <n v="93655433" u="1"/>
        <n v="93655434" u="1"/>
        <n v="93655435" u="1"/>
        <n v="93655436" u="1"/>
        <n v="180" u="1"/>
        <n v="181" u="1"/>
        <n v="183" u="1"/>
        <n v="191" u="1"/>
        <n v="188" u="1"/>
        <n v="189" u="1"/>
        <n v="187" u="1"/>
        <n v="190" u="1"/>
        <n v="192" u="1"/>
        <n v="194" u="1"/>
        <n v="195" u="1"/>
        <n v="196" u="1"/>
        <n v="93655437" u="1"/>
        <n v="93655438" u="1"/>
        <n v="93655439" u="1"/>
        <n v="197" u="1"/>
        <n v="198" u="1"/>
        <n v="199" u="1"/>
        <n v="200" u="1"/>
        <n v="204" u="1"/>
        <n v="203" u="1"/>
        <n v="202" u="1"/>
        <n v="201" u="1"/>
        <n v="206" u="1"/>
        <n v="205" u="1"/>
        <n v="207" u="1"/>
        <n v="208" u="1"/>
        <n v="209" u="1"/>
        <n v="93655440" u="1"/>
        <n v="93655441" u="1"/>
        <n v="93655442" u="1"/>
        <n v="93655443" u="1"/>
        <n v="93655444" u="1"/>
        <n v="93655445" u="1"/>
        <n v="93655446" u="1"/>
        <n v="93655447" u="1"/>
        <n v="93966901" u="1"/>
        <n v="93966902" u="1"/>
        <n v="93966903" u="1"/>
        <n v="93966904" u="1"/>
        <n v="93966905" u="1"/>
        <n v="93966906" u="1"/>
        <n v="93966907" u="1"/>
        <n v="93966908" u="1"/>
        <n v="93966909" u="1"/>
        <n v="93966910" u="1"/>
        <n v="93966911" u="1"/>
        <n v="93966912" u="1"/>
        <n v="93966913" u="1"/>
        <n v="93966914" u="1"/>
        <n v="93966915" u="1"/>
        <n v="93966916" u="1"/>
        <n v="93966917" u="1"/>
        <n v="93966918" u="1"/>
        <n v="93966919" u="1"/>
        <n v="93966920" u="1"/>
        <n v="93966921" u="1"/>
        <n v="215" u="1"/>
        <n v="216" u="1"/>
        <n v="213" u="1"/>
        <n v="214" u="1"/>
        <n v="210" u="1"/>
        <n v="211" u="1"/>
        <n v="212" u="1"/>
        <n v="217" u="1"/>
        <n v="218" u="1"/>
        <n v="219" u="1"/>
        <n v="220" u="1"/>
        <n v="221" u="1"/>
        <n v="222" u="1"/>
        <n v="223" u="1"/>
        <n v="224" u="1"/>
        <n v="226" u="1"/>
        <n v="227" u="1"/>
        <n v="225" u="1"/>
        <n v="228" u="1"/>
        <n v="230" u="1"/>
        <n v="229" u="1"/>
        <n v="234" u="1"/>
        <n v="235" u="1"/>
        <n v="236" u="1"/>
        <n v="231" u="1"/>
        <n v="232" u="1"/>
        <n v="233" u="1"/>
        <n v="237" u="1"/>
        <n v="238" u="1"/>
        <n v="93966922" u="1"/>
        <n v="93966923" u="1"/>
        <n v="93966924" u="1"/>
        <n v="93966925" u="1"/>
        <n v="93966926" u="1"/>
        <n v="93966927" u="1"/>
        <n v="93966928" u="1"/>
        <n v="93966929" u="1"/>
        <n v="93966930" u="1"/>
        <n v="93966931" u="1"/>
        <n v="93966932" u="1"/>
        <n v="93966933" u="1"/>
        <n v="93966934" u="1"/>
        <n v="93966935" u="1"/>
        <n v="93966936" u="1"/>
        <n v="93966937" u="1"/>
        <n v="93966938" u="1"/>
        <n v="93966939" u="1"/>
        <n v="93966940" u="1"/>
        <n v="93966941" u="1"/>
        <n v="93655448" u="1"/>
        <n v="93655449" u="1"/>
        <n v="93966942" u="1"/>
        <n v="93966943" u="1"/>
        <n v="93966944" u="1"/>
        <n v="93966945" u="1"/>
        <n v="93966946" u="1"/>
        <n v="93966947" u="1"/>
        <n v="93966948" u="1"/>
        <n v="93966949" u="1"/>
        <n v="93966950" u="1"/>
        <n v="93966951" u="1"/>
        <n v="93966952" u="1"/>
        <n v="93966953" u="1"/>
        <n v="93655450" u="1"/>
        <n v="93966954" u="1"/>
        <n v="93966955" u="1"/>
        <n v="93966956" u="1"/>
        <n v="93966957" u="1"/>
        <n v="93966958" u="1"/>
        <n v="93966959" u="1"/>
        <n v="93966960" u="1"/>
        <n v="93966961" u="1"/>
        <n v="93966962" u="1"/>
        <n v="239" u="1"/>
        <n v="240" u="1"/>
        <n v="245" u="1"/>
        <n v="242" u="1"/>
        <n v="243" u="1"/>
        <n v="241" u="1"/>
        <n v="248" u="1"/>
        <n v="249" u="1"/>
        <n v="244" u="1"/>
        <n v="247" u="1"/>
        <n v="246" u="1"/>
        <n v="250" u="1"/>
        <n v="251" u="1"/>
        <n v="252" u="1"/>
        <n v="253" u="1"/>
        <n v="259" u="1"/>
        <n v="260" u="1"/>
        <n v="261" u="1"/>
        <n v="266" u="1"/>
        <n v="262" u="1"/>
        <n v="257" u="1"/>
        <n v="256" u="1"/>
        <n v="255" u="1"/>
        <n v="254" u="1"/>
        <n v="263" u="1"/>
        <n v="93966963" u="1"/>
        <n v="93966964" u="1"/>
        <n v="93966965" u="1"/>
        <n v="93966966" u="1"/>
        <n v="93966967" u="1"/>
        <n v="93966968" u="1"/>
        <n v="93966969" u="1"/>
        <n v="93966970" u="1"/>
        <n v="93966971" u="1"/>
        <n v="93966972" u="1"/>
        <n v="93966973" u="1"/>
        <n v="93966974" u="1"/>
        <n v="93966975" u="1"/>
        <n v="93966976" u="1"/>
        <n v="93966977" u="1"/>
        <n v="93966978" u="1"/>
        <n v="93966979" u="1"/>
        <n v="93966980" u="1"/>
        <n v="93966981" u="1"/>
        <n v="93966982" u="1"/>
        <n v="93966983" u="1"/>
        <n v="93966984" u="1"/>
        <n v="93966985" u="1"/>
        <n v="93966986" u="1"/>
        <n v="93966987" u="1"/>
        <n v="93966988" u="1"/>
        <n v="93966989" u="1"/>
        <n v="93966990" u="1"/>
        <n v="93966991" u="1"/>
        <n v="93966992" u="1"/>
        <n v="93966993" u="1"/>
        <n v="93966994" u="1"/>
        <n v="93966995" u="1"/>
        <n v="93966996" u="1"/>
        <n v="93966997" u="1"/>
        <n v="93966998" u="1"/>
        <n v="93966999" u="1"/>
        <n v="93967000" u="1"/>
        <n v="93967001" u="1"/>
        <n v="93967002" u="1"/>
        <n v="93967003" u="1"/>
        <n v="93967004" u="1"/>
        <n v="93967005" u="1"/>
        <n v="93967006" u="1"/>
        <n v="264" u="1"/>
        <n v="267" u="1"/>
        <n v="258" u="1"/>
        <n v="265" u="1"/>
        <n v="268" u="1"/>
        <n v="269" u="1"/>
        <n v="270" u="1"/>
        <n v="271" u="1"/>
        <n v="272" u="1"/>
        <n v="273" u="1"/>
        <n v="274" u="1"/>
        <n v="275" u="1"/>
        <n v="276" u="1"/>
        <n v="277" u="1"/>
        <n v="278" u="1"/>
        <n v="279" u="1"/>
        <n v="93967007" u="1"/>
        <n v="93967008" u="1"/>
        <n v="93967009" u="1"/>
        <n v="93967010" u="1"/>
        <n v="93967011" u="1"/>
        <n v="93967012" u="1"/>
        <n v="93967013" u="1"/>
        <n v="93967014" u="1"/>
        <n v="93967015" u="1"/>
        <n v="93967016" u="1"/>
        <n v="93967017" u="1"/>
        <n v="93967018" u="1"/>
        <n v="93967019" u="1"/>
        <n v="93967020" u="1"/>
        <n v="93967021" u="1"/>
        <n v="93967022" u="1"/>
        <n v="93967023" u="1"/>
        <n v="93967024" u="1"/>
        <n v="93967025" u="1"/>
        <n v="283" u="1"/>
        <n v="284" u="1"/>
        <n v="285" u="1"/>
        <n v="286" u="1"/>
        <n v="287" u="1"/>
        <n v="292" u="1"/>
        <n v="280" u="1"/>
        <n v="290" u="1"/>
        <n v="294" u="1"/>
        <n v="291" u="1"/>
        <n v="293" u="1"/>
        <n v="288" u="1"/>
        <n v="289" u="1"/>
        <n v="281" u="1"/>
        <n v="282" u="1"/>
        <n v="300" u="1"/>
        <n v="298" u="1"/>
        <n v="299" u="1"/>
        <n v="295" u="1"/>
        <n v="297" u="1"/>
        <n v="296" u="1"/>
        <n v="301" u="1"/>
        <n v="306" u="1"/>
        <n v="307" u="1"/>
        <n v="308" u="1"/>
        <n v="309" u="1"/>
        <n v="310" u="1"/>
        <n v="311" u="1"/>
        <n v="312" u="1"/>
        <n v="313" u="1"/>
        <n v="303" u="1"/>
        <n v="302" u="1"/>
        <n v="304" u="1"/>
        <n v="305" u="1"/>
        <n v="314" u="1"/>
        <n v="93967026" u="1"/>
        <n v="93967027" u="1"/>
        <n v="93967028" u="1"/>
        <n v="93967029" u="1"/>
        <n v="93967030" u="1"/>
        <n v="93967031" u="1"/>
        <n v="93967032" u="1"/>
        <n v="93967033" u="1"/>
        <n v="93967034" u="1"/>
        <n v="93967035" u="1"/>
        <n v="93967036" u="1"/>
        <n v="93967037" u="1"/>
        <n v="93967038" u="1"/>
        <n v="93967039" u="1"/>
        <n v="93967040" u="1"/>
        <n v="93967041" u="1"/>
        <n v="93967042" u="1"/>
        <n v="93967043" u="1"/>
        <n v="93967044" u="1"/>
        <n v="93967046" u="1"/>
        <n v="93967047" u="1"/>
        <n v="93967048" u="1"/>
        <n v="93967049" u="1"/>
        <n v="93967050" u="1"/>
        <n v="93967051" u="1"/>
        <n v="93967052" u="1"/>
        <n v="315" u="1"/>
        <n v="316" u="1"/>
        <n v="317" u="1"/>
        <n v="318" u="1"/>
        <n v="328" u="1"/>
        <n v="329" u="1"/>
        <n v="330" u="1"/>
        <n v="327" u="1"/>
        <n v="320" u="1"/>
        <n v="321" u="1"/>
        <n v="322" u="1"/>
        <n v="323" u="1"/>
        <n v="324" u="1"/>
        <n v="326" u="1"/>
        <n v="325" u="1"/>
        <n v="331" u="1"/>
        <n v="93967053" u="1"/>
        <n v="93967054" u="1"/>
        <n v="93967055" u="1"/>
        <n v="93967056" u="1"/>
        <n v="93967057" u="1"/>
        <n v="93967058" u="1"/>
        <n v="93967059" u="1"/>
        <n v="93967060" u="1"/>
        <n v="332" u="1"/>
        <n v="93967061" u="1"/>
        <n v="333" u="1"/>
        <n v="334" u="1"/>
        <n v="335" u="1"/>
        <n v="336" u="1"/>
        <n v="337" u="1"/>
        <n v="338" u="1"/>
        <n v="339" u="1"/>
        <n v="340" u="1"/>
        <n v="341" u="1"/>
        <n v="342" u="1"/>
        <n v="343" u="1"/>
        <n v="344" u="1"/>
        <n v="345" u="1"/>
        <n v="346" u="1"/>
        <n v="347" u="1"/>
        <n v="348" u="1"/>
        <n v="349" u="1"/>
        <n v="350" u="1"/>
        <n v="351" u="1"/>
        <n v="352" u="1"/>
        <n v="353" u="1"/>
        <n v="355" u="1"/>
        <n v="354" u="1"/>
        <n v="356" u="1"/>
        <n v="357" u="1"/>
        <n v="358" u="1"/>
        <n v="359" u="1"/>
        <n v="93967062" u="1"/>
        <n v="360" u="1"/>
        <n v="361" u="1"/>
        <n v="362" u="1"/>
        <n v="363" u="1"/>
        <n v="364" u="1"/>
        <n v="365" u="1"/>
        <n v="366" u="1"/>
        <n v="367" u="1"/>
        <n v="368" u="1"/>
        <n v="369" u="1"/>
        <n v="370" u="1"/>
        <n v="371" u="1"/>
        <n v="372" u="1"/>
        <n v="93967063" u="1"/>
        <n v="93967064" u="1"/>
        <n v="93967065" u="1"/>
        <n v="93967066" u="1"/>
        <n v="93967067" u="1"/>
        <n v="93967068" u="1"/>
        <n v="93967069" u="1"/>
        <n v="93967070" u="1"/>
        <n v="93967071" u="1"/>
        <n v="373" u="1"/>
        <n v="374" u="1"/>
        <n v="375" u="1"/>
        <n v="376" u="1"/>
        <n v="377" u="1"/>
        <n v="378" u="1"/>
        <n v="93967072" u="1"/>
        <n v="93967073" u="1"/>
        <n v="93967074" u="1"/>
        <n v="93967075" u="1"/>
        <n v="93967076" u="1"/>
        <n v="93967077" u="1"/>
        <n v="93967078" u="1"/>
        <n v="379" u="1"/>
        <n v="380" u="1"/>
        <n v="381" u="1"/>
        <n v="382" u="1"/>
        <n v="383" u="1"/>
        <n v="384" u="1"/>
        <n v="93967079" u="1"/>
        <n v="93967080" u="1"/>
        <n v="93967081" u="1"/>
        <n v="93967082" u="1"/>
        <n v="93967083" u="1"/>
        <n v="93967084" u="1"/>
        <n v="93967085" u="1"/>
        <n v="93967086" u="1"/>
        <n v="93967087" u="1"/>
        <n v="93967088" u="1"/>
        <n v="93967089" u="1"/>
        <n v="93967090" u="1"/>
        <n v="93967091" u="1"/>
        <n v="93967092" u="1"/>
        <n v="93967093" u="1"/>
        <n v="93967094" u="1"/>
        <n v="93967095" u="1"/>
        <n v="93967096" u="1"/>
        <n v="93967097" u="1"/>
        <n v="93967098" u="1"/>
        <n v="93967099" u="1"/>
        <n v="93967100" u="1"/>
        <n v="93967101" u="1"/>
        <n v="93967102" u="1"/>
        <n v="93967103" u="1"/>
        <n v="385" u="1"/>
        <n v="386" u="1"/>
        <n v="387" u="1"/>
        <n v="388" u="1"/>
        <n v="389" u="1"/>
        <n v="390" u="1"/>
        <n v="391" u="1"/>
        <n v="392" u="1"/>
        <n v="393" u="1"/>
        <n v="394" u="1"/>
        <n v="395" u="1"/>
        <n v="396" u="1"/>
        <n v="402" u="1"/>
        <n v="403" u="1"/>
        <n v="397" u="1"/>
        <n v="398" u="1"/>
        <n v="399" u="1"/>
        <n v="400" u="1"/>
        <n v="401" u="1"/>
        <n v="404" u="1"/>
        <n v="405" u="1"/>
        <n v="409" u="1"/>
        <n v="410" u="1"/>
        <n v="411" u="1"/>
        <n v="412" u="1"/>
        <n v="413" u="1"/>
        <n v="414" u="1"/>
        <n v="415" u="1"/>
        <n v="416" u="1"/>
        <n v="417" u="1"/>
        <n v="418" u="1"/>
        <n v="419" u="1"/>
        <n v="420" u="1"/>
        <n v="406" u="1"/>
        <n v="407" u="1"/>
        <n v="408" u="1"/>
        <n v="421" u="1"/>
        <n v="422" u="1"/>
        <n v="423" u="1"/>
        <n v="424" u="1"/>
        <n v="425" u="1"/>
        <n v="426" u="1"/>
        <n v="427" u="1"/>
        <n v="428" u="1"/>
        <n v="429" u="1"/>
        <n v="430" u="1"/>
        <n v="431" u="1"/>
        <n v="93967104" u="1"/>
        <n v="93967105" u="1"/>
        <n v="93967106" u="1"/>
        <n v="93967107" u="1"/>
        <n v="432" u="1"/>
        <n v="433" u="1"/>
        <n v="434" u="1"/>
        <n v="435" u="1"/>
        <n v="436" u="1"/>
        <n v="437" u="1"/>
        <n v="438" u="1"/>
        <n v="439" u="1"/>
        <n v="440" u="1"/>
        <n v="441" u="1"/>
        <n v="442" u="1"/>
        <n v="443" u="1"/>
        <n v="93967108" u="1"/>
        <n v="444" u="1"/>
        <n v="445" u="1"/>
        <n v="125012" u="1"/>
        <n v="125013" u="1"/>
        <n v="125014" u="1"/>
        <n v="93967109" u="1"/>
        <n v="446" u="1"/>
        <n v="447" u="1"/>
        <n v="448" u="1"/>
        <n v="449" u="1"/>
        <n v="450" u="1"/>
        <n v="451" u="1"/>
        <n v="452" u="1"/>
        <n v="453" u="1"/>
        <n v="125015" u="1"/>
        <n v="125016" u="1"/>
        <n v="125017" u="1"/>
        <n v="125018" u="1"/>
        <n v="125019" u="1"/>
        <n v="125020" u="1"/>
        <n v="125021" u="1"/>
        <n v="125022" u="1"/>
        <n v="93967110" u="1"/>
        <n v="93967111" u="1"/>
        <n v="93967112" u="1"/>
        <n v="93967113" u="1"/>
        <n v="93967114" u="1"/>
        <n v="93967115" u="1"/>
        <n v="93967116" u="1"/>
        <n v="93967117" u="1"/>
        <n v="93967118" u="1"/>
        <n v="93967119" u="1"/>
        <n v="93967120" u="1"/>
        <n v="93967121" u="1"/>
        <n v="125023" u="1"/>
        <n v="125024" u="1"/>
        <n v="125025" u="1"/>
        <n v="125026" u="1"/>
        <n v="125027" u="1"/>
        <n v="125028" u="1"/>
        <n v="125029" u="1"/>
        <n v="125030" u="1"/>
        <n v="125031" u="1"/>
        <n v="125032" u="1"/>
        <n v="125033" u="1"/>
        <n v="125034" u="1"/>
        <n v="125035" u="1"/>
        <n v="125036" u="1"/>
        <n v="125037" u="1"/>
        <n v="125038" u="1"/>
        <n v="125039" u="1"/>
        <n v="125040" u="1"/>
        <n v="125041" u="1"/>
        <n v="125042" u="1"/>
        <n v="125043" u="1"/>
        <n v="125044" u="1"/>
        <n v="125045" u="1"/>
        <n v="125046" u="1"/>
        <n v="125047" u="1"/>
        <n v="125048" u="1"/>
        <n v="125049" u="1"/>
        <n v="125050" u="1"/>
        <n v="125051" u="1"/>
        <n v="125052" u="1"/>
        <n v="125053" u="1"/>
        <n v="125054" u="1"/>
        <n v="125055" u="1"/>
        <n v="125056" u="1"/>
        <n v="125057" u="1"/>
        <n v="125058" u="1"/>
        <n v="125059" u="1"/>
        <n v="125060" u="1"/>
        <n v="125061" u="1"/>
        <n v="136647" u="1"/>
        <n v="136648" u="1"/>
        <n v="136649" u="1"/>
        <n v="136650" u="1"/>
        <n v="136651" u="1"/>
        <n v="136652" u="1"/>
        <n v="93967122" u="1"/>
        <n v="93967123" u="1"/>
        <n v="93967124" u="1"/>
        <n v="93967125" u="1"/>
        <n v="93967126" u="1"/>
        <n v="93967127" u="1"/>
        <n v="93967128" u="1"/>
        <n v="93967129" u="1"/>
        <n v="93967130" u="1"/>
        <n v="93967131" u="1"/>
        <n v="454" u="1"/>
        <n v="455" u="1"/>
        <n v="456" u="1"/>
        <n v="457" u="1"/>
        <n v="458" u="1"/>
        <n v="93967132" u="1"/>
        <n v="93967133" u="1"/>
        <n v="93967134" u="1"/>
        <n v="459" u="1"/>
        <n v="93967135" u="1"/>
        <n v="93967136" u="1"/>
        <n v="93967137" u="1"/>
        <n v="93967138" u="1"/>
        <n v="93967139" u="1"/>
        <n v="93967140" u="1"/>
        <n v="93967141" u="1"/>
        <n v="93967142" u="1"/>
        <n v="460" u="1"/>
        <n v="461" u="1"/>
        <n v="462" u="1"/>
        <n v="463" u="1"/>
        <n v="464" u="1"/>
        <n v="465" u="1"/>
        <n v="466" u="1"/>
        <n v="467" u="1"/>
        <n v="468" u="1"/>
        <n v="469" u="1"/>
        <n v="470" u="1"/>
        <n v="471" u="1"/>
        <n v="472" u="1"/>
        <n v="473" u="1"/>
        <n v="474" u="1"/>
        <n v="475" u="1"/>
        <n v="476" u="1"/>
        <n v="477" u="1"/>
        <n v="478" u="1"/>
        <n v="479" u="1"/>
        <n v="480" u="1"/>
        <n v="481" u="1"/>
        <n v="482" u="1"/>
        <n v="483" u="1"/>
        <n v="484" u="1"/>
        <n v="485" u="1"/>
        <n v="486" u="1"/>
        <n v="487" u="1"/>
        <n v="488" u="1"/>
        <n v="489" u="1"/>
        <n v="490" u="1"/>
        <n v="93967143" u="1"/>
        <n v="136653" u="1"/>
        <n v="136654" u="1"/>
        <n v="136655" u="1"/>
        <n v="136656" u="1"/>
        <n v="136657" u="1"/>
        <n v="93967144" u="1"/>
        <n v="93967145" u="1"/>
        <n v="93967146" u="1"/>
        <n v="93967147" u="1"/>
        <n v="93967148" u="1"/>
        <n v="93967149" u="1"/>
        <n v="93967150" u="1"/>
        <n v="491" u="1"/>
        <n v="492" u="1"/>
        <n v="493" u="1"/>
        <n v="494" u="1"/>
        <n v="495" u="1"/>
        <n v="496" u="1"/>
        <n v="497" u="1"/>
        <n v="498" u="1"/>
        <n v="499" u="1"/>
        <n v="500" u="1"/>
        <n v="501" u="1"/>
        <n v="502" u="1"/>
        <n v="503" u="1"/>
        <n v="504" u="1"/>
        <n v="505" u="1"/>
        <n v="506" u="1"/>
        <n v="507" u="1"/>
        <n v="508" u="1"/>
        <n v="509" u="1"/>
        <n v="510" u="1"/>
        <n v="511" u="1"/>
        <n v="512" u="1"/>
        <n v="513" u="1"/>
        <n v="514" u="1"/>
        <n v="515" u="1"/>
        <n v="516" u="1"/>
        <n v="517" u="1"/>
        <n v="518" u="1"/>
        <n v="519" u="1"/>
        <n v="520" u="1"/>
        <n v="521" u="1"/>
        <n v="522" u="1"/>
        <n v="523" u="1"/>
        <n v="524" u="1"/>
        <n v="525" u="1"/>
        <n v="93967151" u="1"/>
        <n v="93967152" u="1"/>
        <n v="93967153" u="1"/>
        <n v="93967154" u="1"/>
        <n v="93967155" u="1"/>
        <n v="93967156" u="1"/>
        <n v="93967157" u="1"/>
        <n v="93967158" u="1"/>
        <n v="93967159" u="1"/>
        <n v="93967160" u="1"/>
        <n v="526" u="1"/>
        <n v="527" u="1"/>
        <n v="528" u="1"/>
        <n v="529" u="1"/>
        <n v="530" u="1"/>
        <n v="531" u="1"/>
        <n v="532" u="1"/>
        <n v="533" u="1"/>
        <n v="534" u="1"/>
        <n v="535" u="1"/>
        <n v="536" u="1"/>
        <n v="537" u="1"/>
        <n v="93967161" u="1"/>
        <n v="93967162" u="1"/>
        <n v="93967163" u="1"/>
        <n v="93967164" u="1"/>
        <n v="538" u="1"/>
        <n v="539" u="1"/>
        <n v="540" u="1"/>
        <n v="541" u="1"/>
        <n v="542" u="1"/>
        <n v="543" u="1"/>
        <n v="544" u="1"/>
        <n v="136658" u="1"/>
        <n v="136659" u="1"/>
        <n v="136660" u="1"/>
        <n v="136661" u="1"/>
        <n v="136662" u="1"/>
        <n v="136663" u="1"/>
        <n v="136664" u="1"/>
        <n v="136665" u="1"/>
        <n v="136666" u="1"/>
        <n v="136667" u="1"/>
        <n v="136668" u="1"/>
        <n v="136669" u="1"/>
        <n v="136670" u="1"/>
        <n v="136671" u="1"/>
        <n v="136672" u="1"/>
        <n v="136673" u="1"/>
        <n v="545" u="1"/>
        <n v="546" u="1"/>
        <n v="547" u="1"/>
        <n v="548" u="1"/>
        <n v="549" u="1"/>
        <n v="136674" u="1"/>
        <n v="136675" u="1"/>
        <n v="136676" u="1"/>
        <n v="136677" u="1"/>
        <n v="136678" u="1"/>
        <n v="136679" u="1"/>
        <n v="136680" u="1"/>
        <n v="136681" u="1"/>
        <n v="136682" u="1"/>
        <n v="136683" u="1"/>
        <n v="136684" u="1"/>
        <n v="136685" u="1"/>
        <n v="136686" u="1"/>
        <n v="136687" u="1"/>
        <n v="136688" u="1"/>
        <n v="136689" u="1"/>
        <n v="136690" u="1"/>
        <n v="136691" u="1"/>
        <n v="136692" u="1"/>
        <n v="136693" u="1"/>
        <n v="136694" u="1"/>
        <n v="136695" u="1"/>
        <n v="136696" u="1"/>
        <n v="136697" u="1"/>
        <n v="136698" u="1"/>
        <n v="136699" u="1"/>
        <n v="136700" u="1"/>
        <n v="93967165" u="1"/>
        <n v="93967166" u="1"/>
        <n v="93967167" u="1"/>
        <n v="93967168" u="1"/>
        <n v="550" u="1"/>
        <n v="551" u="1"/>
        <n v="552" u="1"/>
        <n v="553" u="1"/>
        <n v="554" u="1"/>
        <n v="555" u="1"/>
        <n v="556" u="1"/>
        <n v="557" u="1"/>
        <n v="558" u="1"/>
        <n v="559" u="1"/>
        <n v="560" u="1"/>
        <n v="561" u="1"/>
        <n v="562" u="1"/>
        <n v="563" u="1"/>
        <n v="564" u="1"/>
        <n v="565" u="1"/>
        <n v="566" u="1"/>
        <n v="567" u="1"/>
        <n v="568" u="1"/>
        <n v="569" u="1"/>
        <n v="570" u="1"/>
        <n v="571" u="1"/>
        <n v="572" u="1"/>
        <n v="573" u="1"/>
        <n v="574" u="1"/>
        <n v="575" u="1"/>
        <n v="576" u="1"/>
        <n v="577" u="1"/>
        <n v="578" u="1"/>
        <n v="579" u="1"/>
        <n v="580" u="1"/>
        <n v="93967169" u="1"/>
        <n v="93967170" u="1"/>
        <n v="93967171" u="1"/>
        <n v="93967172" u="1"/>
        <n v="93967173" u="1"/>
        <n v="581" u="1"/>
        <n v="582" u="1"/>
        <n v="583" u="1"/>
        <n v="584" u="1"/>
        <n v="585" u="1"/>
        <n v="586" u="1"/>
        <n v="587" u="1"/>
        <n v="588" u="1"/>
        <n v="589" u="1"/>
        <n v="590" u="1"/>
        <n v="591" u="1"/>
        <n v="592" u="1"/>
        <n v="593" u="1"/>
        <n v="594" u="1"/>
        <n v="595" u="1"/>
        <n v="596" u="1"/>
        <n v="597" u="1"/>
        <n v="598" u="1"/>
        <n v="599" u="1"/>
        <n v="600" u="1"/>
        <n v="601" u="1"/>
        <n v="602" u="1"/>
        <n v="603" u="1"/>
        <n v="604" u="1"/>
        <n v="605" u="1"/>
        <n v="606" u="1"/>
        <n v="607" u="1"/>
        <n v="608" u="1"/>
        <n v="609" u="1"/>
        <n v="610" u="1"/>
        <n v="611" u="1"/>
        <n v="612" u="1"/>
        <n v="613" u="1"/>
        <n v="614" u="1"/>
        <n v="615" u="1"/>
        <n v="616" u="1"/>
        <n v="617" u="1"/>
        <n v="618" u="1"/>
        <n v="619" u="1"/>
        <n v="620" u="1"/>
        <n v="621" u="1"/>
        <n v="622" u="1"/>
        <n v="623" u="1"/>
        <n v="624" u="1"/>
        <n v="625" u="1"/>
        <n v="626" u="1"/>
        <n v="627" u="1"/>
        <n v="628" u="1"/>
        <n v="629" u="1"/>
        <n v="630" u="1"/>
        <n v="631" u="1"/>
        <n v="632" u="1"/>
        <n v="633" u="1"/>
        <n v="634" u="1"/>
        <n v="635" u="1"/>
        <n v="636" u="1"/>
        <n v="637" u="1"/>
        <n v="638" u="1"/>
        <n v="639" u="1"/>
        <n v="640" u="1"/>
        <n v="136701" u="1"/>
        <n v="136702" u="1"/>
        <n v="641" u="1"/>
        <n v="642" u="1"/>
        <n v="643" u="1"/>
        <n v="644" u="1"/>
        <n v="645" u="1"/>
        <n v="646" u="1"/>
        <n v="647" u="1"/>
        <n v="648" u="1"/>
        <n v="649" u="1"/>
        <n v="650" u="1"/>
        <n v="93967174" u="1"/>
        <n v="93967175" u="1"/>
        <n v="93967176" u="1"/>
        <n v="93967177" u="1"/>
        <n v="93967178" u="1"/>
        <n v="93967179" u="1"/>
        <n v="93967180" u="1"/>
        <n v="93967181" u="1"/>
        <n v="93967182" u="1"/>
        <n v="651" u="1"/>
        <n v="652" u="1"/>
        <n v="653" u="1"/>
        <n v="654" u="1"/>
        <n v="655" u="1"/>
        <n v="656" u="1"/>
        <n v="657" u="1"/>
        <n v="658" u="1"/>
        <n v="659" u="1"/>
        <n v="660" u="1"/>
        <n v="661" u="1"/>
        <n v="662" u="1"/>
        <n v="663" u="1"/>
        <n v="664" u="1"/>
        <n v="665" u="1"/>
        <n v="666" u="1"/>
        <n v="667" u="1"/>
        <n v="668" u="1"/>
        <n v="669" u="1"/>
        <n v="670" u="1"/>
        <n v="671" u="1"/>
        <n v="672" u="1"/>
        <n v="673" u="1"/>
        <n v="674" u="1"/>
        <n v="675" u="1"/>
        <n v="676" u="1"/>
        <n v="677" u="1"/>
        <n v="678" u="1"/>
        <n v="679" u="1"/>
        <n v="680" u="1"/>
        <n v="681" u="1"/>
        <n v="682" u="1"/>
        <n v="683" u="1"/>
        <n v="93967183" u="1"/>
        <n v="93967184" u="1"/>
        <n v="93967185" u="1"/>
        <n v="93967186" u="1"/>
        <n v="93967187" u="1"/>
        <n v="93967188" u="1"/>
        <n v="93967189" u="1"/>
        <n v="93967190" u="1"/>
        <n v="93967191" u="1"/>
        <n v="93967192" u="1"/>
        <n v="93967193" u="1"/>
        <n v="93967194" u="1"/>
        <n v="93967195" u="1"/>
        <n v="93967196" u="1"/>
        <n v="93967197" u="1"/>
        <n v="684" u="1"/>
        <n v="685" u="1"/>
        <n v="686" u="1"/>
        <n v="687" u="1"/>
        <n v="688" u="1"/>
        <n v="689" u="1"/>
        <n v="690" u="1"/>
        <n v="691" u="1"/>
        <n v="692" u="1"/>
        <n v="693" u="1"/>
        <n v="694" u="1"/>
        <n v="695" u="1"/>
        <n v="696" u="1"/>
        <n v="697" u="1"/>
        <n v="698" u="1"/>
        <n v="699" u="1"/>
        <n v="700" u="1"/>
        <n v="701" u="1"/>
        <n v="702" u="1"/>
        <n v="703" u="1"/>
        <n v="704" u="1"/>
        <n v="705" u="1"/>
        <n v="706" u="1"/>
        <n v="707" u="1"/>
        <n v="708" u="1"/>
        <n v="709" u="1"/>
        <n v="710" u="1"/>
        <n v="711" u="1"/>
        <n v="712" u="1"/>
        <n v="713" u="1"/>
        <n v="714" u="1"/>
        <n v="715" u="1"/>
        <n v="716" u="1"/>
        <n v="717" u="1"/>
        <n v="718" u="1"/>
        <n v="719" u="1"/>
        <n v="720" u="1"/>
        <n v="721" u="1"/>
        <n v="722" u="1"/>
        <n v="723" u="1"/>
        <n v="724" u="1"/>
        <n v="725" u="1"/>
        <n v="726" u="1"/>
        <n v="727" u="1"/>
        <n v="728" u="1"/>
        <n v="729" u="1"/>
        <n v="730" u="1"/>
        <n v="731" u="1"/>
        <n v="732" u="1"/>
        <n v="733" u="1"/>
        <n v="734" u="1"/>
        <n v="735" u="1"/>
        <n v="736" u="1"/>
        <n v="737" u="1"/>
        <n v="738" u="1"/>
        <n v="739" u="1"/>
        <n v="740" u="1"/>
        <n v="741" u="1"/>
        <n v="742" u="1"/>
        <n v="743" u="1"/>
        <n v="744" u="1"/>
        <n v="745" u="1"/>
        <n v="746" u="1"/>
        <n v="747" u="1"/>
        <n v="748" u="1"/>
        <n v="749" u="1"/>
        <n v="750" u="1"/>
        <n v="751" u="1"/>
        <n v="752" u="1"/>
        <n v="753" u="1"/>
        <n v="754" u="1"/>
        <n v="93967198" u="1"/>
        <n v="755" u="1"/>
        <n v="756" u="1"/>
        <n v="757" u="1"/>
        <n v="760" u="1"/>
        <n v="758" u="1"/>
        <n v="761" u="1"/>
        <n v="759" u="1"/>
        <n v="762" u="1"/>
        <n v="763" u="1"/>
        <n v="764" u="1"/>
        <n v="765" u="1"/>
        <n v="766" u="1"/>
        <n v="767" u="1"/>
        <n v="768" u="1"/>
        <n v="769" u="1"/>
        <n v="93967199" u="1"/>
        <n v="93967200" u="1"/>
        <n v="93967201" u="1"/>
        <n v="770" u="1"/>
        <n v="771" u="1"/>
        <n v="772" u="1"/>
        <n v="773" u="1"/>
        <n v="774" u="1"/>
        <n v="775" u="1"/>
        <n v="776" u="1"/>
        <n v="777" u="1"/>
        <n v="778" u="1"/>
        <n v="779" u="1"/>
        <n v="780" u="1"/>
        <n v="781" u="1"/>
        <n v="782" u="1"/>
        <n v="783" u="1"/>
        <n v="784" u="1"/>
        <n v="785" u="1"/>
        <n v="786" u="1"/>
        <n v="787" u="1"/>
        <n v="136703" u="1"/>
        <n v="136704" u="1"/>
        <n v="136705" u="1"/>
        <n v="136706" u="1"/>
        <n v="136707" u="1"/>
        <n v="136708" u="1"/>
        <n v="788" u="1"/>
        <n v="789" u="1"/>
        <n v="790" u="1"/>
        <n v="791" u="1"/>
        <n v="792" u="1"/>
        <n v="793" u="1"/>
        <n v="794" u="1"/>
        <n v="795" u="1"/>
        <n v="796" u="1"/>
        <n v="797" u="1"/>
        <n v="798" u="1"/>
        <n v="799" u="1"/>
        <n v="800" u="1"/>
        <n v="801" u="1"/>
        <n v="93967202" u="1"/>
        <n v="93967203" u="1"/>
        <n v="93967204" u="1"/>
        <n v="93967205" u="1"/>
        <n v="93967206" u="1"/>
        <n v="93967207" u="1"/>
        <n v="93967208" u="1"/>
        <n v="93967209" u="1"/>
        <n v="93967210" u="1"/>
        <n v="93967211" u="1"/>
        <n v="93967212" u="1"/>
        <n v="93967213" u="1"/>
        <n v="93967214" u="1"/>
        <n v="37746175" u="1"/>
        <n v="37746176" u="1"/>
        <n v="803" u="1"/>
        <n v="804" u="1"/>
        <n v="805" u="1"/>
        <n v="806" u="1"/>
        <n v="807" u="1"/>
        <n v="808" u="1"/>
        <n v="809" u="1"/>
        <n v="810" u="1"/>
        <n v="811" u="1"/>
        <n v="812" u="1"/>
        <n v="813" u="1"/>
        <n v="93967215" u="1"/>
        <n v="93967216" u="1"/>
        <n v="93967217" u="1"/>
        <n v="93967218" u="1"/>
        <n v="93967219" u="1"/>
        <n v="93967220" u="1"/>
        <n v="93967221" u="1"/>
        <n v="93967222" u="1"/>
        <n v="93967223" u="1"/>
        <n v="93967224" u="1"/>
        <n v="93967225" u="1"/>
        <n v="93967226" u="1"/>
        <n v="93967227" u="1"/>
        <n v="93967228" u="1"/>
        <n v="93967229" u="1"/>
        <n v="93967230" u="1"/>
        <n v="814" u="1"/>
        <n v="815" u="1"/>
        <n v="816" u="1"/>
        <n v="817" u="1"/>
        <n v="818" u="1"/>
        <n v="819" u="1"/>
        <n v="820" u="1"/>
        <n v="821" u="1"/>
        <n v="822" u="1"/>
        <n v="823" u="1"/>
        <n v="824" u="1"/>
        <n v="825" u="1"/>
        <n v="826" u="1"/>
        <n v="827" u="1"/>
        <n v="828" u="1"/>
        <n v="829" u="1"/>
        <n v="830" u="1"/>
        <n v="831" u="1"/>
        <n v="832" u="1"/>
        <n v="833" u="1"/>
        <n v="834" u="1"/>
        <n v="835" u="1"/>
        <n v="836" u="1"/>
        <n v="837" u="1"/>
        <n v="838" u="1"/>
        <n v="839" u="1"/>
        <n v="840" u="1"/>
        <n v="841" u="1"/>
        <n v="842" u="1"/>
        <n v="843" u="1"/>
        <n v="844" u="1"/>
        <n v="845" u="1"/>
        <n v="846" u="1"/>
        <n v="847" u="1"/>
        <n v="848" u="1"/>
        <n v="849" u="1"/>
        <n v="850" u="1"/>
        <n v="851" u="1"/>
        <n v="852" u="1"/>
        <n v="853" u="1"/>
        <n v="854" u="1"/>
        <n v="855" u="1"/>
        <n v="856" u="1"/>
        <n v="857" u="1"/>
        <n v="858" u="1"/>
        <n v="859" u="1"/>
        <n v="860" u="1"/>
        <n v="861" u="1"/>
        <n v="862" u="1"/>
        <n v="863" u="1"/>
        <n v="864" u="1"/>
        <n v="865" u="1"/>
        <n v="866" u="1"/>
        <n v="867" u="1"/>
        <n v="868" u="1"/>
        <n v="869" u="1"/>
        <n v="870" u="1"/>
        <n v="871" u="1"/>
        <n v="872" u="1"/>
        <n v="873" u="1"/>
        <n v="874" u="1"/>
        <n v="875" u="1"/>
        <n v="876" u="1"/>
        <n v="93967231" u="1"/>
        <n v="93967232" u="1"/>
        <n v="93967233" u="1"/>
        <n v="93967234" u="1"/>
        <n v="93967235" u="1"/>
        <n v="93967236" u="1"/>
        <n v="37746177" u="1"/>
        <n v="37746178" u="1"/>
        <n v="93967237" u="1"/>
        <n v="877" u="1"/>
        <n v="878" u="1"/>
        <n v="879" u="1"/>
        <n v="880" u="1"/>
        <n v="881" u="1"/>
        <n v="882" u="1"/>
        <n v="883" u="1"/>
        <n v="884" u="1"/>
        <n v="885" u="1"/>
        <n v="886" u="1"/>
        <n v="887" u="1"/>
        <n v="888" u="1"/>
        <n v="889" u="1"/>
        <n v="890" u="1"/>
        <n v="891" u="1"/>
        <n v="892" u="1"/>
        <n v="893" u="1"/>
        <n v="894" u="1"/>
        <n v="895" u="1"/>
        <n v="896" u="1"/>
        <n v="93967238" u="1"/>
        <n v="93967239" u="1"/>
        <n v="93967240" u="1"/>
        <n v="906" u="1"/>
        <n v="907" u="1"/>
        <n v="908" u="1"/>
        <n v="909" u="1"/>
        <n v="910" u="1"/>
        <n v="911" u="1"/>
        <n v="912" u="1"/>
        <n v="913" u="1"/>
        <n v="914" u="1"/>
        <n v="915" u="1"/>
        <n v="916" u="1"/>
        <n v="897" u="1"/>
        <n v="898" u="1"/>
        <n v="899" u="1"/>
        <n v="900" u="1"/>
        <n v="901" u="1"/>
        <n v="902" u="1"/>
        <n v="903" u="1"/>
        <n v="904" u="1"/>
        <n v="905" u="1"/>
        <n v="917" u="1"/>
        <n v="918" u="1"/>
        <n v="919" u="1"/>
        <n v="920" u="1"/>
        <n v="921" u="1"/>
        <n v="922" u="1"/>
        <n v="923" u="1"/>
        <n v="924" u="1"/>
        <n v="925" u="1"/>
        <n v="926" u="1"/>
        <n v="927" u="1"/>
        <n v="928" u="1"/>
        <n v="929" u="1"/>
        <n v="930" u="1"/>
        <n v="931" u="1"/>
        <n v="932" u="1"/>
        <n v="933" u="1"/>
        <n v="934" u="1"/>
        <n v="935" u="1"/>
        <n v="936" u="1"/>
        <n v="937" u="1"/>
        <n v="938" u="1"/>
        <n v="939" u="1"/>
        <n v="940" u="1"/>
        <n v="93967241" u="1"/>
        <n v="93967242" u="1"/>
        <n v="93967243" u="1"/>
        <n v="93967244" u="1"/>
        <n v="93967245" u="1"/>
        <n v="93967246" u="1"/>
        <n v="93967247" u="1"/>
        <n v="93967248" u="1"/>
        <n v="93967249" u="1"/>
        <n v="93967250" u="1"/>
        <n v="93967251" u="1"/>
        <n v="93967252" u="1"/>
        <n v="93967253" u="1"/>
        <n v="93967254" u="1"/>
        <n v="93967255" u="1"/>
        <n v="93967256" u="1"/>
        <n v="93967257" u="1"/>
        <n v="941" u="1"/>
        <n v="942" u="1"/>
        <n v="943" u="1"/>
        <n v="944" u="1"/>
        <n v="945" u="1"/>
        <n v="946" u="1"/>
        <n v="947" u="1"/>
        <n v="948" u="1"/>
        <n v="949" u="1"/>
        <n v="950" u="1"/>
        <n v="951" u="1"/>
        <n v="952" u="1"/>
        <n v="953" u="1"/>
        <n v="954" u="1"/>
        <n v="955" u="1"/>
        <n v="956" u="1"/>
        <n v="957" u="1"/>
        <n v="958" u="1"/>
        <n v="959" u="1"/>
        <n v="960" u="1"/>
        <n v="961" u="1"/>
        <n v="962" u="1"/>
        <n v="963" u="1"/>
        <n v="964" u="1"/>
        <n v="965" u="1"/>
        <n v="966" u="1"/>
        <n v="1012" u="1"/>
        <n v="967" u="1"/>
        <n v="968" u="1"/>
        <n v="969" u="1"/>
        <n v="970" u="1"/>
        <n v="971" u="1"/>
        <n v="972" u="1"/>
        <n v="973" u="1"/>
        <n v="974" u="1"/>
        <n v="975" u="1"/>
        <n v="976" u="1"/>
        <n v="977" u="1"/>
        <n v="978" u="1"/>
        <n v="979" u="1"/>
        <n v="980" u="1"/>
        <n v="981" u="1"/>
        <n v="982" u="1"/>
        <n v="983" u="1"/>
        <n v="984" u="1"/>
        <n v="985" u="1"/>
        <n v="986" u="1"/>
        <n v="987" u="1"/>
        <n v="988" u="1"/>
        <n v="989" u="1"/>
        <n v="990" u="1"/>
        <n v="991" u="1"/>
        <n v="992" u="1"/>
        <n v="993" u="1"/>
        <n v="994" u="1"/>
        <n v="995" u="1"/>
        <n v="996" u="1"/>
        <n v="997" u="1"/>
        <n v="998" u="1"/>
        <n v="999" u="1"/>
        <n v="1000" u="1"/>
        <n v="1001" u="1"/>
        <n v="1002" u="1"/>
        <n v="1003" u="1"/>
        <n v="1004" u="1"/>
        <n v="1005" u="1"/>
        <n v="1006" u="1"/>
        <n v="1007" u="1"/>
        <n v="1008" u="1"/>
        <n v="1009" u="1"/>
        <n v="1010" u="1"/>
        <n v="1011" u="1"/>
        <n v="37746179" u="1"/>
        <n v="136709" u="1"/>
        <n v="136710" u="1"/>
        <n v="93967258" u="1"/>
        <n v="1013" u="1"/>
        <n v="1014" u="1"/>
        <n v="1015" u="1"/>
        <n v="1016" u="1"/>
        <n v="93967259" u="1"/>
        <n v="93967260" u="1"/>
        <n v="93967261" u="1"/>
        <n v="93967262" u="1"/>
        <n v="93967263" u="1"/>
        <n v="37746180" u="1"/>
        <n v="93967264" u="1"/>
        <n v="93967265" u="1"/>
        <n v="93967266" u="1"/>
        <n v="93967267" u="1"/>
        <n v="93967268" u="1"/>
        <n v="93967269" u="1"/>
        <n v="93967270" u="1"/>
        <n v="93967271" u="1"/>
        <n v="93967272" u="1"/>
        <n v="93967273" u="1"/>
        <n v="93967274" u="1"/>
        <n v="93967275" u="1"/>
        <n v="93967276" u="1"/>
        <n v="93967277" u="1"/>
        <n v="93967278" u="1"/>
        <n v="93967279" u="1"/>
        <n v="93967280" u="1"/>
        <n v="93967281" u="1"/>
        <n v="93967282" u="1"/>
        <n v="93967283" u="1"/>
        <n v="1017" u="1"/>
        <n v="1018" u="1"/>
        <n v="1019" u="1"/>
        <n v="1020" u="1"/>
        <n v="1021" u="1"/>
        <n v="1022" u="1"/>
        <n v="1023" u="1"/>
        <n v="1024" u="1"/>
        <n v="1025" u="1"/>
        <n v="1026" u="1"/>
        <n v="1027" u="1"/>
        <n v="1028" u="1"/>
        <n v="1029" u="1"/>
        <n v="1030" u="1"/>
        <n v="93967284" u="1"/>
        <n v="93967285" u="1"/>
        <n v="1037" u="1"/>
        <n v="1038" u="1"/>
        <n v="1039" u="1"/>
        <n v="1040" u="1"/>
        <n v="1041" u="1"/>
        <n v="1042" u="1"/>
        <n v="1031" u="1"/>
        <n v="1032" u="1"/>
        <n v="1033" u="1"/>
        <n v="1034" u="1"/>
        <n v="1035" u="1"/>
        <n v="1036" u="1"/>
        <n v="1043" u="1"/>
        <n v="1044" u="1"/>
        <n v="1045" u="1"/>
        <n v="1046" u="1"/>
        <n v="1047" u="1"/>
        <n v="1048" u="1"/>
        <n v="1049" u="1"/>
        <n v="1050" u="1"/>
        <n v="1051" u="1"/>
        <n v="1052" u="1"/>
        <n v="1053" u="1"/>
        <n v="1054" u="1"/>
        <n v="1055" u="1"/>
        <n v="1056" u="1"/>
        <n v="1057" u="1"/>
        <n v="93967286" u="1"/>
        <n v="93967287" u="1"/>
        <n v="93967288" u="1"/>
        <n v="93967289" u="1"/>
        <n v="93967290" u="1"/>
        <n v="93967291" u="1"/>
        <n v="93967292" u="1"/>
        <n v="93967293" u="1"/>
        <n v="93967294" u="1"/>
        <n v="93967295" u="1"/>
        <n v="93967296" u="1"/>
        <n v="93967297" u="1"/>
        <n v="93967298" u="1"/>
        <n v="93967299" u="1"/>
        <n v="93967300" u="1"/>
        <n v="93967301" u="1"/>
        <n v="93967302" u="1"/>
        <n v="93967303" u="1"/>
        <n v="93967304" u="1"/>
        <n v="93967305" u="1"/>
        <n v="1058" u="1"/>
        <n v="1059" u="1"/>
        <n v="1060" u="1"/>
        <n v="1061" u="1"/>
        <n v="1062" u="1"/>
        <n v="1063" u="1"/>
        <n v="1064" u="1"/>
        <n v="1065" u="1"/>
        <n v="1066" u="1"/>
        <n v="1067" u="1"/>
        <n v="1068" u="1"/>
        <n v="1069" u="1"/>
        <n v="1070" u="1"/>
        <n v="1071" u="1"/>
        <n v="1072" u="1"/>
        <n v="1073" u="1"/>
        <n v="1074" u="1"/>
        <n v="1075" u="1"/>
        <n v="1076" u="1"/>
        <n v="1077" u="1"/>
        <n v="1078" u="1"/>
        <n v="1079" u="1"/>
        <n v="1080" u="1"/>
        <n v="1081" u="1"/>
        <n v="1082" u="1"/>
        <n v="1083" u="1"/>
        <n v="1084" u="1"/>
        <n v="1085" u="1"/>
        <n v="1086" u="1"/>
        <n v="1087" u="1"/>
        <n v="1088" u="1"/>
        <n v="1089" u="1"/>
        <n v="1090" u="1"/>
        <n v="1091" u="1"/>
        <n v="1092" u="1"/>
        <n v="1093" u="1"/>
        <n v="1094" u="1"/>
        <n v="1095" u="1"/>
        <n v="1096" u="1"/>
        <n v="93967306" u="1"/>
        <n v="1097" u="1"/>
        <n v="93967307" u="1"/>
        <n v="93967308" u="1"/>
        <n v="93967309" u="1"/>
        <n v="1098" u="1"/>
        <n v="1099" u="1"/>
        <n v="1100" u="1"/>
        <n v="1101" u="1"/>
        <n v="1102" u="1"/>
        <n v="1103" u="1"/>
        <n v="1104" u="1"/>
        <n v="1105" u="1"/>
        <n v="1106" u="1"/>
        <n v="1107" u="1"/>
        <n v="1108" u="1"/>
        <n v="1109" u="1"/>
        <n v="1110" u="1"/>
        <n v="1111" u="1"/>
        <n v="1114" u="1"/>
        <n v="1115" u="1"/>
        <n v="1112" u="1"/>
        <n v="1113" u="1"/>
        <n v="93967310" u="1"/>
        <n v="93967311" u="1"/>
        <n v="93967312" u="1"/>
        <n v="93967313" u="1"/>
        <n v="93967314" u="1"/>
        <n v="93967315" u="1"/>
        <n v="1116" u="1"/>
        <n v="1117" u="1"/>
        <n v="1118" u="1"/>
        <n v="1119" u="1"/>
        <n v="1120" u="1"/>
        <n v="1121" u="1"/>
        <n v="1122" u="1"/>
        <n v="1123" u="1"/>
        <n v="1124" u="1"/>
        <n v="1125" u="1"/>
        <n v="1126" u="1"/>
        <n v="1127" u="1"/>
        <n v="1128" u="1"/>
        <n v="1129" u="1"/>
        <n v="1130" u="1"/>
        <n v="1131" u="1"/>
        <n v="1132" u="1"/>
        <n v="1133" u="1"/>
        <n v="1134" u="1"/>
        <n v="1135" u="1"/>
        <n v="93967316" u="1"/>
        <n v="93967317" u="1"/>
        <n v="93967318" u="1"/>
        <n v="93967319" u="1"/>
        <n v="93967320" u="1"/>
        <n v="93967321" u="1"/>
        <n v="93967322" u="1"/>
        <n v="93967323" u="1"/>
        <n v="93967324" u="1"/>
        <n v="93967325" u="1"/>
        <n v="93967326" u="1"/>
        <n v="93967327" u="1"/>
        <n v="1136" u="1"/>
        <n v="1137" u="1"/>
        <n v="1138" u="1"/>
        <n v="1139" u="1"/>
        <n v="1140" u="1"/>
        <n v="1141" u="1"/>
        <n v="1142" u="1"/>
        <n v="1143" u="1"/>
        <n v="1144" u="1"/>
        <n v="1145" u="1"/>
        <n v="1146" u="1"/>
        <n v="1147" u="1"/>
        <n v="1148" u="1"/>
        <n v="1149" u="1"/>
        <n v="1150" u="1"/>
        <n v="1151" u="1"/>
        <n v="1152" u="1"/>
        <n v="1153" u="1"/>
        <n v="1154" u="1"/>
        <n v="1155" u="1"/>
        <n v="1156" u="1"/>
        <n v="1157" u="1"/>
        <n v="93967328" u="1"/>
        <n v="93967329" u="1"/>
        <n v="93967330" u="1"/>
        <n v="93967331" u="1"/>
        <n v="93967332" u="1"/>
        <n v="93967333" u="1"/>
        <n v="93967334" u="1"/>
        <n v="93967335" u="1"/>
        <n v="93967336" u="1"/>
        <n v="93967337" u="1"/>
        <n v="93967338" u="1"/>
        <n v="93967339" u="1"/>
        <n v="93967340" u="1"/>
        <n v="93967341" u="1"/>
        <n v="93967342" u="1"/>
        <n v="93967343" u="1"/>
        <n v="93967344" u="1"/>
        <n v="93967345" u="1"/>
        <n v="93967346" u="1"/>
        <n v="93967347" u="1"/>
        <n v="93967348" u="1"/>
        <n v="136711" u="1"/>
        <n v="136712" u="1"/>
        <n v="136713" u="1"/>
        <n v="136714" u="1"/>
        <n v="136715" u="1"/>
        <n v="136716" u="1"/>
        <n v="136717" u="1"/>
        <n v="136718" u="1"/>
        <n v="136719" u="1"/>
        <n v="136720" u="1"/>
        <n v="136721" u="1"/>
        <n v="136722" u="1"/>
        <n v="136723" u="1"/>
        <n v="136724" u="1"/>
        <n v="136725" u="1"/>
        <n v="136726" u="1"/>
        <n v="136727" u="1"/>
        <n v="136728" u="1"/>
        <n v="136729" u="1"/>
        <n v="136730" u="1"/>
        <n v="136731" u="1"/>
        <n v="136732" u="1"/>
        <n v="136733" u="1"/>
        <n v="136734" u="1"/>
        <n v="136735" u="1"/>
        <n v="136736" u="1"/>
        <n v="136737" u="1"/>
        <n v="136738" u="1"/>
        <n v="136739" u="1"/>
        <n v="136740" u="1"/>
        <n v="136741" u="1"/>
        <n v="136742" u="1"/>
        <n v="136743" u="1"/>
        <n v="93967349" u="1"/>
        <n v="136744" u="1"/>
        <n v="93967350" u="1"/>
        <n v="93967351" u="1"/>
        <n v="93967352" u="1"/>
        <n v="1158" u="1"/>
        <n v="93967353" u="1"/>
        <n v="37746181" u="1"/>
        <n v="317749" u="1"/>
        <n v="317750" u="1"/>
        <n v="317751" u="1"/>
        <n v="317752" u="1"/>
        <n v="317753" u="1"/>
        <n v="317754" u="1"/>
        <n v="317755" u="1"/>
        <n v="317756" u="1"/>
        <n v="317757" u="1"/>
        <n v="317758" u="1"/>
        <n v="317759" u="1"/>
        <n v="317760" u="1"/>
        <n v="317761" u="1"/>
        <n v="136745" u="1"/>
        <n v="136746" u="1"/>
        <n v="317762" u="1"/>
        <n v="317763" u="1"/>
        <n v="317764" u="1"/>
        <n v="317765" u="1"/>
        <n v="317766" u="1"/>
        <n v="317767" u="1"/>
        <n v="317768" u="1"/>
        <n v="317769" u="1"/>
        <n v="317770" u="1"/>
        <n v="317771" u="1"/>
        <n v="317772" u="1"/>
        <n v="317773" u="1"/>
        <n v="93967355" u="1"/>
        <n v="93967356" u="1"/>
        <n v="93967357" u="1"/>
        <n v="93967358" u="1"/>
        <n v="93967359" u="1"/>
        <n v="93967360" u="1"/>
        <n v="93967361" u="1"/>
        <n v="93967362" u="1"/>
        <n v="93967363" u="1"/>
        <n v="93967364" u="1"/>
        <n v="93967365" u="1"/>
        <n v="93967366" u="1"/>
        <n v="93967367" u="1"/>
        <n v="93967368" u="1"/>
        <n v="93967369" u="1"/>
        <n v="93967370" u="1"/>
        <n v="317781" u="1"/>
        <n v="317782" u="1"/>
        <n v="317783" u="1"/>
        <n v="317784" u="1"/>
        <n v="317785" u="1"/>
        <n v="317786" u="1"/>
        <n v="317787" u="1"/>
        <n v="317788" u="1"/>
        <n v="317789" u="1"/>
        <n v="317790" u="1"/>
        <n v="317791" u="1"/>
        <n v="317792" u="1"/>
        <n v="317793" u="1"/>
        <n v="317794" u="1"/>
        <n v="317795" u="1"/>
        <n v="317796" u="1"/>
        <n v="317797" u="1"/>
        <n v="317798" u="1"/>
        <n v="317799" u="1"/>
        <n v="317800" u="1"/>
        <n v="317801" u="1"/>
        <n v="317802" u="1"/>
        <n v="317803" u="1"/>
        <n v="317804" u="1"/>
        <n v="317805" u="1"/>
        <n v="317806" u="1"/>
        <n v="317807" u="1"/>
        <n v="317808" u="1"/>
        <n v="317809" u="1"/>
        <n v="317810" u="1"/>
        <n v="317811" u="1"/>
        <n v="317812" u="1"/>
        <n v="317813" u="1"/>
        <n v="317814" u="1"/>
        <n v="317815" u="1"/>
        <n v="317816" u="1"/>
        <n v="317817" u="1"/>
        <n v="317818" u="1"/>
        <n v="317819" u="1"/>
        <n v="317820" u="1"/>
        <n v="317821" u="1"/>
        <n v="317822" u="1"/>
        <n v="317823" u="1"/>
        <n v="317824" u="1"/>
        <n v="317825" u="1"/>
        <n v="317826" u="1"/>
        <n v="317827" u="1"/>
        <n v="93967371" u="1"/>
        <n v="317828" u="1"/>
        <n v="317829" u="1"/>
        <n v="317830" u="1"/>
        <n v="317831" u="1"/>
        <n v="93967372" u="1"/>
        <n v="317832" u="1"/>
        <n v="317833" u="1"/>
        <n v="93967373" u="1"/>
        <n v="317835" u="1"/>
        <n v="317837" u="1"/>
        <n v="317838" u="1"/>
        <n v="93967374" u="1"/>
        <n v="358072" u="1"/>
        <n v="358073" u="1"/>
        <n v="358074" u="1"/>
        <n v="358075" u="1"/>
        <n v="358076" u="1"/>
        <n v="358077" u="1"/>
        <n v="358078" u="1"/>
        <n v="358079" u="1"/>
        <n v="358080" u="1"/>
        <n v="358081" u="1"/>
        <n v="358082" u="1"/>
        <n v="358083" u="1"/>
        <n v="358084" u="1"/>
        <n v="358085" u="1"/>
        <n v="358086" u="1"/>
        <n v="358087" u="1"/>
        <n v="358088" u="1"/>
        <n v="358089" u="1"/>
        <n v="358090" u="1"/>
        <n v="358091" u="1"/>
        <n v="358092" u="1"/>
        <n v="358093" u="1"/>
        <n v="358094" u="1"/>
        <n v="358095" u="1"/>
        <n v="358096" u="1"/>
        <n v="358097" u="1"/>
        <n v="358071" u="1"/>
        <n v="93967375" u="1"/>
        <n v="358098" u="1"/>
        <n v="358099" u="1"/>
        <n v="358100" u="1"/>
        <n v="358101" u="1"/>
        <n v="358102" u="1"/>
        <n v="358103" u="1"/>
        <n v="358104" u="1"/>
        <n v="358105" u="1"/>
        <n v="358106" u="1"/>
        <n v="93967376" u="1"/>
        <n v="358107" u="1"/>
        <n v="358108" u="1"/>
        <n v="358109" u="1"/>
        <n v="358110" u="1"/>
        <n v="358111" u="1"/>
        <n v="358112" u="1"/>
        <n v="358113" u="1"/>
        <n v="358114" u="1"/>
        <n v="358115" u="1"/>
        <n v="358116" u="1"/>
        <n v="358117" u="1"/>
        <n v="358118" u="1"/>
        <n v="358119" u="1"/>
        <n v="358120" u="1"/>
        <n v="358121" u="1"/>
        <n v="358122" u="1"/>
        <n v="358123" u="1"/>
        <n v="358124" u="1"/>
        <n v="358125" u="1"/>
        <n v="358126" u="1"/>
        <n v="358127" u="1"/>
        <n v="358128" u="1"/>
        <n v="358129" u="1"/>
        <n v="358130" u="1"/>
        <n v="358131" u="1"/>
        <n v="358132" u="1"/>
        <n v="358133" u="1"/>
        <n v="358134" u="1"/>
        <n v="358135" u="1"/>
        <n v="358136" u="1"/>
        <n v="358137" u="1"/>
        <n v="358138" u="1"/>
        <n v="93967377" u="1"/>
        <n v="93967378" u="1"/>
        <n v="93967379" u="1"/>
        <n v="93967380" u="1"/>
        <n v="93967381" u="1"/>
        <n v="93967382" u="1"/>
        <n v="93967383" u="1"/>
        <n v="93967384" u="1"/>
        <n v="93967385" u="1"/>
        <n v="93967386" u="1"/>
        <n v="93967387" u="1"/>
        <n v="93967388" u="1"/>
        <n v="93967389" u="1"/>
        <n v="93967390" u="1"/>
        <n v="93967391" u="1"/>
        <n v="93967392" u="1"/>
        <n v="358139" u="1"/>
        <n v="358140" u="1"/>
        <n v="358141" u="1"/>
        <n v="358142" u="1"/>
        <n v="358143" u="1"/>
        <n v="358144" u="1"/>
        <n v="358145" u="1"/>
        <n v="358146" u="1"/>
        <n v="358147" u="1"/>
        <n v="358148" u="1"/>
        <n v="358149" u="1"/>
        <n v="358150" u="1"/>
        <n v="358151" u="1"/>
        <n v="358152" u="1"/>
        <n v="358153" u="1"/>
        <n v="358154" u="1"/>
        <n v="376822" u="1"/>
        <n v="376823" u="1"/>
        <n v="376824" u="1"/>
        <n v="376825" u="1"/>
        <n v="376826" u="1"/>
        <n v="376827" u="1"/>
        <n v="376828" u="1"/>
        <n v="376829" u="1"/>
        <n v="1159" u="1"/>
        <n v="1160" u="1"/>
        <n v="1161" u="1"/>
        <n v="1162" u="1"/>
        <n v="1163" u="1"/>
        <n v="1164" u="1"/>
        <n v="1165" u="1"/>
        <n v="1166" u="1"/>
        <n v="376830" u="1"/>
        <n v="376831" u="1"/>
        <n v="376832" u="1"/>
        <n v="1167" u="1"/>
        <n v="93967393" u="1"/>
        <n v="376833" u="1"/>
        <n v="376834" u="1"/>
        <n v="376835" u="1"/>
        <n v="376836" u="1"/>
        <n v="376837" u="1"/>
        <n v="376838" u="1"/>
        <n v="376839" u="1"/>
        <n v="376840" u="1"/>
        <n v="376841" u="1"/>
        <n v="376842" u="1"/>
        <n v="376843" u="1"/>
        <n v="376844" u="1"/>
        <n v="376845" u="1"/>
        <n v="376846" u="1"/>
        <n v="376847" u="1"/>
        <n v="376848" u="1"/>
        <n v="376849" u="1"/>
        <n v="376850" u="1"/>
        <n v="376851" u="1"/>
        <n v="376852" u="1"/>
        <n v="376853" u="1"/>
        <n v="376854" u="1"/>
        <n v="376855" u="1"/>
        <n v="376856" u="1"/>
        <n v="376857" u="1"/>
        <n v="93967394" u="1"/>
        <n v="376858" u="1"/>
        <n v="376859" u="1"/>
        <n v="376860" u="1"/>
        <n v="376861" u="1"/>
        <n v="376862" u="1"/>
        <n v="358063" u="1"/>
        <n v="376864" u="1"/>
        <n v="376865" u="1"/>
        <n v="376866" u="1"/>
        <n v="93967395" u="1"/>
        <n v="93967396" u="1"/>
        <n v="376867" u="1"/>
        <n v="376868" u="1"/>
        <n v="376869" u="1"/>
        <n v="376870" u="1"/>
        <n v="376871" u="1"/>
        <n v="93967398" u="1"/>
        <n v="376872" u="1"/>
        <n v="376873" u="1"/>
        <n v="376874" u="1"/>
        <n v="376875" u="1"/>
        <n v="376876" u="1"/>
        <n v="376877" u="1"/>
        <n v="376878" u="1"/>
        <n v="376879" u="1"/>
        <n v="376880" u="1"/>
        <n v="376881" u="1"/>
        <n v="376882" u="1"/>
        <n v="376883" u="1"/>
        <n v="376884" u="1"/>
        <n v="376885" u="1"/>
        <n v="376886" u="1"/>
        <n v="376887" u="1"/>
        <n v="376888" u="1"/>
        <n v="376889" u="1"/>
        <n v="376890" u="1"/>
        <n v="376891" u="1"/>
        <n v="376892" u="1"/>
        <n v="376893" u="1"/>
        <n v="376894" u="1"/>
        <n v="376895" u="1"/>
        <n v="376896" u="1"/>
        <n v="376897" u="1"/>
        <n v="376898" u="1"/>
        <n v="376899" u="1"/>
        <n v="376900" u="1"/>
        <n v="376901" u="1"/>
        <n v="376902" u="1"/>
        <n v="376903" u="1"/>
        <n v="376904" u="1"/>
        <n v="376905" u="1"/>
        <n v="376906" u="1"/>
        <n v="376907" u="1"/>
        <n v="376908" u="1"/>
        <n v="376909" u="1"/>
        <n v="376910" u="1"/>
        <n v="376911" u="1"/>
        <n v="376912" u="1"/>
        <n v="376913" u="1"/>
        <n v="376914" u="1"/>
        <n v="376915" u="1"/>
        <n v="376916" u="1"/>
        <n v="376917" u="1"/>
        <n v="93967399" u="1"/>
        <n v="93967400" u="1"/>
        <n v="93967401" u="1"/>
        <n v="93967402" u="1"/>
        <n v="93967403" u="1"/>
        <n v="93967404" u="1"/>
        <n v="93967405" u="1"/>
        <n v="93967406" u="1"/>
        <n v="93967407" u="1"/>
        <n v="93967408" u="1"/>
        <n v="93967409" u="1"/>
        <n v="93967410" u="1"/>
        <n v="376918" u="1"/>
        <n v="93967411" u="1"/>
        <n v="93967412" u="1"/>
        <n v="93967413" u="1"/>
        <n v="93967414" u="1"/>
        <n v="93967415" u="1"/>
        <n v="376919" u="1"/>
        <n v="376920" u="1"/>
        <n v="376921" u="1"/>
        <n v="420330" u="1"/>
        <n v="420331" u="1"/>
        <n v="93967416" u="1"/>
        <n v="420332" u="1"/>
        <n v="420333" u="1"/>
        <n v="420334" u="1"/>
        <n v="93967417" u="1"/>
        <n v="93967418" u="1"/>
        <n v="93967419" u="1"/>
        <n v="93967420" u="1"/>
        <n v="93967421" u="1"/>
        <n v="93967422" u="1"/>
        <n v="93967423" u="1"/>
        <n v="93967424" u="1"/>
        <n v="93967425" u="1"/>
        <n v="93967426" u="1"/>
        <n v="420335" u="1"/>
        <n v="420336" u="1"/>
        <n v="420337" u="1"/>
        <n v="420338" u="1"/>
        <n v="420339" u="1"/>
        <n v="420340" u="1"/>
        <n v="420341" u="1"/>
        <n v="420342" u="1"/>
        <n v="420343" u="1"/>
        <n v="420344" u="1"/>
        <n v="420345" u="1"/>
        <n v="420346" u="1"/>
        <n v="420347" u="1"/>
        <n v="420348" u="1"/>
        <n v="420349" u="1"/>
        <n v="5042054" u="1"/>
        <n v="5042055" u="1"/>
        <n v="5042056" u="1"/>
        <n v="5042057" u="1"/>
        <n v="5042058" u="1"/>
        <n v="5042059" u="1"/>
        <n v="5042060" u="1"/>
        <n v="5042061" u="1"/>
        <n v="5042062" u="1"/>
        <n v="5042063" u="1"/>
        <n v="420350" u="1"/>
        <n v="420351" u="1"/>
        <n v="420352" u="1"/>
        <n v="420353" u="1"/>
        <n v="420354" u="1"/>
        <n v="420355" u="1"/>
        <n v="420356" u="1"/>
        <n v="420357" u="1"/>
        <n v="420358" u="1"/>
        <n v="420359" u="1"/>
        <n v="93967427" u="1"/>
        <n v="93967428" u="1"/>
        <n v="420360" u="1"/>
        <n v="420361" u="1"/>
        <n v="420362" u="1"/>
        <n v="93967429" u="1"/>
        <n v="93967430" u="1"/>
        <n v="93967431" u="1"/>
        <n v="93967432" u="1"/>
        <n v="93967433" u="1"/>
        <n v="420363" u="1"/>
        <n v="420364" u="1"/>
        <n v="420365" u="1"/>
        <n v="420366" u="1"/>
        <n v="420367" u="1"/>
        <n v="420368" u="1"/>
        <n v="420369" u="1"/>
        <n v="93967434" u="1"/>
        <n v="93967435" u="1"/>
        <n v="93967436" u="1"/>
        <n v="420370" u="1"/>
        <n v="420371" u="1"/>
        <n v="420372" u="1"/>
        <n v="420373" u="1"/>
        <n v="420374" u="1"/>
        <n v="420375" u="1"/>
        <n v="420376" u="1"/>
        <n v="420377" u="1"/>
        <n v="420378" u="1"/>
        <n v="93967437" u="1"/>
        <n v="420379" u="1"/>
        <n v="420380" u="1"/>
        <n v="420381" u="1"/>
        <n v="420382" u="1"/>
        <n v="420383" u="1"/>
        <n v="420384" u="1"/>
        <n v="420385" u="1"/>
        <n v="420386" u="1"/>
        <n v="420387" u="1"/>
        <n v="420388" u="1"/>
        <n v="420389" u="1"/>
        <n v="420390" u="1"/>
        <n v="420391" u="1"/>
        <n v="420392" u="1"/>
        <n v="420393" u="1"/>
        <n v="420394" u="1"/>
        <n v="420395" u="1"/>
        <n v="420396" u="1"/>
        <n v="420397" u="1"/>
        <n v="420398" u="1"/>
        <n v="93967438" u="1"/>
        <n v="93967439" u="1"/>
        <n v="93967440" u="1"/>
        <n v="93967441" u="1"/>
        <n v="93967442" u="1"/>
        <n v="93967443" u="1"/>
        <n v="93967444" u="1"/>
        <n v="93967445" u="1"/>
        <n v="93967446" u="1"/>
        <n v="93967447" u="1"/>
        <n v="93967448" u="1"/>
        <n v="93967449" u="1"/>
        <n v="93967450" u="1"/>
        <n v="420399" u="1"/>
        <n v="420400" u="1"/>
        <n v="420401" u="1"/>
        <n v="420402" u="1"/>
        <n v="420403" u="1"/>
        <n v="420404" u="1"/>
        <n v="420405" u="1"/>
        <n v="420406" u="1"/>
        <n v="420407" u="1"/>
        <n v="420408" u="1"/>
        <n v="420409" u="1"/>
        <n v="420410" u="1"/>
        <n v="420411" u="1"/>
        <n v="420412" u="1"/>
        <n v="420413" u="1"/>
        <n v="420414" u="1"/>
        <n v="420415" u="1"/>
        <n v="420416" u="1"/>
        <n v="420417" u="1"/>
        <n v="420418" u="1"/>
        <n v="420419" u="1"/>
        <n v="420420" u="1"/>
        <n v="420421" u="1"/>
        <n v="420422" u="1"/>
        <n v="420423" u="1"/>
        <n v="420424" u="1"/>
        <n v="420425" u="1"/>
        <n v="420426" u="1"/>
        <n v="420427" u="1"/>
        <n v="420428" u="1"/>
        <n v="420429" u="1"/>
        <n v="93967451" u="1"/>
        <n v="93967452" u="1"/>
        <n v="93967453" u="1"/>
        <n v="93967454" u="1"/>
        <n v="93967455" u="1"/>
        <n v="93967456" u="1"/>
        <n v="93967457" u="1"/>
        <n v="93967458" u="1"/>
        <n v="93967459" u="1"/>
        <n v="451368" u="1"/>
        <n v="93967460" u="1"/>
        <n v="93967461" u="1"/>
        <n v="93967462" u="1"/>
        <n v="451369" u="1"/>
        <n v="451370" u="1"/>
        <n v="451371" u="1"/>
        <n v="93967466" u="1"/>
        <n v="93967467" u="1"/>
        <n v="93967468" u="1"/>
        <n v="93967469" u="1"/>
        <n v="93967470" u="1"/>
        <n v="93967471" u="1"/>
        <n v="451372" u="1"/>
        <n v="451373" u="1"/>
        <n v="451374" u="1"/>
        <n v="451375" u="1"/>
        <n v="451376" u="1"/>
        <n v="451377" u="1"/>
        <n v="451378" u="1"/>
        <n v="451379" u="1"/>
        <n v="451380" u="1"/>
        <n v="451381" u="1"/>
        <n v="451382" u="1"/>
        <n v="451383" u="1"/>
        <n v="451384" u="1"/>
        <n v="451385" u="1"/>
        <n v="451386" u="1"/>
        <n v="451387" u="1"/>
        <n v="451388" u="1"/>
        <n v="451389" u="1"/>
        <n v="451390" u="1"/>
        <n v="451391" u="1"/>
        <n v="93967472" u="1"/>
        <n v="93967473" u="1"/>
        <n v="93967474" u="1"/>
        <n v="93967475" u="1"/>
        <n v="93967476" u="1"/>
        <n v="93967480" u="1"/>
        <n v="93967481" u="1"/>
        <n v="93967482" u="1"/>
        <n v="451392" u="1"/>
        <n v="451393" u="1"/>
        <n v="451394" u="1"/>
        <n v="451395" u="1"/>
        <n v="451396" u="1"/>
        <n v="451397" u="1"/>
        <n v="451398" u="1"/>
        <n v="93967483" u="1"/>
        <n v="93967484" u="1"/>
        <n v="5042064" u="1"/>
        <n v="5042065" u="1"/>
        <n v="5042066" u="1"/>
        <n v="451399" u="1"/>
        <n v="451400" u="1"/>
        <n v="451401" u="1"/>
        <n v="451402" u="1"/>
        <n v="451403" u="1"/>
        <n v="451404" u="1"/>
        <n v="451405" u="1"/>
        <n v="451406" u="1"/>
        <n v="451407" u="1"/>
        <n v="451408" u="1"/>
        <n v="451409" u="1"/>
        <n v="451410" u="1"/>
        <n v="451411" u="1"/>
        <n v="451412" u="1"/>
        <n v="451413" u="1"/>
        <n v="451414" u="1"/>
        <n v="451415" u="1"/>
        <n v="451416" u="1"/>
        <n v="93967485" u="1"/>
        <n v="93967486" u="1"/>
        <n v="93967487" u="1"/>
        <n v="93967488" u="1"/>
        <n v="93967489" u="1"/>
        <n v="93967490" u="1"/>
        <n v="93967491" u="1"/>
        <n v="93967492" u="1"/>
        <n v="93967493" u="1"/>
        <n v="93967494" u="1"/>
        <n v="93967495" u="1"/>
        <n v="93967496" u="1"/>
        <n v="451417" u="1"/>
        <n v="451418" u="1"/>
        <n v="451419" u="1"/>
        <n v="451420" u="1"/>
        <n v="451421" u="1"/>
        <n v="451422" u="1"/>
        <n v="451423" u="1"/>
        <n v="451424" u="1"/>
        <n v="451425" u="1"/>
        <n v="451426" u="1"/>
        <n v="451427" u="1"/>
        <n v="451428" u="1"/>
        <n v="451429" u="1"/>
        <n v="451430" u="1"/>
        <n v="451431" u="1"/>
        <n v="451432" u="1"/>
        <n v="451433" u="1"/>
        <n v="451434" u="1"/>
        <n v="451435" u="1"/>
        <n v="451436" u="1"/>
        <n v="451437" u="1"/>
        <n v="451438" u="1"/>
        <n v="451439" u="1"/>
        <n v="451440" u="1"/>
        <n v="451441" u="1"/>
        <n v="93967497" u="1"/>
        <n v="93967498" u="1"/>
        <n v="451442" u="1"/>
        <n v="451443" u="1"/>
        <n v="451444" u="1"/>
        <n v="451445" u="1"/>
        <n v="451446" u="1"/>
        <n v="451447" u="1"/>
        <n v="451448" u="1"/>
        <n v="451449" u="1"/>
        <n v="451450" u="1"/>
        <n v="451451" u="1"/>
        <n v="451452" u="1"/>
        <n v="451453" u="1"/>
        <n v="451454" u="1"/>
        <n v="451455" u="1"/>
        <n v="451456" u="1"/>
        <n v="451457" u="1"/>
        <n v="451458" u="1"/>
        <n v="451459" u="1"/>
        <n v="451460" u="1"/>
        <n v="451461" u="1"/>
        <n v="451462" u="1"/>
        <n v="451463" u="1"/>
        <n v="451464" u="1"/>
        <n v="451465" u="1"/>
        <n v="451466" u="1"/>
        <n v="451467" u="1"/>
        <n v="479592" u="1"/>
        <n v="479593" u="1"/>
        <n v="479594" u="1"/>
        <n v="479595" u="1"/>
        <n v="93967499" u="1"/>
        <n v="93967500" u="1"/>
        <n v="93967501" u="1"/>
        <n v="93967502" u="1"/>
        <n v="93967503" u="1"/>
        <n v="479596" u="1"/>
        <n v="479597" u="1"/>
        <n v="479598" u="1"/>
        <n v="479599" u="1"/>
        <n v="479600" u="1"/>
        <n v="479601" u="1"/>
        <n v="479602" u="1"/>
        <n v="479603" u="1"/>
        <n v="479604" u="1"/>
        <n v="479605" u="1"/>
        <n v="93967504" u="1"/>
        <n v="93967505" u="1"/>
        <n v="93967506" u="1"/>
        <n v="93967507" u="1"/>
        <n v="93967508" u="1"/>
        <n v="93967509" u="1"/>
        <n v="93967510" u="1"/>
        <n v="93967511" u="1"/>
        <n v="93967512" u="1"/>
        <n v="479606" u="1"/>
        <n v="479607" u="1"/>
        <n v="479608" u="1"/>
        <n v="479609" u="1"/>
        <n v="479610" u="1"/>
        <n v="479611" u="1"/>
        <n v="479612" u="1"/>
        <n v="479613" u="1"/>
        <n v="479614" u="1"/>
        <n v="479615" u="1"/>
        <n v="479616" u="1"/>
        <n v="479617" u="1"/>
        <n v="479618" u="1"/>
        <n v="479619" u="1"/>
        <n v="479620" u="1"/>
        <n v="479621" u="1"/>
        <n v="479622" u="1"/>
        <n v="479623" u="1"/>
        <n v="479624" u="1"/>
        <n v="479625" u="1"/>
        <n v="479626" u="1"/>
        <n v="479627" u="1"/>
        <n v="479628" u="1"/>
        <n v="479629" u="1"/>
        <n v="479630" u="1"/>
        <n v="479631" u="1"/>
        <n v="479632" u="1"/>
        <n v="479633" u="1"/>
        <n v="93967513" u="1"/>
        <n v="93967514" u="1"/>
        <n v="93967515" u="1"/>
        <n v="93967516" u="1"/>
        <n v="93967517" u="1"/>
        <n v="93967518" u="1"/>
        <n v="93967519" u="1"/>
        <n v="93967520" u="1"/>
        <n v="93967521" u="1"/>
        <n v="93967522" u="1"/>
        <n v="93967523" u="1"/>
        <n v="93967524" u="1"/>
        <n v="93967525" u="1"/>
        <n v="93967526" u="1"/>
        <n v="93967527" u="1"/>
        <n v="93967528" u="1"/>
        <n v="93967529" u="1"/>
        <n v="93967530" u="1"/>
        <n v="93967531" u="1"/>
        <n v="93967532" u="1"/>
        <n v="93967533" u="1"/>
        <n v="479634" u="1"/>
        <n v="479635" u="1"/>
        <n v="479636" u="1"/>
        <n v="93967534" u="1"/>
        <n v="479637" u="1"/>
        <n v="479638" u="1"/>
        <n v="479639" u="1"/>
        <n v="479640" u="1"/>
        <n v="479641" u="1"/>
        <n v="479642" u="1"/>
        <n v="479643" u="1"/>
        <n v="479644" u="1"/>
        <n v="479645" u="1"/>
        <n v="479646" u="1"/>
        <n v="479647" u="1"/>
        <n v="479648" u="1"/>
        <n v="479649" u="1"/>
        <n v="479650" u="1"/>
        <n v="479651" u="1"/>
        <n v="479652" u="1"/>
        <n v="479653" u="1"/>
        <n v="479654" u="1"/>
        <n v="479655" u="1"/>
        <n v="479656" u="1"/>
        <n v="479657" u="1"/>
        <n v="479658" u="1"/>
        <n v="479659" u="1"/>
        <n v="479660" u="1"/>
        <n v="479661" u="1"/>
        <n v="93967535" u="1"/>
        <n v="479669" u="1"/>
        <n v="479670" u="1"/>
        <n v="479671" u="1"/>
        <n v="479662" u="1"/>
        <n v="479663" u="1"/>
        <n v="479664" u="1"/>
        <n v="479665" u="1"/>
        <n v="479666" u="1"/>
        <n v="479667" u="1"/>
        <n v="479668" u="1"/>
        <n v="93967536" u="1"/>
        <n v="93967537" u="1"/>
        <n v="93967538" u="1"/>
        <n v="93967539" u="1"/>
        <n v="93967540" u="1"/>
        <n v="93967541" u="1"/>
        <n v="479672" u="1"/>
        <n v="479673" u="1"/>
        <n v="479674" u="1"/>
        <n v="479675" u="1"/>
        <n v="479676" u="1"/>
        <n v="479677" u="1"/>
        <n v="479678" u="1"/>
        <n v="479679" u="1"/>
        <n v="479680" u="1"/>
        <n v="479681" u="1"/>
        <n v="479682" u="1"/>
        <n v="479683" u="1"/>
        <n v="93967542" u="1"/>
        <n v="93967543" u="1"/>
        <n v="93967544" u="1"/>
        <n v="93967545" u="1"/>
        <n v="93967546" u="1"/>
        <n v="93967547" u="1"/>
        <n v="93967548" u="1"/>
        <n v="93967549" u="1"/>
        <n v="93967550" u="1"/>
        <n v="93967551" u="1"/>
        <n v="93967552" u="1"/>
        <n v="93967553" u="1"/>
        <n v="479684" u="1"/>
        <n v="479685" u="1"/>
        <n v="479686" u="1"/>
        <n v="479687" u="1"/>
        <n v="479688" u="1"/>
        <n v="479689" u="1"/>
        <n v="479690" u="1"/>
        <n v="479691" u="1"/>
        <n v="479692" u="1"/>
        <n v="479693" u="1"/>
        <n v="479694" u="1"/>
        <n v="479695" u="1"/>
        <n v="479696" u="1"/>
        <n v="93967554" u="1"/>
        <n v="93967555" u="1"/>
        <n v="93967556" u="1"/>
        <n v="93967557" u="1"/>
        <n v="93967558" u="1"/>
        <n v="93967559" u="1"/>
        <n v="93967560" u="1"/>
        <n v="93967561" u="1"/>
        <n v="93967562" u="1"/>
        <n v="93967563" u="1"/>
        <n v="93967564" u="1"/>
        <n v="93967565" u="1"/>
        <n v="479697" u="1"/>
        <n v="479698" u="1"/>
        <n v="479699" u="1"/>
        <n v="479700" u="1"/>
        <n v="479701" u="1"/>
        <n v="479702" u="1"/>
        <n v="479703" u="1"/>
        <n v="479704" u="1"/>
        <n v="479705" u="1"/>
        <n v="479706" u="1"/>
        <n v="93967566" u="1"/>
        <n v="93967567" u="1"/>
        <n v="93967568" u="1"/>
        <n v="93967569" u="1"/>
        <n v="93967570" u="1"/>
        <n v="93967571" u="1"/>
        <n v="93967572" u="1"/>
        <n v="93967573" u="1"/>
        <n v="479707" u="1"/>
        <n v="479708" u="1"/>
        <n v="479709" u="1"/>
        <n v="479710" u="1"/>
        <n v="479711" u="1"/>
        <n v="479712" u="1"/>
        <n v="479713" u="1"/>
        <n v="479714" u="1"/>
        <n v="479715" u="1"/>
        <n v="479716" u="1"/>
        <n v="479717" u="1"/>
        <n v="479718" u="1"/>
        <n v="479719" u="1"/>
        <n v="479720" u="1"/>
        <n v="93967574" u="1"/>
        <n v="93967575" u="1"/>
        <n v="93967576" u="1"/>
        <n v="93967577" u="1"/>
        <n v="479721" u="1"/>
        <n v="479722" u="1"/>
        <n v="479723" u="1"/>
        <n v="479724" u="1"/>
        <n v="479725" u="1"/>
        <n v="479726" u="1"/>
        <n v="479727" u="1"/>
        <n v="479728" u="1"/>
        <n v="479729" u="1"/>
        <n v="479730" u="1"/>
        <n v="479731" u="1"/>
        <n v="479732" u="1"/>
        <n v="479733" u="1"/>
        <n v="479734" u="1"/>
        <n v="479735" u="1"/>
        <n v="93967578" u="1"/>
        <n v="479736" u="1"/>
        <n v="479737" u="1"/>
        <n v="479738" u="1"/>
        <n v="479739" u="1"/>
        <n v="479740" u="1"/>
        <n v="479741" u="1"/>
        <n v="93967579" u="1"/>
        <n v="93967580" u="1"/>
        <n v="93967581" u="1"/>
        <n v="93967582" u="1"/>
        <n v="93967583" u="1"/>
        <n v="93967584" u="1"/>
        <n v="93967585" u="1"/>
        <n v="544546" u="1"/>
        <n v="544547" u="1"/>
        <n v="544548" u="1"/>
        <n v="544549" u="1"/>
        <n v="544550" u="1"/>
        <n v="544551" u="1"/>
        <n v="544552" u="1"/>
        <n v="544553" u="1"/>
        <n v="544554" u="1"/>
        <n v="544555" u="1"/>
        <n v="544556" u="1"/>
        <n v="544557" u="1"/>
        <n v="544558" u="1"/>
        <n v="544559" u="1"/>
        <n v="544560" u="1"/>
        <n v="544561" u="1"/>
        <n v="544562" u="1"/>
        <n v="544563" u="1"/>
        <n v="544564" u="1"/>
        <n v="544565" u="1"/>
        <n v="544566" u="1"/>
        <n v="544567" u="1"/>
        <n v="544568" u="1"/>
        <n v="544569" u="1"/>
        <n v="544570" u="1"/>
        <n v="544571" u="1"/>
        <n v="544572" u="1"/>
        <n v="544573" u="1"/>
        <n v="544574" u="1"/>
        <n v="544575" u="1"/>
        <n v="544576" u="1"/>
        <n v="544577" u="1"/>
        <n v="544578" u="1"/>
        <n v="544579" u="1"/>
        <n v="544580" u="1"/>
        <n v="544581" u="1"/>
        <n v="93967586" u="1"/>
        <n v="93967587" u="1"/>
        <n v="93967588" u="1"/>
        <n v="93967589" u="1"/>
        <n v="93967590" u="1"/>
        <n v="93967591" u="1"/>
        <n v="93967592" u="1"/>
        <n v="93967593" u="1"/>
        <n v="93967594" u="1"/>
        <n v="93967595" u="1"/>
        <n v="93967596" u="1"/>
        <n v="544582" u="1"/>
        <n v="544583" u="1"/>
        <n v="544584" u="1"/>
        <n v="544585" u="1"/>
        <n v="544586" u="1"/>
        <n v="544587" u="1"/>
        <n v="544588" u="1"/>
        <n v="544589" u="1"/>
        <n v="544590" u="1"/>
        <n v="93967597" u="1"/>
        <n v="93967598" u="1"/>
        <n v="93967599" u="1"/>
        <n v="93967600" u="1"/>
        <n v="93967601" u="1"/>
        <n v="93967602" u="1"/>
        <n v="93967603" u="1"/>
        <n v="93967604" u="1"/>
        <n v="544591" u="1"/>
        <n v="544592" u="1"/>
        <n v="544593" u="1"/>
        <n v="544594" u="1"/>
        <n v="544595" u="1"/>
        <n v="544596" u="1"/>
        <n v="544597" u="1"/>
        <n v="544598" u="1"/>
        <n v="544599" u="1"/>
        <n v="544600" u="1"/>
        <n v="544601" u="1"/>
        <n v="544602" u="1"/>
        <n v="544603" u="1"/>
        <n v="544604" u="1"/>
        <n v="544605" u="1"/>
        <n v="544606" u="1"/>
        <n v="544607" u="1"/>
        <n v="544608" u="1"/>
        <n v="544609" u="1"/>
        <n v="544610" u="1"/>
        <n v="544611" u="1"/>
        <n v="544612" u="1"/>
        <n v="544613" u="1"/>
        <n v="544614" u="1"/>
        <n v="544615" u="1"/>
        <n v="544616" u="1"/>
        <n v="544617" u="1"/>
        <n v="544618" u="1"/>
        <n v="544619" u="1"/>
        <n v="544620" u="1"/>
        <n v="544621" u="1"/>
        <n v="544622" u="1"/>
        <n v="544623" u="1"/>
        <n v="544624" u="1"/>
        <n v="544625" u="1"/>
        <n v="544626" u="1"/>
        <n v="544627" u="1"/>
        <n v="544628" u="1"/>
        <n v="544629" u="1"/>
        <n v="544630" u="1"/>
        <n v="544631" u="1"/>
        <n v="544632" u="1"/>
        <n v="544633" u="1"/>
        <n v="93967605" u="1"/>
        <n v="93967606" u="1"/>
        <n v="93967607" u="1"/>
        <n v="93967608" u="1"/>
        <n v="93967609" u="1"/>
        <n v="93967610" u="1"/>
        <n v="93967611" u="1"/>
        <n v="93967612" u="1"/>
        <n v="93967613" u="1"/>
        <n v="93967614" u="1"/>
        <n v="93967615" u="1"/>
        <n v="93967616" u="1"/>
        <n v="93967617" u="1"/>
        <n v="93967618" u="1"/>
        <n v="544634" u="1"/>
        <n v="544635" u="1"/>
        <n v="544636" u="1"/>
        <n v="544637" u="1"/>
        <n v="544638" u="1"/>
        <n v="544639" u="1"/>
        <n v="544640" u="1"/>
        <n v="544641" u="1"/>
        <n v="544642" u="1"/>
        <n v="544643" u="1"/>
        <n v="544644" u="1"/>
        <n v="544645" u="1"/>
        <n v="544646" u="1"/>
        <n v="93967619" u="1"/>
        <n v="93967620" u="1"/>
        <n v="544647" u="1"/>
        <n v="544648" u="1"/>
        <n v="544649" u="1"/>
        <n v="544650" u="1"/>
        <n v="544651" u="1"/>
        <n v="544652" u="1"/>
        <n v="93967621" u="1"/>
        <n v="544653" u="1"/>
        <n v="544654" u="1"/>
        <n v="544655" u="1"/>
        <n v="544656" u="1"/>
        <n v="544657" u="1"/>
        <n v="544658" u="1"/>
        <n v="544659" u="1"/>
        <n v="544660" u="1"/>
        <n v="544661" u="1"/>
        <n v="544662" u="1"/>
        <n v="544663" u="1"/>
        <n v="544664" u="1"/>
        <n v="544665" u="1"/>
        <n v="544666" u="1"/>
        <n v="544667" u="1"/>
        <n v="544668" u="1"/>
        <n v="544669" u="1"/>
        <n v="544670" u="1"/>
        <n v="93967622" u="1"/>
        <n v="93967623" u="1"/>
        <n v="93967624" u="1"/>
        <n v="93967625" u="1"/>
        <n v="93967626" u="1"/>
        <n v="93967627" u="1"/>
        <n v="93967628" u="1"/>
        <n v="544671" u="1"/>
        <n v="544672" u="1"/>
        <n v="544673" u="1"/>
        <n v="544674" u="1"/>
        <n v="544675" u="1"/>
        <n v="93967629" u="1"/>
        <n v="93967630" u="1"/>
        <n v="93967631" u="1"/>
        <n v="93967632" u="1"/>
        <n v="93967633" u="1"/>
        <n v="93967634" u="1"/>
        <n v="93967635" u="1"/>
        <n v="544676" u="1"/>
        <n v="544677" u="1"/>
        <n v="544678" u="1"/>
        <n v="544679" u="1"/>
        <n v="544680" u="1"/>
        <n v="544681" u="1"/>
        <n v="93967636" u="1"/>
        <n v="544682" u="1"/>
        <n v="544683" u="1"/>
        <n v="544684" u="1"/>
        <n v="544685" u="1"/>
        <n v="544686" u="1"/>
        <n v="544687" u="1"/>
        <n v="544688" u="1"/>
        <n v="544689" u="1"/>
        <n v="544690" u="1"/>
        <n v="544691" u="1"/>
        <n v="544692" u="1"/>
        <n v="544693" u="1"/>
        <n v="544694" u="1"/>
        <n v="544695" u="1"/>
        <n v="544696" u="1"/>
        <n v="544697" u="1"/>
        <n v="544698" u="1"/>
        <n v="544699" u="1"/>
        <n v="544700" u="1"/>
        <n v="544701" u="1"/>
        <n v="544702" u="1"/>
        <n v="93967637" u="1"/>
        <n v="544703" u="1"/>
        <n v="544704" u="1"/>
        <n v="544705" u="1"/>
        <n v="544706" u="1"/>
        <n v="544707" u="1"/>
        <n v="544708" u="1"/>
        <n v="544709" u="1"/>
        <n v="544710" u="1"/>
        <n v="544711" u="1"/>
        <n v="544712" u="1"/>
        <n v="544713" u="1"/>
        <n v="544714" u="1"/>
        <n v="544715" u="1"/>
        <n v="544716" u="1"/>
        <n v="544717" u="1"/>
        <n v="544718" u="1"/>
        <n v="544719" u="1"/>
        <n v="544720" u="1"/>
        <n v="544721" u="1"/>
        <n v="544722" u="1"/>
        <n v="544723" u="1"/>
        <n v="544724" u="1"/>
        <n v="544725" u="1"/>
        <n v="544726" u="1"/>
        <n v="544727" u="1"/>
        <n v="544728" u="1"/>
        <n v="544729" u="1"/>
        <n v="544730" u="1"/>
        <n v="544731" u="1"/>
        <n v="544732" u="1"/>
        <n v="544733" u="1"/>
        <n v="544734" u="1"/>
        <n v="544735" u="1"/>
        <n v="544736" u="1"/>
        <n v="544737" u="1"/>
        <n v="544738" u="1"/>
        <n v="544739" u="1"/>
        <n v="544740" u="1"/>
        <n v="544741" u="1"/>
        <n v="544742" u="1"/>
        <n v="544743" u="1"/>
        <n v="544744" u="1"/>
        <n v="544745" u="1"/>
        <n v="544746" u="1"/>
        <n v="544747" u="1"/>
        <n v="544748" u="1"/>
        <n v="544749" u="1"/>
        <n v="544750" u="1"/>
        <n v="544751" u="1"/>
        <n v="93967638" u="1"/>
        <n v="93967639" u="1"/>
        <n v="93967640" u="1"/>
        <n v="93967641" u="1"/>
        <n v="93967642" u="1"/>
        <n v="93967643" u="1"/>
        <n v="93967644" u="1"/>
        <n v="93967645" u="1"/>
        <n v="93967646" u="1"/>
        <n v="93967647" u="1"/>
        <n v="544752" u="1"/>
        <n v="544753" u="1"/>
        <n v="544754" u="1"/>
        <n v="544755" u="1"/>
        <n v="544756" u="1"/>
        <n v="544757" u="1"/>
        <n v="544758" u="1"/>
        <n v="544759" u="1"/>
        <n v="544760" u="1"/>
        <n v="93967648" u="1"/>
        <n v="93967649" u="1"/>
        <n v="544761" u="1"/>
        <n v="544762" u="1"/>
        <n v="544763" u="1"/>
        <n v="544764" u="1"/>
        <n v="93967650" u="1"/>
        <n v="544765" u="1"/>
        <n v="544766" u="1"/>
        <n v="544767" u="1"/>
        <n v="544768" u="1"/>
        <n v="544769" u="1"/>
        <n v="544770" u="1"/>
        <n v="544771" u="1"/>
        <n v="544772" u="1"/>
        <n v="544773" u="1"/>
        <n v="544774" u="1"/>
        <n v="544775" u="1"/>
        <n v="544776" u="1"/>
        <n v="544777" u="1"/>
        <n v="544778" u="1"/>
        <n v="544779" u="1"/>
        <n v="544780" u="1"/>
        <n v="544781" u="1"/>
        <n v="544782" u="1"/>
        <n v="544783" u="1"/>
        <n v="544784" u="1"/>
        <n v="544785" u="1"/>
        <n v="544786" u="1"/>
        <n v="544787" u="1"/>
        <n v="544788" u="1"/>
        <n v="544789" u="1"/>
        <n v="93967651" u="1"/>
        <n v="93967652" u="1"/>
        <n v="93967653" u="1"/>
        <n v="93967654" u="1"/>
        <n v="93967655" u="1"/>
        <n v="93967656" u="1"/>
        <n v="93967657" u="1"/>
        <n v="544790" u="1"/>
        <n v="544791" u="1"/>
        <n v="544792" u="1"/>
        <n v="544793" u="1"/>
        <n v="544794" u="1"/>
        <n v="544795" u="1"/>
        <n v="544796" u="1"/>
        <n v="544797" u="1"/>
        <n v="544798" u="1"/>
        <n v="544799" u="1"/>
        <n v="544800" u="1"/>
        <n v="544801" u="1"/>
        <n v="544802" u="1"/>
        <n v="544803" u="1"/>
        <n v="544804" u="1"/>
        <n v="544805" u="1"/>
        <n v="544806" u="1"/>
        <n v="544807" u="1"/>
        <n v="544808" u="1"/>
        <n v="544809" u="1"/>
        <n v="544810" u="1"/>
        <n v="544811" u="1"/>
        <n v="544812" u="1"/>
        <n v="544813" u="1"/>
        <n v="544814" u="1"/>
        <n v="544815" u="1"/>
        <n v="544816" u="1"/>
        <n v="544817" u="1"/>
        <n v="544818" u="1"/>
        <n v="544819" u="1"/>
        <n v="544820" u="1"/>
        <n v="544821" u="1"/>
        <n v="544822" u="1"/>
        <n v="544823" u="1"/>
        <n v="544824" u="1"/>
        <n v="544825" u="1"/>
        <n v="544826" u="1"/>
        <n v="544827" u="1"/>
        <n v="544828" u="1"/>
        <n v="544829" u="1"/>
        <n v="544830" u="1"/>
        <n v="544831" u="1"/>
        <n v="544832" u="1"/>
        <n v="544833" u="1"/>
        <n v="544834" u="1"/>
        <n v="544835" u="1"/>
        <n v="544836" u="1"/>
        <n v="544837" u="1"/>
        <n v="544838" u="1"/>
        <n v="544839" u="1"/>
        <n v="544840" u="1"/>
        <n v="544841" u="1"/>
        <n v="544842" u="1"/>
        <n v="544843" u="1"/>
        <n v="544844" u="1"/>
        <n v="93967658" u="1"/>
        <n v="93967659" u="1"/>
        <n v="544845" u="1"/>
        <n v="544846" u="1"/>
        <n v="544847" u="1"/>
        <n v="544848" u="1"/>
        <n v="544849" u="1"/>
        <n v="544850" u="1"/>
        <n v="544851" u="1"/>
        <n v="93967660" u="1"/>
        <n v="544852" u="1"/>
        <n v="544853" u="1"/>
        <n v="544854" u="1"/>
        <n v="544855" u="1"/>
        <n v="93967661" u="1"/>
        <n v="93967662" u="1"/>
        <n v="93967663" u="1"/>
        <n v="93967664" u="1"/>
        <n v="93967665" u="1"/>
        <n v="93967666" u="1"/>
        <n v="93967667" u="1"/>
        <n v="93967668" u="1"/>
        <n v="93967669" u="1"/>
        <n v="93967670" u="1"/>
        <n v="93967671" u="1"/>
        <n v="93967672" u="1"/>
        <n v="93967673" u="1"/>
        <n v="93967674" u="1"/>
        <n v="93967675" u="1"/>
        <n v="544856" u="1"/>
        <n v="544857" u="1"/>
        <n v="93967676" u="1"/>
        <n v="93967677" u="1"/>
        <n v="93967678" u="1"/>
        <n v="93967679" u="1"/>
        <n v="93967680" u="1"/>
        <n v="544858" u="1"/>
        <n v="544859" u="1"/>
        <n v="544860" u="1"/>
        <n v="544861" u="1"/>
        <n v="544862" u="1"/>
        <n v="544863" u="1"/>
        <n v="544864" u="1"/>
        <n v="544865" u="1"/>
        <n v="544866" u="1"/>
        <n v="93967681" u="1"/>
        <n v="544867" u="1"/>
        <n v="544868" u="1"/>
        <n v="544869" u="1"/>
        <n v="544870" u="1"/>
        <n v="544871" u="1"/>
        <n v="544872" u="1"/>
        <n v="544873" u="1"/>
        <n v="544874" u="1"/>
        <n v="544875" u="1"/>
        <n v="544876" u="1"/>
        <n v="544877" u="1"/>
        <n v="544878" u="1"/>
        <n v="544879" u="1"/>
        <n v="544880" u="1"/>
        <n v="544881" u="1"/>
        <n v="544882" u="1"/>
        <n v="544883" u="1"/>
        <n v="544884" u="1"/>
        <n v="544885" u="1"/>
        <n v="544886" u="1"/>
        <n v="544887" u="1"/>
        <n v="544888" u="1"/>
        <n v="544889" u="1"/>
        <n v="544890" u="1"/>
        <n v="544891" u="1"/>
        <n v="544892" u="1"/>
        <n v="544893" u="1"/>
        <n v="544894" u="1"/>
        <n v="544895" u="1"/>
        <n v="678043" u="1"/>
        <n v="678044" u="1"/>
        <n v="678045" u="1"/>
        <n v="678046" u="1"/>
        <n v="678047" u="1"/>
        <n v="678048" u="1"/>
        <n v="678049" u="1"/>
        <n v="678050" u="1"/>
        <n v="678051" u="1"/>
        <n v="678052" u="1"/>
        <n v="678053" u="1"/>
        <n v="678054" u="1"/>
        <n v="678055" u="1"/>
        <n v="678056" u="1"/>
        <n v="678057" u="1"/>
        <n v="678058" u="1"/>
        <n v="678059" u="1"/>
        <n v="93967682" u="1"/>
        <n v="93967683" u="1"/>
        <n v="93967684" u="1"/>
        <n v="93967685" u="1"/>
        <n v="93967686" u="1"/>
        <n v="93967687" u="1"/>
        <n v="93967688" u="1"/>
        <n v="93967689" u="1"/>
        <n v="93967690" u="1"/>
        <n v="93967691" u="1"/>
        <n v="93967692" u="1"/>
        <n v="93967693" u="1"/>
        <n v="93967694" u="1"/>
        <n v="93967695" u="1"/>
        <n v="93967696" u="1"/>
        <n v="93967697" u="1"/>
        <n v="93967698" u="1"/>
        <n v="678060" u="1"/>
        <n v="93967699" u="1"/>
        <n v="678061" u="1"/>
        <n v="678062" u="1"/>
        <n v="678063" u="1"/>
        <n v="678064" u="1"/>
        <n v="678065" u="1"/>
        <n v="678066" u="1"/>
        <n v="678067" u="1"/>
        <n v="678068" u="1"/>
        <n v="678069" u="1"/>
        <n v="678070" u="1"/>
        <n v="678071" u="1"/>
        <n v="678072" u="1"/>
        <n v="93967700" u="1"/>
        <n v="93967701" u="1"/>
        <n v="93967702" u="1"/>
        <n v="93967703" u="1"/>
        <n v="93967704" u="1"/>
        <n v="93967705" u="1"/>
        <n v="93967706" u="1"/>
        <n v="93967707" u="1"/>
        <n v="93967708" u="1"/>
        <n v="93967709" u="1"/>
        <n v="93967710" u="1"/>
        <n v="93967711" u="1"/>
        <n v="93967712" u="1"/>
        <n v="678073" u="1"/>
        <n v="678074" u="1"/>
        <n v="678075" u="1"/>
        <n v="678076" u="1"/>
        <n v="678077" u="1"/>
        <n v="678078" u="1"/>
        <n v="678079" u="1"/>
        <n v="678080" u="1"/>
        <n v="678081" u="1"/>
        <n v="678082" u="1"/>
        <n v="678083" u="1"/>
        <n v="678084" u="1"/>
        <n v="678085" u="1"/>
        <n v="678086" u="1"/>
        <n v="93967713" u="1"/>
        <n v="93967714" u="1"/>
        <n v="93967715" u="1"/>
        <n v="93967716" u="1"/>
        <n v="93967717" u="1"/>
        <n v="93967718" u="1"/>
        <n v="93967719" u="1"/>
        <n v="93967720" u="1"/>
        <n v="678087" u="1"/>
        <n v="678088" u="1"/>
        <n v="678089" u="1"/>
        <n v="678090" u="1"/>
        <n v="678091" u="1"/>
        <n v="678092" u="1"/>
        <n v="678093" u="1"/>
        <n v="678094" u="1"/>
        <n v="678095" u="1"/>
        <n v="678096" u="1"/>
        <n v="678097" u="1"/>
        <n v="678098" u="1"/>
        <n v="678099" u="1"/>
        <n v="678100" u="1"/>
        <n v="678101" u="1"/>
        <n v="678102" u="1"/>
        <n v="678103" u="1"/>
        <n v="678104" u="1"/>
        <n v="678105" u="1"/>
        <n v="678106" u="1"/>
        <n v="93967721" u="1"/>
        <n v="93967722" u="1"/>
        <n v="93967723" u="1"/>
        <n v="93967724" u="1"/>
        <n v="93967725" u="1"/>
        <n v="93967726" u="1"/>
        <n v="93967727" u="1"/>
        <n v="93967728" u="1"/>
        <n v="93967729" u="1"/>
        <n v="93967730" u="1"/>
        <n v="93967731" u="1"/>
        <n v="678107" u="1"/>
        <n v="678108" u="1"/>
        <n v="678109" u="1"/>
        <n v="678110" u="1"/>
        <n v="678111" u="1"/>
        <n v="678112" u="1"/>
        <n v="678113" u="1"/>
        <n v="678114" u="1"/>
        <n v="678115" u="1"/>
        <n v="678116" u="1"/>
        <n v="678117" u="1"/>
        <n v="93967732" u="1"/>
        <n v="93967733" u="1"/>
        <n v="93967734" u="1"/>
        <n v="93967735" u="1"/>
        <n v="678118" u="1"/>
        <n v="678119" u="1"/>
        <n v="678120" u="1"/>
        <n v="678121" u="1"/>
        <n v="678122" u="1"/>
        <n v="678123" u="1"/>
        <n v="678124" u="1"/>
        <n v="678125" u="1"/>
        <n v="678126" u="1"/>
        <n v="678127" u="1"/>
        <n v="93967736" u="1"/>
        <n v="93967737" u="1"/>
        <n v="93967738" u="1"/>
        <n v="678128" u="1"/>
        <n v="678129" u="1"/>
        <n v="678130" u="1"/>
        <n v="678131" u="1"/>
        <n v="93967739" u="1"/>
        <n v="93967740" u="1"/>
        <n v="678132" u="1"/>
        <n v="678133" u="1"/>
        <n v="678134" u="1"/>
        <n v="678135" u="1"/>
        <n v="678136" u="1"/>
        <n v="678137" u="1"/>
        <n v="678138" u="1"/>
        <n v="678139" u="1"/>
        <n v="678140" u="1"/>
        <n v="678141" u="1"/>
        <n v="678142" u="1"/>
        <n v="678143" u="1"/>
        <n v="678144" u="1"/>
        <n v="678145" u="1"/>
        <n v="678146" u="1"/>
        <n v="678147" u="1"/>
        <n v="678148" u="1"/>
        <n v="678149" u="1"/>
        <n v="678150" u="1"/>
        <n v="678151" u="1"/>
        <n v="678152" u="1"/>
        <n v="678153" u="1"/>
        <n v="678154" u="1"/>
        <n v="678155" u="1"/>
        <n v="678156" u="1"/>
        <n v="678157" u="1"/>
        <n v="678158" u="1"/>
        <n v="678159" u="1"/>
        <n v="678160" u="1"/>
        <n v="678161" u="1"/>
        <n v="678162" u="1"/>
        <n v="678163" u="1"/>
        <n v="678164" u="1"/>
        <n v="93967741" u="1"/>
        <n v="93967742" u="1"/>
        <n v="93967743" u="1"/>
        <n v="678165" u="1"/>
        <n v="678166" u="1"/>
        <n v="678167" u="1"/>
        <n v="678168" u="1"/>
        <n v="678169" u="1"/>
        <n v="678170" u="1"/>
        <n v="678171" u="1"/>
        <n v="678172" u="1"/>
        <n v="678173" u="1"/>
        <n v="678174" u="1"/>
        <n v="678175" u="1"/>
        <n v="678176" u="1"/>
        <n v="678177" u="1"/>
        <n v="678178" u="1"/>
        <n v="678179" u="1"/>
        <n v="678180" u="1"/>
        <n v="678181" u="1"/>
        <n v="678182" u="1"/>
        <n v="678183" u="1"/>
        <n v="678184" u="1"/>
        <n v="678185" u="1"/>
        <n v="678186" u="1"/>
        <n v="678187" u="1"/>
        <n v="678188" u="1"/>
        <n v="678189" u="1"/>
        <n v="678190" u="1"/>
        <n v="678191" u="1"/>
        <n v="678192" u="1"/>
        <n v="678193" u="1"/>
        <n v="678194" u="1"/>
        <n v="93967744" u="1"/>
        <n v="678195" u="1"/>
        <n v="678196" u="1"/>
        <n v="678197" u="1"/>
        <n v="678198" u="1"/>
        <n v="678199" u="1"/>
        <n v="678200" u="1"/>
        <n v="678201" u="1"/>
        <n v="678202" u="1"/>
        <n v="678203" u="1"/>
        <n v="678204" u="1"/>
        <n v="678205" u="1"/>
        <n v="678206" u="1"/>
        <n v="678207" u="1"/>
        <n v="678208" u="1"/>
        <n v="678209" u="1"/>
        <n v="678210" u="1"/>
        <n v="678211" u="1"/>
        <n v="678212" u="1"/>
        <n v="678213" u="1"/>
        <n v="678214" u="1"/>
        <n v="678215" u="1"/>
        <n v="678216" u="1"/>
        <n v="678217" u="1"/>
        <n v="678218" u="1"/>
        <n v="678219" u="1"/>
        <n v="93967745" u="1"/>
        <n v="93967746" u="1"/>
        <n v="93967747" u="1"/>
        <n v="93967748" u="1"/>
        <n v="93967749" u="1"/>
        <n v="93967750" u="1"/>
        <n v="93967751" u="1"/>
        <n v="93967752" u="1"/>
        <n v="93967753" u="1"/>
        <n v="93967754" u="1"/>
        <n v="93967755" u="1"/>
        <n v="93967756" u="1"/>
        <n v="93967757" u="1"/>
        <n v="678220" u="1"/>
        <n v="678221" u="1"/>
        <n v="678222" u="1"/>
        <n v="678223" u="1"/>
        <n v="678224" u="1"/>
        <n v="678225" u="1"/>
        <n v="678226" u="1"/>
        <n v="678227" u="1"/>
        <n v="678228" u="1"/>
        <n v="678229" u="1"/>
        <n v="678230" u="1"/>
        <n v="678231" u="1"/>
        <n v="678232" u="1"/>
        <n v="678233" u="1"/>
        <n v="678234" u="1"/>
        <n v="678235" u="1"/>
        <n v="678236" u="1"/>
        <n v="93967758" u="1"/>
        <n v="678237" u="1"/>
        <n v="678238" u="1"/>
        <n v="678239" u="1"/>
        <n v="678240" u="1"/>
        <n v="678241" u="1"/>
        <n v="678242" u="1"/>
        <n v="678243" u="1"/>
        <n v="93967759" u="1"/>
        <n v="93967760" u="1"/>
        <n v="93967761" u="1"/>
        <n v="93967762" u="1"/>
        <n v="678244" u="1"/>
        <n v="678245" u="1"/>
        <n v="678246" u="1"/>
        <n v="678247" u="1"/>
        <n v="678248" u="1"/>
        <n v="678249" u="1"/>
        <n v="678250" u="1"/>
        <n v="678251" u="1"/>
        <n v="678252" u="1"/>
        <n v="678253" u="1"/>
        <n v="678254" u="1"/>
        <n v="678255" u="1"/>
        <n v="93967763" u="1"/>
        <n v="93967764" u="1"/>
        <n v="678256" u="1"/>
        <n v="678257" u="1"/>
        <n v="678258" u="1"/>
        <n v="678259" u="1"/>
        <n v="678260" u="1"/>
        <n v="678261" u="1"/>
        <n v="678262" u="1"/>
        <n v="678263" u="1"/>
        <n v="678264" u="1"/>
        <n v="678265" u="1"/>
        <n v="678266" u="1"/>
        <n v="678267" u="1"/>
        <n v="678268" u="1"/>
        <n v="678269" u="1"/>
        <n v="678270" u="1"/>
        <n v="678271" u="1"/>
        <n v="678272" u="1"/>
        <n v="93967765" u="1"/>
        <n v="678273" u="1"/>
        <n v="678274" u="1"/>
        <n v="678275" u="1"/>
        <n v="93967766" u="1"/>
        <n v="93967767" u="1"/>
        <n v="678276" u="1"/>
        <n v="93967768" u="1"/>
        <n v="678277" u="1"/>
        <n v="678278" u="1"/>
        <n v="678279" u="1"/>
        <n v="678280" u="1"/>
        <n v="678281" u="1"/>
        <n v="678282" u="1"/>
        <n v="678283" u="1"/>
        <n v="678284" u="1"/>
        <n v="678285" u="1"/>
        <n v="678286" u="1"/>
        <n v="678287" u="1"/>
        <n v="678288" u="1"/>
        <n v="678289" u="1"/>
        <n v="678290" u="1"/>
        <n v="678291" u="1"/>
        <n v="678292" u="1"/>
        <n v="678293" u="1"/>
        <n v="678294" u="1"/>
        <n v="678295" u="1"/>
        <n v="678296" u="1"/>
        <n v="678297" u="1"/>
        <n v="678298" u="1"/>
        <n v="678299" u="1"/>
        <n v="678300" u="1"/>
        <n v="678301" u="1"/>
        <n v="678302" u="1"/>
        <n v="678303" u="1"/>
        <n v="678304" u="1"/>
        <n v="678305" u="1"/>
        <n v="678306" u="1"/>
        <n v="678307" u="1"/>
        <n v="678308" u="1"/>
        <n v="678309" u="1"/>
        <n v="678310" u="1"/>
        <n v="678311" u="1"/>
        <n v="678312" u="1"/>
        <n v="678313" u="1"/>
        <n v="93967769" u="1"/>
        <n v="93967770" u="1"/>
        <n v="93967771" u="1"/>
        <n v="93967772" u="1"/>
        <n v="93967773" u="1"/>
        <n v="93967774" u="1"/>
        <n v="93967775" u="1"/>
        <n v="93967776" u="1"/>
        <n v="93967777" u="1"/>
        <n v="93967778" u="1"/>
        <n v="93967779" u="1"/>
        <n v="93967780" u="1"/>
        <n v="93967781" u="1"/>
        <n v="93967782" u="1"/>
        <n v="93967783" u="1"/>
        <n v="93967784" u="1"/>
        <n v="678314" u="1"/>
        <n v="93967785" u="1"/>
        <n v="678315" u="1"/>
        <n v="678316" u="1"/>
        <n v="678317" u="1"/>
        <n v="678318" u="1"/>
        <n v="678319" u="1"/>
        <n v="678320" u="1"/>
        <n v="678321" u="1"/>
        <n v="678322" u="1"/>
        <n v="678323" u="1"/>
        <n v="678324" u="1"/>
        <n v="678325" u="1"/>
        <n v="678326" u="1"/>
        <n v="678327" u="1"/>
        <n v="678328" u="1"/>
        <n v="678329" u="1"/>
        <n v="93967786" u="1"/>
        <n v="93967787" u="1"/>
        <n v="678330" u="1"/>
        <n v="678331" u="1"/>
        <n v="678332" u="1"/>
        <n v="678333" u="1"/>
        <n v="678334" u="1"/>
        <n v="678335" u="1"/>
        <n v="678336" u="1"/>
        <n v="678337" u="1"/>
        <n v="678338" u="1"/>
        <n v="678339" u="1"/>
        <n v="678340" u="1"/>
        <n v="678341" u="1"/>
        <n v="678342" u="1"/>
        <n v="902227" u="1"/>
        <n v="902228" u="1"/>
        <n v="902229" u="1"/>
        <n v="902230" u="1"/>
        <n v="902231" u="1"/>
        <n v="902232" u="1"/>
        <n v="902233" u="1"/>
        <n v="902234" u="1"/>
        <n v="902235" u="1"/>
        <n v="902236" u="1"/>
        <n v="902237" u="1"/>
        <n v="902238" u="1"/>
        <n v="93967788" u="1"/>
        <n v="93967789" u="1"/>
        <n v="93967790" u="1"/>
        <n v="93967791" u="1"/>
        <n v="902239" u="1"/>
        <n v="902240" u="1"/>
        <n v="902241" u="1"/>
        <n v="902242" u="1"/>
        <n v="902243" u="1"/>
        <n v="902244" u="1"/>
        <n v="902245" u="1"/>
        <n v="902246" u="1"/>
        <n v="902247" u="1"/>
        <n v="902248" u="1"/>
        <n v="902249" u="1"/>
        <n v="902250" u="1"/>
        <n v="902251" u="1"/>
        <n v="902252" u="1"/>
        <n v="902253" u="1"/>
        <n v="93967792" u="1"/>
        <n v="902254" u="1"/>
        <n v="902255" u="1"/>
        <n v="93967793" u="1"/>
        <n v="902256" u="1"/>
        <n v="902257" u="1"/>
        <n v="902258" u="1"/>
        <n v="902259" u="1"/>
        <n v="902260" u="1"/>
        <n v="902261" u="1"/>
        <n v="902262" u="1"/>
        <n v="902263" u="1"/>
        <n v="902264" u="1"/>
        <n v="902265" u="1"/>
        <n v="902266" u="1"/>
        <n v="902267" u="1"/>
        <n v="902268" u="1"/>
        <n v="902269" u="1"/>
        <n v="902270" u="1"/>
        <n v="902271" u="1"/>
        <n v="902272" u="1"/>
        <n v="902273" u="1"/>
        <n v="902274" u="1"/>
        <n v="902275" u="1"/>
        <n v="902276" u="1"/>
        <n v="902277" u="1"/>
        <n v="902278" u="1"/>
        <n v="902279" u="1"/>
        <n v="902280" u="1"/>
        <n v="902281" u="1"/>
        <n v="902282" u="1"/>
        <n v="93967794" u="1"/>
        <n v="902283" u="1"/>
        <n v="93967795" u="1"/>
        <n v="93967796" u="1"/>
        <n v="93967797" u="1"/>
        <n v="93967798" u="1"/>
        <n v="93967799" u="1"/>
        <n v="93967800" u="1"/>
        <n v="93967801" u="1"/>
        <n v="93967802" u="1"/>
        <n v="93967803" u="1"/>
        <n v="93967804" u="1"/>
        <n v="93967805" u="1"/>
        <n v="93967806" u="1"/>
        <n v="93967807" u="1"/>
        <n v="93967808" u="1"/>
        <n v="93967809" u="1"/>
        <n v="93967810" u="1"/>
        <n v="93967811" u="1"/>
        <n v="93967812" u="1"/>
        <n v="93967813" u="1"/>
        <n v="93967814" u="1"/>
        <n v="93967815" u="1"/>
        <n v="93967816" u="1"/>
        <n v="93967817" u="1"/>
        <n v="902284" u="1"/>
        <n v="902285" u="1"/>
        <n v="902286" u="1"/>
        <n v="902287" u="1"/>
        <n v="902288" u="1"/>
        <n v="902289" u="1"/>
        <n v="902290" u="1"/>
        <n v="902291" u="1"/>
        <n v="902292" u="1"/>
        <n v="2280" u="1"/>
        <n v="2261" u="1"/>
        <n v="2262" u="1"/>
        <n v="2263" u="1"/>
        <n v="2264" u="1"/>
        <n v="2265" u="1"/>
        <n v="2266" u="1"/>
        <n v="2267" u="1"/>
        <n v="2268" u="1"/>
        <n v="2269" u="1"/>
        <n v="2270" u="1"/>
        <n v="2271" u="1"/>
        <n v="2272" u="1"/>
        <n v="2273" u="1"/>
        <n v="2274" u="1"/>
        <n v="2275" u="1"/>
        <n v="2276" u="1"/>
        <n v="2277" u="1"/>
        <n v="2278" u="1"/>
        <n v="2279" u="1"/>
        <n v="2259" u="1"/>
        <n v="2260" u="1"/>
        <n v="2258" u="1"/>
        <n v="2255" u="1"/>
        <n v="2256" u="1"/>
        <n v="2257" u="1"/>
        <n v="2245" u="1"/>
        <n v="2246" u="1"/>
        <n v="2247" u="1"/>
        <n v="2248" u="1"/>
        <n v="2249" u="1"/>
        <n v="2250" u="1"/>
        <n v="2251" u="1"/>
        <n v="2252" u="1"/>
        <n v="2253" u="1"/>
        <n v="2254" u="1"/>
        <n v="902293" u="1"/>
        <n v="902294" u="1"/>
        <n v="902295" u="1"/>
        <n v="902296" u="1"/>
        <n v="902297" u="1"/>
        <n v="902298" u="1"/>
        <n v="902299" u="1"/>
        <n v="902300" u="1"/>
        <n v="902301" u="1"/>
        <n v="902302" u="1"/>
        <n v="902303" u="1"/>
        <n v="902304" u="1"/>
        <n v="902305" u="1"/>
        <n v="902306" u="1"/>
        <n v="902307" u="1"/>
        <n v="902308" u="1"/>
        <n v="902309" u="1"/>
        <n v="902310" u="1"/>
        <n v="902311" u="1"/>
        <n v="902312" u="1"/>
        <n v="902313" u="1"/>
        <n v="902314" u="1"/>
        <n v="902315" u="1"/>
        <n v="902316" u="1"/>
        <n v="93967818" u="1"/>
        <n v="93967819" u="1"/>
        <n v="902317" u="1"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  <n v="902329" u="1"/>
        <n v="902330" u="1"/>
        <n v="93967820" u="1"/>
        <n v="93967821" u="1"/>
        <n v="902331" u="1"/>
        <n v="902332" u="1"/>
        <n v="902333" u="1"/>
        <n v="902334" u="1"/>
        <n v="902335" u="1"/>
        <n v="902336" u="1"/>
        <n v="902337" u="1"/>
        <n v="902338" u="1"/>
        <n v="902339" u="1"/>
        <n v="902340" u="1"/>
        <n v="902341" u="1"/>
        <n v="93967822" u="1"/>
        <n v="93967823" u="1"/>
        <n v="902342" u="1"/>
        <n v="902343" u="1"/>
        <n v="902344" u="1"/>
        <n v="902345" u="1"/>
        <n v="902346" u="1"/>
        <n v="902347" u="1"/>
        <n v="902348" u="1"/>
        <n v="902349" u="1"/>
        <n v="902350" u="1"/>
        <n v="902351" u="1"/>
        <n v="902352" u="1"/>
        <n v="902353" u="1"/>
        <n v="902354" u="1"/>
        <n v="902355" u="1"/>
        <n v="902356" u="1"/>
        <n v="902357" u="1"/>
        <n v="93967824" u="1"/>
        <n v="93967825" u="1"/>
        <n v="93967826" u="1"/>
        <n v="902358" u="1"/>
        <n v="902359" u="1"/>
        <n v="902360" u="1"/>
        <n v="902361" u="1"/>
        <n v="902362" u="1"/>
        <n v="902363" u="1"/>
        <n v="902364" u="1"/>
        <n v="902365" u="1"/>
        <n v="902366" u="1"/>
        <n v="902367" u="1"/>
        <n v="902368" u="1"/>
        <n v="902369" u="1"/>
        <n v="902370" u="1"/>
        <n v="902371" u="1"/>
        <n v="902372" u="1"/>
        <n v="902373" u="1"/>
        <n v="902374" u="1"/>
        <n v="902375" u="1"/>
        <n v="902376" u="1"/>
        <n v="902377" u="1"/>
        <n v="902378" u="1"/>
        <n v="902379" u="1"/>
        <n v="902380" u="1"/>
        <n v="902381" u="1"/>
        <n v="902382" u="1"/>
        <n v="902383" u="1"/>
        <n v="902384" u="1"/>
        <n v="93967827" u="1"/>
        <n v="93967828" u="1"/>
        <n v="93967829" u="1"/>
        <n v="93967830" u="1"/>
        <n v="93967831" u="1"/>
        <n v="93967832" u="1"/>
        <n v="93967833" u="1"/>
        <n v="93967834" u="1"/>
        <n v="93967835" u="1"/>
        <n v="93967836" u="1"/>
        <n v="93967837" u="1"/>
        <n v="93967838" u="1"/>
        <n v="93967839" u="1"/>
        <n v="93967840" u="1"/>
        <n v="93967841" u="1"/>
        <n v="93967842" u="1"/>
        <n v="93967843" u="1"/>
        <n v="93967844" u="1"/>
        <n v="93967845" u="1"/>
        <n v="93967846" u="1"/>
        <n v="93967847" u="1"/>
        <n v="93967848" u="1"/>
        <n v="93967849" u="1"/>
        <n v="902385" u="1"/>
        <n v="902386" u="1"/>
        <n v="902387" u="1"/>
        <n v="902388" u="1"/>
        <n v="902389" u="1"/>
        <n v="902390" u="1"/>
        <n v="902391" u="1"/>
        <n v="902392" u="1"/>
        <n v="902393" u="1"/>
        <n v="902394" u="1"/>
        <n v="902395" u="1"/>
        <n v="902396" u="1"/>
        <n v="902397" u="1"/>
        <n v="93967850" u="1"/>
        <n v="902398" u="1"/>
        <n v="902399" u="1"/>
        <n v="902400" u="1"/>
        <n v="902401" u="1"/>
        <n v="902402" u="1"/>
        <n v="902403" u="1"/>
        <n v="902404" u="1"/>
        <n v="902405" u="1"/>
        <n v="902406" u="1"/>
        <n v="902407" u="1"/>
        <n v="902408" u="1"/>
        <n v="902409" u="1"/>
        <n v="902410" u="1"/>
        <n v="902411" u="1"/>
        <n v="902412" u="1"/>
        <n v="902413" u="1"/>
        <n v="902414" u="1"/>
        <n v="902415" u="1"/>
        <n v="902416" u="1"/>
        <n v="93967851" u="1"/>
        <n v="93967852" u="1"/>
        <n v="93967853" u="1"/>
        <n v="93967854" u="1"/>
        <n v="93967855" u="1"/>
        <n v="902417" u="1"/>
        <n v="902418" u="1"/>
        <n v="902419" u="1"/>
        <n v="902420" u="1"/>
        <n v="902421" u="1"/>
        <n v="902422" u="1"/>
        <n v="902423" u="1"/>
        <n v="902424" u="1"/>
        <n v="902425" u="1"/>
        <n v="902426" u="1"/>
        <n v="902427" u="1"/>
        <n v="902428" u="1"/>
        <n v="902429" u="1"/>
        <n v="902430" u="1"/>
        <n v="902431" u="1"/>
        <n v="902432" u="1"/>
        <n v="902433" u="1"/>
        <n v="902434" u="1"/>
        <n v="902435" u="1"/>
        <n v="902436" u="1"/>
        <n v="902437" u="1"/>
        <n v="902438" u="1"/>
        <n v="93967856" u="1"/>
        <n v="93967857" u="1"/>
        <n v="93967858" u="1"/>
        <n v="93967859" u="1"/>
        <n v="93967860" u="1"/>
        <n v="93967861" u="1"/>
        <n v="93967862" u="1"/>
        <n v="93967863" u="1"/>
        <n v="93967864" u="1"/>
        <n v="93967865" u="1"/>
        <n v="93967866" u="1"/>
        <n v="93967867" u="1"/>
        <n v="93967868" u="1"/>
        <n v="93967869" u="1"/>
        <n v="93967870" u="1"/>
        <n v="93967871" u="1"/>
        <n v="93967872" u="1"/>
        <n v="93967873" u="1"/>
        <n v="93967874" u="1"/>
        <n v="93967875" u="1"/>
        <n v="93967876" u="1"/>
        <n v="902440" u="1"/>
        <n v="902441" u="1"/>
        <n v="902442" u="1"/>
        <n v="902443" u="1"/>
        <n v="902444" u="1"/>
        <n v="902445" u="1"/>
        <n v="902446" u="1"/>
        <n v="902447" u="1"/>
        <n v="93967877" u="1"/>
        <n v="902448" u="1"/>
        <n v="902449" u="1"/>
        <n v="902450" u="1"/>
        <n v="902451" u="1"/>
        <n v="902452" u="1"/>
        <n v="902453" u="1"/>
        <n v="902454" u="1"/>
        <n v="902455" u="1"/>
        <n v="902456" u="1"/>
        <n v="902457" u="1"/>
        <n v="902458" u="1"/>
        <n v="93967878" u="1"/>
        <n v="93967879" u="1"/>
        <n v="93967880" u="1"/>
        <n v="902459" u="1"/>
        <n v="902460" u="1"/>
        <n v="902461" u="1"/>
        <n v="902462" u="1"/>
        <n v="902463" u="1"/>
        <n v="902464" u="1"/>
        <n v="902465" u="1"/>
        <n v="902466" u="1"/>
        <n v="902467" u="1"/>
        <n v="902468" u="1"/>
        <n v="902469" u="1"/>
        <n v="902470" u="1"/>
        <n v="902471" u="1"/>
        <n v="902472" u="1"/>
        <n v="902473" u="1"/>
        <n v="902474" u="1"/>
        <n v="902475" u="1"/>
        <n v="902476" u="1"/>
        <n v="902477" u="1"/>
        <n v="902478" u="1"/>
        <n v="902479" u="1"/>
        <n v="902480" u="1"/>
        <n v="902481" u="1"/>
        <n v="902482" u="1"/>
        <n v="902483" u="1"/>
        <n v="902484" u="1"/>
        <n v="902485" u="1"/>
        <n v="902486" u="1"/>
        <n v="902487" u="1"/>
        <n v="902488" u="1"/>
        <n v="902489" u="1"/>
        <n v="902490" u="1"/>
        <n v="902491" u="1"/>
        <n v="902492" u="1"/>
        <n v="902493" u="1"/>
        <n v="902494" u="1"/>
        <n v="902495" u="1"/>
        <n v="902496" u="1"/>
        <n v="93967881" u="1"/>
        <n v="93967882" u="1"/>
        <n v="93967883" u="1"/>
        <n v="93967884" u="1"/>
        <n v="93967885" u="1"/>
        <n v="93967886" u="1"/>
        <n v="93967887" u="1"/>
        <n v="93967888" u="1"/>
        <n v="93967889" u="1"/>
        <n v="93967890" u="1"/>
        <n v="93967891" u="1"/>
        <n v="93967892" u="1"/>
        <n v="93967893" u="1"/>
        <n v="93967894" u="1"/>
        <n v="93967895" u="1"/>
        <n v="902497" u="1"/>
        <n v="902498" u="1"/>
        <n v="902499" u="1"/>
        <n v="93967896" u="1"/>
        <n v="93967897" u="1"/>
        <n v="902500" u="1"/>
        <n v="902501" u="1"/>
        <n v="902502" u="1"/>
        <n v="902503" u="1"/>
        <n v="93967898" u="1"/>
        <n v="93967899" u="1"/>
        <n v="902504" u="1"/>
        <n v="902505" u="1"/>
        <n v="902506" u="1"/>
        <n v="902507" u="1"/>
        <n v="902508" u="1"/>
        <n v="902509" u="1"/>
        <n v="902510" u="1"/>
        <n v="902511" u="1"/>
        <n v="902512" u="1"/>
        <n v="902513" u="1"/>
        <n v="902514" u="1"/>
        <n v="902515" u="1"/>
        <n v="902516" u="1"/>
        <n v="902517" u="1"/>
        <n v="93967900" u="1"/>
        <n v="94164501" u="1"/>
        <n v="94164502" u="1"/>
        <n v="94164503" u="1"/>
        <n v="94164504" u="1"/>
        <n v="94164505" u="1"/>
        <n v="94164506" u="1"/>
        <n v="94164507" u="1"/>
        <n v="94164508" u="1"/>
        <n v="94164509" u="1"/>
        <n v="902518" u="1"/>
        <n v="902519" u="1"/>
        <n v="902520" u="1"/>
        <n v="902521" u="1"/>
        <n v="902522" u="1"/>
        <n v="902523" u="1"/>
        <n v="902524" u="1"/>
        <n v="902525" u="1"/>
        <n v="902526" u="1"/>
        <n v="1101458" u="1"/>
        <n v="1101459" u="1"/>
        <n v="1101460" u="1"/>
        <n v="1101461" u="1"/>
        <n v="1101462" u="1"/>
        <n v="1101463" u="1"/>
        <n v="1101464" u="1"/>
        <n v="1101465" u="1"/>
      </sharedItems>
    </cacheField>
    <cacheField name="importe" numFmtId="0">
      <sharedItems containsString="0" containsBlank="1" containsNumber="1" minValue="0" maxValue="470000000"/>
    </cacheField>
    <cacheField name="Fe.valor" numFmtId="14">
      <sharedItems containsNonDate="0" containsDate="1" containsString="0" containsBlank="1" minDate="2025-01-03T00:00:00" maxDate="2026-09-09T00:00:00" count="238">
        <d v="2025-01-03T00:00:00"/>
        <d v="2025-01-10T00:00:00"/>
        <d v="2025-01-13T00:00:00"/>
        <d v="2025-01-15T00:00:00"/>
        <d v="2025-01-16T00:00:00"/>
        <d v="2025-01-17T00:00:00"/>
        <d v="2025-01-20T00:00:00"/>
        <d v="2025-01-22T00:00:00"/>
        <d v="2025-01-24T00:00:00"/>
        <d v="2025-01-28T00:00:00"/>
        <d v="2025-01-27T00:00:00"/>
        <d v="2025-01-31T00:00:00"/>
        <d v="2025-02-03T00:00:00"/>
        <d v="2025-01-30T00:00:00"/>
        <d v="2025-02-04T00:00:00"/>
        <d v="2025-02-06T00:00:00"/>
        <d v="2025-02-07T00:00:00"/>
        <d v="2025-02-10T00:00:00"/>
        <d v="2025-02-11T00:00:00"/>
        <d v="2025-02-12T00:00:00"/>
        <d v="2025-02-14T00:00:00"/>
        <d v="2025-02-13T00:00:00"/>
        <d v="2025-02-17T00:00:00"/>
        <d v="2025-02-19T00:00:00"/>
        <d v="2025-02-20T00:00:00"/>
        <d v="2025-02-21T00:00:00"/>
        <d v="2025-02-24T00:00:00"/>
        <d v="2025-02-25T00:00:00"/>
        <d v="2025-02-26T00:00:00"/>
        <d v="2025-02-28T00:00:00"/>
        <d v="2025-03-05T00:00:00"/>
        <d v="2025-02-27T00:00:00"/>
        <d v="2025-03-12T00:00:00"/>
        <d v="2025-03-19T00:00:00"/>
        <d v="2025-03-20T00:00:00"/>
        <d v="2025-03-21T00:00:00"/>
        <d v="2025-03-25T00:00:00"/>
        <d v="2025-03-27T00:00:00"/>
        <d v="2025-03-28T00:00:00"/>
        <d v="2025-03-31T00:00:00"/>
        <d v="2025-04-04T00:00:00"/>
        <d v="2025-05-19T00:00:00"/>
        <d v="2025-06-18T00:00:00"/>
        <d v="2025-04-09T00:00:00"/>
        <d v="2025-04-11T00:00:00"/>
        <d v="2025-04-14T00:00:00"/>
        <d v="2025-04-16T00:00:00"/>
        <d v="2025-04-24T00:00:00"/>
        <d v="2025-04-25T00:00:00"/>
        <d v="2025-04-28T00:00:00"/>
        <d v="2025-04-30T00:00:00"/>
        <d v="2025-05-06T00:00:00"/>
        <d v="2025-05-07T00:00:00"/>
        <d v="2025-05-05T00:00:00"/>
        <d v="2025-05-08T00:00:00"/>
        <d v="2025-05-09T00:00:00"/>
        <d v="2025-05-20T00:00:00"/>
        <d v="2025-05-23T00:00:00"/>
        <d v="2025-05-26T00:00:00"/>
        <d v="2025-05-27T00:00:00"/>
        <d v="2025-05-29T00:00:00"/>
        <d v="2025-05-30T00:00:00"/>
        <d v="2025-06-02T00:00:00"/>
        <d v="2025-06-03T00:00:00"/>
        <d v="2025-06-05T00:00:00"/>
        <d v="2025-06-09T00:00:00"/>
        <d v="2025-06-10T00:00:00"/>
        <d v="2025-06-07T00:00:00"/>
        <d v="2025-06-11T00:00:00"/>
        <d v="2025-06-13T00:00:00"/>
        <d v="2025-06-19T00:00:00"/>
        <d v="2025-06-16T00:00:00"/>
        <d v="2025-06-23T00:00:00"/>
        <d v="2025-06-26T00:00:00"/>
        <d v="2025-06-27T00:00:00"/>
        <d v="2025-06-25T00:00:00"/>
        <d v="2025-06-30T00:00:00"/>
        <d v="2025-07-01T00:00:00"/>
        <d v="2025-07-03T00:00:00"/>
        <d v="2025-07-04T00:00:00"/>
        <d v="2025-07-10T00:00:00"/>
        <d v="2025-07-14T00:00:00"/>
        <d v="2025-07-15T00:00:00"/>
        <d v="2025-07-16T00:00:00"/>
        <d v="2025-07-17T00:00:00"/>
        <d v="2025-07-18T00:00:00"/>
        <d v="2025-08-07T00:00:00"/>
        <d v="2025-08-08T00:00:00"/>
        <d v="2025-08-13T00:00:00"/>
        <d v="2025-08-14T00:00:00"/>
        <d v="2025-08-18T00:00:00"/>
        <d v="2025-08-21T00:00:00"/>
        <d v="2025-08-22T00:00:00"/>
        <d v="2025-08-28T00:00:00"/>
        <d v="2025-08-29T00:00:00"/>
        <d v="2025-09-01T00:00:00"/>
        <d v="2026-06-30T00:00:00"/>
        <d v="2025-09-04T00:00:00"/>
        <d v="2025-09-03T00:00:00"/>
        <d v="2025-09-08T00:00:00"/>
        <d v="2025-09-11T00:00:00"/>
        <d v="2025-09-12T00:00:00"/>
        <d v="2025-09-19T00:00:00"/>
        <d v="2025-09-23T00:00:00"/>
        <d v="2025-09-24T00:00:00"/>
        <d v="2025-09-25T00:00:00"/>
        <d v="2025-09-18T00:00:00"/>
        <d v="2025-08-31T00:00:00"/>
        <d v="2025-09-26T00:00:00"/>
        <d v="2025-09-29T00:00:00"/>
        <d v="2025-10-03T00:00:00"/>
        <d v="2025-10-06T00:00:00"/>
        <d v="2026-08-14T00:00:00"/>
        <d v="2026-06-22T00:00:00"/>
        <d v="2025-10-09T00:00:00"/>
        <d v="2025-10-13T00:00:00"/>
        <d v="2025-10-14T00:00:00"/>
        <d v="2025-10-16T00:00:00"/>
        <d v="2025-10-15T00:00:00"/>
        <d v="2025-10-20T00:00:00"/>
        <d v="2025-10-22T00:00:00"/>
        <d v="2025-10-23T00:00:00"/>
        <d v="2025-10-24T00:00:00"/>
        <d v="2025-10-29T00:00:00"/>
        <d v="2025-10-30T00:00:00"/>
        <d v="2025-10-31T00:00:00"/>
        <d v="2025-11-03T00:00:00"/>
        <d v="2025-11-07T00:00:00"/>
        <d v="2025-12-15T00:00:00"/>
        <d v="2026-01-05T00:00:00"/>
        <d v="2026-02-03T00:00:00"/>
        <d v="2026-03-05T00:00:00"/>
        <d v="2025-11-14T00:00:00"/>
        <d v="2025-12-01T00:00:00"/>
        <d v="2026-09-05T00:00:00"/>
        <d v="2026-01-16T00:00:00"/>
        <d v="2025-12-16T00:00:00"/>
        <d v="2025-11-17T00:00:00"/>
        <d v="2025-12-12T00:00:00"/>
        <d v="2025-11-25T00:00:00"/>
        <d v="2025-11-26T00:00:00"/>
        <d v="2025-11-29T00:00:00"/>
        <d v="2025-11-28T00:00:00"/>
        <d v="2025-12-09T00:00:00"/>
        <d v="2025-12-10T00:00:00"/>
        <d v="2026-01-21T00:00:00"/>
        <d v="2026-02-20T00:00:00"/>
        <d v="2025-12-05T00:00:00"/>
        <d v="2025-12-11T00:00:00"/>
        <d v="2025-12-17T00:00:00"/>
        <d v="2025-12-29T00:00:00"/>
        <d v="2026-01-27T00:00:00"/>
        <d v="2026-01-19T00:00:00"/>
        <d v="2026-02-16T00:00:00"/>
        <d v="2025-12-18T00:00:00"/>
        <d v="2025-12-19T00:00:00"/>
        <d v="2026-02-05T00:00:00"/>
        <d v="2025-12-23T00:00:00"/>
        <d v="2025-12-22T00:00:00"/>
        <d v="2025-12-26T00:00:00"/>
        <d v="2026-01-08T00:00:00"/>
        <d v="2026-01-09T00:00:00"/>
        <d v="2026-01-12T00:00:00"/>
        <d v="2026-02-04T00:00:00"/>
        <d v="2026-01-13T00:00:00"/>
        <d v="2026-01-14T00:00:00"/>
        <d v="2026-01-20T00:00:00"/>
        <d v="2026-01-28T00:00:00"/>
        <d v="2026-01-29T00:00:00"/>
        <d v="2026-02-06T00:00:00"/>
        <d v="2026-02-09T00:00:00"/>
        <d v="2026-02-10T00:00:00"/>
        <d v="2026-02-19T00:00:00"/>
        <d v="2026-02-18T00:00:00"/>
        <d v="2026-02-23T00:00:00"/>
        <d v="2026-02-25T00:00:00"/>
        <d v="2026-02-26T00:00:00"/>
        <d v="2026-02-27T00:00:00"/>
        <d v="2026-03-02T00:00:00"/>
        <d v="2026-03-04T00:00:00"/>
        <d v="2026-03-06T00:00:00"/>
        <d v="2026-03-12T00:00:00"/>
        <d v="2026-03-13T00:00:00"/>
        <d v="2026-03-16T00:00:00"/>
        <d v="2026-03-19T00:00:00"/>
        <d v="2026-03-25T00:00:00"/>
        <d v="2026-03-27T00:00:00"/>
        <d v="2026-03-30T00:00:00"/>
        <d v="2026-04-07T00:00:00"/>
        <d v="2026-05-04T00:00:00"/>
        <d v="2026-04-10T00:00:00"/>
        <d v="2026-04-13T00:00:00"/>
        <d v="2026-04-16T00:00:00"/>
        <d v="2026-04-22T00:00:00"/>
        <d v="2026-04-23T00:00:00"/>
        <d v="2026-04-27T00:00:00"/>
        <d v="2026-04-30T00:00:00"/>
        <d v="2026-05-08T00:00:00"/>
        <d v="2026-05-15T00:00:00"/>
        <d v="2026-05-14T00:00:00"/>
        <d v="2026-05-18T00:00:00"/>
        <d v="2026-05-22T00:00:00"/>
        <d v="2026-05-28T00:00:00"/>
        <d v="2026-05-29T00:00:00"/>
        <d v="2026-06-01T00:00:00"/>
        <d v="2026-06-04T00:00:00"/>
        <d v="2026-06-05T00:00:00"/>
        <d v="2026-06-08T00:00:00"/>
        <d v="2026-06-11T00:00:00"/>
        <d v="2026-06-12T00:00:00"/>
        <d v="2026-06-16T00:00:00"/>
        <d v="2026-06-17T00:00:00"/>
        <d v="2026-06-19T00:00:00"/>
        <d v="2026-06-25T00:00:00"/>
        <d v="2026-06-26T00:00:00"/>
        <d v="2026-07-02T00:00:00"/>
        <d v="2026-07-06T00:00:00"/>
        <d v="2026-07-13T00:00:00"/>
        <d v="2026-07-22T00:00:00"/>
        <d v="2026-07-25T00:00:00"/>
        <d v="2026-08-25T00:00:00"/>
        <d v="2026-07-27T00:00:00"/>
        <d v="2026-08-24T00:00:00"/>
        <d v="2026-08-31T00:00:00"/>
        <d v="2026-07-30T00:00:00"/>
        <d v="2026-08-07T00:00:00"/>
        <d v="2026-08-04T00:00:00"/>
        <d v="2026-08-10T00:00:00"/>
        <d v="2026-08-11T00:00:00"/>
        <d v="2026-08-13T00:00:00"/>
        <d v="2026-08-17T00:00:00"/>
        <d v="2026-08-26T00:00:00"/>
        <d v="2026-08-20T00:00:00"/>
        <d v="2026-09-02T00:00:00"/>
        <d v="2026-09-03T00:00:00"/>
        <d v="2026-09-04T00:00:00"/>
        <d v="2026-09-08T00:00:00"/>
        <m/>
      </sharedItems>
    </cacheField>
    <cacheField name="Banco" numFmtId="0">
      <sharedItems containsBlank="1" containsMixedTypes="1" containsNumber="1" containsInteger="1" minValue="902318" maxValue="902328" count="14">
        <s v="HSBC"/>
        <s v="MACRO"/>
        <m/>
        <n v="902318" u="1"/>
        <n v="902319" u="1"/>
        <n v="902320" u="1"/>
        <n v="902321" u="1"/>
        <n v="902322" u="1"/>
        <n v="902323" u="1"/>
        <n v="902324" u="1"/>
        <n v="902325" u="1"/>
        <n v="902326" u="1"/>
        <n v="902327" u="1"/>
        <n v="902328" u="1"/>
      </sharedItems>
    </cacheField>
    <cacheField name="pagado" numFmtId="0">
      <sharedItems containsBlank="1"/>
    </cacheField>
    <cacheField name="estado" numFmtId="0">
      <sharedItems containsBlank="1"/>
    </cacheField>
    <cacheField name="estado dos" numFmtId="0">
      <sharedItems containsBlank="1" count="5">
        <s v="excluir"/>
        <s v="a pagar"/>
        <s v="proximo a vencer"/>
        <m/>
        <e v="#REF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3">
  <r>
    <n v="3000000005"/>
    <d v="2025-01-03T00:00:00"/>
    <n v="1996725.84"/>
    <s v="ASOC.ARG.PROT.OBTENCIONES VEGECIUDAD AUTONOMA DE BUENOS AIRES 01"/>
    <x v="0"/>
    <n v="1996725.84"/>
    <x v="0"/>
    <x v="0"/>
    <s v="pagado"/>
    <s v="pagado"/>
    <x v="0"/>
    <x v="0"/>
  </r>
  <r>
    <n v="3000000006"/>
    <d v="2025-01-03T00:00:00"/>
    <n v="3586921.37"/>
    <s v="YUNGAS AGROINSUMOS S.A YERBA BUENA 14"/>
    <x v="1"/>
    <n v="3586921.37"/>
    <x v="0"/>
    <x v="0"/>
    <s v="pagado"/>
    <s v="pagado"/>
    <x v="0"/>
    <x v="0"/>
  </r>
  <r>
    <n v="3000000034"/>
    <d v="2025-01-08T00:00:00"/>
    <n v="2000000"/>
    <s v="Pulmajo S.R.L. CONCEPCION 14"/>
    <x v="2"/>
    <n v="2000000"/>
    <x v="1"/>
    <x v="0"/>
    <s v="pagado"/>
    <s v="pagado"/>
    <x v="0"/>
    <x v="0"/>
  </r>
  <r>
    <n v="3000000034"/>
    <d v="2025-01-08T00:00:00"/>
    <n v="2000000"/>
    <s v="Pulmajo S.R.L. CONCEPCION 14"/>
    <x v="3"/>
    <n v="2000000"/>
    <x v="1"/>
    <x v="0"/>
    <s v="pagado"/>
    <s v="pagado"/>
    <x v="0"/>
    <x v="0"/>
  </r>
  <r>
    <n v="3000000034"/>
    <d v="2025-01-08T00:00:00"/>
    <n v="2000000"/>
    <s v="Pulmajo S.R.L. CONCEPCION 14"/>
    <x v="4"/>
    <n v="2000000"/>
    <x v="1"/>
    <x v="0"/>
    <s v="pagado"/>
    <s v="pagado"/>
    <x v="0"/>
    <x v="0"/>
  </r>
  <r>
    <n v="3000000034"/>
    <d v="2025-01-08T00:00:00"/>
    <n v="3000000"/>
    <s v="Pulmajo S.R.L. CONCEPCION 14"/>
    <x v="5"/>
    <n v="3000000"/>
    <x v="1"/>
    <x v="0"/>
    <s v="pagado"/>
    <s v="pagado"/>
    <x v="0"/>
    <x v="0"/>
  </r>
  <r>
    <n v="3000000034"/>
    <d v="2025-01-08T00:00:00"/>
    <n v="3000000"/>
    <s v="Pulmajo S.R.L. CONCEPCION 14"/>
    <x v="6"/>
    <n v="3000000"/>
    <x v="1"/>
    <x v="0"/>
    <s v="pagado"/>
    <s v="pagado"/>
    <x v="0"/>
    <x v="0"/>
  </r>
  <r>
    <n v="3000000034"/>
    <d v="2025-01-08T00:00:00"/>
    <n v="3000000"/>
    <s v="Pulmajo S.R.L. CONCEPCION 14"/>
    <x v="7"/>
    <n v="3000000"/>
    <x v="1"/>
    <x v="0"/>
    <s v="pagado"/>
    <s v="pagado"/>
    <x v="0"/>
    <x v="0"/>
  </r>
  <r>
    <n v="3000000034"/>
    <d v="2025-01-08T00:00:00"/>
    <n v="3846551.55"/>
    <s v="Pulmajo S.R.L. CONCEPCION 14"/>
    <x v="8"/>
    <n v="3846551.55"/>
    <x v="2"/>
    <x v="0"/>
    <s v="pagado"/>
    <s v="pagado"/>
    <x v="0"/>
    <x v="0"/>
  </r>
  <r>
    <n v="3000000034"/>
    <d v="2025-01-08T00:00:00"/>
    <n v="5000000"/>
    <s v="Pulmajo S.R.L. CONCEPCION 14"/>
    <x v="9"/>
    <n v="5000000"/>
    <x v="2"/>
    <x v="0"/>
    <s v="pagado"/>
    <s v="pagado"/>
    <x v="0"/>
    <x v="0"/>
  </r>
  <r>
    <n v="3000000034"/>
    <d v="2025-01-08T00:00:00"/>
    <n v="5000000"/>
    <s v="Pulmajo S.R.L. CONCEPCION 14"/>
    <x v="10"/>
    <n v="5000000"/>
    <x v="2"/>
    <x v="0"/>
    <s v="pagado"/>
    <s v="pagado"/>
    <x v="0"/>
    <x v="0"/>
  </r>
  <r>
    <n v="3000000030"/>
    <d v="2025-01-08T00:00:00"/>
    <n v="5005406.93"/>
    <s v="MOYANO JULIO CESAR BANDA DEL RIO SALI 14"/>
    <x v="11"/>
    <n v="5005406.93"/>
    <x v="1"/>
    <x v="1"/>
    <s v="pagado"/>
    <s v="pagado"/>
    <x v="0"/>
    <x v="0"/>
  </r>
  <r>
    <n v="3000000031"/>
    <d v="2025-01-08T00:00:00"/>
    <n v="2452021.27"/>
    <s v="LANGELLA JUAN RODOLFO ALDERETES 14"/>
    <x v="12"/>
    <n v="2452021.27"/>
    <x v="1"/>
    <x v="1"/>
    <s v="pagado"/>
    <s v="pagado"/>
    <x v="0"/>
    <x v="0"/>
  </r>
  <r>
    <n v="3000000032"/>
    <d v="2025-01-08T00:00:00"/>
    <n v="5036570.32"/>
    <s v="CAMPOSTRINI S R L VILLAGUAY 05"/>
    <x v="13"/>
    <n v="5036570.32"/>
    <x v="1"/>
    <x v="1"/>
    <s v="pagado"/>
    <s v="pagado"/>
    <x v="0"/>
    <x v="0"/>
  </r>
  <r>
    <n v="3000000033"/>
    <d v="2025-01-08T00:00:00"/>
    <n v="3151742.92"/>
    <s v="TRANSPORTE BARBERAN HNOS SRL CHABAS 12"/>
    <x v="14"/>
    <n v="3151742.92"/>
    <x v="1"/>
    <x v="1"/>
    <s v="pagado"/>
    <s v="pagado"/>
    <x v="0"/>
    <x v="0"/>
  </r>
  <r>
    <n v="3000000037"/>
    <d v="2025-01-09T00:00:00"/>
    <n v="13000000"/>
    <s v="TRANSPORTE Y LOGISTICA DEL ESTLAS CEJAS 14"/>
    <x v="15"/>
    <n v="13000000"/>
    <x v="3"/>
    <x v="1"/>
    <s v="pagado"/>
    <s v="pagado"/>
    <x v="0"/>
    <x v="0"/>
  </r>
  <r>
    <n v="3000000037"/>
    <d v="2025-01-09T00:00:00"/>
    <n v="10991765.83"/>
    <s v="TRANSPORTE Y LOGISTICA DEL ESTLAS CEJAS 14"/>
    <x v="16"/>
    <n v="10991765.83"/>
    <x v="4"/>
    <x v="1"/>
    <s v="pagado"/>
    <s v="pagado"/>
    <x v="0"/>
    <x v="0"/>
  </r>
  <r>
    <n v="3000000038"/>
    <d v="2025-01-09T00:00:00"/>
    <n v="11000000"/>
    <s v="LOGISTICA CENTRO S.R.L CORONDA 12"/>
    <x v="17"/>
    <n v="11000000"/>
    <x v="3"/>
    <x v="1"/>
    <s v="pagado"/>
    <s v="pagado"/>
    <x v="0"/>
    <x v="0"/>
  </r>
  <r>
    <n v="3000000038"/>
    <d v="2025-01-09T00:00:00"/>
    <n v="10929172.970000001"/>
    <s v="LOGISTICA CENTRO S.R.L CORONDA 12"/>
    <x v="18"/>
    <n v="10929172.970000001"/>
    <x v="4"/>
    <x v="1"/>
    <s v="pagado"/>
    <s v="pagado"/>
    <x v="0"/>
    <x v="0"/>
  </r>
  <r>
    <n v="3000000042"/>
    <d v="2025-01-09T00:00:00"/>
    <n v="10000000"/>
    <s v="PRADO JAVIER EDUARDO - FLORIDA 13"/>
    <x v="19"/>
    <n v="10000000"/>
    <x v="3"/>
    <x v="1"/>
    <s v="pagado"/>
    <s v="pagado"/>
    <x v="0"/>
    <x v="0"/>
  </r>
  <r>
    <n v="3000000042"/>
    <d v="2025-01-09T00:00:00"/>
    <n v="10139779.18"/>
    <s v="PRADO JAVIER EDUARDO - FLORIDA 13"/>
    <x v="20"/>
    <n v="10139779.18"/>
    <x v="4"/>
    <x v="1"/>
    <s v="pagado"/>
    <s v="pagado"/>
    <x v="0"/>
    <x v="0"/>
  </r>
  <r>
    <n v="3000000036"/>
    <d v="2025-01-09T00:00:00"/>
    <n v="7098663.9100000001"/>
    <s v="PAIS WALTER LUIS SAN MIGUEL DE TUCUMAN 14"/>
    <x v="21"/>
    <n v="7098663.9100000001"/>
    <x v="3"/>
    <x v="1"/>
    <s v="pagado"/>
    <s v="pagado"/>
    <x v="0"/>
    <x v="0"/>
  </r>
  <r>
    <n v="3000000039"/>
    <d v="2025-01-09T00:00:00"/>
    <n v="4483078.24"/>
    <s v="TRANSPORTE PRINCE SRL ROSARIO NORTE 12"/>
    <x v="22"/>
    <n v="4483078.24"/>
    <x v="3"/>
    <x v="1"/>
    <s v="pagado"/>
    <s v="pagado"/>
    <x v="0"/>
    <x v="0"/>
  </r>
  <r>
    <n v="3000000040"/>
    <d v="2025-01-09T00:00:00"/>
    <n v="4488596.37"/>
    <s v="TRANSPORTE QUERANDIES SRL SANTA FE 12"/>
    <x v="23"/>
    <n v="4488596.37"/>
    <x v="3"/>
    <x v="1"/>
    <s v="pagado"/>
    <s v="pagado"/>
    <x v="0"/>
    <x v="0"/>
  </r>
  <r>
    <n v="3000000041"/>
    <d v="2025-01-09T00:00:00"/>
    <n v="7956945.7800000003"/>
    <s v="TRANS TRUCKS SRL SOLDINI 12"/>
    <x v="24"/>
    <n v="7956945.7800000003"/>
    <x v="3"/>
    <x v="1"/>
    <s v="pagado"/>
    <s v="pagado"/>
    <x v="0"/>
    <x v="0"/>
  </r>
  <r>
    <n v="3000000044"/>
    <d v="2025-01-10T00:00:00"/>
    <n v="34636482.159999996"/>
    <s v="Monsanto Argentina SRL CAPITAL FEDERAL 00"/>
    <x v="25"/>
    <n v="34636482.159999996"/>
    <x v="1"/>
    <x v="0"/>
    <s v="pagado"/>
    <s v="pagado"/>
    <x v="0"/>
    <x v="0"/>
  </r>
  <r>
    <n v="3000000063"/>
    <d v="2025-01-15T00:00:00"/>
    <n v="6992278.7800000003"/>
    <s v="MOLINA JUAN F. Y MOLINA ROQUE Lastenia 14"/>
    <x v="26"/>
    <n v="6992278.7800000003"/>
    <x v="5"/>
    <x v="0"/>
    <s v="pagado"/>
    <s v="pagado"/>
    <x v="0"/>
    <x v="0"/>
  </r>
  <r>
    <n v="3000000064"/>
    <d v="2025-01-15T00:00:00"/>
    <n v="5084776.4000000004"/>
    <s v="MARTO ALBERTO ANTONIO LA RAMADA DE ABAJO 14"/>
    <x v="27"/>
    <n v="5084776.4000000004"/>
    <x v="5"/>
    <x v="0"/>
    <s v="pagado"/>
    <s v="pagado"/>
    <x v="0"/>
    <x v="0"/>
  </r>
  <r>
    <n v="3000001431"/>
    <d v="2025-01-15T00:00:00"/>
    <n v="12595484.16"/>
    <s v="AYALA HERNAN OSVALDO SAN MIGUEL DE TUCUMAN 14"/>
    <x v="28"/>
    <n v="12595484.16"/>
    <x v="5"/>
    <x v="0"/>
    <s v="pagado"/>
    <s v="pagado"/>
    <x v="0"/>
    <x v="0"/>
  </r>
  <r>
    <n v="3000000059"/>
    <d v="2025-01-15T00:00:00"/>
    <n v="12000000"/>
    <s v="AYALA WALTER DANIEL ALDERETES 14"/>
    <x v="29"/>
    <n v="12000000"/>
    <x v="5"/>
    <x v="0"/>
    <s v="pagado"/>
    <s v="pagado"/>
    <x v="0"/>
    <x v="0"/>
  </r>
  <r>
    <n v="3000000059"/>
    <d v="2025-01-15T00:00:00"/>
    <n v="11246166.65"/>
    <s v="AYALA WALTER DANIEL ALDERETES 14"/>
    <x v="30"/>
    <n v="11246166.65"/>
    <x v="6"/>
    <x v="0"/>
    <s v="pagado"/>
    <s v="pagado"/>
    <x v="0"/>
    <x v="0"/>
  </r>
  <r>
    <n v="3000000061"/>
    <d v="2025-01-15T00:00:00"/>
    <n v="10000000"/>
    <s v="Pulverizaciones Tuninetti S.R.Las Rosas 01"/>
    <x v="31"/>
    <n v="10000000"/>
    <x v="5"/>
    <x v="0"/>
    <s v="pagado"/>
    <s v="pagado"/>
    <x v="0"/>
    <x v="0"/>
  </r>
  <r>
    <n v="3000000061"/>
    <d v="2025-01-15T00:00:00"/>
    <n v="9009501.8000000007"/>
    <s v="Pulverizaciones Tuninetti S.R.Las Rosas 01"/>
    <x v="32"/>
    <n v="9009501.8000000007"/>
    <x v="6"/>
    <x v="0"/>
    <s v="pagado"/>
    <s v="pagado"/>
    <x v="0"/>
    <x v="0"/>
  </r>
  <r>
    <n v="3000000062"/>
    <d v="2025-01-15T00:00:00"/>
    <n v="7000000"/>
    <s v="LIZONDO OSCAR FABIAN METAN 09"/>
    <x v="33"/>
    <n v="7000000"/>
    <x v="5"/>
    <x v="0"/>
    <s v="pagado"/>
    <s v="pagado"/>
    <x v="0"/>
    <x v="0"/>
  </r>
  <r>
    <n v="3000000062"/>
    <d v="2025-01-15T00:00:00"/>
    <n v="7648843.4000000004"/>
    <s v="LIZONDO OSCAR FABIAN METAN 09"/>
    <x v="34"/>
    <n v="7648843.4000000004"/>
    <x v="6"/>
    <x v="0"/>
    <s v="pagado"/>
    <s v="pagado"/>
    <x v="0"/>
    <x v="0"/>
  </r>
  <r>
    <n v="3000000052"/>
    <d v="2025-01-15T00:00:00"/>
    <n v="192107.1"/>
    <s v="VERON,MARIANA BEATRIZ NUEVA ESPERANZA 13"/>
    <x v="35"/>
    <n v="192107.1"/>
    <x v="3"/>
    <x v="0"/>
    <s v="pagado"/>
    <s v="pagado"/>
    <x v="0"/>
    <x v="0"/>
  </r>
  <r>
    <n v="3000000053"/>
    <d v="2025-01-15T00:00:00"/>
    <n v="458773.42"/>
    <s v="Medina Lauro Jose Las Cejas 14"/>
    <x v="36"/>
    <n v="458773.42"/>
    <x v="3"/>
    <x v="0"/>
    <s v="pagado"/>
    <s v="pagado"/>
    <x v="0"/>
    <x v="0"/>
  </r>
  <r>
    <n v="3000000060"/>
    <d v="2025-01-15T00:00:00"/>
    <n v="12799179.15"/>
    <s v="SUAREZ GABRIEL SEBASTIAN SANTIAGO DEL ESTERO 13"/>
    <x v="37"/>
    <n v="12799179.15"/>
    <x v="5"/>
    <x v="0"/>
    <s v="pagado"/>
    <s v="pagado"/>
    <x v="0"/>
    <x v="0"/>
  </r>
  <r>
    <n v="1200000001"/>
    <d v="2025-01-17T00:00:00"/>
    <n v="13410435.199999999"/>
    <s v="Cheque de terceros tucumán"/>
    <x v="38"/>
    <n v="13410435.199999999"/>
    <x v="7"/>
    <x v="0"/>
    <s v="pagado"/>
    <s v="pagado"/>
    <x v="0"/>
    <x v="0"/>
  </r>
  <r>
    <n v="3000000086"/>
    <d v="2025-01-17T00:00:00"/>
    <n v="11200155.33"/>
    <s v="MALATINI SRL GRAL DEHEZA 03"/>
    <x v="39"/>
    <n v="11200155.33"/>
    <x v="5"/>
    <x v="0"/>
    <s v="pagado"/>
    <s v="pagado"/>
    <x v="0"/>
    <x v="0"/>
  </r>
  <r>
    <n v="3000000093"/>
    <d v="2025-01-21T00:00:00"/>
    <n v="3366630.7"/>
    <s v="RODRIGUEZ NESTOR HORACIO YERBA BUENA 14"/>
    <x v="40"/>
    <n v="3366630.7"/>
    <x v="8"/>
    <x v="0"/>
    <s v="pagado"/>
    <s v="pagado"/>
    <x v="0"/>
    <x v="0"/>
  </r>
  <r>
    <n v="3000000094"/>
    <d v="2025-01-21T00:00:00"/>
    <n v="4709104.5"/>
    <s v="GRUPO MARGEN DEL NOA SA YERBA BUENA 14"/>
    <x v="41"/>
    <n v="4709104.5"/>
    <x v="8"/>
    <x v="0"/>
    <s v="pagado"/>
    <s v="pagado"/>
    <x v="0"/>
    <x v="0"/>
  </r>
  <r>
    <n v="3000000095"/>
    <d v="2025-01-22T00:00:00"/>
    <n v="28667147.739999998"/>
    <s v="ESTANCIA EL AZUL S.A SAN MIGUEL DE TUCUMAN 14"/>
    <x v="42"/>
    <n v="28667147.739999998"/>
    <x v="9"/>
    <x v="0"/>
    <s v="pagado"/>
    <s v="pagado"/>
    <x v="0"/>
    <x v="0"/>
  </r>
  <r>
    <n v="3000000099"/>
    <d v="2025-01-22T00:00:00"/>
    <n v="8807343.4000000004"/>
    <s v="GOMEZ MANUEL ARCENIO METAN 09"/>
    <x v="43"/>
    <n v="8807343.4000000004"/>
    <x v="10"/>
    <x v="0"/>
    <s v="pagado"/>
    <s v="pagado"/>
    <x v="0"/>
    <x v="0"/>
  </r>
  <r>
    <n v="3000000100"/>
    <d v="2025-01-22T00:00:00"/>
    <n v="11658151.119999999"/>
    <s v="AYALA HERNAN OSVALDO SAN MIGUEL DE TUCUMAN 14"/>
    <x v="44"/>
    <n v="11658151.119999999"/>
    <x v="10"/>
    <x v="0"/>
    <s v="pagado"/>
    <s v="pagado"/>
    <x v="0"/>
    <x v="0"/>
  </r>
  <r>
    <n v="3000000100"/>
    <d v="2025-01-22T00:00:00"/>
    <n v="4000060.08"/>
    <s v="AYALA HERNAN OSVALDO SAN MIGUEL DE TUCUMAN 14"/>
    <x v="45"/>
    <n v="4000060.08"/>
    <x v="10"/>
    <x v="0"/>
    <s v="pagado"/>
    <s v="pagado"/>
    <x v="0"/>
    <x v="0"/>
  </r>
  <r>
    <n v="3000000101"/>
    <d v="2025-01-22T00:00:00"/>
    <n v="16000000"/>
    <s v="Medina Lauro Jose Las Cejas 14"/>
    <x v="46"/>
    <n v="16000000"/>
    <x v="10"/>
    <x v="0"/>
    <s v="pagado"/>
    <s v="pagado"/>
    <x v="0"/>
    <x v="0"/>
  </r>
  <r>
    <n v="3000000101"/>
    <d v="2025-01-22T00:00:00"/>
    <n v="15648232.550000001"/>
    <s v="Medina Lauro Jose Las Cejas 14"/>
    <x v="47"/>
    <n v="15648232.550000001"/>
    <x v="9"/>
    <x v="0"/>
    <s v="pagado"/>
    <s v="pagado"/>
    <x v="0"/>
    <x v="0"/>
  </r>
  <r>
    <n v="3000000102"/>
    <d v="2025-01-22T00:00:00"/>
    <n v="4066706"/>
    <s v="SAN LORENZO CEREALES S.R.L SAN LORENZO 12"/>
    <x v="48"/>
    <n v="4066706"/>
    <x v="10"/>
    <x v="0"/>
    <s v="pagado"/>
    <s v="pagado"/>
    <x v="0"/>
    <x v="0"/>
  </r>
  <r>
    <n v="3000000103"/>
    <d v="2025-01-22T00:00:00"/>
    <n v="2906983.8"/>
    <s v="TRANS TRUCKS SRL SOLDINI 12"/>
    <x v="49"/>
    <n v="2906983.8"/>
    <x v="10"/>
    <x v="0"/>
    <s v="pagado"/>
    <s v="pagado"/>
    <x v="0"/>
    <x v="0"/>
  </r>
  <r>
    <n v="3000000104"/>
    <d v="2025-01-22T00:00:00"/>
    <n v="6137336.0999999996"/>
    <s v="LOGISTICA CENTRO S.R.L CORONDA 12"/>
    <x v="50"/>
    <n v="6137336.0999999996"/>
    <x v="10"/>
    <x v="0"/>
    <s v="pagado"/>
    <s v="pagado"/>
    <x v="0"/>
    <x v="0"/>
  </r>
  <r>
    <n v="3000000105"/>
    <d v="2025-01-22T00:00:00"/>
    <n v="100000"/>
    <s v="Laborda Carlos SAN MIGUEL DE TUCUMAN 14"/>
    <x v="51"/>
    <n v="100000"/>
    <x v="8"/>
    <x v="0"/>
    <s v="pagado"/>
    <s v="pagado"/>
    <x v="0"/>
    <x v="0"/>
  </r>
  <r>
    <n v="3000000105"/>
    <d v="2025-01-22T00:00:00"/>
    <n v="100000"/>
    <s v="Laborda Carlos SAN MIGUEL DE TUCUMAN 14"/>
    <x v="52"/>
    <n v="100000"/>
    <x v="8"/>
    <x v="0"/>
    <s v="pagado"/>
    <s v="pagado"/>
    <x v="0"/>
    <x v="0"/>
  </r>
  <r>
    <n v="3000000105"/>
    <d v="2025-01-22T00:00:00"/>
    <n v="100000"/>
    <s v="Laborda Carlos SAN MIGUEL DE TUCUMAN 14"/>
    <x v="53"/>
    <n v="100000"/>
    <x v="8"/>
    <x v="0"/>
    <s v="pagado"/>
    <s v="pagado"/>
    <x v="0"/>
    <x v="0"/>
  </r>
  <r>
    <n v="3000000105"/>
    <d v="2025-01-22T00:00:00"/>
    <n v="100000"/>
    <s v="Laborda Carlos SAN MIGUEL DE TUCUMAN 14"/>
    <x v="54"/>
    <n v="100000"/>
    <x v="8"/>
    <x v="0"/>
    <s v="pagado"/>
    <s v="pagado"/>
    <x v="0"/>
    <x v="0"/>
  </r>
  <r>
    <n v="3000000105"/>
    <d v="2025-01-22T00:00:00"/>
    <n v="300000"/>
    <s v="Laborda Carlos SAN MIGUEL DE TUCUMAN 14"/>
    <x v="55"/>
    <n v="300000"/>
    <x v="8"/>
    <x v="0"/>
    <s v="pagado"/>
    <s v="pagado"/>
    <x v="0"/>
    <x v="0"/>
  </r>
  <r>
    <n v="3000000105"/>
    <d v="2025-01-22T00:00:00"/>
    <n v="300000"/>
    <s v="Laborda Carlos SAN MIGUEL DE TUCUMAN 14"/>
    <x v="56"/>
    <n v="300000"/>
    <x v="8"/>
    <x v="0"/>
    <s v="pagado"/>
    <s v="pagado"/>
    <x v="0"/>
    <x v="0"/>
  </r>
  <r>
    <n v="3000000105"/>
    <d v="2025-01-22T00:00:00"/>
    <n v="300000"/>
    <s v="Laborda Carlos SAN MIGUEL DE TUCUMAN 14"/>
    <x v="57"/>
    <n v="300000"/>
    <x v="8"/>
    <x v="0"/>
    <s v="pagado"/>
    <s v="pagado"/>
    <x v="0"/>
    <x v="0"/>
  </r>
  <r>
    <n v="3000000105"/>
    <d v="2025-01-22T00:00:00"/>
    <n v="300000"/>
    <s v="Laborda Carlos SAN MIGUEL DE TUCUMAN 14"/>
    <x v="58"/>
    <n v="300000"/>
    <x v="8"/>
    <x v="0"/>
    <s v="pagado"/>
    <s v="pagado"/>
    <x v="0"/>
    <x v="0"/>
  </r>
  <r>
    <n v="3000000105"/>
    <d v="2025-01-22T00:00:00"/>
    <n v="500000"/>
    <s v="Laborda Carlos SAN MIGUEL DE TUCUMAN 14"/>
    <x v="59"/>
    <n v="500000"/>
    <x v="10"/>
    <x v="0"/>
    <s v="pagado"/>
    <s v="pagado"/>
    <x v="0"/>
    <x v="0"/>
  </r>
  <r>
    <n v="3000000105"/>
    <d v="2025-01-22T00:00:00"/>
    <n v="500000"/>
    <s v="Laborda Carlos SAN MIGUEL DE TUCUMAN 14"/>
    <x v="60"/>
    <n v="500000"/>
    <x v="10"/>
    <x v="0"/>
    <s v="pagado"/>
    <s v="pagado"/>
    <x v="0"/>
    <x v="0"/>
  </r>
  <r>
    <n v="3000000105"/>
    <d v="2025-01-22T00:00:00"/>
    <n v="500000"/>
    <s v="Laborda Carlos SAN MIGUEL DE TUCUMAN 14"/>
    <x v="61"/>
    <n v="500000"/>
    <x v="10"/>
    <x v="0"/>
    <s v="pagado"/>
    <s v="pagado"/>
    <x v="0"/>
    <x v="0"/>
  </r>
  <r>
    <n v="3000000105"/>
    <d v="2025-01-22T00:00:00"/>
    <n v="500000"/>
    <s v="Laborda Carlos SAN MIGUEL DE TUCUMAN 14"/>
    <x v="62"/>
    <n v="500000"/>
    <x v="10"/>
    <x v="0"/>
    <s v="pagado"/>
    <s v="pagado"/>
    <x v="0"/>
    <x v="0"/>
  </r>
  <r>
    <n v="3000000105"/>
    <d v="2025-01-22T00:00:00"/>
    <n v="500000"/>
    <s v="Laborda Carlos SAN MIGUEL DE TUCUMAN 14"/>
    <x v="63"/>
    <n v="500000"/>
    <x v="10"/>
    <x v="0"/>
    <s v="pagado"/>
    <s v="pagado"/>
    <x v="0"/>
    <x v="0"/>
  </r>
  <r>
    <n v="3000000105"/>
    <d v="2025-01-22T00:00:00"/>
    <n v="500000"/>
    <s v="Laborda Carlos SAN MIGUEL DE TUCUMAN 14"/>
    <x v="64"/>
    <n v="500000"/>
    <x v="10"/>
    <x v="0"/>
    <s v="pagado"/>
    <s v="pagado"/>
    <x v="0"/>
    <x v="0"/>
  </r>
  <r>
    <n v="3000000105"/>
    <d v="2025-01-22T00:00:00"/>
    <n v="500000"/>
    <s v="Laborda Carlos SAN MIGUEL DE TUCUMAN 14"/>
    <x v="65"/>
    <n v="500000"/>
    <x v="10"/>
    <x v="0"/>
    <s v="pagado"/>
    <s v="pagado"/>
    <x v="0"/>
    <x v="0"/>
  </r>
  <r>
    <n v="3000000105"/>
    <d v="2025-01-22T00:00:00"/>
    <n v="1200000"/>
    <s v="Laborda Carlos SAN MIGUEL DE TUCUMAN 14"/>
    <x v="66"/>
    <n v="1200000"/>
    <x v="9"/>
    <x v="0"/>
    <s v="pagado"/>
    <s v="pagado"/>
    <x v="0"/>
    <x v="0"/>
  </r>
  <r>
    <n v="3000000105"/>
    <d v="2025-01-22T00:00:00"/>
    <n v="30000000"/>
    <s v="Laborda Carlos SAN MIGUEL DE TUCUMAN 14"/>
    <x v="67"/>
    <n v="30000000"/>
    <x v="9"/>
    <x v="0"/>
    <s v="pagado"/>
    <s v="pagado"/>
    <x v="0"/>
    <x v="0"/>
  </r>
  <r>
    <n v="3000000105"/>
    <d v="2025-01-22T00:00:00"/>
    <n v="3000000"/>
    <s v="Laborda Carlos SAN MIGUEL DE TUCUMAN 14"/>
    <x v="68"/>
    <n v="3000000"/>
    <x v="9"/>
    <x v="0"/>
    <s v="pagado"/>
    <s v="pagado"/>
    <x v="0"/>
    <x v="0"/>
  </r>
  <r>
    <n v="3000000105"/>
    <d v="2025-01-22T00:00:00"/>
    <n v="3169268.9"/>
    <s v="Laborda Carlos SAN MIGUEL DE TUCUMAN 14"/>
    <x v="69"/>
    <n v="3169268.9"/>
    <x v="9"/>
    <x v="0"/>
    <s v="pagado"/>
    <s v="pagado"/>
    <x v="0"/>
    <x v="0"/>
  </r>
  <r>
    <n v="3000000121"/>
    <d v="2025-01-23T00:00:00"/>
    <n v="1000000"/>
    <s v="Pulmajo S.R.L. CONCEPCION 14"/>
    <x v="70"/>
    <n v="1000000"/>
    <x v="8"/>
    <x v="0"/>
    <s v="pagado"/>
    <s v="pagado"/>
    <x v="0"/>
    <x v="0"/>
  </r>
  <r>
    <n v="3000000121"/>
    <d v="2025-01-23T00:00:00"/>
    <n v="1000000"/>
    <s v="Pulmajo S.R.L. CONCEPCION 14"/>
    <x v="71"/>
    <n v="1000000"/>
    <x v="8"/>
    <x v="0"/>
    <s v="pagado"/>
    <s v="pagado"/>
    <x v="0"/>
    <x v="0"/>
  </r>
  <r>
    <n v="3000000121"/>
    <d v="2025-01-23T00:00:00"/>
    <n v="2000000"/>
    <s v="Pulmajo S.R.L. CONCEPCION 14"/>
    <x v="72"/>
    <n v="2000000"/>
    <x v="8"/>
    <x v="0"/>
    <s v="pagado"/>
    <s v="pagado"/>
    <x v="0"/>
    <x v="0"/>
  </r>
  <r>
    <n v="3000000121"/>
    <d v="2025-01-23T00:00:00"/>
    <n v="2000000"/>
    <s v="Pulmajo S.R.L. CONCEPCION 14"/>
    <x v="73"/>
    <n v="2000000"/>
    <x v="8"/>
    <x v="0"/>
    <s v="pagado"/>
    <s v="pagado"/>
    <x v="0"/>
    <x v="0"/>
  </r>
  <r>
    <n v="3000000121"/>
    <d v="2025-01-23T00:00:00"/>
    <n v="3000000"/>
    <s v="Pulmajo S.R.L. CONCEPCION 14"/>
    <x v="74"/>
    <n v="3000000"/>
    <x v="8"/>
    <x v="0"/>
    <s v="pagado"/>
    <s v="pagado"/>
    <x v="0"/>
    <x v="0"/>
  </r>
  <r>
    <n v="3000000121"/>
    <d v="2025-01-23T00:00:00"/>
    <n v="3000000"/>
    <s v="Pulmajo S.R.L. CONCEPCION 14"/>
    <x v="75"/>
    <n v="3000000"/>
    <x v="8"/>
    <x v="0"/>
    <s v="pagado"/>
    <s v="pagado"/>
    <x v="0"/>
    <x v="0"/>
  </r>
  <r>
    <n v="3000000121"/>
    <d v="2025-01-23T00:00:00"/>
    <n v="5000000"/>
    <s v="Pulmajo S.R.L. CONCEPCION 14"/>
    <x v="76"/>
    <n v="5000000"/>
    <x v="10"/>
    <x v="0"/>
    <s v="pagado"/>
    <s v="pagado"/>
    <x v="0"/>
    <x v="0"/>
  </r>
  <r>
    <n v="3000000121"/>
    <d v="2025-01-23T00:00:00"/>
    <n v="5000000"/>
    <s v="Pulmajo S.R.L. CONCEPCION 14"/>
    <x v="77"/>
    <n v="5000000"/>
    <x v="10"/>
    <x v="0"/>
    <s v="pagado"/>
    <s v="pagado"/>
    <x v="0"/>
    <x v="0"/>
  </r>
  <r>
    <n v="3000000121"/>
    <d v="2025-01-23T00:00:00"/>
    <n v="5000000"/>
    <s v="Pulmajo S.R.L. CONCEPCION 14"/>
    <x v="78"/>
    <n v="5000000"/>
    <x v="10"/>
    <x v="0"/>
    <s v="pagado"/>
    <s v="pagado"/>
    <x v="0"/>
    <x v="0"/>
  </r>
  <r>
    <n v="3000000121"/>
    <d v="2025-01-23T00:00:00"/>
    <n v="5000000"/>
    <s v="Pulmajo S.R.L. CONCEPCION 14"/>
    <x v="79"/>
    <n v="5000000"/>
    <x v="10"/>
    <x v="0"/>
    <s v="pagado"/>
    <s v="pagado"/>
    <x v="0"/>
    <x v="0"/>
  </r>
  <r>
    <n v="3000000121"/>
    <d v="2025-01-23T00:00:00"/>
    <n v="5000000"/>
    <s v="Pulmajo S.R.L. CONCEPCION 14"/>
    <x v="80"/>
    <n v="5000000"/>
    <x v="10"/>
    <x v="0"/>
    <s v="pagado"/>
    <s v="pagado"/>
    <x v="0"/>
    <x v="0"/>
  </r>
  <r>
    <n v="3000000121"/>
    <d v="2025-01-23T00:00:00"/>
    <n v="5000000"/>
    <s v="Pulmajo S.R.L. CONCEPCION 14"/>
    <x v="81"/>
    <n v="5000000"/>
    <x v="9"/>
    <x v="0"/>
    <s v="pagado"/>
    <s v="pagado"/>
    <x v="0"/>
    <x v="0"/>
  </r>
  <r>
    <n v="3000000121"/>
    <d v="2025-01-23T00:00:00"/>
    <n v="5000000"/>
    <s v="Pulmajo S.R.L. CONCEPCION 14"/>
    <x v="82"/>
    <n v="5000000"/>
    <x v="9"/>
    <x v="0"/>
    <s v="pagado"/>
    <s v="pagado"/>
    <x v="0"/>
    <x v="0"/>
  </r>
  <r>
    <n v="3000000121"/>
    <d v="2025-01-23T00:00:00"/>
    <n v="5000000"/>
    <s v="Pulmajo S.R.L. CONCEPCION 14"/>
    <x v="83"/>
    <n v="5000000"/>
    <x v="9"/>
    <x v="0"/>
    <s v="pagado"/>
    <s v="pagado"/>
    <x v="0"/>
    <x v="0"/>
  </r>
  <r>
    <n v="3000000121"/>
    <d v="2025-01-23T00:00:00"/>
    <n v="5000000"/>
    <s v="Pulmajo S.R.L. CONCEPCION 14"/>
    <x v="84"/>
    <n v="5000000"/>
    <x v="9"/>
    <x v="0"/>
    <s v="pagado"/>
    <s v="pagado"/>
    <x v="0"/>
    <x v="0"/>
  </r>
  <r>
    <n v="3000000121"/>
    <d v="2025-01-23T00:00:00"/>
    <n v="5897766.25"/>
    <s v="Pulmajo S.R.L. CONCEPCION 14"/>
    <x v="85"/>
    <n v="5897766.25"/>
    <x v="9"/>
    <x v="0"/>
    <s v="pagado"/>
    <s v="pagado"/>
    <x v="0"/>
    <x v="0"/>
  </r>
  <r>
    <n v="3000000137"/>
    <d v="2025-01-28T00:00:00"/>
    <n v="10000000"/>
    <s v="Pulverizaciones Tuninetti S.R.Las Rosas 01"/>
    <x v="86"/>
    <n v="10000000"/>
    <x v="11"/>
    <x v="0"/>
    <s v="pagado"/>
    <s v="pagado"/>
    <x v="0"/>
    <x v="0"/>
  </r>
  <r>
    <n v="3000000137"/>
    <d v="2025-01-28T00:00:00"/>
    <n v="10058167.15"/>
    <s v="Pulverizaciones Tuninetti S.R.Las Rosas 01"/>
    <x v="87"/>
    <n v="10058167.15"/>
    <x v="12"/>
    <x v="0"/>
    <s v="pagado"/>
    <s v="pagado"/>
    <x v="0"/>
    <x v="0"/>
  </r>
  <r>
    <n v="3000000139"/>
    <d v="2025-01-28T00:00:00"/>
    <n v="10000000"/>
    <s v="MARIA FERNANDA SRL LA TRINIDAD 14"/>
    <x v="88"/>
    <n v="10000000"/>
    <x v="11"/>
    <x v="0"/>
    <s v="pagado"/>
    <s v="pagado"/>
    <x v="0"/>
    <x v="0"/>
  </r>
  <r>
    <n v="3000000139"/>
    <d v="2025-01-28T00:00:00"/>
    <n v="10351673.4"/>
    <s v="MARIA FERNANDA SRL LA TRINIDAD 14"/>
    <x v="89"/>
    <n v="10351673.4"/>
    <x v="12"/>
    <x v="0"/>
    <s v="pagado"/>
    <s v="pagado"/>
    <x v="0"/>
    <x v="0"/>
  </r>
  <r>
    <n v="3000000136"/>
    <d v="2025-01-28T00:00:00"/>
    <n v="12503219.4"/>
    <s v="AYALA HERNAN OSVALDO SAN MIGUEL DE TUCUMAN 14"/>
    <x v="90"/>
    <n v="12503219.4"/>
    <x v="11"/>
    <x v="0"/>
    <s v="pagado"/>
    <s v="pagado"/>
    <x v="0"/>
    <x v="0"/>
  </r>
  <r>
    <n v="3000000138"/>
    <d v="2025-01-28T00:00:00"/>
    <n v="6705396.2999999998"/>
    <s v="IBAÑEZ MAXIMILIANO DAVID JUAN BAUTISTA ALBERDI 14"/>
    <x v="91"/>
    <n v="6705396.2999999998"/>
    <x v="11"/>
    <x v="0"/>
    <s v="pagado"/>
    <s v="pagado"/>
    <x v="0"/>
    <x v="0"/>
  </r>
  <r>
    <n v="3000000140"/>
    <d v="2025-01-28T00:00:00"/>
    <n v="7096905.2999999998"/>
    <s v="PETROANDINA S.R.L SALTA 09"/>
    <x v="92"/>
    <n v="7096905.2999999998"/>
    <x v="11"/>
    <x v="0"/>
    <s v="pagado"/>
    <s v="pagado"/>
    <x v="0"/>
    <x v="0"/>
  </r>
  <r>
    <n v="3000000141"/>
    <d v="2025-01-28T00:00:00"/>
    <n v="7715669.8200000003"/>
    <s v="SERVICOM S.R.L SAN MIGUEL DE TUCUMAN 14"/>
    <x v="93"/>
    <n v="7715669.8200000003"/>
    <x v="11"/>
    <x v="0"/>
    <s v="pagado"/>
    <s v="pagado"/>
    <x v="0"/>
    <x v="0"/>
  </r>
  <r>
    <n v="3000000144"/>
    <d v="2025-01-29T00:00:00"/>
    <n v="12333090"/>
    <s v="EDET S.A. SAN MIGUEL DE TUCUMAN 14"/>
    <x v="94"/>
    <n v="12333090"/>
    <x v="13"/>
    <x v="0"/>
    <s v="pagado"/>
    <s v="pagado"/>
    <x v="0"/>
    <x v="0"/>
  </r>
  <r>
    <n v="3000000151"/>
    <d v="2025-01-30T00:00:00"/>
    <n v="447098.88"/>
    <s v="Ventimiglia Nelly Irma Jesus Maria 03"/>
    <x v="95"/>
    <n v="447098.88"/>
    <x v="11"/>
    <x v="0"/>
    <s v="pagado"/>
    <s v="pagado"/>
    <x v="0"/>
    <x v="0"/>
  </r>
  <r>
    <n v="3000000152"/>
    <d v="2025-01-30T00:00:00"/>
    <n v="670237.47"/>
    <s v="RODRIGUEZ NESTOR HORACIO YERBA BUENA 14"/>
    <x v="96"/>
    <n v="670237.47"/>
    <x v="11"/>
    <x v="0"/>
    <s v="pagado"/>
    <s v="pagado"/>
    <x v="0"/>
    <x v="0"/>
  </r>
  <r>
    <n v="3000000162"/>
    <d v="2025-01-31T00:00:00"/>
    <n v="11090156.210000001"/>
    <s v="SAN LORENZO CEREALES S.R.L SAN LORENZO 12"/>
    <x v="97"/>
    <n v="11090156.210000001"/>
    <x v="14"/>
    <x v="0"/>
    <s v="pagado"/>
    <s v="pagado"/>
    <x v="0"/>
    <x v="0"/>
  </r>
  <r>
    <n v="3000000163"/>
    <d v="2025-01-31T00:00:00"/>
    <n v="16676986.76"/>
    <s v="JAVIER EDUARDO PRADO FLORIDA 13"/>
    <x v="98"/>
    <n v="16676986.76"/>
    <x v="14"/>
    <x v="0"/>
    <s v="pagado"/>
    <s v="pagado"/>
    <x v="0"/>
    <x v="0"/>
  </r>
  <r>
    <n v="3000000176"/>
    <d v="2025-02-04T00:00:00"/>
    <n v="1000000"/>
    <s v="Pulmajo S.R.L. CONCEPCION 14"/>
    <x v="99"/>
    <n v="1000000"/>
    <x v="15"/>
    <x v="0"/>
    <s v="pagado"/>
    <s v="pagado"/>
    <x v="0"/>
    <x v="0"/>
  </r>
  <r>
    <n v="3000000176"/>
    <d v="2025-02-04T00:00:00"/>
    <n v="1000000"/>
    <s v="Pulmajo S.R.L. CONCEPCION 14"/>
    <x v="100"/>
    <n v="1000000"/>
    <x v="15"/>
    <x v="0"/>
    <s v="pagado"/>
    <s v="pagado"/>
    <x v="0"/>
    <x v="0"/>
  </r>
  <r>
    <n v="3000000176"/>
    <d v="2025-02-04T00:00:00"/>
    <n v="2000000"/>
    <s v="Pulmajo S.R.L. CONCEPCION 14"/>
    <x v="101"/>
    <n v="2000000"/>
    <x v="15"/>
    <x v="0"/>
    <s v="pagado"/>
    <s v="pagado"/>
    <x v="0"/>
    <x v="0"/>
  </r>
  <r>
    <n v="3000000176"/>
    <d v="2025-02-04T00:00:00"/>
    <n v="2000000"/>
    <s v="Pulmajo S.R.L. CONCEPCION 14"/>
    <x v="102"/>
    <n v="2000000"/>
    <x v="15"/>
    <x v="0"/>
    <s v="pagado"/>
    <s v="pagado"/>
    <x v="0"/>
    <x v="0"/>
  </r>
  <r>
    <n v="3000000176"/>
    <d v="2025-02-04T00:00:00"/>
    <n v="5000000"/>
    <s v="Pulmajo S.R.L. CONCEPCION 14"/>
    <x v="103"/>
    <n v="5000000"/>
    <x v="16"/>
    <x v="0"/>
    <s v="pagado"/>
    <s v="pagado"/>
    <x v="0"/>
    <x v="0"/>
  </r>
  <r>
    <n v="3000000176"/>
    <d v="2025-02-04T00:00:00"/>
    <n v="5000000"/>
    <s v="Pulmajo S.R.L. CONCEPCION 14"/>
    <x v="104"/>
    <n v="5000000"/>
    <x v="16"/>
    <x v="0"/>
    <s v="pagado"/>
    <s v="pagado"/>
    <x v="0"/>
    <x v="0"/>
  </r>
  <r>
    <n v="3000000176"/>
    <d v="2025-02-04T00:00:00"/>
    <n v="5000000"/>
    <s v="Pulmajo S.R.L. CONCEPCION 14"/>
    <x v="105"/>
    <n v="5000000"/>
    <x v="16"/>
    <x v="0"/>
    <s v="pagado"/>
    <s v="pagado"/>
    <x v="0"/>
    <x v="0"/>
  </r>
  <r>
    <n v="3000000176"/>
    <d v="2025-02-04T00:00:00"/>
    <n v="112652.85"/>
    <s v="Pulmajo S.R.L. CONCEPCION 14"/>
    <x v="106"/>
    <n v="112652.85"/>
    <x v="16"/>
    <x v="0"/>
    <s v="no pagado"/>
    <s v="fuera de fecha"/>
    <x v="0"/>
    <x v="0"/>
  </r>
  <r>
    <n v="3000000182"/>
    <d v="2025-02-05T00:00:00"/>
    <n v="7560293.4000000004"/>
    <s v="LOS LAURELES SERVICIOS AGRICOLSan Miguel De Tucuman 14"/>
    <x v="107"/>
    <n v="7560293.4000000004"/>
    <x v="16"/>
    <x v="1"/>
    <s v="pagado"/>
    <s v="pagado"/>
    <x v="0"/>
    <x v="0"/>
  </r>
  <r>
    <n v="3000000183"/>
    <d v="2025-02-05T00:00:00"/>
    <n v="12297143.4"/>
    <s v="CARIGNANO RAUL JUAN YERBA BUENA 14"/>
    <x v="108"/>
    <n v="12297143.4"/>
    <x v="16"/>
    <x v="1"/>
    <s v="pagado"/>
    <s v="pagado"/>
    <x v="0"/>
    <x v="0"/>
  </r>
  <r>
    <n v="3000000184"/>
    <d v="2025-02-05T00:00:00"/>
    <n v="5724935.4000000004"/>
    <s v="EL CERRITO SRL CERRILLOS 09"/>
    <x v="109"/>
    <n v="5724935.4000000004"/>
    <x v="16"/>
    <x v="1"/>
    <s v="pagado"/>
    <s v="pagado"/>
    <x v="0"/>
    <x v="0"/>
  </r>
  <r>
    <n v="3000000185"/>
    <d v="2025-02-05T00:00:00"/>
    <n v="11745311.539999999"/>
    <s v="BUSTOS EXEQUIEL ANTONIO BANDA DEL RIO SALI 14"/>
    <x v="110"/>
    <n v="11745311.539999999"/>
    <x v="17"/>
    <x v="1"/>
    <s v="pagado"/>
    <s v="pagado"/>
    <x v="0"/>
    <x v="0"/>
  </r>
  <r>
    <n v="3000000186"/>
    <d v="2025-02-05T00:00:00"/>
    <n v="8495499.3399999999"/>
    <s v="AGROTRANSPORTE ALDAO S.A. CAMILO ALDAO 03"/>
    <x v="111"/>
    <n v="8495499.3399999999"/>
    <x v="17"/>
    <x v="1"/>
    <s v="pagado"/>
    <s v="pagado"/>
    <x v="0"/>
    <x v="0"/>
  </r>
  <r>
    <n v="3000000187"/>
    <d v="2025-02-05T00:00:00"/>
    <n v="1569578.57"/>
    <s v="CAMPOSTRINI S R L VILLAGUAY 05"/>
    <x v="112"/>
    <n v="1569578.57"/>
    <x v="16"/>
    <x v="1"/>
    <s v="pagado"/>
    <s v="pagado"/>
    <x v="0"/>
    <x v="0"/>
  </r>
  <r>
    <n v="3000000188"/>
    <d v="2025-02-05T00:00:00"/>
    <n v="15715717.939999999"/>
    <s v="LAVENIA VITO CARMELO LASTENIA 14"/>
    <x v="113"/>
    <n v="15715717.939999999"/>
    <x v="17"/>
    <x v="1"/>
    <s v="pagado"/>
    <s v="pagado"/>
    <x v="0"/>
    <x v="0"/>
  </r>
  <r>
    <n v="3000000189"/>
    <d v="2025-02-05T00:00:00"/>
    <n v="4418438.22"/>
    <s v="TRANS TRUCKS SRL SOLDINI 12"/>
    <x v="114"/>
    <n v="4418438.22"/>
    <x v="16"/>
    <x v="1"/>
    <s v="pagado"/>
    <s v="pagado"/>
    <x v="0"/>
    <x v="0"/>
  </r>
  <r>
    <n v="3000000190"/>
    <d v="2025-02-05T00:00:00"/>
    <n v="9950269.6699999999"/>
    <s v="TRANSPORTE Y LOGISTICA DEL ESTLAS CEJAS 14"/>
    <x v="115"/>
    <n v="9950269.6699999999"/>
    <x v="16"/>
    <x v="1"/>
    <s v="pagado"/>
    <s v="pagado"/>
    <x v="0"/>
    <x v="0"/>
  </r>
  <r>
    <n v="3000000191"/>
    <d v="2025-02-05T00:00:00"/>
    <n v="5148588.67"/>
    <s v="MOYANO JULIO CESAR BANDA DEL RIO SALI 14"/>
    <x v="116"/>
    <n v="5148588.67"/>
    <x v="16"/>
    <x v="1"/>
    <s v="pagado"/>
    <s v="pagado"/>
    <x v="0"/>
    <x v="0"/>
  </r>
  <r>
    <n v="3000000192"/>
    <d v="2025-02-05T00:00:00"/>
    <n v="1265258.33"/>
    <s v="CAJAL JUAN MARTIN SAN MIGUEL DE TUCUMAN 14"/>
    <x v="117"/>
    <n v="1265258.33"/>
    <x v="16"/>
    <x v="1"/>
    <s v="pagado"/>
    <s v="pagado"/>
    <x v="0"/>
    <x v="0"/>
  </r>
  <r>
    <n v="3000000193"/>
    <d v="2025-02-05T00:00:00"/>
    <n v="1714036.72"/>
    <s v="GIRAUD SILVIA DEL CARMEN RAMONCRESPO 05"/>
    <x v="118"/>
    <n v="1714036.72"/>
    <x v="16"/>
    <x v="1"/>
    <s v="pagado"/>
    <s v="pagado"/>
    <x v="0"/>
    <x v="0"/>
  </r>
  <r>
    <n v="3000000194"/>
    <d v="2025-02-05T00:00:00"/>
    <n v="4207024.83"/>
    <s v="PAIS WALTER LUIS SAN MIGUEL DE TUCUMAN 14"/>
    <x v="119"/>
    <n v="4207024.83"/>
    <x v="16"/>
    <x v="1"/>
    <s v="pagado"/>
    <s v="pagado"/>
    <x v="0"/>
    <x v="0"/>
  </r>
  <r>
    <n v="3000000195"/>
    <d v="2025-02-05T00:00:00"/>
    <n v="18115857.57"/>
    <s v="FLETES Y SERVICIOS PUJATO S.A PUJATO 12"/>
    <x v="120"/>
    <n v="18115857.57"/>
    <x v="18"/>
    <x v="1"/>
    <s v="pagado"/>
    <s v="pagado"/>
    <x v="0"/>
    <x v="0"/>
  </r>
  <r>
    <n v="3000000196"/>
    <d v="2025-02-05T00:00:00"/>
    <n v="19483734.969999999"/>
    <s v="TRANSPORTE BARBERAN HNOS SRL CHABAS 12"/>
    <x v="121"/>
    <n v="19483734.969999999"/>
    <x v="18"/>
    <x v="1"/>
    <s v="pagado"/>
    <s v="pagado"/>
    <x v="0"/>
    <x v="0"/>
  </r>
  <r>
    <n v="3000000218"/>
    <d v="2025-02-11T00:00:00"/>
    <n v="1553117.04"/>
    <s v="ROMAN BARCELO Y JORGE CARRERASLAS LAJITAS 09"/>
    <x v="122"/>
    <n v="1553117.04"/>
    <x v="19"/>
    <x v="0"/>
    <s v="pagado"/>
    <s v="pagado"/>
    <x v="0"/>
    <x v="0"/>
  </r>
  <r>
    <n v="3000000224"/>
    <d v="2025-02-11T00:00:00"/>
    <n v="5000000"/>
    <s v="Ventimiglia Nelly Irma Jesus Maria 03"/>
    <x v="123"/>
    <n v="5000000"/>
    <x v="20"/>
    <x v="1"/>
    <s v="pagado"/>
    <s v="pagado"/>
    <x v="0"/>
    <x v="0"/>
  </r>
  <r>
    <n v="3000000224"/>
    <d v="2025-02-11T00:00:00"/>
    <n v="4642304.7699999996"/>
    <s v="Ventimiglia Nelly Irma Jesus Maria 03"/>
    <x v="124"/>
    <n v="4642304.7699999996"/>
    <x v="20"/>
    <x v="1"/>
    <s v="pagado"/>
    <s v="pagado"/>
    <x v="0"/>
    <x v="0"/>
  </r>
  <r>
    <n v="3000000227"/>
    <d v="2025-02-11T00:00:00"/>
    <n v="8000000"/>
    <s v="AYALA WALTER DANIEL ALDERETES 14"/>
    <x v="125"/>
    <n v="8000000"/>
    <x v="21"/>
    <x v="1"/>
    <s v="pagado"/>
    <s v="pagado"/>
    <x v="0"/>
    <x v="0"/>
  </r>
  <r>
    <n v="3000000227"/>
    <d v="2025-02-11T00:00:00"/>
    <n v="8745327.6400000006"/>
    <s v="AYALA WALTER DANIEL ALDERETES 14"/>
    <x v="126"/>
    <n v="8745327.6400000006"/>
    <x v="20"/>
    <x v="1"/>
    <s v="pagado"/>
    <s v="pagado"/>
    <x v="0"/>
    <x v="0"/>
  </r>
  <r>
    <n v="3000000228"/>
    <d v="2025-02-11T00:00:00"/>
    <n v="3371689.67"/>
    <s v="AYALA HERNAN OSVALDO SAN MIGUEL DE TUCUMAN 14"/>
    <x v="127"/>
    <n v="3371689.67"/>
    <x v="21"/>
    <x v="1"/>
    <s v="pagado"/>
    <s v="pagado"/>
    <x v="0"/>
    <x v="0"/>
  </r>
  <r>
    <n v="3000000228"/>
    <d v="2025-02-11T00:00:00"/>
    <n v="3371689.67"/>
    <s v="AYALA HERNAN OSVALDO SAN MIGUEL DE TUCUMAN 14"/>
    <x v="128"/>
    <n v="3371689.67"/>
    <x v="21"/>
    <x v="1"/>
    <s v="pagado"/>
    <s v="pagado"/>
    <x v="0"/>
    <x v="0"/>
  </r>
  <r>
    <n v="3000000228"/>
    <d v="2025-02-11T00:00:00"/>
    <n v="7722248.1600000001"/>
    <s v="AYALA HERNAN OSVALDO SAN MIGUEL DE TUCUMAN 14"/>
    <x v="129"/>
    <n v="7722248.1600000001"/>
    <x v="20"/>
    <x v="1"/>
    <s v="pagado"/>
    <s v="pagado"/>
    <x v="0"/>
    <x v="0"/>
  </r>
  <r>
    <n v="3000000229"/>
    <d v="2025-02-11T00:00:00"/>
    <n v="15000000"/>
    <s v="CARIGNANO RAUL JUAN YERBA BUENA 14"/>
    <x v="130"/>
    <n v="15000000"/>
    <x v="20"/>
    <x v="1"/>
    <s v="pagado"/>
    <s v="pagado"/>
    <x v="0"/>
    <x v="0"/>
  </r>
  <r>
    <n v="3000000229"/>
    <d v="2025-02-11T00:00:00"/>
    <n v="12768015"/>
    <s v="CARIGNANO RAUL JUAN YERBA BUENA 14"/>
    <x v="131"/>
    <n v="12768015"/>
    <x v="22"/>
    <x v="1"/>
    <s v="pagado"/>
    <s v="pagado"/>
    <x v="0"/>
    <x v="0"/>
  </r>
  <r>
    <n v="3000000222"/>
    <d v="2025-02-11T00:00:00"/>
    <n v="9238792.0299999993"/>
    <s v="BERCOVICH COMERCIAL SAS SAN MIGUEL DE TUCUMAN 14"/>
    <x v="132"/>
    <n v="9238792.0299999993"/>
    <x v="21"/>
    <x v="1"/>
    <s v="pagado"/>
    <s v="pagado"/>
    <x v="0"/>
    <x v="0"/>
  </r>
  <r>
    <n v="3000000223"/>
    <d v="2025-02-11T00:00:00"/>
    <n v="5225008.0999999996"/>
    <s v="YOMEL S.A. 9 de Julio 01"/>
    <x v="133"/>
    <n v="5225008.0999999996"/>
    <x v="21"/>
    <x v="1"/>
    <s v="pagado"/>
    <s v="pagado"/>
    <x v="0"/>
    <x v="0"/>
  </r>
  <r>
    <n v="3000000225"/>
    <d v="2025-02-11T00:00:00"/>
    <n v="5407820.4000000004"/>
    <s v="MARTO ALBERTO ANTONIO LA RAMADA DE ABAJO 14"/>
    <x v="134"/>
    <n v="5407820.4000000004"/>
    <x v="20"/>
    <x v="1"/>
    <s v="pagado"/>
    <s v="pagado"/>
    <x v="0"/>
    <x v="0"/>
  </r>
  <r>
    <n v="3000000226"/>
    <d v="2025-02-11T00:00:00"/>
    <n v="8089410.7999999998"/>
    <s v="Pulverizaciones Tuninetti S.R.Las Rosas 01"/>
    <x v="135"/>
    <n v="8089410.7999999998"/>
    <x v="20"/>
    <x v="1"/>
    <s v="pagado"/>
    <s v="pagado"/>
    <x v="0"/>
    <x v="0"/>
  </r>
  <r>
    <n v="3000000240"/>
    <d v="2025-02-12T00:00:00"/>
    <n v="20000000"/>
    <s v="Medina Lauro Jose Las Cejas 14"/>
    <x v="136"/>
    <n v="20000000"/>
    <x v="20"/>
    <x v="0"/>
    <s v="pagado"/>
    <s v="pagado"/>
    <x v="0"/>
    <x v="0"/>
  </r>
  <r>
    <n v="3000000240"/>
    <d v="2025-02-12T00:00:00"/>
    <n v="21376519.550000001"/>
    <s v="Medina Lauro Jose Las Cejas 14"/>
    <x v="137"/>
    <n v="21376519.550000001"/>
    <x v="22"/>
    <x v="0"/>
    <s v="pagado"/>
    <s v="pagado"/>
    <x v="0"/>
    <x v="0"/>
  </r>
  <r>
    <n v="3000000241"/>
    <d v="2025-02-12T00:00:00"/>
    <n v="20000000"/>
    <s v="MARIA FERNANDA SRL LA TRINIDAD 14"/>
    <x v="138"/>
    <n v="20000000"/>
    <x v="20"/>
    <x v="0"/>
    <s v="pagado"/>
    <s v="pagado"/>
    <x v="0"/>
    <x v="0"/>
  </r>
  <r>
    <n v="3000000241"/>
    <d v="2025-02-12T00:00:00"/>
    <n v="16793507.399999999"/>
    <s v="MARIA FERNANDA SRL LA TRINIDAD 14"/>
    <x v="139"/>
    <n v="16793507.399999999"/>
    <x v="22"/>
    <x v="0"/>
    <s v="pagado"/>
    <s v="pagado"/>
    <x v="0"/>
    <x v="0"/>
  </r>
  <r>
    <n v="3000000242"/>
    <d v="2025-02-12T00:00:00"/>
    <n v="20000000"/>
    <s v="JAVIER EDUARDO PRADO FLORIDA 13"/>
    <x v="140"/>
    <n v="20000000"/>
    <x v="20"/>
    <x v="0"/>
    <s v="pagado"/>
    <s v="pagado"/>
    <x v="0"/>
    <x v="0"/>
  </r>
  <r>
    <n v="3000000242"/>
    <d v="2025-02-12T00:00:00"/>
    <n v="14668643.17"/>
    <s v="JAVIER EDUARDO PRADO FLORIDA 13"/>
    <x v="141"/>
    <n v="14668643.17"/>
    <x v="22"/>
    <x v="0"/>
    <s v="pagado"/>
    <s v="pagado"/>
    <x v="0"/>
    <x v="0"/>
  </r>
  <r>
    <n v="3000000259"/>
    <d v="2025-02-17T00:00:00"/>
    <n v="4000000"/>
    <s v="Ventimiglia Nelly Irma Jesus Maria 03"/>
    <x v="142"/>
    <n v="4000000"/>
    <x v="23"/>
    <x v="0"/>
    <s v="pagado"/>
    <s v="pagado"/>
    <x v="0"/>
    <x v="0"/>
  </r>
  <r>
    <n v="3000000259"/>
    <d v="2025-02-17T00:00:00"/>
    <n v="3746526.25"/>
    <s v="Ventimiglia Nelly Irma Jesus Maria 03"/>
    <x v="143"/>
    <n v="3746526.25"/>
    <x v="24"/>
    <x v="0"/>
    <s v="pagado"/>
    <s v="pagado"/>
    <x v="0"/>
    <x v="0"/>
  </r>
  <r>
    <n v="3000000260"/>
    <d v="2025-02-17T00:00:00"/>
    <n v="2000000"/>
    <s v="AYALA WALTER DANIEL ALDERETES 14"/>
    <x v="144"/>
    <n v="2000000"/>
    <x v="23"/>
    <x v="0"/>
    <s v="pagado"/>
    <s v="pagado"/>
    <x v="0"/>
    <x v="0"/>
  </r>
  <r>
    <n v="3000000260"/>
    <d v="2025-02-17T00:00:00"/>
    <n v="2147288.7000000002"/>
    <s v="AYALA WALTER DANIEL ALDERETES 14"/>
    <x v="145"/>
    <n v="2147288.7000000002"/>
    <x v="24"/>
    <x v="0"/>
    <s v="pagado"/>
    <s v="pagado"/>
    <x v="0"/>
    <x v="0"/>
  </r>
  <r>
    <n v="3000000263"/>
    <d v="2025-02-17T00:00:00"/>
    <n v="8000000"/>
    <s v="DON KOKO S.R.L CAMILO ALDAO 03"/>
    <x v="146"/>
    <n v="8000000"/>
    <x v="23"/>
    <x v="0"/>
    <s v="pagado"/>
    <s v="pagado"/>
    <x v="0"/>
    <x v="0"/>
  </r>
  <r>
    <n v="3000000263"/>
    <d v="2025-02-17T00:00:00"/>
    <n v="7745430.4000000004"/>
    <s v="DON KOKO S.R.L CAMILO ALDAO 03"/>
    <x v="147"/>
    <n v="7745430.4000000004"/>
    <x v="24"/>
    <x v="0"/>
    <s v="pagado"/>
    <s v="pagado"/>
    <x v="0"/>
    <x v="0"/>
  </r>
  <r>
    <n v="3000000264"/>
    <d v="2025-02-17T00:00:00"/>
    <n v="6000000"/>
    <s v="CARIGNANO RAUL JUAN YERBA BUENA 14"/>
    <x v="148"/>
    <n v="6000000"/>
    <x v="23"/>
    <x v="0"/>
    <s v="pagado"/>
    <s v="pagado"/>
    <x v="0"/>
    <x v="0"/>
  </r>
  <r>
    <n v="3000000264"/>
    <d v="2025-02-17T00:00:00"/>
    <n v="6477960"/>
    <s v="CARIGNANO RAUL JUAN YERBA BUENA 14"/>
    <x v="149"/>
    <n v="6477960"/>
    <x v="24"/>
    <x v="0"/>
    <s v="pagado"/>
    <s v="pagado"/>
    <x v="0"/>
    <x v="0"/>
  </r>
  <r>
    <n v="3000000253"/>
    <d v="2025-02-17T00:00:00"/>
    <n v="15897070"/>
    <s v="EDET S.A. SAN MIGUEL DE TUCUMAN 14"/>
    <x v="150"/>
    <n v="15897070"/>
    <x v="22"/>
    <x v="0"/>
    <s v="pagado"/>
    <s v="pagado"/>
    <x v="0"/>
    <x v="0"/>
  </r>
  <r>
    <n v="3000000261"/>
    <d v="2025-02-17T00:00:00"/>
    <n v="7884065.7000000002"/>
    <s v="Pulverizaciones Tuninetti S.R.Las Rosas 01"/>
    <x v="151"/>
    <n v="7884065.7000000002"/>
    <x v="23"/>
    <x v="0"/>
    <s v="pagado"/>
    <s v="pagado"/>
    <x v="0"/>
    <x v="0"/>
  </r>
  <r>
    <n v="3000000262"/>
    <d v="2025-02-17T00:00:00"/>
    <n v="3536793.02"/>
    <s v="VERON MARIANA BEATRIZ NUEVA ESPERANZA 13"/>
    <x v="152"/>
    <n v="3536793.02"/>
    <x v="23"/>
    <x v="0"/>
    <s v="pagado"/>
    <s v="pagado"/>
    <x v="0"/>
    <x v="0"/>
  </r>
  <r>
    <n v="3000000265"/>
    <d v="2025-02-17T00:00:00"/>
    <n v="7516060.4000000004"/>
    <s v="IBAÑEZ MAXIMILIANO DAVID JUAN BAUTISTA ALBERDI 14"/>
    <x v="153"/>
    <n v="7516060.4000000004"/>
    <x v="23"/>
    <x v="0"/>
    <s v="pagado"/>
    <s v="pagado"/>
    <x v="0"/>
    <x v="0"/>
  </r>
  <r>
    <n v="3000000266"/>
    <d v="2025-02-17T00:00:00"/>
    <n v="13947208.59"/>
    <s v="LIZONDO OSCAR FABIAN METAN 09"/>
    <x v="154"/>
    <n v="13947208.59"/>
    <x v="24"/>
    <x v="0"/>
    <s v="pagado"/>
    <s v="pagado"/>
    <x v="0"/>
    <x v="0"/>
  </r>
  <r>
    <n v="3000000279"/>
    <d v="2025-02-19T00:00:00"/>
    <n v="16000000"/>
    <s v="SUAREZ GABRIEL SEBASTIAN SANTIAGO DEL ESTERO 13"/>
    <x v="155"/>
    <n v="16000000"/>
    <x v="25"/>
    <x v="0"/>
    <s v="pagado"/>
    <s v="pagado"/>
    <x v="0"/>
    <x v="0"/>
  </r>
  <r>
    <n v="3000000279"/>
    <d v="2025-02-19T00:00:00"/>
    <n v="16009838.5"/>
    <s v="SUAREZ GABRIEL SEBASTIAN SANTIAGO DEL ESTERO 13"/>
    <x v="156"/>
    <n v="16009838.5"/>
    <x v="26"/>
    <x v="0"/>
    <s v="pagado"/>
    <s v="pagado"/>
    <x v="0"/>
    <x v="0"/>
  </r>
  <r>
    <n v="3000000287"/>
    <d v="2025-02-20T00:00:00"/>
    <n v="4673964.62"/>
    <s v="TRANSPORTE PRINCE SRL ROSARIO NORTE 12"/>
    <x v="157"/>
    <n v="4673964.62"/>
    <x v="27"/>
    <x v="0"/>
    <s v="pagado"/>
    <s v="pagado"/>
    <x v="0"/>
    <x v="0"/>
  </r>
  <r>
    <n v="3000000288"/>
    <d v="2025-02-20T00:00:00"/>
    <n v="9975778"/>
    <s v="TRANS TRUCKS SRL SOLDINI 12"/>
    <x v="158"/>
    <n v="9975778"/>
    <x v="27"/>
    <x v="0"/>
    <s v="pagado"/>
    <s v="pagado"/>
    <x v="0"/>
    <x v="0"/>
  </r>
  <r>
    <n v="3000000289"/>
    <d v="2025-02-20T00:00:00"/>
    <n v="6995270.25"/>
    <s v="BUSTOS EXEQUIEL ANTONIO BANDA DEL RIO SALI 14"/>
    <x v="159"/>
    <n v="6995270.25"/>
    <x v="27"/>
    <x v="0"/>
    <s v="pagado"/>
    <s v="pagado"/>
    <x v="0"/>
    <x v="0"/>
  </r>
  <r>
    <n v="3000000284"/>
    <d v="2025-02-20T00:00:00"/>
    <n v="5000000"/>
    <s v="MOLINA JUAN F. Y MOLINA ROQUE Lastenia 14"/>
    <x v="160"/>
    <n v="5000000"/>
    <x v="27"/>
    <x v="0"/>
    <s v="pagado"/>
    <s v="pagado"/>
    <x v="0"/>
    <x v="0"/>
  </r>
  <r>
    <n v="3000000284"/>
    <d v="2025-02-20T00:00:00"/>
    <n v="12029813.48"/>
    <s v="MOLINA JUAN F. Y MOLINA ROQUE Lastenia 14"/>
    <x v="161"/>
    <n v="12029813.48"/>
    <x v="28"/>
    <x v="0"/>
    <s v="pagado"/>
    <s v="pagado"/>
    <x v="0"/>
    <x v="0"/>
  </r>
  <r>
    <n v="3000000290"/>
    <d v="2025-02-20T00:00:00"/>
    <n v="10000000"/>
    <s v="PAIS WALTER LUIS SAN MIGUEL DE TUCUMAN 14"/>
    <x v="162"/>
    <n v="10000000"/>
    <x v="27"/>
    <x v="0"/>
    <s v="pagado"/>
    <s v="pagado"/>
    <x v="0"/>
    <x v="0"/>
  </r>
  <r>
    <n v="3000000290"/>
    <d v="2025-02-20T00:00:00"/>
    <n v="7771700.1900000004"/>
    <s v="PAIS WALTER LUIS SAN MIGUEL DE TUCUMAN 14"/>
    <x v="163"/>
    <n v="7771700.1900000004"/>
    <x v="28"/>
    <x v="0"/>
    <s v="pagado"/>
    <s v="pagado"/>
    <x v="0"/>
    <x v="0"/>
  </r>
  <r>
    <n v="3000000291"/>
    <d v="2025-02-20T00:00:00"/>
    <n v="10000000"/>
    <s v="MOYANO SERGIO ESTEBAN BANDA DEL RIO SALI 14"/>
    <x v="164"/>
    <n v="10000000"/>
    <x v="27"/>
    <x v="0"/>
    <s v="pagado"/>
    <s v="pagado"/>
    <x v="0"/>
    <x v="0"/>
  </r>
  <r>
    <n v="3000000291"/>
    <d v="2025-02-20T00:00:00"/>
    <n v="8357138.4199999999"/>
    <s v="MOYANO SERGIO ESTEBAN BANDA DEL RIO SALI 14"/>
    <x v="165"/>
    <n v="8357138.4199999999"/>
    <x v="28"/>
    <x v="0"/>
    <s v="pagado"/>
    <s v="pagado"/>
    <x v="0"/>
    <x v="0"/>
  </r>
  <r>
    <n v="3000000285"/>
    <d v="2025-02-20T00:00:00"/>
    <n v="9630656.3300000001"/>
    <s v="LANGELLA JUAN RODOLFO ALDERETES 14"/>
    <x v="166"/>
    <n v="9630656.3300000001"/>
    <x v="27"/>
    <x v="0"/>
    <s v="pagado"/>
    <s v="pagado"/>
    <x v="0"/>
    <x v="0"/>
  </r>
  <r>
    <n v="3000000286"/>
    <d v="2025-02-20T00:00:00"/>
    <n v="4404589.04"/>
    <s v="MOYANO JULIO CESAR BANDA DEL RIO SALI 14"/>
    <x v="167"/>
    <n v="4404589.04"/>
    <x v="27"/>
    <x v="0"/>
    <s v="pagado"/>
    <s v="pagado"/>
    <x v="0"/>
    <x v="0"/>
  </r>
  <r>
    <n v="3000000287"/>
    <d v="2025-02-20T00:00:00"/>
    <n v="4673964.62"/>
    <s v="TRANSPORTE PRINCE SRL ROSARIO NORTE 12                                      "/>
    <x v="157"/>
    <n v="4673964.62"/>
    <x v="27"/>
    <x v="0"/>
    <s v="pagado"/>
    <s v="pagado"/>
    <x v="0"/>
    <x v="0"/>
  </r>
  <r>
    <n v="3000000288"/>
    <d v="2025-02-20T00:00:00"/>
    <n v="9975778"/>
    <s v="TRANS TRUCKS SRL SOLDINI 12                                                 "/>
    <x v="158"/>
    <n v="9975778"/>
    <x v="27"/>
    <x v="0"/>
    <s v="pagado"/>
    <s v="pagado"/>
    <x v="0"/>
    <x v="0"/>
  </r>
  <r>
    <n v="3000000289"/>
    <d v="2025-02-20T00:00:00"/>
    <n v="6995270.25"/>
    <s v="BUSTOS EXEQUIEL ANTONIO BANDA DEL RIO SALI 14                            "/>
    <x v="159"/>
    <n v="6995270.25"/>
    <x v="27"/>
    <x v="0"/>
    <s v="pagado"/>
    <s v="pagado"/>
    <x v="0"/>
    <x v="0"/>
  </r>
  <r>
    <n v="3000000307"/>
    <d v="2025-02-25T00:00:00"/>
    <n v="1000000"/>
    <s v="Pulmajo S.R.L. CONCEPCION 14"/>
    <x v="168"/>
    <n v="1000000"/>
    <x v="29"/>
    <x v="0"/>
    <s v="pagado"/>
    <s v="pagado"/>
    <x v="0"/>
    <x v="0"/>
  </r>
  <r>
    <n v="3000000307"/>
    <d v="2025-02-25T00:00:00"/>
    <n v="1000000"/>
    <s v="Pulmajo S.R.L. CONCEPCION 14"/>
    <x v="169"/>
    <n v="1000000"/>
    <x v="29"/>
    <x v="0"/>
    <s v="pagado"/>
    <s v="pagado"/>
    <x v="0"/>
    <x v="0"/>
  </r>
  <r>
    <n v="3000000307"/>
    <d v="2025-02-25T00:00:00"/>
    <n v="2000000"/>
    <s v="Pulmajo S.R.L. CONCEPCION 14"/>
    <x v="170"/>
    <n v="2000000"/>
    <x v="29"/>
    <x v="0"/>
    <s v="pagado"/>
    <s v="pagado"/>
    <x v="0"/>
    <x v="0"/>
  </r>
  <r>
    <n v="3000000307"/>
    <d v="2025-02-25T00:00:00"/>
    <n v="2000000"/>
    <s v="Pulmajo S.R.L. CONCEPCION 14"/>
    <x v="171"/>
    <n v="2000000"/>
    <x v="29"/>
    <x v="0"/>
    <s v="pagado"/>
    <s v="pagado"/>
    <x v="0"/>
    <x v="0"/>
  </r>
  <r>
    <n v="3000000307"/>
    <d v="2025-02-25T00:00:00"/>
    <n v="2000000"/>
    <s v="Pulmajo S.R.L. CONCEPCION 14"/>
    <x v="172"/>
    <n v="2000000"/>
    <x v="29"/>
    <x v="0"/>
    <s v="pagado"/>
    <s v="pagado"/>
    <x v="0"/>
    <x v="0"/>
  </r>
  <r>
    <n v="3000000307"/>
    <d v="2025-02-25T00:00:00"/>
    <n v="5000000"/>
    <s v="Pulmajo S.R.L. CONCEPCION 14"/>
    <x v="173"/>
    <n v="5000000"/>
    <x v="30"/>
    <x v="0"/>
    <s v="pagado"/>
    <s v="pagado"/>
    <x v="0"/>
    <x v="0"/>
  </r>
  <r>
    <n v="3000000307"/>
    <d v="2025-02-25T00:00:00"/>
    <n v="5000000"/>
    <s v="Pulmajo S.R.L. CONCEPCION 14"/>
    <x v="174"/>
    <n v="5000000"/>
    <x v="30"/>
    <x v="0"/>
    <s v="pagado"/>
    <s v="pagado"/>
    <x v="0"/>
    <x v="0"/>
  </r>
  <r>
    <n v="3000000307"/>
    <d v="2025-02-25T00:00:00"/>
    <n v="2981564.25"/>
    <s v="Pulmajo S.R.L. CONCEPCION 14"/>
    <x v="175"/>
    <n v="2981564.25"/>
    <x v="30"/>
    <x v="0"/>
    <s v="pagado"/>
    <s v="pagado"/>
    <x v="0"/>
    <x v="0"/>
  </r>
  <r>
    <n v="3000000309"/>
    <d v="2025-02-25T00:00:00"/>
    <n v="4423276"/>
    <s v="SURIAGRO SRL SAN MIGUEL DE TUCUMAN 14"/>
    <x v="176"/>
    <n v="4423276"/>
    <x v="28"/>
    <x v="0"/>
    <s v="pagado"/>
    <s v="pagado"/>
    <x v="0"/>
    <x v="0"/>
  </r>
  <r>
    <n v="3000000309"/>
    <d v="2025-02-25T00:00:00"/>
    <n v="1831370.3"/>
    <s v="SURIAGRO SRL SAN MIGUEL DE TUCUMAN 14"/>
    <x v="177"/>
    <n v="1831370.3"/>
    <x v="28"/>
    <x v="0"/>
    <s v="pagado"/>
    <s v="pagado"/>
    <x v="0"/>
    <x v="0"/>
  </r>
  <r>
    <n v="3000000310"/>
    <d v="2025-02-25T00:00:00"/>
    <n v="8000000"/>
    <s v="Medina Lauro Jose Las Cejas 14"/>
    <x v="178"/>
    <n v="8000000"/>
    <x v="31"/>
    <x v="0"/>
    <s v="pagado"/>
    <s v="pagado"/>
    <x v="0"/>
    <x v="0"/>
  </r>
  <r>
    <n v="3000000310"/>
    <d v="2025-02-25T00:00:00"/>
    <n v="8582958.6999999993"/>
    <s v="Medina Lauro Jose Las Cejas 14"/>
    <x v="179"/>
    <n v="8582958.6999999993"/>
    <x v="29"/>
    <x v="0"/>
    <s v="pagado"/>
    <s v="pagado"/>
    <x v="0"/>
    <x v="0"/>
  </r>
  <r>
    <n v="3000000311"/>
    <d v="2025-02-25T00:00:00"/>
    <n v="5000000"/>
    <s v="Suarez Elio Hernan Los altos 02"/>
    <x v="180"/>
    <n v="5000000"/>
    <x v="31"/>
    <x v="0"/>
    <s v="pagado"/>
    <s v="pagado"/>
    <x v="0"/>
    <x v="0"/>
  </r>
  <r>
    <n v="3000000311"/>
    <d v="2025-02-25T00:00:00"/>
    <n v="5777436.9000000004"/>
    <s v="Suarez Elio Hernan Los altos 02"/>
    <x v="181"/>
    <n v="5777436.9000000004"/>
    <x v="29"/>
    <x v="0"/>
    <s v="pagado"/>
    <s v="pagado"/>
    <x v="0"/>
    <x v="0"/>
  </r>
  <r>
    <n v="3000000308"/>
    <d v="2025-02-25T00:00:00"/>
    <n v="464138.31"/>
    <s v="MARTO ALBERTO ANTONIO LA RAMADA DE ABAJO 14"/>
    <x v="182"/>
    <n v="464138.31"/>
    <x v="29"/>
    <x v="0"/>
    <s v="pagado"/>
    <s v="pagado"/>
    <x v="0"/>
    <x v="0"/>
  </r>
  <r>
    <n v="3000000312"/>
    <d v="2025-02-25T00:00:00"/>
    <n v="7758064.6500000004"/>
    <s v="Pulverizaciones Tuninetti S.R.Las Rosas 01"/>
    <x v="183"/>
    <n v="7758064.6500000004"/>
    <x v="29"/>
    <x v="0"/>
    <s v="pagado"/>
    <s v="pagado"/>
    <x v="0"/>
    <x v="0"/>
  </r>
  <r>
    <n v="3000000313"/>
    <d v="2025-02-25T00:00:00"/>
    <n v="2694022.45"/>
    <s v="ROMAN BARCELO Y JORGE CARRERASLAS LAJITAS 09"/>
    <x v="184"/>
    <n v="2694022.45"/>
    <x v="29"/>
    <x v="0"/>
    <s v="pagado"/>
    <s v="pagado"/>
    <x v="0"/>
    <x v="0"/>
  </r>
  <r>
    <n v="3000000314"/>
    <d v="2025-02-25T00:00:00"/>
    <n v="4439047.0599999996"/>
    <s v="TRANSPORTE Y LOGISTICA DEL ESTLAS CEJAS 14"/>
    <x v="185"/>
    <n v="4439047.0599999996"/>
    <x v="29"/>
    <x v="0"/>
    <s v="pagado"/>
    <s v="pagado"/>
    <x v="0"/>
    <x v="0"/>
  </r>
  <r>
    <n v="3000000315"/>
    <d v="2025-02-25T00:00:00"/>
    <n v="6104379.1299999999"/>
    <s v="LOGISTICA DEL NORTE S.R.L. SAN MIGUEL DE TUCUMAN 14"/>
    <x v="186"/>
    <n v="6104379.1299999999"/>
    <x v="29"/>
    <x v="0"/>
    <s v="pagado"/>
    <s v="pagado"/>
    <x v="0"/>
    <x v="0"/>
  </r>
  <r>
    <n v="3000000316"/>
    <d v="2025-02-25T00:00:00"/>
    <n v="2914278.75"/>
    <s v="WILLIAMS LOGISTICA SA CIUDAD AUTONOMA BUENOS AIRES 00"/>
    <x v="187"/>
    <n v="2914278.75"/>
    <x v="29"/>
    <x v="0"/>
    <s v="pagado"/>
    <s v="pagado"/>
    <x v="0"/>
    <x v="0"/>
  </r>
  <r>
    <n v="3000000317"/>
    <d v="2025-02-25T00:00:00"/>
    <n v="4926343.4000000004"/>
    <s v="ZALAZAR ATTIS LOURDES NOEMI NUEVA ESPERANZA 13"/>
    <x v="188"/>
    <n v="4926343.4000000004"/>
    <x v="31"/>
    <x v="0"/>
    <s v="pagado"/>
    <s v="pagado"/>
    <x v="0"/>
    <x v="0"/>
  </r>
  <r>
    <n v="3000000327"/>
    <d v="2025-02-26T00:00:00"/>
    <n v="515024"/>
    <s v="COSENTINO DROVETA AGUSTIN BANDA DEL RIO SALI 14"/>
    <x v="189"/>
    <n v="515024"/>
    <x v="31"/>
    <x v="0"/>
    <s v="pagado"/>
    <s v="pagado"/>
    <x v="0"/>
    <x v="0"/>
  </r>
  <r>
    <n v="3000000329"/>
    <d v="2025-02-26T00:00:00"/>
    <n v="10037035.439999999"/>
    <s v="JAVIER EDUARDO PRADO FLORIDA 13"/>
    <x v="190"/>
    <n v="10037035.439999999"/>
    <x v="30"/>
    <x v="0"/>
    <s v="pagado"/>
    <s v="pagado"/>
    <x v="0"/>
    <x v="0"/>
  </r>
  <r>
    <n v="3000000340"/>
    <d v="2025-02-27T00:00:00"/>
    <n v="1289536.05"/>
    <s v="TRANSPORTE BARBERAN HNOS SRL CHABAS 12"/>
    <x v="191"/>
    <n v="1289536.05"/>
    <x v="30"/>
    <x v="0"/>
    <s v="pagado"/>
    <s v="pagado"/>
    <x v="0"/>
    <x v="0"/>
  </r>
  <r>
    <n v="3000000341"/>
    <d v="2025-02-27T00:00:00"/>
    <n v="4903650.8099999996"/>
    <s v="NOVA SAU Cañada de Gomez 03"/>
    <x v="192"/>
    <n v="4903650.8099999996"/>
    <x v="30"/>
    <x v="0"/>
    <s v="pagado"/>
    <s v="pagado"/>
    <x v="0"/>
    <x v="0"/>
  </r>
  <r>
    <n v="3000000356"/>
    <d v="2025-03-07T00:00:00"/>
    <n v="14397858.050000001"/>
    <s v="TRANSPORTE BARBERAN HNOS SRL CHABAS 12"/>
    <x v="193"/>
    <n v="14397858.050000001"/>
    <x v="32"/>
    <x v="0"/>
    <s v="pagado"/>
    <s v="pagado"/>
    <x v="0"/>
    <x v="0"/>
  </r>
  <r>
    <n v="3000000357"/>
    <d v="2025-03-07T00:00:00"/>
    <n v="13016615.41"/>
    <s v="LOGISTICA CENTRO S.R.L CORONDA 12"/>
    <x v="194"/>
    <n v="13016615.41"/>
    <x v="32"/>
    <x v="0"/>
    <s v="pagado"/>
    <s v="pagado"/>
    <x v="0"/>
    <x v="0"/>
  </r>
  <r>
    <n v="1200000122"/>
    <d v="2025-03-07T00:00:00"/>
    <n v="11343092.050000001"/>
    <s v="Cheque de terceros tucumán"/>
    <x v="195"/>
    <n v="11343092.050000001"/>
    <x v="32"/>
    <x v="0"/>
    <s v="pagado"/>
    <s v="pagado"/>
    <x v="0"/>
    <x v="0"/>
  </r>
  <r>
    <n v="1200000124"/>
    <d v="2025-03-07T00:00:00"/>
    <n v="11365218.630000001"/>
    <s v="Cheque de terceros tucumán"/>
    <x v="196"/>
    <n v="11365218.630000001"/>
    <x v="32"/>
    <x v="0"/>
    <s v="pagado"/>
    <s v="pagado"/>
    <x v="0"/>
    <x v="0"/>
  </r>
  <r>
    <n v="3000000415"/>
    <d v="2025-03-18T00:00:00"/>
    <n v="13371410"/>
    <s v="EDET S.A. SAN MIGUEL DE TUCUMAN 14"/>
    <x v="197"/>
    <n v="13371410"/>
    <x v="33"/>
    <x v="0"/>
    <s v="pagado"/>
    <s v="pagado"/>
    <x v="0"/>
    <x v="0"/>
  </r>
  <r>
    <n v="3000000394"/>
    <d v="2025-03-17T00:00:00"/>
    <n v="13000000"/>
    <s v="Medina Lauro Jose Las Cejas 14"/>
    <x v="198"/>
    <n v="13000000"/>
    <x v="33"/>
    <x v="1"/>
    <s v="pagado"/>
    <s v="pagado"/>
    <x v="0"/>
    <x v="0"/>
  </r>
  <r>
    <n v="3000000394"/>
    <d v="2025-03-17T00:00:00"/>
    <n v="12866828.1"/>
    <s v="Medina Lauro Jose Las Cejas 14"/>
    <x v="199"/>
    <n v="12866828.1"/>
    <x v="34"/>
    <x v="1"/>
    <s v="pagado"/>
    <s v="pagado"/>
    <x v="0"/>
    <x v="0"/>
  </r>
  <r>
    <n v="3000000398"/>
    <d v="2025-03-17T00:00:00"/>
    <n v="23000000"/>
    <s v="ROMAN BARCELO Y JORGE CARRERASLAS LAJITAS 09"/>
    <x v="200"/>
    <n v="23000000"/>
    <x v="33"/>
    <x v="1"/>
    <s v="pagado"/>
    <s v="pagado"/>
    <x v="0"/>
    <x v="0"/>
  </r>
  <r>
    <n v="3000000398"/>
    <d v="2025-03-17T00:00:00"/>
    <n v="23741732.899999999"/>
    <s v="ROMAN BARCELO Y JORGE CARRERASLAS LAJITAS 09"/>
    <x v="201"/>
    <n v="23741732.899999999"/>
    <x v="34"/>
    <x v="1"/>
    <s v="pagado"/>
    <s v="pagado"/>
    <x v="0"/>
    <x v="0"/>
  </r>
  <r>
    <n v="3000000399"/>
    <d v="2025-03-17T00:00:00"/>
    <n v="15000000"/>
    <s v="CARIGNANO RAUL JUAN YERBA BUENA 14"/>
    <x v="202"/>
    <n v="15000000"/>
    <x v="33"/>
    <x v="1"/>
    <s v="pagado"/>
    <s v="pagado"/>
    <x v="0"/>
    <x v="0"/>
  </r>
  <r>
    <n v="3000000399"/>
    <d v="2025-03-17T00:00:00"/>
    <n v="15017868.4"/>
    <s v="CARIGNANO RAUL JUAN YERBA BUENA 14"/>
    <x v="203"/>
    <n v="15017868.4"/>
    <x v="34"/>
    <x v="1"/>
    <s v="pagado"/>
    <s v="pagado"/>
    <x v="0"/>
    <x v="0"/>
  </r>
  <r>
    <n v="3000000400"/>
    <d v="2025-03-17T00:00:00"/>
    <n v="18000000"/>
    <s v="AYALA WALTER DANIEL ALDERETES 14"/>
    <x v="204"/>
    <n v="18000000"/>
    <x v="33"/>
    <x v="1"/>
    <s v="pagado"/>
    <s v="pagado"/>
    <x v="0"/>
    <x v="0"/>
  </r>
  <r>
    <n v="3000000400"/>
    <d v="2025-03-17T00:00:00"/>
    <n v="15839448.83"/>
    <s v="AYALA WALTER DANIEL ALDERETES 14"/>
    <x v="205"/>
    <n v="15839448.83"/>
    <x v="34"/>
    <x v="1"/>
    <s v="pagado"/>
    <s v="pagado"/>
    <x v="0"/>
    <x v="0"/>
  </r>
  <r>
    <n v="3000000401"/>
    <d v="2025-03-17T00:00:00"/>
    <n v="10000000"/>
    <s v="TRANSPORTE Y LOGISTICA DEL ESTLAS CEJAS 14"/>
    <x v="206"/>
    <n v="10000000"/>
    <x v="33"/>
    <x v="1"/>
    <s v="pagado"/>
    <s v="pagado"/>
    <x v="0"/>
    <x v="0"/>
  </r>
  <r>
    <n v="3000000401"/>
    <d v="2025-03-17T00:00:00"/>
    <n v="9215558.9700000007"/>
    <s v="TRANSPORTE Y LOGISTICA DEL ESTLAS CEJAS 14"/>
    <x v="207"/>
    <n v="9215558.9700000007"/>
    <x v="34"/>
    <x v="1"/>
    <s v="pagado"/>
    <s v="pagado"/>
    <x v="0"/>
    <x v="0"/>
  </r>
  <r>
    <n v="3000000403"/>
    <d v="2025-03-17T00:00:00"/>
    <n v="13000000"/>
    <s v="FLETES Y SERVICIOS PUJATO S.A PUJATO 12"/>
    <x v="208"/>
    <n v="13000000"/>
    <x v="33"/>
    <x v="1"/>
    <s v="pagado"/>
    <s v="pagado"/>
    <x v="0"/>
    <x v="0"/>
  </r>
  <r>
    <n v="3000000403"/>
    <d v="2025-03-17T00:00:00"/>
    <n v="12146623.310000001"/>
    <s v="FLETES Y SERVICIOS PUJATO S.A PUJATO 12"/>
    <x v="209"/>
    <n v="12146623.310000001"/>
    <x v="34"/>
    <x v="1"/>
    <s v="pagado"/>
    <s v="pagado"/>
    <x v="0"/>
    <x v="0"/>
  </r>
  <r>
    <n v="3000000405"/>
    <d v="2025-03-17T00:00:00"/>
    <n v="7208101"/>
    <s v="AYALA HERNAN OSVALDO SAN MIGUEL DE TUCUMAN 14"/>
    <x v="210"/>
    <n v="7208101"/>
    <x v="33"/>
    <x v="1"/>
    <s v="pagado"/>
    <s v="pagado"/>
    <x v="0"/>
    <x v="0"/>
  </r>
  <r>
    <n v="3000000405"/>
    <d v="2025-03-17T00:00:00"/>
    <n v="18687162.399999999"/>
    <s v="AYALA HERNAN OSVALDO SAN MIGUEL DE TUCUMAN 14"/>
    <x v="211"/>
    <n v="18687162.399999999"/>
    <x v="34"/>
    <x v="1"/>
    <s v="pagado"/>
    <s v="pagado"/>
    <x v="0"/>
    <x v="0"/>
  </r>
  <r>
    <n v="3000000395"/>
    <d v="2025-03-17T00:00:00"/>
    <n v="3640830.9"/>
    <s v="PIAZZA OSCAR ESTEBAN SAN MIGUEL DE TUCUMAN 14"/>
    <x v="212"/>
    <n v="3640830.9"/>
    <x v="33"/>
    <x v="1"/>
    <s v="pagado"/>
    <s v="pagado"/>
    <x v="0"/>
    <x v="0"/>
  </r>
  <r>
    <n v="3000000396"/>
    <d v="2025-03-17T00:00:00"/>
    <n v="9457422.1999999993"/>
    <s v="Pulverizaciones Tuninetti S.R.Las Rosas 01"/>
    <x v="213"/>
    <n v="9457422.1999999993"/>
    <x v="33"/>
    <x v="1"/>
    <s v="pagado"/>
    <s v="pagado"/>
    <x v="0"/>
    <x v="0"/>
  </r>
  <r>
    <n v="3000000397"/>
    <d v="2025-03-17T00:00:00"/>
    <n v="5586407.9000000004"/>
    <s v="SUAREZ GABRIEL SEBASTIAN SANTIAGO DEL ESTERO 13"/>
    <x v="214"/>
    <n v="5586407.9000000004"/>
    <x v="33"/>
    <x v="1"/>
    <s v="pagado"/>
    <s v="pagado"/>
    <x v="0"/>
    <x v="0"/>
  </r>
  <r>
    <n v="3000000402"/>
    <d v="2025-03-17T00:00:00"/>
    <n v="8531433.1500000004"/>
    <s v="SAN LORENZO CEREALES S.R.L SAN LORENZO 12"/>
    <x v="215"/>
    <n v="8531433.1500000004"/>
    <x v="33"/>
    <x v="1"/>
    <s v="pagado"/>
    <s v="pagado"/>
    <x v="0"/>
    <x v="0"/>
  </r>
  <r>
    <n v="3000000404"/>
    <d v="2025-03-17T00:00:00"/>
    <n v="14011767.74"/>
    <s v="TRANSPORTE BARBERAN HNOS SRL CHABAS 12"/>
    <x v="216"/>
    <n v="14011767.74"/>
    <x v="33"/>
    <x v="1"/>
    <s v="pagado"/>
    <s v="pagado"/>
    <x v="0"/>
    <x v="0"/>
  </r>
  <r>
    <n v="3000000414"/>
    <d v="2025-03-18T00:00:00"/>
    <n v="42816564.740000002"/>
    <s v="RODRIGUEZ NESTOR HORACIO YERBA BUENA 14"/>
    <x v="217"/>
    <n v="42816564.740000002"/>
    <x v="35"/>
    <x v="1"/>
    <s v="pagado"/>
    <s v="pagado"/>
    <x v="0"/>
    <x v="0"/>
  </r>
  <r>
    <n v="3000000420"/>
    <d v="2025-03-20T00:00:00"/>
    <n v="6561563"/>
    <s v="AGROTRANSPORTE ALDAO S.A. CAMILO ALDAO 03"/>
    <x v="218"/>
    <n v="6561563"/>
    <x v="36"/>
    <x v="1"/>
    <s v="pagado"/>
    <s v="pagado"/>
    <x v="0"/>
    <x v="0"/>
  </r>
  <r>
    <n v="3000000421"/>
    <d v="2025-03-20T00:00:00"/>
    <n v="3108226.38"/>
    <s v="TRANSPORTE Y LOGISTICA DEL ESTLAS CEJAS 14"/>
    <x v="219"/>
    <n v="3108226.38"/>
    <x v="36"/>
    <x v="1"/>
    <s v="pagado"/>
    <s v="pagado"/>
    <x v="0"/>
    <x v="0"/>
  </r>
  <r>
    <n v="3000000422"/>
    <d v="2025-03-20T00:00:00"/>
    <n v="2945459.8"/>
    <s v="LANGELLA JUAN RODOLFO ALDERETES 14"/>
    <x v="220"/>
    <n v="2945459.8"/>
    <x v="36"/>
    <x v="1"/>
    <s v="pagado"/>
    <s v="pagado"/>
    <x v="0"/>
    <x v="0"/>
  </r>
  <r>
    <n v="3000000423"/>
    <d v="2025-03-20T00:00:00"/>
    <n v="2968761.24"/>
    <s v="MOYANO JULIO CESAR BANDA DEL RIO SALI 14"/>
    <x v="221"/>
    <n v="2968761.24"/>
    <x v="36"/>
    <x v="1"/>
    <s v="pagado"/>
    <s v="pagado"/>
    <x v="0"/>
    <x v="0"/>
  </r>
  <r>
    <n v="3000000424"/>
    <d v="2025-03-20T00:00:00"/>
    <n v="7046108.5"/>
    <s v="TRANSPORTE BARBERAN HNOS SRL CHABAS 12"/>
    <x v="222"/>
    <n v="7046108.5"/>
    <x v="36"/>
    <x v="1"/>
    <s v="pagado"/>
    <s v="pagado"/>
    <x v="0"/>
    <x v="0"/>
  </r>
  <r>
    <n v="3000000436"/>
    <d v="2025-03-25T00:00:00"/>
    <n v="8000000"/>
    <s v="ZALAZAR ATTIS LOURDES NOEMI NUEVA ESPERANZA 13"/>
    <x v="223"/>
    <n v="8000000"/>
    <x v="37"/>
    <x v="1"/>
    <s v="pagado"/>
    <s v="pagado"/>
    <x v="0"/>
    <x v="0"/>
  </r>
  <r>
    <n v="3000000436"/>
    <d v="2025-03-25T00:00:00"/>
    <n v="8226073.7199999997"/>
    <s v="ZALAZAR ATTIS LOURDES NOEMI NUEVA ESPERANZA 13"/>
    <x v="224"/>
    <n v="8226073.7199999997"/>
    <x v="38"/>
    <x v="1"/>
    <s v="pagado"/>
    <s v="pagado"/>
    <x v="0"/>
    <x v="0"/>
  </r>
  <r>
    <n v="3000000439"/>
    <d v="2025-03-25T00:00:00"/>
    <n v="7000000"/>
    <s v="OLGUIN MARIO ROBERTO ETRURIA 03"/>
    <x v="225"/>
    <n v="7000000"/>
    <x v="37"/>
    <x v="1"/>
    <s v="pagado"/>
    <s v="pagado"/>
    <x v="0"/>
    <x v="0"/>
  </r>
  <r>
    <n v="3000000439"/>
    <d v="2025-03-25T00:00:00"/>
    <n v="7865003.4000000004"/>
    <s v="OLGUIN MARIO ROBERTO ETRURIA 03"/>
    <x v="226"/>
    <n v="7865003.4000000004"/>
    <x v="38"/>
    <x v="1"/>
    <s v="pagado"/>
    <s v="pagado"/>
    <x v="0"/>
    <x v="0"/>
  </r>
  <r>
    <n v="3000000441"/>
    <d v="2025-03-25T00:00:00"/>
    <n v="8000000"/>
    <s v="Romero, Hector Ruben Alpachiri 14"/>
    <x v="227"/>
    <n v="8000000"/>
    <x v="37"/>
    <x v="1"/>
    <s v="pagado"/>
    <s v="pagado"/>
    <x v="0"/>
    <x v="0"/>
  </r>
  <r>
    <n v="3000000441"/>
    <d v="2025-03-25T00:00:00"/>
    <n v="8096328.8700000001"/>
    <s v="Romero, Hector Ruben Alpachiri 14"/>
    <x v="228"/>
    <n v="8096328.8700000001"/>
    <x v="38"/>
    <x v="1"/>
    <s v="pagado"/>
    <s v="pagado"/>
    <x v="0"/>
    <x v="0"/>
  </r>
  <r>
    <n v="3000000437"/>
    <d v="2025-03-25T00:00:00"/>
    <n v="7214873.04"/>
    <s v="RODRIGUEZ NESTOR HORACIO YERBA BUENA 14"/>
    <x v="229"/>
    <n v="7214873.04"/>
    <x v="37"/>
    <x v="1"/>
    <s v="pagado"/>
    <s v="pagado"/>
    <x v="0"/>
    <x v="0"/>
  </r>
  <r>
    <n v="3000000438"/>
    <d v="2025-03-25T00:00:00"/>
    <n v="6814140.4199999999"/>
    <s v="AYALA WALTER DANIEL ALDERETES 14"/>
    <x v="230"/>
    <n v="6814140.4199999999"/>
    <x v="37"/>
    <x v="1"/>
    <s v="pagado"/>
    <s v="pagado"/>
    <x v="0"/>
    <x v="0"/>
  </r>
  <r>
    <n v="3000000440"/>
    <d v="2025-03-25T00:00:00"/>
    <n v="8236282.5700000003"/>
    <s v="E y Po SRL CONCEPCION 14"/>
    <x v="231"/>
    <n v="8236282.5700000003"/>
    <x v="37"/>
    <x v="1"/>
    <s v="pagado"/>
    <s v="pagado"/>
    <x v="0"/>
    <x v="0"/>
  </r>
  <r>
    <n v="3000000453"/>
    <d v="2025-03-27T00:00:00"/>
    <n v="2000000"/>
    <s v="Pulmajo S.R.L. CONCEPCION 14"/>
    <x v="232"/>
    <n v="2000000"/>
    <x v="39"/>
    <x v="0"/>
    <s v="pagado"/>
    <s v="pagado"/>
    <x v="0"/>
    <x v="0"/>
  </r>
  <r>
    <n v="3000000453"/>
    <d v="2025-03-27T00:00:00"/>
    <n v="2000000"/>
    <s v="Pulmajo S.R.L. CONCEPCION 14"/>
    <x v="233"/>
    <n v="2000000"/>
    <x v="39"/>
    <x v="0"/>
    <s v="pagado"/>
    <s v="pagado"/>
    <x v="0"/>
    <x v="0"/>
  </r>
  <r>
    <n v="3000000453"/>
    <d v="2025-03-27T00:00:00"/>
    <n v="2000000"/>
    <s v="Pulmajo S.R.L. CONCEPCION 14"/>
    <x v="234"/>
    <n v="2000000"/>
    <x v="39"/>
    <x v="0"/>
    <s v="pagado"/>
    <s v="pagado"/>
    <x v="0"/>
    <x v="0"/>
  </r>
  <r>
    <n v="3000000453"/>
    <d v="2025-03-27T00:00:00"/>
    <n v="1357589.55"/>
    <s v="Pulmajo S.R.L. CONCEPCION 14"/>
    <x v="235"/>
    <n v="1357589.55"/>
    <x v="39"/>
    <x v="0"/>
    <s v="pagado"/>
    <s v="pagado"/>
    <x v="0"/>
    <x v="0"/>
  </r>
  <r>
    <n v="3000000454"/>
    <d v="2025-03-31T00:00:00"/>
    <n v="1078222"/>
    <s v="Ruiz Bejar SRL SAN MIGUEL DE TUCUMAN 14"/>
    <x v="236"/>
    <n v="1078222"/>
    <x v="40"/>
    <x v="1"/>
    <s v="pagado"/>
    <s v="pagado"/>
    <x v="0"/>
    <x v="0"/>
  </r>
  <r>
    <n v="3000000455"/>
    <d v="2025-03-31T00:00:00"/>
    <n v="2471040"/>
    <s v="PAIS WALTER LUIS SAN MIGUEL DE TUCUMAN 14"/>
    <x v="237"/>
    <n v="2471040"/>
    <x v="40"/>
    <x v="1"/>
    <s v="pagado"/>
    <s v="pagado"/>
    <x v="0"/>
    <x v="0"/>
  </r>
  <r>
    <n v="3000000456"/>
    <d v="2025-03-31T00:00:00"/>
    <n v="2086875"/>
    <s v="FERNANDEZ HECTOR JOSE SIMOCA 14"/>
    <x v="238"/>
    <n v="2086875"/>
    <x v="40"/>
    <x v="1"/>
    <s v="pagado"/>
    <s v="pagado"/>
    <x v="0"/>
    <x v="0"/>
  </r>
  <r>
    <n v="3000000457"/>
    <d v="2025-03-31T00:00:00"/>
    <n v="10623911.189999999"/>
    <s v="JAVIER EDUARDO PRADO FLORIDA 13"/>
    <x v="239"/>
    <n v="10623911.189999999"/>
    <x v="40"/>
    <x v="1"/>
    <s v="pagado"/>
    <s v="pagado"/>
    <x v="0"/>
    <x v="0"/>
  </r>
  <r>
    <n v="3000000458"/>
    <d v="2025-03-31T00:00:00"/>
    <n v="3424976"/>
    <s v="LOGISTICA DEL NORTE S.R.L. SAN MIGUEL DE TUCUMAN 14"/>
    <x v="240"/>
    <n v="3424976"/>
    <x v="40"/>
    <x v="1"/>
    <s v="pagado"/>
    <s v="pagado"/>
    <x v="0"/>
    <x v="0"/>
  </r>
  <r>
    <n v="3000000459"/>
    <d v="2025-04-01T00:00:00"/>
    <n v="20000000"/>
    <s v="Gulf Oil Argentina SA Lomas Del Mirador 01"/>
    <x v="241"/>
    <n v="20000000"/>
    <x v="41"/>
    <x v="1"/>
    <s v="pagado"/>
    <s v="pagado"/>
    <x v="0"/>
    <x v="0"/>
  </r>
  <r>
    <n v="3000000459"/>
    <d v="2025-04-01T00:00:00"/>
    <n v="19829946.559999999"/>
    <s v="Gulf Oil Argentina SA Lomas Del Mirador 01"/>
    <x v="242"/>
    <n v="19829946.559999999"/>
    <x v="42"/>
    <x v="1"/>
    <s v="pagado"/>
    <s v="pagado"/>
    <x v="0"/>
    <x v="0"/>
  </r>
  <r>
    <n v="3000000478"/>
    <d v="2025-04-07T00:00:00"/>
    <n v="8391143.0899999999"/>
    <s v="EMPRENDIMIENTOS ASSUN S.A. SANTIAGO DEL ESTERO 13"/>
    <x v="243"/>
    <n v="8391143.0899999999"/>
    <x v="43"/>
    <x v="1"/>
    <s v="pagado"/>
    <s v="pagado"/>
    <x v="0"/>
    <x v="0"/>
  </r>
  <r>
    <n v="3000000479"/>
    <d v="2025-04-07T00:00:00"/>
    <n v="3490589.04"/>
    <s v="Monsanto Argentina SRL CAPITAL FEDERAL 00"/>
    <x v="244"/>
    <n v="3490589.04"/>
    <x v="43"/>
    <x v="1"/>
    <s v="pagado"/>
    <s v="pagado"/>
    <x v="0"/>
    <x v="0"/>
  </r>
  <r>
    <n v="3000000480"/>
    <d v="2025-04-07T00:00:00"/>
    <n v="2701185.4"/>
    <s v="VERON MARIANA BEATRIZ NUEVA ESPERANZA 13"/>
    <x v="245"/>
    <n v="2701185.4"/>
    <x v="43"/>
    <x v="1"/>
    <s v="no pagado"/>
    <s v="fuera de fecha"/>
    <x v="0"/>
    <x v="0"/>
  </r>
  <r>
    <n v="3000000481"/>
    <d v="2025-04-07T00:00:00"/>
    <n v="2150060.8199999998"/>
    <s v="CORTEVA AGRISCIENCE ARGENTINA CIUDAD AUTONOMA DE BUENOS AIRES 01"/>
    <x v="246"/>
    <n v="2150060.8199999998"/>
    <x v="43"/>
    <x v="1"/>
    <s v="pagado"/>
    <s v="pagado"/>
    <x v="0"/>
    <x v="0"/>
  </r>
  <r>
    <n v="3000000482"/>
    <d v="2025-04-08T00:00:00"/>
    <n v="2981417.92"/>
    <s v="FERNANDEZ HECTOR JOSE SIMOCA 14"/>
    <x v="247"/>
    <n v="2981417.92"/>
    <x v="44"/>
    <x v="1"/>
    <s v="pagado"/>
    <s v="pagado"/>
    <x v="0"/>
    <x v="0"/>
  </r>
  <r>
    <n v="3000000483"/>
    <d v="2025-04-08T00:00:00"/>
    <n v="2751183.98"/>
    <s v="LANGELLA JUAN RODOLFO ALDERETES 14"/>
    <x v="248"/>
    <n v="2751183.98"/>
    <x v="44"/>
    <x v="1"/>
    <s v="pagado"/>
    <s v="pagado"/>
    <x v="0"/>
    <x v="0"/>
  </r>
  <r>
    <n v="3000000484"/>
    <d v="2025-04-08T00:00:00"/>
    <n v="6948188.6900000004"/>
    <s v="FLETES Y SERVICIOS PUJATO S.A PUJATO 12"/>
    <x v="249"/>
    <n v="6948188.6900000004"/>
    <x v="44"/>
    <x v="1"/>
    <s v="pagado"/>
    <s v="pagado"/>
    <x v="0"/>
    <x v="0"/>
  </r>
  <r>
    <n v="3000000471"/>
    <d v="2025-04-07T00:00:00"/>
    <n v="8000000"/>
    <s v="Laborda Carlos SAN MIGUEL DE TUCUMAN 14"/>
    <x v="250"/>
    <n v="8000000"/>
    <x v="43"/>
    <x v="0"/>
    <s v="pagado"/>
    <s v="pagado"/>
    <x v="0"/>
    <x v="0"/>
  </r>
  <r>
    <n v="3000000471"/>
    <d v="2025-04-07T00:00:00"/>
    <n v="500000"/>
    <s v="Laborda Carlos SAN MIGUEL DE TUCUMAN 14"/>
    <x v="251"/>
    <n v="500000"/>
    <x v="43"/>
    <x v="0"/>
    <s v="pagado"/>
    <s v="pagado"/>
    <x v="0"/>
    <x v="0"/>
  </r>
  <r>
    <n v="3000000471"/>
    <d v="2025-04-07T00:00:00"/>
    <n v="500000"/>
    <s v="Laborda Carlos SAN MIGUEL DE TUCUMAN 14"/>
    <x v="252"/>
    <n v="500000"/>
    <x v="43"/>
    <x v="0"/>
    <s v="pagado"/>
    <s v="pagado"/>
    <x v="0"/>
    <x v="0"/>
  </r>
  <r>
    <n v="3000000471"/>
    <d v="2025-04-07T00:00:00"/>
    <n v="500000"/>
    <s v="Laborda Carlos SAN MIGUEL DE TUCUMAN 14"/>
    <x v="253"/>
    <n v="500000"/>
    <x v="43"/>
    <x v="0"/>
    <s v="pagado"/>
    <s v="pagado"/>
    <x v="0"/>
    <x v="0"/>
  </r>
  <r>
    <n v="3000000471"/>
    <d v="2025-04-07T00:00:00"/>
    <n v="500000"/>
    <s v="Laborda Carlos SAN MIGUEL DE TUCUMAN 14"/>
    <x v="254"/>
    <n v="500000"/>
    <x v="43"/>
    <x v="0"/>
    <s v="pagado"/>
    <s v="pagado"/>
    <x v="0"/>
    <x v="0"/>
  </r>
  <r>
    <n v="3000000471"/>
    <d v="2025-04-07T00:00:00"/>
    <n v="500000"/>
    <s v="Laborda Carlos SAN MIGUEL DE TUCUMAN 14"/>
    <x v="255"/>
    <n v="500000"/>
    <x v="43"/>
    <x v="0"/>
    <s v="pagado"/>
    <s v="pagado"/>
    <x v="0"/>
    <x v="0"/>
  </r>
  <r>
    <n v="3000000471"/>
    <d v="2025-04-07T00:00:00"/>
    <n v="300000"/>
    <s v="Laborda Carlos SAN MIGUEL DE TUCUMAN 14"/>
    <x v="256"/>
    <n v="300000"/>
    <x v="43"/>
    <x v="0"/>
    <s v="pagado"/>
    <s v="pagado"/>
    <x v="0"/>
    <x v="0"/>
  </r>
  <r>
    <n v="3000000471"/>
    <d v="2025-04-07T00:00:00"/>
    <n v="300000"/>
    <s v="Laborda Carlos SAN MIGUEL DE TUCUMAN 14"/>
    <x v="257"/>
    <n v="300000"/>
    <x v="43"/>
    <x v="0"/>
    <s v="pagado"/>
    <s v="pagado"/>
    <x v="0"/>
    <x v="0"/>
  </r>
  <r>
    <n v="3000000471"/>
    <d v="2025-04-07T00:00:00"/>
    <n v="300000"/>
    <s v="Laborda Carlos SAN MIGUEL DE TUCUMAN 14"/>
    <x v="258"/>
    <n v="300000"/>
    <x v="43"/>
    <x v="0"/>
    <s v="pagado"/>
    <s v="pagado"/>
    <x v="0"/>
    <x v="0"/>
  </r>
  <r>
    <n v="3000000471"/>
    <d v="2025-04-07T00:00:00"/>
    <n v="300000"/>
    <s v="Laborda Carlos SAN MIGUEL DE TUCUMAN 14"/>
    <x v="259"/>
    <n v="300000"/>
    <x v="43"/>
    <x v="0"/>
    <s v="pagado"/>
    <s v="pagado"/>
    <x v="0"/>
    <x v="0"/>
  </r>
  <r>
    <n v="3000000471"/>
    <d v="2025-04-07T00:00:00"/>
    <n v="300000"/>
    <s v="Laborda Carlos SAN MIGUEL DE TUCUMAN 14"/>
    <x v="260"/>
    <n v="300000"/>
    <x v="43"/>
    <x v="0"/>
    <s v="pagado"/>
    <s v="pagado"/>
    <x v="0"/>
    <x v="0"/>
  </r>
  <r>
    <n v="3000000471"/>
    <d v="2025-04-07T00:00:00"/>
    <n v="113443.4"/>
    <s v="Laborda Carlos SAN MIGUEL DE TUCUMAN 14"/>
    <x v="261"/>
    <n v="113443.4"/>
    <x v="43"/>
    <x v="0"/>
    <s v="pagado"/>
    <s v="pagado"/>
    <x v="0"/>
    <x v="0"/>
  </r>
  <r>
    <n v="3000000499"/>
    <d v="2025-04-11T00:00:00"/>
    <n v="670042.30000000005"/>
    <s v=". tucumán"/>
    <x v="262"/>
    <n v="670042.30000000005"/>
    <x v="45"/>
    <x v="0"/>
    <s v="pagado"/>
    <s v="pagado"/>
    <x v="0"/>
    <x v="0"/>
  </r>
  <r>
    <n v="3000000512"/>
    <d v="2025-04-15T00:00:00"/>
    <n v="12698470"/>
    <s v="EDET S.A. SAN MIGUEL DE TUCUMAN 14"/>
    <x v="263"/>
    <n v="12698470"/>
    <x v="46"/>
    <x v="0"/>
    <s v="pagado"/>
    <s v="pagado"/>
    <x v="0"/>
    <x v="0"/>
  </r>
  <r>
    <n v="3000000525"/>
    <d v="2025-04-16T00:00:00"/>
    <n v="193651920"/>
    <s v="GRUPO MARGEN DEL NOA SA YERBA BUENA 14"/>
    <x v="264"/>
    <n v="193651920"/>
    <x v="47"/>
    <x v="1"/>
    <s v="pagado"/>
    <s v="pagado"/>
    <x v="0"/>
    <x v="0"/>
  </r>
  <r>
    <n v="3000000525"/>
    <d v="2025-04-16T00:00:00"/>
    <n v="30000000"/>
    <s v="GRUPO MARGEN DEL NOA SA YERBA BUENA 14"/>
    <x v="265"/>
    <n v="30000000"/>
    <x v="47"/>
    <x v="1"/>
    <s v="pagado"/>
    <s v="pagado"/>
    <x v="0"/>
    <x v="0"/>
  </r>
  <r>
    <n v="3000000525"/>
    <d v="2025-04-16T00:00:00"/>
    <n v="29623928.539999999"/>
    <s v="GRUPO MARGEN DEL NOA SA YERBA BUENA 14"/>
    <x v="266"/>
    <n v="29623928.539999999"/>
    <x v="48"/>
    <x v="1"/>
    <s v="pagado"/>
    <s v="pagado"/>
    <x v="0"/>
    <x v="0"/>
  </r>
  <r>
    <n v="3000000528"/>
    <d v="2025-04-16T00:00:00"/>
    <n v="15000000"/>
    <s v="VERON MARIANA BEATRIZ NUEVA ESPERANZA 13"/>
    <x v="267"/>
    <n v="15000000"/>
    <x v="47"/>
    <x v="1"/>
    <s v="pagado"/>
    <s v="pagado"/>
    <x v="0"/>
    <x v="0"/>
  </r>
  <r>
    <n v="3000000528"/>
    <d v="2025-04-16T00:00:00"/>
    <n v="15857316.6"/>
    <s v="VERON MARIANA BEATRIZ NUEVA ESPERANZA 13"/>
    <x v="268"/>
    <n v="15857316.6"/>
    <x v="48"/>
    <x v="1"/>
    <s v="pagado"/>
    <s v="pagado"/>
    <x v="0"/>
    <x v="0"/>
  </r>
  <r>
    <n v="3000000529"/>
    <d v="2025-04-16T00:00:00"/>
    <n v="15000000"/>
    <s v="Medina Lauro Jose Las Cejas 14"/>
    <x v="269"/>
    <n v="15000000"/>
    <x v="47"/>
    <x v="1"/>
    <s v="pagado"/>
    <s v="pagado"/>
    <x v="0"/>
    <x v="0"/>
  </r>
  <r>
    <n v="3000000529"/>
    <d v="2025-04-16T00:00:00"/>
    <n v="10899797.85"/>
    <s v="Medina Lauro Jose Las Cejas 14"/>
    <x v="270"/>
    <n v="10899797.85"/>
    <x v="48"/>
    <x v="1"/>
    <s v="pagado"/>
    <s v="pagado"/>
    <x v="0"/>
    <x v="0"/>
  </r>
  <r>
    <n v="3000000526"/>
    <d v="2025-04-16T00:00:00"/>
    <n v="11465296.449999999"/>
    <s v="RODRIGUEZ NESTOR HORACIO YERBA BUENA 14"/>
    <x v="271"/>
    <n v="11465296.449999999"/>
    <x v="47"/>
    <x v="1"/>
    <s v="pagado"/>
    <s v="pagado"/>
    <x v="0"/>
    <x v="0"/>
  </r>
  <r>
    <n v="3000000527"/>
    <d v="2025-04-16T00:00:00"/>
    <n v="4633382"/>
    <s v="ROMAN BARCELO Y JORGE CARRERASLAS LAJITAS 09"/>
    <x v="272"/>
    <n v="4633382"/>
    <x v="47"/>
    <x v="1"/>
    <s v="pagado"/>
    <s v="pagado"/>
    <x v="0"/>
    <x v="0"/>
  </r>
  <r>
    <n v="3000000530"/>
    <d v="2025-04-16T00:00:00"/>
    <n v="4305453"/>
    <s v="IBAÑEZ MAXIMILIANO DAVID JUAN BAUTISTA ALBERDI 14"/>
    <x v="273"/>
    <n v="4305453"/>
    <x v="47"/>
    <x v="1"/>
    <s v="pagado"/>
    <s v="pagado"/>
    <x v="0"/>
    <x v="0"/>
  </r>
  <r>
    <n v="3000000531"/>
    <d v="2025-04-16T00:00:00"/>
    <n v="11306156.9"/>
    <s v="SUAREZ GABRIEL SEBASTIAN SANTIAGO DEL ESTERO 13"/>
    <x v="274"/>
    <n v="11306156.9"/>
    <x v="47"/>
    <x v="1"/>
    <s v="pagado"/>
    <s v="pagado"/>
    <x v="0"/>
    <x v="0"/>
  </r>
  <r>
    <n v="3000000532"/>
    <d v="2025-04-16T00:00:00"/>
    <n v="28087500"/>
    <s v="DON KOKO S.R.L CAMILO ALDAO 03"/>
    <x v="275"/>
    <n v="28087500"/>
    <x v="46"/>
    <x v="0"/>
    <s v="pagado"/>
    <s v="pagado"/>
    <x v="0"/>
    <x v="0"/>
  </r>
  <r>
    <n v="3000000532"/>
    <d v="2025-04-16T00:00:00"/>
    <n v="28087500"/>
    <s v="DON KOKO S.R.L CAMILO ALDAO 03"/>
    <x v="276"/>
    <n v="28087500"/>
    <x v="46"/>
    <x v="0"/>
    <s v="pagado"/>
    <s v="pagado"/>
    <x v="0"/>
    <x v="0"/>
  </r>
  <r>
    <n v="3000000543"/>
    <d v="2025-04-22T00:00:00"/>
    <n v="8000000"/>
    <s v="Pulmajo S.R.L. CONCEPCION 14"/>
    <x v="277"/>
    <n v="8000000"/>
    <x v="48"/>
    <x v="1"/>
    <s v="pagado"/>
    <s v="pagado"/>
    <x v="0"/>
    <x v="0"/>
  </r>
  <r>
    <n v="3000000543"/>
    <d v="2025-04-22T00:00:00"/>
    <n v="8314869.75"/>
    <s v="Pulmajo S.R.L. CONCEPCION 14"/>
    <x v="278"/>
    <n v="8314869.75"/>
    <x v="49"/>
    <x v="1"/>
    <s v="pagado"/>
    <s v="pagado"/>
    <x v="0"/>
    <x v="0"/>
  </r>
  <r>
    <n v="3000000540"/>
    <d v="2025-04-22T00:00:00"/>
    <n v="6487780.1900000004"/>
    <s v="Medina Lauro Jose Las Cejas 14"/>
    <x v="279"/>
    <n v="6487780.1900000004"/>
    <x v="48"/>
    <x v="1"/>
    <s v="pagado"/>
    <s v="pagado"/>
    <x v="0"/>
    <x v="0"/>
  </r>
  <r>
    <n v="3000000541"/>
    <d v="2025-04-22T00:00:00"/>
    <n v="13665667.15"/>
    <s v="LIZONDO OSCAR FABIAN METAN 09"/>
    <x v="280"/>
    <n v="13665667.15"/>
    <x v="48"/>
    <x v="1"/>
    <s v="pagado"/>
    <s v="pagado"/>
    <x v="0"/>
    <x v="0"/>
  </r>
  <r>
    <n v="3000000542"/>
    <d v="2025-04-22T00:00:00"/>
    <n v="14987333.4"/>
    <s v="ZALAZAR ATTIS LOURDES NOEMI NUEVA ESPERANZA 13"/>
    <x v="281"/>
    <n v="14987333.4"/>
    <x v="48"/>
    <x v="1"/>
    <s v="pagado"/>
    <s v="pagado"/>
    <x v="0"/>
    <x v="0"/>
  </r>
  <r>
    <n v="3000000544"/>
    <d v="2025-04-22T00:00:00"/>
    <n v="2845691.75"/>
    <s v="Pulmajo S.R.L. CONCEPCION 14"/>
    <x v="282"/>
    <n v="2845691.75"/>
    <x v="48"/>
    <x v="1"/>
    <s v="pagado"/>
    <s v="pagado"/>
    <x v="0"/>
    <x v="0"/>
  </r>
  <r>
    <n v="3000000582"/>
    <d v="2025-04-29T00:00:00"/>
    <n v="474400"/>
    <s v="Laborda Carlos SAN MIGUEL DE TUCUMAN 14"/>
    <x v="283"/>
    <n v="474400"/>
    <x v="50"/>
    <x v="0"/>
    <s v="pagado"/>
    <s v="pagado"/>
    <x v="0"/>
    <x v="0"/>
  </r>
  <r>
    <n v="3000000582"/>
    <d v="2025-04-29T00:00:00"/>
    <n v="474400"/>
    <s v="Laborda Carlos SAN MIGUEL DE TUCUMAN 14"/>
    <x v="284"/>
    <n v="474400"/>
    <x v="50"/>
    <x v="0"/>
    <s v="pagado"/>
    <s v="pagado"/>
    <x v="0"/>
    <x v="0"/>
  </r>
  <r>
    <n v="3000000582"/>
    <d v="2025-04-29T00:00:00"/>
    <n v="170000"/>
    <s v="Laborda Carlos SAN MIGUEL DE TUCUMAN 14"/>
    <x v="285"/>
    <n v="170000"/>
    <x v="50"/>
    <x v="0"/>
    <s v="pagado"/>
    <s v="pagado"/>
    <x v="0"/>
    <x v="0"/>
  </r>
  <r>
    <n v="3000000582"/>
    <d v="2025-04-29T00:00:00"/>
    <n v="200000"/>
    <s v="Laborda Carlos SAN MIGUEL DE TUCUMAN 14"/>
    <x v="286"/>
    <n v="200000"/>
    <x v="50"/>
    <x v="0"/>
    <s v="pagado"/>
    <s v="pagado"/>
    <x v="0"/>
    <x v="0"/>
  </r>
  <r>
    <n v="1200000414"/>
    <d v="2025-04-29T00:00:00"/>
    <n v="3411298.5"/>
    <s v="Cheque de terceros tucumán"/>
    <x v="287"/>
    <n v="3411298.5"/>
    <x v="51"/>
    <x v="1"/>
    <s v="pagado"/>
    <s v="pagado"/>
    <x v="0"/>
    <x v="0"/>
  </r>
  <r>
    <n v="1200000414"/>
    <d v="2025-04-29T00:00:00"/>
    <n v="4288213.4000000004"/>
    <s v="Cheque de terceros tucumán"/>
    <x v="288"/>
    <n v="4288213.4000000004"/>
    <x v="51"/>
    <x v="1"/>
    <s v="pagado"/>
    <s v="pagado"/>
    <x v="0"/>
    <x v="0"/>
  </r>
  <r>
    <n v="1200000414"/>
    <d v="2025-04-29T00:00:00"/>
    <n v="12641535.58"/>
    <s v="Cheque de terceros tucumán"/>
    <x v="289"/>
    <n v="12641535.58"/>
    <x v="52"/>
    <x v="1"/>
    <s v="pagado"/>
    <s v="pagado"/>
    <x v="0"/>
    <x v="0"/>
  </r>
  <r>
    <n v="1200000414"/>
    <d v="2025-04-29T00:00:00"/>
    <n v="45991454.549999997"/>
    <s v="Cheque de terceros tucumán"/>
    <x v="290"/>
    <n v="45991454.549999997"/>
    <x v="52"/>
    <x v="1"/>
    <s v="pagado"/>
    <s v="pagado"/>
    <x v="0"/>
    <x v="0"/>
  </r>
  <r>
    <n v="3000000583"/>
    <d v="2025-04-29T00:00:00"/>
    <n v="14296925.4"/>
    <s v="LOS LAURELES SERVICIOS AGRICOLSan Miguel De Tucuman 14"/>
    <x v="291"/>
    <n v="14296925.4"/>
    <x v="53"/>
    <x v="1"/>
    <s v="pagado"/>
    <s v="pagado"/>
    <x v="0"/>
    <x v="0"/>
  </r>
  <r>
    <n v="3000000584"/>
    <d v="2025-04-29T00:00:00"/>
    <n v="33084275.699999999"/>
    <s v="ROMAN BARCELO Y JORGE CARRERASLAS LAJITAS 09"/>
    <x v="292"/>
    <n v="33084275.699999999"/>
    <x v="51"/>
    <x v="1"/>
    <s v="pagado"/>
    <s v="pagado"/>
    <x v="0"/>
    <x v="0"/>
  </r>
  <r>
    <n v="3000000585"/>
    <d v="2025-04-29T00:00:00"/>
    <n v="9993892.3599999994"/>
    <s v="PETROANDINA S.R.L SALTA 09"/>
    <x v="293"/>
    <n v="9993892.3599999994"/>
    <x v="53"/>
    <x v="1"/>
    <s v="pagado"/>
    <s v="pagado"/>
    <x v="0"/>
    <x v="0"/>
  </r>
  <r>
    <n v="3000000586"/>
    <d v="2025-04-29T00:00:00"/>
    <n v="28999682.719999999"/>
    <s v="FLETES Y SERVICIOS PUJATO S.A PUJATO 12"/>
    <x v="294"/>
    <n v="28999682.719999999"/>
    <x v="51"/>
    <x v="1"/>
    <s v="pagado"/>
    <s v="pagado"/>
    <x v="0"/>
    <x v="0"/>
  </r>
  <r>
    <n v="3000000587"/>
    <d v="2025-04-29T00:00:00"/>
    <n v="5951965.6500000004"/>
    <s v="TS OASIS SRL BANDA DEL RIO SALI 14"/>
    <x v="295"/>
    <n v="5951965.6500000004"/>
    <x v="53"/>
    <x v="1"/>
    <s v="pagado"/>
    <s v="pagado"/>
    <x v="0"/>
    <x v="0"/>
  </r>
  <r>
    <n v="3000000589"/>
    <d v="2025-04-29T00:00:00"/>
    <n v="8807343.4000000004"/>
    <s v="GOMEZ MANUEL ARCENIO METAN 09"/>
    <x v="296"/>
    <n v="8807343.4000000004"/>
    <x v="53"/>
    <x v="1"/>
    <s v="pagado"/>
    <s v="pagado"/>
    <x v="0"/>
    <x v="0"/>
  </r>
  <r>
    <n v="3000000590"/>
    <d v="2025-04-29T00:00:00"/>
    <n v="11279571.4"/>
    <s v="MARIA FERNANDA SRL LA TRINIDAD 14"/>
    <x v="297"/>
    <n v="11279571.4"/>
    <x v="53"/>
    <x v="1"/>
    <s v="pagado"/>
    <s v="pagado"/>
    <x v="0"/>
    <x v="0"/>
  </r>
  <r>
    <n v="3000000591"/>
    <d v="2025-04-29T00:00:00"/>
    <n v="25602500"/>
    <s v="Medina Lauro Jose Las Cejas 14"/>
    <x v="298"/>
    <n v="25602500"/>
    <x v="51"/>
    <x v="1"/>
    <s v="pagado"/>
    <s v="pagado"/>
    <x v="0"/>
    <x v="0"/>
  </r>
  <r>
    <n v="3000000588"/>
    <d v="2025-04-29T00:00:00"/>
    <n v="19243310.199999999"/>
    <s v="Pulverizaciones Tuninetti S.R.Las Rosas 01"/>
    <x v="299"/>
    <n v="19243310.199999999"/>
    <x v="53"/>
    <x v="1"/>
    <s v="pagado"/>
    <s v="pagado"/>
    <x v="0"/>
    <x v="0"/>
  </r>
  <r>
    <n v="3000000596"/>
    <d v="2025-05-05T00:00:00"/>
    <n v="9548104.6799999997"/>
    <s v="EMPRENDIMIENTOS ASSUN S.A. SANTIAGO DEL ESTERO 13"/>
    <x v="300"/>
    <n v="9548104.6799999997"/>
    <x v="54"/>
    <x v="1"/>
    <s v="pagado"/>
    <s v="pagado"/>
    <x v="0"/>
    <x v="0"/>
  </r>
  <r>
    <n v="3000000597"/>
    <d v="2025-05-05T00:00:00"/>
    <n v="8588108.4000000004"/>
    <s v="GRUPO MARGEN DEL NOA SA YERBA BUENA 14"/>
    <x v="301"/>
    <n v="8588108.4000000004"/>
    <x v="54"/>
    <x v="1"/>
    <s v="pagado"/>
    <s v="pagado"/>
    <x v="0"/>
    <x v="0"/>
  </r>
  <r>
    <n v="3000000598"/>
    <d v="2025-05-05T00:00:00"/>
    <n v="7560893.4000000004"/>
    <s v="MARIA FERNANDA SRL LA TRINIDAD 14"/>
    <x v="302"/>
    <n v="7560893.4000000004"/>
    <x v="54"/>
    <x v="1"/>
    <s v="pagado"/>
    <s v="pagado"/>
    <x v="0"/>
    <x v="0"/>
  </r>
  <r>
    <n v="3000000599"/>
    <d v="2025-05-05T00:00:00"/>
    <n v="13210343.4"/>
    <s v="GOMEZ MANUEL ARCENIO METAN 09"/>
    <x v="303"/>
    <n v="13210343.4"/>
    <x v="55"/>
    <x v="1"/>
    <s v="pagado"/>
    <s v="pagado"/>
    <x v="0"/>
    <x v="0"/>
  </r>
  <r>
    <n v="3000000600"/>
    <d v="2025-05-05T00:00:00"/>
    <n v="9107142.4000000004"/>
    <s v="Suarez Elio Hernan Los altos 02"/>
    <x v="304"/>
    <n v="9107142.4000000004"/>
    <x v="55"/>
    <x v="1"/>
    <s v="pagado"/>
    <s v="pagado"/>
    <x v="0"/>
    <x v="0"/>
  </r>
  <r>
    <n v="3000000601"/>
    <d v="2025-05-05T00:00:00"/>
    <n v="7236463.5999999996"/>
    <s v="RODRIGUEZ NESTOR HORACIO YERBA BUENA 14"/>
    <x v="305"/>
    <n v="7236463.5999999996"/>
    <x v="54"/>
    <x v="1"/>
    <s v="pagado"/>
    <s v="pagado"/>
    <x v="0"/>
    <x v="0"/>
  </r>
  <r>
    <n v="3000000657"/>
    <d v="2025-05-14T00:00:00"/>
    <n v="22000000"/>
    <s v="AYALA WALTER DANIEL ALDERETES 14"/>
    <x v="306"/>
    <n v="22000000"/>
    <x v="41"/>
    <x v="1"/>
    <s v="pagado"/>
    <s v="pagado"/>
    <x v="0"/>
    <x v="0"/>
  </r>
  <r>
    <n v="3000000657"/>
    <d v="2025-05-14T00:00:00"/>
    <n v="22518406.57"/>
    <s v="AYALA WALTER DANIEL ALDERETES 14"/>
    <x v="307"/>
    <n v="22518406.57"/>
    <x v="56"/>
    <x v="1"/>
    <s v="pagado"/>
    <s v="pagado"/>
    <x v="0"/>
    <x v="0"/>
  </r>
  <r>
    <n v="3000000659"/>
    <d v="2025-05-14T00:00:00"/>
    <n v="23000000"/>
    <s v="GRUPO MARGEN DEL NOA SA YERBA BUENA 14"/>
    <x v="308"/>
    <n v="23000000"/>
    <x v="41"/>
    <x v="1"/>
    <s v="pagado"/>
    <s v="pagado"/>
    <x v="0"/>
    <x v="0"/>
  </r>
  <r>
    <n v="3000000659"/>
    <d v="2025-05-14T00:00:00"/>
    <n v="20602938.5"/>
    <s v="GRUPO MARGEN DEL NOA SA YERBA BUENA 14"/>
    <x v="309"/>
    <n v="20602938.5"/>
    <x v="56"/>
    <x v="1"/>
    <s v="pagado"/>
    <s v="pagado"/>
    <x v="0"/>
    <x v="0"/>
  </r>
  <r>
    <n v="3000000670"/>
    <d v="2025-05-14T00:00:00"/>
    <n v="11000000"/>
    <s v="LOGISTICA CENTRO S.R.L CORONDA 12"/>
    <x v="310"/>
    <n v="11000000"/>
    <x v="41"/>
    <x v="1"/>
    <s v="pagado"/>
    <s v="pagado"/>
    <x v="0"/>
    <x v="0"/>
  </r>
  <r>
    <n v="3000000670"/>
    <d v="2025-05-14T00:00:00"/>
    <n v="10940939.789999999"/>
    <s v="LOGISTICA CENTRO S.R.L CORONDA 12"/>
    <x v="311"/>
    <n v="10940939.789999999"/>
    <x v="56"/>
    <x v="1"/>
    <s v="pagado"/>
    <s v="pagado"/>
    <x v="0"/>
    <x v="0"/>
  </r>
  <r>
    <n v="3000000656"/>
    <d v="2025-05-14T00:00:00"/>
    <n v="7924488"/>
    <s v="LOS LAURELES SERVICIOS AGRICOLSan Miguel De Tucuman 14"/>
    <x v="312"/>
    <n v="7924488"/>
    <x v="41"/>
    <x v="1"/>
    <s v="pagado"/>
    <s v="pagado"/>
    <x v="0"/>
    <x v="0"/>
  </r>
  <r>
    <n v="3000000658"/>
    <d v="2025-05-14T00:00:00"/>
    <n v="9372943.4000000004"/>
    <s v="ZALAZAR ATTIS LOURDES NOEMI NUEVA ESPERANZA 13"/>
    <x v="313"/>
    <n v="9372943.4000000004"/>
    <x v="41"/>
    <x v="1"/>
    <s v="pagado"/>
    <s v="pagado"/>
    <x v="0"/>
    <x v="0"/>
  </r>
  <r>
    <n v="3000000660"/>
    <d v="2025-05-14T00:00:00"/>
    <n v="8236483.8499999996"/>
    <s v="Medina Lauro Jose Las Cejas 14"/>
    <x v="314"/>
    <n v="8236483.8499999996"/>
    <x v="41"/>
    <x v="1"/>
    <s v="pagado"/>
    <s v="pagado"/>
    <x v="0"/>
    <x v="0"/>
  </r>
  <r>
    <n v="3000000661"/>
    <d v="2025-05-14T00:00:00"/>
    <n v="10800711.4"/>
    <s v="VERON MARIANA BEATRIZ NUEVA ESPERANZA 13"/>
    <x v="315"/>
    <n v="10800711.4"/>
    <x v="41"/>
    <x v="1"/>
    <s v="pagado"/>
    <s v="pagado"/>
    <x v="0"/>
    <x v="0"/>
  </r>
  <r>
    <n v="3000000662"/>
    <d v="2025-05-14T00:00:00"/>
    <n v="7501903.4000000004"/>
    <s v="LASTRINA CARMELO ALTO VERDE 14"/>
    <x v="316"/>
    <n v="7501903.4000000004"/>
    <x v="41"/>
    <x v="1"/>
    <s v="pagado"/>
    <s v="pagado"/>
    <x v="0"/>
    <x v="0"/>
  </r>
  <r>
    <n v="3000000663"/>
    <d v="2025-05-14T00:00:00"/>
    <n v="11120378.300000001"/>
    <s v="ANTONACCI LUIS GABRIEL LA FLORIDA 14"/>
    <x v="317"/>
    <n v="11120378.300000001"/>
    <x v="41"/>
    <x v="1"/>
    <s v="pagado"/>
    <s v="pagado"/>
    <x v="0"/>
    <x v="0"/>
  </r>
  <r>
    <n v="3000000664"/>
    <d v="2025-05-14T00:00:00"/>
    <n v="7189299.7599999998"/>
    <s v="TRANSPORTE Y LOGISTICA DEL ESTLAS CEJAS 14"/>
    <x v="318"/>
    <n v="7189299.7599999998"/>
    <x v="41"/>
    <x v="1"/>
    <s v="pagado"/>
    <s v="pagado"/>
    <x v="0"/>
    <x v="0"/>
  </r>
  <r>
    <n v="3000000665"/>
    <d v="2025-05-14T00:00:00"/>
    <n v="9994807.8200000003"/>
    <s v="JAVIER EDUARDO PRADO FLORIDA 13"/>
    <x v="319"/>
    <n v="9994807.8200000003"/>
    <x v="41"/>
    <x v="1"/>
    <s v="pagado"/>
    <s v="pagado"/>
    <x v="0"/>
    <x v="0"/>
  </r>
  <r>
    <n v="3000000666"/>
    <d v="2025-05-14T00:00:00"/>
    <n v="7529330.3300000001"/>
    <s v="LOGISTICA DEL NORTE S.R.L. SAN MIGUEL DE TUCUMAN 14"/>
    <x v="320"/>
    <n v="7529330.3300000001"/>
    <x v="41"/>
    <x v="1"/>
    <s v="pagado"/>
    <s v="pagado"/>
    <x v="0"/>
    <x v="0"/>
  </r>
  <r>
    <n v="3000000667"/>
    <d v="2025-05-14T00:00:00"/>
    <n v="4683141.54"/>
    <s v="TRANSPORTE CLASON SRL ROSARIO 12"/>
    <x v="321"/>
    <n v="4683141.54"/>
    <x v="41"/>
    <x v="1"/>
    <s v="pagado"/>
    <s v="pagado"/>
    <x v="0"/>
    <x v="0"/>
  </r>
  <r>
    <n v="3000000668"/>
    <d v="2025-05-14T00:00:00"/>
    <n v="6177998.8600000003"/>
    <s v="MOLINA JUAN F. Y MOLINA ROQUE Lastenia 14"/>
    <x v="322"/>
    <n v="6177998.8600000003"/>
    <x v="41"/>
    <x v="1"/>
    <s v="pagado"/>
    <s v="pagado"/>
    <x v="0"/>
    <x v="0"/>
  </r>
  <r>
    <n v="3000000669"/>
    <d v="2025-05-14T00:00:00"/>
    <n v="9617991.3900000006"/>
    <s v="FLETES Y SERVICIOS PUJATO S.A PUJATO 12"/>
    <x v="323"/>
    <n v="9617991.3900000006"/>
    <x v="41"/>
    <x v="1"/>
    <s v="pagado"/>
    <s v="pagado"/>
    <x v="0"/>
    <x v="0"/>
  </r>
  <r>
    <n v="3000000684"/>
    <d v="2025-05-20T00:00:00"/>
    <n v="8806000"/>
    <s v="GOMEZ MANUEL ARCENIO METAN 09"/>
    <x v="324"/>
    <n v="8806000"/>
    <x v="57"/>
    <x v="1"/>
    <s v="pagado"/>
    <s v="pagado"/>
    <x v="0"/>
    <x v="0"/>
  </r>
  <r>
    <n v="3000000685"/>
    <d v="2025-05-20T00:00:00"/>
    <n v="5850955"/>
    <s v="Medina Lauro Jose Las Cejas 14"/>
    <x v="325"/>
    <n v="5850955"/>
    <x v="57"/>
    <x v="1"/>
    <s v="pagado"/>
    <s v="pagado"/>
    <x v="0"/>
    <x v="0"/>
  </r>
  <r>
    <n v="3000000686"/>
    <d v="2025-05-20T00:00:00"/>
    <n v="3014400"/>
    <s v="ARAGON CARLOS DANIEL LA BANDA 13"/>
    <x v="326"/>
    <n v="3014400"/>
    <x v="57"/>
    <x v="1"/>
    <s v="pagado"/>
    <s v="pagado"/>
    <x v="0"/>
    <x v="0"/>
  </r>
  <r>
    <n v="3000000687"/>
    <d v="2025-05-20T00:00:00"/>
    <n v="12695564.98"/>
    <s v="PAIS WALTER LUIS SAN MIGUEL DE TUCUMAN 14"/>
    <x v="327"/>
    <n v="12695564.98"/>
    <x v="57"/>
    <x v="1"/>
    <s v="pagado"/>
    <s v="pagado"/>
    <x v="0"/>
    <x v="0"/>
  </r>
  <r>
    <n v="3000000688"/>
    <d v="2025-05-20T00:00:00"/>
    <n v="3256303.45"/>
    <s v="GARNIER MARCELO, HERNAN Y DIEGCOLON 05"/>
    <x v="328"/>
    <n v="3256303.45"/>
    <x v="57"/>
    <x v="1"/>
    <s v="pagado"/>
    <s v="pagado"/>
    <x v="0"/>
    <x v="0"/>
  </r>
  <r>
    <n v="3000000689"/>
    <d v="2025-05-20T00:00:00"/>
    <n v="6807633.5700000003"/>
    <s v="LANGELLA JUAN RODOLFO ALDERETES 14"/>
    <x v="329"/>
    <n v="6807633.5700000003"/>
    <x v="57"/>
    <x v="1"/>
    <s v="pagado"/>
    <s v="pagado"/>
    <x v="0"/>
    <x v="0"/>
  </r>
  <r>
    <n v="3000000690"/>
    <d v="2025-05-20T00:00:00"/>
    <n v="1886523.46"/>
    <s v="LENARDUZZI DIEGO LEONARDO SAN JUSTO 12"/>
    <x v="330"/>
    <n v="1886523.46"/>
    <x v="57"/>
    <x v="1"/>
    <s v="pagado"/>
    <s v="pagado"/>
    <x v="0"/>
    <x v="0"/>
  </r>
  <r>
    <n v="3000000691"/>
    <d v="2025-05-20T00:00:00"/>
    <n v="1720173"/>
    <s v="BUSTOS EXEQUIEL ANTONIO BANDA DEL RIO SALI 14"/>
    <x v="331"/>
    <n v="1720173"/>
    <x v="57"/>
    <x v="1"/>
    <s v="pagado"/>
    <s v="pagado"/>
    <x v="0"/>
    <x v="0"/>
  </r>
  <r>
    <n v="3000000692"/>
    <d v="2025-05-20T00:00:00"/>
    <n v="2279030.02"/>
    <s v="TRANS TRUCKS SRL SOLDINI 12"/>
    <x v="332"/>
    <n v="2279030.02"/>
    <x v="57"/>
    <x v="1"/>
    <s v="pagado"/>
    <s v="pagado"/>
    <x v="0"/>
    <x v="0"/>
  </r>
  <r>
    <n v="3000000693"/>
    <d v="2025-05-20T00:00:00"/>
    <n v="12962967.279999999"/>
    <s v="GUERRERO DANIEL MARCELO - ALDERETES 14"/>
    <x v="333"/>
    <n v="12962967.279999999"/>
    <x v="57"/>
    <x v="1"/>
    <s v="pagado"/>
    <s v="pagado"/>
    <x v="0"/>
    <x v="0"/>
  </r>
  <r>
    <n v="1200000417"/>
    <d v="2025-05-22T00:00:00"/>
    <n v="43487582.719999999"/>
    <s v="Cheque de terceros Tucuman"/>
    <x v="334"/>
    <n v="43487582.719999999"/>
    <x v="58"/>
    <x v="1"/>
    <s v="pagado"/>
    <s v="pagado"/>
    <x v="0"/>
    <x v="0"/>
  </r>
  <r>
    <n v="1200000417"/>
    <d v="2025-05-22T00:00:00"/>
    <n v="6381944.7400000002"/>
    <s v="Cheque de terceros TUCUMAN"/>
    <x v="335"/>
    <n v="6381944.7400000002"/>
    <x v="59"/>
    <x v="1"/>
    <s v="pagado"/>
    <s v="pagado"/>
    <x v="0"/>
    <x v="0"/>
  </r>
  <r>
    <n v="3000000702"/>
    <d v="2025-05-22T00:00:00"/>
    <n v="13612550"/>
    <s v="LOS LAURELES SERVICIOS AGRICOLSan Miguel De Tucuman 14"/>
    <x v="336"/>
    <n v="13612550"/>
    <x v="59"/>
    <x v="1"/>
    <s v="pagado"/>
    <s v="pagado"/>
    <x v="0"/>
    <x v="0"/>
  </r>
  <r>
    <n v="3000000703"/>
    <d v="2025-05-22T00:00:00"/>
    <n v="36301812.100000001"/>
    <s v="AGROQUIMICA ALBERDI S.R.L. CONCEPCION 14"/>
    <x v="337"/>
    <n v="36301812.100000001"/>
    <x v="59"/>
    <x v="1"/>
    <s v="pagado"/>
    <s v="pagado"/>
    <x v="0"/>
    <x v="0"/>
  </r>
  <r>
    <n v="3000000704"/>
    <d v="2025-05-22T00:00:00"/>
    <n v="7916254.2999999998"/>
    <s v="LOGISTICA CENTRO S.R.L CORONDA 12"/>
    <x v="338"/>
    <n v="7916254.2999999998"/>
    <x v="59"/>
    <x v="1"/>
    <s v="pagado"/>
    <s v="pagado"/>
    <x v="0"/>
    <x v="0"/>
  </r>
  <r>
    <n v="3000000709"/>
    <d v="2025-05-23T00:00:00"/>
    <n v="12607380"/>
    <s v="EDET S.A. SAN MIGUEL DE TUCUMAN 14"/>
    <x v="339"/>
    <n v="12607380"/>
    <x v="58"/>
    <x v="0"/>
    <s v="pagado"/>
    <s v="pagado"/>
    <x v="0"/>
    <x v="0"/>
  </r>
  <r>
    <n v="3000000716"/>
    <d v="2025-05-26T00:00:00"/>
    <n v="6000000"/>
    <s v="TRANSPORTE RAUL S.R.L SAN MIGUEL DE TUCUMAN 14"/>
    <x v="340"/>
    <n v="6000000"/>
    <x v="60"/>
    <x v="1"/>
    <s v="pagado"/>
    <s v="pagado"/>
    <x v="0"/>
    <x v="0"/>
  </r>
  <r>
    <n v="3000000716"/>
    <d v="2025-05-26T00:00:00"/>
    <n v="6509862.4800000004"/>
    <s v="TRANSPORTE RAUL S.R.L SAN MIGUEL DE TUCUMAN 14"/>
    <x v="341"/>
    <n v="6509862.4800000004"/>
    <x v="61"/>
    <x v="1"/>
    <s v="pagado"/>
    <s v="pagado"/>
    <x v="0"/>
    <x v="0"/>
  </r>
  <r>
    <n v="3000000717"/>
    <d v="2025-05-26T00:00:00"/>
    <n v="2000000"/>
    <s v="Pulmajo S.R.L. CONCEPCION 14"/>
    <x v="342"/>
    <n v="2000000"/>
    <x v="60"/>
    <x v="1"/>
    <s v="pagado"/>
    <s v="pagado"/>
    <x v="0"/>
    <x v="0"/>
  </r>
  <r>
    <n v="3000000717"/>
    <d v="2025-05-26T00:00:00"/>
    <n v="2000000"/>
    <s v="Pulmajo S.R.L. CONCEPCION 14"/>
    <x v="343"/>
    <n v="2000000"/>
    <x v="60"/>
    <x v="1"/>
    <s v="pagado"/>
    <s v="pagado"/>
    <x v="0"/>
    <x v="0"/>
  </r>
  <r>
    <n v="3000000717"/>
    <d v="2025-05-26T00:00:00"/>
    <n v="2000000"/>
    <s v="Pulmajo S.R.L. CONCEPCION 14"/>
    <x v="344"/>
    <n v="2000000"/>
    <x v="60"/>
    <x v="1"/>
    <s v="pagado"/>
    <s v="pagado"/>
    <x v="0"/>
    <x v="0"/>
  </r>
  <r>
    <n v="3000000717"/>
    <d v="2025-05-26T00:00:00"/>
    <n v="2000000"/>
    <s v="Pulmajo S.R.L. CONCEPCION 14"/>
    <x v="345"/>
    <n v="2000000"/>
    <x v="60"/>
    <x v="1"/>
    <s v="pagado"/>
    <s v="pagado"/>
    <x v="0"/>
    <x v="0"/>
  </r>
  <r>
    <n v="3000000717"/>
    <d v="2025-05-26T00:00:00"/>
    <n v="2000000"/>
    <s v="Pulmajo S.R.L. CONCEPCION 14"/>
    <x v="346"/>
    <n v="2000000"/>
    <x v="61"/>
    <x v="1"/>
    <s v="pagado"/>
    <s v="pagado"/>
    <x v="0"/>
    <x v="0"/>
  </r>
  <r>
    <n v="3000000717"/>
    <d v="2025-05-26T00:00:00"/>
    <n v="1564920.9"/>
    <s v="Pulmajo S.R.L. CONCEPCION 14"/>
    <x v="347"/>
    <n v="1564920.9"/>
    <x v="61"/>
    <x v="1"/>
    <s v="pagado"/>
    <s v="pagado"/>
    <x v="0"/>
    <x v="0"/>
  </r>
  <r>
    <n v="3000000715"/>
    <d v="2025-05-26T00:00:00"/>
    <n v="4554913.75"/>
    <s v="ABUT TRANSPORTES SA CENTENO 12"/>
    <x v="348"/>
    <n v="4554913.75"/>
    <x v="60"/>
    <x v="1"/>
    <s v="pagado"/>
    <s v="pagado"/>
    <x v="0"/>
    <x v="0"/>
  </r>
  <r>
    <n v="3000000718"/>
    <d v="2025-05-26T00:00:00"/>
    <n v="5463364.5"/>
    <s v="AYALA WALTER DANIEL ALDERETES 14"/>
    <x v="349"/>
    <n v="5463364.5"/>
    <x v="60"/>
    <x v="1"/>
    <s v="pagado"/>
    <s v="pagado"/>
    <x v="0"/>
    <x v="0"/>
  </r>
  <r>
    <n v="3000000719"/>
    <d v="2025-05-26T00:00:00"/>
    <n v="4063008.02"/>
    <s v="Laborda Carlos SAN MIGUEL DE TUCUMAN 14"/>
    <x v="350"/>
    <n v="4063008.02"/>
    <x v="60"/>
    <x v="1"/>
    <s v="pagado"/>
    <s v="pagado"/>
    <x v="0"/>
    <x v="0"/>
  </r>
  <r>
    <n v="3000000717"/>
    <d v="2025-05-26T00:00:00"/>
    <n v="2000000"/>
    <s v="Pulmajo S.R.L. CONCEPCION 14"/>
    <x v="351"/>
    <n v="2000000"/>
    <x v="60"/>
    <x v="1"/>
    <s v="pagado"/>
    <s v="pagado"/>
    <x v="0"/>
    <x v="0"/>
  </r>
  <r>
    <n v="3000000740"/>
    <d v="2025-05-28T00:00:00"/>
    <n v="20000000"/>
    <s v="TRANSPORTE LUIS SANDOVAL S.A.SLOS VALLISTOS 14"/>
    <x v="352"/>
    <n v="20000000"/>
    <x v="61"/>
    <x v="1"/>
    <s v="pagado"/>
    <s v="pagado"/>
    <x v="0"/>
    <x v="0"/>
  </r>
  <r>
    <n v="3000000740"/>
    <d v="2025-05-28T00:00:00"/>
    <n v="15728477.85"/>
    <s v="TRANSPORTE LUIS SANDOVAL S.A.SLOS VALLISTOS 14"/>
    <x v="353"/>
    <n v="15728477.85"/>
    <x v="62"/>
    <x v="1"/>
    <s v="pagado"/>
    <s v="pagado"/>
    <x v="0"/>
    <x v="0"/>
  </r>
  <r>
    <n v="3000000741"/>
    <d v="2025-05-28T00:00:00"/>
    <n v="25000000"/>
    <s v="TRANSPORTE BARBERAN HNOS SRL CHABAS 12"/>
    <x v="354"/>
    <n v="25000000"/>
    <x v="61"/>
    <x v="1"/>
    <s v="pagado"/>
    <s v="pagado"/>
    <x v="0"/>
    <x v="0"/>
  </r>
  <r>
    <n v="3000000741"/>
    <d v="2025-05-28T00:00:00"/>
    <n v="23505897.850000001"/>
    <s v="TRANSPORTE BARBERAN HNOS SRL CHABAS 12"/>
    <x v="355"/>
    <n v="23505897.850000001"/>
    <x v="62"/>
    <x v="1"/>
    <s v="pagado"/>
    <s v="pagado"/>
    <x v="0"/>
    <x v="0"/>
  </r>
  <r>
    <n v="3000000742"/>
    <d v="2025-05-28T00:00:00"/>
    <n v="12000000"/>
    <s v="ANTONACCI LUIS GABRIEL LA FLORIDA 14"/>
    <x v="356"/>
    <n v="12000000"/>
    <x v="61"/>
    <x v="1"/>
    <s v="pagado"/>
    <s v="pagado"/>
    <x v="0"/>
    <x v="0"/>
  </r>
  <r>
    <n v="3000000742"/>
    <d v="2025-05-28T00:00:00"/>
    <n v="12440001.17"/>
    <s v="ANTONACCI LUIS GABRIEL LA FLORIDA 14"/>
    <x v="357"/>
    <n v="12440001.17"/>
    <x v="62"/>
    <x v="1"/>
    <s v="pagado"/>
    <s v="pagado"/>
    <x v="0"/>
    <x v="0"/>
  </r>
  <r>
    <n v="3000000739"/>
    <d v="2025-05-28T00:00:00"/>
    <n v="5575083.5599999996"/>
    <s v="JAVIER EDUARDO PRADO FLORIDA 13"/>
    <x v="358"/>
    <n v="5575083.5599999996"/>
    <x v="61"/>
    <x v="1"/>
    <s v="pagado"/>
    <s v="pagado"/>
    <x v="0"/>
    <x v="0"/>
  </r>
  <r>
    <n v="3000000743"/>
    <d v="2025-05-28T00:00:00"/>
    <n v="12767204.609999999"/>
    <s v="COMBUSTIBLES DEL NORTE S.A. LAS LAJITAS 09"/>
    <x v="359"/>
    <n v="12767204.609999999"/>
    <x v="61"/>
    <x v="1"/>
    <s v="pagado"/>
    <s v="pagado"/>
    <x v="0"/>
    <x v="0"/>
  </r>
  <r>
    <n v="3000000749"/>
    <d v="2025-06-02T00:00:00"/>
    <n v="10000000"/>
    <s v="Laborda Carlos SAN MIGUEL DE TUCUMAN 14"/>
    <x v="360"/>
    <n v="10000000"/>
    <x v="63"/>
    <x v="0"/>
    <s v="pagado"/>
    <s v="pagado"/>
    <x v="0"/>
    <x v="0"/>
  </r>
  <r>
    <n v="3000000749"/>
    <d v="2025-06-02T00:00:00"/>
    <n v="0"/>
    <s v="invalidado med.EOLIVERA -Rechazado"/>
    <x v="361"/>
    <n v="0"/>
    <x v="64"/>
    <x v="0"/>
    <s v="no pagado"/>
    <s v="fuera de fecha"/>
    <x v="0"/>
    <x v="0"/>
  </r>
  <r>
    <n v="3000000749"/>
    <d v="2025-06-02T00:00:00"/>
    <n v="2000000"/>
    <s v="Laborda Carlos SAN MIGUEL DE TUCUMAN 14"/>
    <x v="362"/>
    <n v="2000000"/>
    <x v="64"/>
    <x v="0"/>
    <s v="pagado"/>
    <s v="pagado"/>
    <x v="0"/>
    <x v="0"/>
  </r>
  <r>
    <n v="3000000749"/>
    <d v="2025-06-02T00:00:00"/>
    <n v="500000"/>
    <s v="Laborda Carlos SAN MIGUEL DE TUCUMAN 14"/>
    <x v="363"/>
    <n v="500000"/>
    <x v="64"/>
    <x v="0"/>
    <s v="pagado"/>
    <s v="pagado"/>
    <x v="0"/>
    <x v="0"/>
  </r>
  <r>
    <n v="3000000749"/>
    <d v="2025-06-02T00:00:00"/>
    <n v="500000"/>
    <s v="Laborda Carlos SAN MIGUEL DE TUCUMAN 14"/>
    <x v="364"/>
    <n v="500000"/>
    <x v="64"/>
    <x v="0"/>
    <s v="pagado"/>
    <s v="pagado"/>
    <x v="0"/>
    <x v="0"/>
  </r>
  <r>
    <n v="3000000749"/>
    <d v="2025-06-02T00:00:00"/>
    <n v="300000"/>
    <s v="Laborda Carlos SAN MIGUEL DE TUCUMAN 14"/>
    <x v="365"/>
    <n v="300000"/>
    <x v="64"/>
    <x v="0"/>
    <s v="pagado"/>
    <s v="pagado"/>
    <x v="0"/>
    <x v="0"/>
  </r>
  <r>
    <n v="3000000749"/>
    <d v="2025-06-02T00:00:00"/>
    <n v="376343.4"/>
    <s v="Laborda Carlos SAN MIGUEL DE TUCUMAN 14"/>
    <x v="366"/>
    <n v="376343.4"/>
    <x v="64"/>
    <x v="0"/>
    <s v="pagado"/>
    <s v="pagado"/>
    <x v="0"/>
    <x v="0"/>
  </r>
  <r>
    <n v="3000000776"/>
    <d v="2025-06-04T00:00:00"/>
    <n v="15000000"/>
    <s v="ANTONACCI LUIS GABRIEL LA FLORIDA 14"/>
    <x v="367"/>
    <n v="15000000"/>
    <x v="65"/>
    <x v="1"/>
    <s v="pagado"/>
    <s v="pagado"/>
    <x v="0"/>
    <x v="0"/>
  </r>
  <r>
    <n v="3000000776"/>
    <d v="2025-06-04T00:00:00"/>
    <n v="10335296.789999999"/>
    <s v="ANTONACCI LUIS GABRIEL LA FLORIDA 14"/>
    <x v="368"/>
    <n v="10335296.789999999"/>
    <x v="66"/>
    <x v="1"/>
    <s v="pagado"/>
    <s v="pagado"/>
    <x v="0"/>
    <x v="0"/>
  </r>
  <r>
    <n v="3000000777"/>
    <d v="2025-06-04T00:00:00"/>
    <n v="15000000"/>
    <s v="GOMEZ JESSICA NOELIA LAS TALITAS 14"/>
    <x v="369"/>
    <n v="15000000"/>
    <x v="65"/>
    <x v="1"/>
    <s v="pagado"/>
    <s v="pagado"/>
    <x v="0"/>
    <x v="0"/>
  </r>
  <r>
    <n v="3000000777"/>
    <d v="2025-06-04T00:00:00"/>
    <n v="16724791.76"/>
    <s v="GOMEZ JESSICA NOELIA LAS TALITAS 14"/>
    <x v="370"/>
    <n v="16724791.76"/>
    <x v="66"/>
    <x v="1"/>
    <s v="pagado"/>
    <s v="pagado"/>
    <x v="0"/>
    <x v="0"/>
  </r>
  <r>
    <n v="3000000778"/>
    <d v="2025-06-04T00:00:00"/>
    <n v="13000000"/>
    <s v="LOGISTICA DEL NORTE S.R.L. SAN MIGUEL DE TUCUMAN 14"/>
    <x v="371"/>
    <n v="13000000"/>
    <x v="65"/>
    <x v="1"/>
    <s v="pagado"/>
    <s v="pagado"/>
    <x v="0"/>
    <x v="0"/>
  </r>
  <r>
    <n v="3000000778"/>
    <d v="2025-06-04T00:00:00"/>
    <n v="13093217.98"/>
    <s v="LOGISTICA DEL NORTE S.R.L. SAN MIGUEL DE TUCUMAN 14"/>
    <x v="372"/>
    <n v="13093217.98"/>
    <x v="66"/>
    <x v="1"/>
    <s v="pagado"/>
    <s v="pagado"/>
    <x v="0"/>
    <x v="0"/>
  </r>
  <r>
    <n v="3000000755"/>
    <d v="2025-06-04T00:00:00"/>
    <n v="7222263.4000000004"/>
    <s v="GOMEZ MANUEL ARCENIO METAN 09"/>
    <x v="373"/>
    <n v="7222263.4000000004"/>
    <x v="67"/>
    <x v="1"/>
    <s v="pagado"/>
    <s v="pagado"/>
    <x v="0"/>
    <x v="0"/>
  </r>
  <r>
    <n v="3000000768"/>
    <d v="2025-06-04T00:00:00"/>
    <n v="6518128.3700000001"/>
    <s v="JAVIER EDUARDO PRADO FLORIDA 13"/>
    <x v="374"/>
    <n v="6518128.3700000001"/>
    <x v="65"/>
    <x v="1"/>
    <s v="pagado"/>
    <s v="pagado"/>
    <x v="0"/>
    <x v="0"/>
  </r>
  <r>
    <n v="3000000769"/>
    <d v="2025-06-04T00:00:00"/>
    <n v="8650081.0999999996"/>
    <s v="ELIAS LUCIANO EMANUEL LAS TALITAS 14"/>
    <x v="375"/>
    <n v="8650081.0999999996"/>
    <x v="65"/>
    <x v="1"/>
    <s v="pagado"/>
    <s v="pagado"/>
    <x v="0"/>
    <x v="0"/>
  </r>
  <r>
    <n v="3000000770"/>
    <d v="2025-06-04T00:00:00"/>
    <n v="9273780.4600000009"/>
    <s v="BUSTOS EXEQUIEL ANTONIO BANDA DEL RIO SALI 14"/>
    <x v="376"/>
    <n v="9273780.4600000009"/>
    <x v="66"/>
    <x v="1"/>
    <s v="pagado"/>
    <s v="pagado"/>
    <x v="0"/>
    <x v="0"/>
  </r>
  <r>
    <n v="3000000771"/>
    <d v="2025-06-04T00:00:00"/>
    <n v="9425410.0999999996"/>
    <s v="TRANSPORTE Y LOGISTICA DEL ESTLAS CEJAS 14"/>
    <x v="377"/>
    <n v="9425410.0999999996"/>
    <x v="66"/>
    <x v="1"/>
    <s v="pagado"/>
    <s v="pagado"/>
    <x v="0"/>
    <x v="0"/>
  </r>
  <r>
    <n v="3000000772"/>
    <d v="2025-06-04T00:00:00"/>
    <n v="2625899.7799999998"/>
    <s v="TRANSPORTE LUIS SANDOVAL S.A.SLOS VALLISTOS 14"/>
    <x v="378"/>
    <n v="2625899.7799999998"/>
    <x v="65"/>
    <x v="1"/>
    <s v="pagado"/>
    <s v="pagado"/>
    <x v="0"/>
    <x v="0"/>
  </r>
  <r>
    <n v="3000000773"/>
    <d v="2025-06-04T00:00:00"/>
    <n v="3095749.7"/>
    <s v="BUSTOS CESAR ANIBAL BANDAL DE RIO SALI 14"/>
    <x v="379"/>
    <n v="3095749.7"/>
    <x v="65"/>
    <x v="1"/>
    <s v="pagado"/>
    <s v="pagado"/>
    <x v="0"/>
    <x v="0"/>
  </r>
  <r>
    <n v="3000000774"/>
    <d v="2025-06-04T00:00:00"/>
    <n v="3034813.72"/>
    <s v="AGROTRANSPORTE ALDAO S.A. CAMILO ALDAO 03"/>
    <x v="380"/>
    <n v="3034813.72"/>
    <x v="65"/>
    <x v="1"/>
    <s v="pagado"/>
    <s v="pagado"/>
    <x v="0"/>
    <x v="0"/>
  </r>
  <r>
    <n v="3000000775"/>
    <d v="2025-06-04T00:00:00"/>
    <n v="3768167.92"/>
    <s v="ARAGON CARLOS DANIEL LA BANDA 13"/>
    <x v="381"/>
    <n v="3768167.92"/>
    <x v="65"/>
    <x v="1"/>
    <s v="pagado"/>
    <s v="pagado"/>
    <x v="0"/>
    <x v="0"/>
  </r>
  <r>
    <n v="3000000779"/>
    <d v="2025-06-04T00:00:00"/>
    <n v="11583281.75"/>
    <s v="MOYANO SERGIO ESTEBAN BANDA DEL RIO SALI 14"/>
    <x v="382"/>
    <n v="11583281.75"/>
    <x v="66"/>
    <x v="1"/>
    <s v="pagado"/>
    <s v="pagado"/>
    <x v="0"/>
    <x v="0"/>
  </r>
  <r>
    <n v="3000000796"/>
    <d v="2025-06-05T00:00:00"/>
    <n v="3560486.77"/>
    <s v="MOLINA JUAN F. Y MOLINA ROQUE Lastenia 14"/>
    <x v="383"/>
    <n v="3560486.77"/>
    <x v="65"/>
    <x v="1"/>
    <s v="pagado"/>
    <s v="pagado"/>
    <x v="0"/>
    <x v="0"/>
  </r>
  <r>
    <n v="3000000796"/>
    <d v="2025-06-05T00:00:00"/>
    <n v="14064357.029999999"/>
    <s v="MOLINA JUAN F. Y MOLINA ROQUE Lastenia 14"/>
    <x v="384"/>
    <n v="14064357.029999999"/>
    <x v="66"/>
    <x v="1"/>
    <s v="pagado"/>
    <s v="pagado"/>
    <x v="0"/>
    <x v="0"/>
  </r>
  <r>
    <n v="3000000797"/>
    <d v="2025-06-05T00:00:00"/>
    <n v="5067190.53"/>
    <s v="ENTREGAS SERDEN S.R.L SAN LORENZO 12"/>
    <x v="385"/>
    <n v="5067190.53"/>
    <x v="65"/>
    <x v="1"/>
    <s v="pagado"/>
    <s v="pagado"/>
    <x v="0"/>
    <x v="0"/>
  </r>
  <r>
    <n v="3000000798"/>
    <d v="2025-06-05T00:00:00"/>
    <n v="8000000"/>
    <s v="LOGISTICA CENTRO S.R.L CORONDA 12"/>
    <x v="386"/>
    <n v="8000000"/>
    <x v="65"/>
    <x v="1"/>
    <s v="pagado"/>
    <s v="pagado"/>
    <x v="0"/>
    <x v="0"/>
  </r>
  <r>
    <n v="3000000798"/>
    <d v="2025-06-05T00:00:00"/>
    <n v="8295215.9100000001"/>
    <s v="LOGISTICA CENTRO S.R.L CORONDA 12"/>
    <x v="387"/>
    <n v="8295215.9100000001"/>
    <x v="66"/>
    <x v="1"/>
    <s v="pagado"/>
    <s v="pagado"/>
    <x v="0"/>
    <x v="0"/>
  </r>
  <r>
    <n v="3000000799"/>
    <d v="2025-06-05T00:00:00"/>
    <n v="11178582.01"/>
    <s v="LAVENIA VITO CARMELO LASTENIA 14"/>
    <x v="388"/>
    <n v="11178582.01"/>
    <x v="66"/>
    <x v="1"/>
    <s v="pagado"/>
    <s v="pagado"/>
    <x v="0"/>
    <x v="0"/>
  </r>
  <r>
    <n v="3000000810"/>
    <d v="2025-06-09T00:00:00"/>
    <n v="0"/>
    <s v="invalidado med.EOLIVERA -Rechazado"/>
    <x v="389"/>
    <n v="0"/>
    <x v="68"/>
    <x v="1"/>
    <s v="no pagado"/>
    <s v="fuera de fecha"/>
    <x v="0"/>
    <x v="0"/>
  </r>
  <r>
    <n v="3000000811"/>
    <d v="2025-06-09T00:00:00"/>
    <n v="0"/>
    <s v="invalidado med.EOLIVERA -Rechazado"/>
    <x v="390"/>
    <n v="0"/>
    <x v="68"/>
    <x v="1"/>
    <s v="no pagado"/>
    <s v="fuera de fecha"/>
    <x v="0"/>
    <x v="0"/>
  </r>
  <r>
    <n v="3000000835"/>
    <d v="2025-06-12T00:00:00"/>
    <n v="13866510"/>
    <s v="EDET S.A. SAN MIGUEL DE TUCUMAN 14"/>
    <x v="391"/>
    <n v="13866510"/>
    <x v="69"/>
    <x v="0"/>
    <s v="pagado"/>
    <s v="pagado"/>
    <x v="0"/>
    <x v="0"/>
  </r>
  <r>
    <n v="3000000840"/>
    <d v="2025-06-12T00:00:00"/>
    <n v="10000000"/>
    <s v="ARAGON CARLOS DANIEL LA BANDA 13"/>
    <x v="392"/>
    <n v="10000000"/>
    <x v="42"/>
    <x v="1"/>
    <s v="pagado"/>
    <s v="pagado"/>
    <x v="0"/>
    <x v="0"/>
  </r>
  <r>
    <n v="3000000840"/>
    <d v="2025-06-12T00:00:00"/>
    <n v="5095550"/>
    <s v="ARAGON CARLOS DANIEL LA BANDA 13"/>
    <x v="393"/>
    <n v="5095550"/>
    <x v="70"/>
    <x v="1"/>
    <s v="pagado"/>
    <s v="pagado"/>
    <x v="0"/>
    <x v="0"/>
  </r>
  <r>
    <n v="3000000843"/>
    <d v="2025-06-12T00:00:00"/>
    <n v="25000000"/>
    <s v="DANIEL MARCELO GUERRERO ALDERETES 14"/>
    <x v="394"/>
    <n v="25000000"/>
    <x v="42"/>
    <x v="1"/>
    <s v="pagado"/>
    <s v="pagado"/>
    <x v="0"/>
    <x v="0"/>
  </r>
  <r>
    <n v="3000000843"/>
    <d v="2025-06-12T00:00:00"/>
    <n v="24575664.460000001"/>
    <s v="DANIEL MARCELO GUERRERO ALDERETES 14"/>
    <x v="395"/>
    <n v="24575664.460000001"/>
    <x v="70"/>
    <x v="1"/>
    <s v="pagado"/>
    <s v="pagado"/>
    <x v="0"/>
    <x v="0"/>
  </r>
  <r>
    <n v="3000000836"/>
    <d v="2025-06-12T00:00:00"/>
    <n v="9021852.0700000003"/>
    <s v="TRANSPORTE Y LOGISTICA DEL ESTLAS CEJAS 14"/>
    <x v="396"/>
    <n v="9021852.0700000003"/>
    <x v="42"/>
    <x v="1"/>
    <s v="pagado"/>
    <s v="pagado"/>
    <x v="0"/>
    <x v="0"/>
  </r>
  <r>
    <n v="3000000837"/>
    <d v="2025-06-12T00:00:00"/>
    <n v="5672933.2999999998"/>
    <s v="PAIS WALTER LUIS SAN MIGUEL DE TUCUMAN 14"/>
    <x v="397"/>
    <n v="5672933.2999999998"/>
    <x v="42"/>
    <x v="1"/>
    <s v="pagado"/>
    <s v="pagado"/>
    <x v="0"/>
    <x v="0"/>
  </r>
  <r>
    <n v="3000000838"/>
    <d v="2025-06-12T00:00:00"/>
    <n v="3651009.18"/>
    <s v="AGROTRANSPORTE ALDAO S.A. CAMILO ALDAO 03"/>
    <x v="398"/>
    <n v="3651009.18"/>
    <x v="42"/>
    <x v="1"/>
    <s v="pagado"/>
    <s v="pagado"/>
    <x v="0"/>
    <x v="0"/>
  </r>
  <r>
    <n v="3000000839"/>
    <d v="2025-06-12T00:00:00"/>
    <n v="7865911.7999999998"/>
    <s v="ANTONACCI LUIS GABRIEL LA FLORIDA 14"/>
    <x v="399"/>
    <n v="7865911.7999999998"/>
    <x v="42"/>
    <x v="1"/>
    <s v="pagado"/>
    <s v="pagado"/>
    <x v="0"/>
    <x v="0"/>
  </r>
  <r>
    <n v="3000000841"/>
    <d v="2025-06-12T00:00:00"/>
    <n v="6973986.0899999999"/>
    <s v="TRANSPORTE LUIS SANDOVAL S.A.SLOS VALLISTOS 14"/>
    <x v="400"/>
    <n v="6973986.0899999999"/>
    <x v="42"/>
    <x v="1"/>
    <s v="pagado"/>
    <s v="pagado"/>
    <x v="0"/>
    <x v="0"/>
  </r>
  <r>
    <n v="3000000842"/>
    <d v="2025-06-12T00:00:00"/>
    <n v="6693676.7800000003"/>
    <s v="CAMPOSTRINI S R L VILLAGUAY 05"/>
    <x v="401"/>
    <n v="6693676.7800000003"/>
    <x v="42"/>
    <x v="1"/>
    <s v="pagado"/>
    <s v="pagado"/>
    <x v="0"/>
    <x v="0"/>
  </r>
  <r>
    <n v="3000000810"/>
    <d v="2025-06-09T00:00:00"/>
    <n v="10466343.4"/>
    <s v="Roda Transformecanica Serv.SRLSAN MIGUEL DE TUCUMAN 14"/>
    <x v="402"/>
    <n v="10466343.4"/>
    <x v="71"/>
    <x v="1"/>
    <s v="pagado"/>
    <s v="pagado"/>
    <x v="0"/>
    <x v="0"/>
  </r>
  <r>
    <n v="3000000811"/>
    <d v="2025-06-09T00:00:00"/>
    <n v="6101642.9199999999"/>
    <s v="VERON MARIANA BEATRIZ NUEVA ESPERANZA 13"/>
    <x v="403"/>
    <n v="6101642.9199999999"/>
    <x v="71"/>
    <x v="1"/>
    <s v="pagado"/>
    <s v="pagado"/>
    <x v="0"/>
    <x v="0"/>
  </r>
  <r>
    <n v="3000000749"/>
    <d v="2025-06-17T00:00:00"/>
    <n v="500000"/>
    <s v="Laborda Carlos SAN MIGUEL DE TUCUMAN 14"/>
    <x v="404"/>
    <n v="500000"/>
    <x v="42"/>
    <x v="0"/>
    <s v="pagado"/>
    <s v="pagado"/>
    <x v="0"/>
    <x v="0"/>
  </r>
  <r>
    <n v="3000000749"/>
    <d v="2025-06-17T00:00:00"/>
    <n v="500000"/>
    <s v="Laborda Carlos SAN MIGUEL DE TUCUMAN 14"/>
    <x v="405"/>
    <n v="500000"/>
    <x v="42"/>
    <x v="0"/>
    <s v="pagado"/>
    <s v="pagado"/>
    <x v="0"/>
    <x v="0"/>
  </r>
  <r>
    <n v="3000000749"/>
    <d v="2025-06-17T00:00:00"/>
    <n v="500000"/>
    <s v="Laborda Carlos SAN MIGUEL DE TUCUMAN 14"/>
    <x v="406"/>
    <n v="500000"/>
    <x v="42"/>
    <x v="0"/>
    <s v="pagado"/>
    <s v="pagado"/>
    <x v="0"/>
    <x v="0"/>
  </r>
  <r>
    <n v="3000000749"/>
    <d v="2025-06-17T00:00:00"/>
    <n v="500000"/>
    <s v="Laborda Carlos SAN MIGUEL DE TUCUMAN 14"/>
    <x v="407"/>
    <n v="500000"/>
    <x v="42"/>
    <x v="0"/>
    <s v="pagado"/>
    <s v="pagado"/>
    <x v="0"/>
    <x v="0"/>
  </r>
  <r>
    <n v="1200000857"/>
    <d v="2025-06-17T00:00:00"/>
    <n v="9496520.3100000005"/>
    <s v="Cheque de terceros TUCUMAN"/>
    <x v="408"/>
    <n v="9496520.3100000005"/>
    <x v="72"/>
    <x v="1"/>
    <s v="pagado"/>
    <s v="pagado"/>
    <x v="0"/>
    <x v="0"/>
  </r>
  <r>
    <n v="1200000857"/>
    <d v="2025-06-17T00:00:00"/>
    <n v="7606970.3899999997"/>
    <s v="Cheque de terceros TUCUMAN"/>
    <x v="409"/>
    <n v="7606970.3899999997"/>
    <x v="72"/>
    <x v="1"/>
    <s v="pagado"/>
    <s v="pagado"/>
    <x v="0"/>
    <x v="0"/>
  </r>
  <r>
    <n v="1200000857"/>
    <d v="2025-06-17T00:00:00"/>
    <n v="3928252.45"/>
    <s v="Cheque de terceros TUCUMAN"/>
    <x v="410"/>
    <n v="3928252.45"/>
    <x v="72"/>
    <x v="1"/>
    <s v="pagado"/>
    <s v="pagado"/>
    <x v="0"/>
    <x v="0"/>
  </r>
  <r>
    <n v="1200000857"/>
    <d v="2025-06-17T00:00:00"/>
    <n v="2374540.14"/>
    <s v="Cheque de terceros TUCUMAN"/>
    <x v="411"/>
    <n v="2374540.14"/>
    <x v="72"/>
    <x v="1"/>
    <s v="pagado"/>
    <s v="pagado"/>
    <x v="0"/>
    <x v="0"/>
  </r>
  <r>
    <n v="3000000853"/>
    <d v="2025-06-17T00:00:00"/>
    <n v="5257227.2300000004"/>
    <s v="Marchese Grandi Meson y Asoc SAN MIGUEL DE TUCUMAN 14"/>
    <x v="412"/>
    <n v="5257227.2300000004"/>
    <x v="72"/>
    <x v="1"/>
    <s v="pagado"/>
    <s v="pagado"/>
    <x v="0"/>
    <x v="0"/>
  </r>
  <r>
    <n v="3000000854"/>
    <d v="2025-06-17T00:00:00"/>
    <n v="3833259.1"/>
    <s v="COMBUSTIBLES DEL NORTE S.A. LAS LAJITAS 09"/>
    <x v="413"/>
    <n v="3833259.1"/>
    <x v="70"/>
    <x v="1"/>
    <s v="pagado"/>
    <s v="pagado"/>
    <x v="0"/>
    <x v="0"/>
  </r>
  <r>
    <n v="3000000855"/>
    <d v="2025-06-17T00:00:00"/>
    <n v="4287243.5999999996"/>
    <s v="YOMEL S.A. 9 de Julio 01"/>
    <x v="414"/>
    <n v="4287243.5999999996"/>
    <x v="72"/>
    <x v="1"/>
    <s v="pagado"/>
    <s v="pagado"/>
    <x v="0"/>
    <x v="0"/>
  </r>
  <r>
    <n v="3000000856"/>
    <d v="2025-06-17T00:00:00"/>
    <n v="7822851.8799999999"/>
    <s v="AYALA WALTER DANIEL ALDERETES 14"/>
    <x v="415"/>
    <n v="7822851.8799999999"/>
    <x v="72"/>
    <x v="1"/>
    <s v="pagado"/>
    <s v="pagado"/>
    <x v="0"/>
    <x v="0"/>
  </r>
  <r>
    <n v="3000000868"/>
    <d v="2025-06-23T00:00:00"/>
    <n v="20000000"/>
    <s v="AYALA WALTER DANIEL ALDERETES 14"/>
    <x v="416"/>
    <n v="20000000"/>
    <x v="73"/>
    <x v="1"/>
    <s v="pagado"/>
    <s v="pagado"/>
    <x v="0"/>
    <x v="0"/>
  </r>
  <r>
    <n v="3000000868"/>
    <d v="2025-06-23T00:00:00"/>
    <n v="21192190.829999998"/>
    <s v="AYALA WALTER DANIEL ALDERETES 14"/>
    <x v="417"/>
    <n v="21192190.829999998"/>
    <x v="74"/>
    <x v="1"/>
    <s v="pagado"/>
    <s v="pagado"/>
    <x v="0"/>
    <x v="0"/>
  </r>
  <r>
    <n v="3000000871"/>
    <d v="2025-06-23T00:00:00"/>
    <n v="8000000"/>
    <s v="Pulmajo S.R.L. CONCEPCION 14"/>
    <x v="418"/>
    <n v="8000000"/>
    <x v="73"/>
    <x v="1"/>
    <s v="pagado"/>
    <s v="pagado"/>
    <x v="0"/>
    <x v="0"/>
  </r>
  <r>
    <n v="3000000871"/>
    <d v="2025-06-23T00:00:00"/>
    <n v="8000000"/>
    <s v="Pulmajo S.R.L. CONCEPCION 14"/>
    <x v="419"/>
    <n v="8000000"/>
    <x v="73"/>
    <x v="1"/>
    <s v="pagado"/>
    <s v="pagado"/>
    <x v="0"/>
    <x v="0"/>
  </r>
  <r>
    <n v="3000000871"/>
    <d v="2025-06-23T00:00:00"/>
    <n v="7041816.9000000004"/>
    <s v="Pulmajo S.R.L. CONCEPCION 14"/>
    <x v="420"/>
    <n v="7041816.9000000004"/>
    <x v="74"/>
    <x v="1"/>
    <s v="pagado"/>
    <s v="pagado"/>
    <x v="0"/>
    <x v="0"/>
  </r>
  <r>
    <n v="3000000863"/>
    <d v="2025-06-23T00:00:00"/>
    <n v="8993594.9000000004"/>
    <s v="FANTINI-LOPEZ EL CALDEN AGROS JESUS MARIA 14"/>
    <x v="421"/>
    <n v="8993594.9000000004"/>
    <x v="75"/>
    <x v="1"/>
    <s v="pagado"/>
    <s v="pagado"/>
    <x v="0"/>
    <x v="0"/>
  </r>
  <r>
    <n v="3000000864"/>
    <d v="2025-06-23T00:00:00"/>
    <n v="11145836.800000001"/>
    <s v="VERON MARIANA BEATRIZ NUEVA ESPERANZA 13"/>
    <x v="422"/>
    <n v="11145836.800000001"/>
    <x v="75"/>
    <x v="1"/>
    <s v="pagado"/>
    <s v="pagado"/>
    <x v="0"/>
    <x v="0"/>
  </r>
  <r>
    <n v="3000000865"/>
    <d v="2025-06-23T00:00:00"/>
    <n v="4814492.37"/>
    <s v="GARCIA JORGE LUIS METAN 09"/>
    <x v="423"/>
    <n v="4814492.37"/>
    <x v="75"/>
    <x v="1"/>
    <s v="pagado"/>
    <s v="pagado"/>
    <x v="0"/>
    <x v="0"/>
  </r>
  <r>
    <n v="3000000866"/>
    <d v="2025-06-23T00:00:00"/>
    <n v="12829097.619999999"/>
    <s v="Ventimiglia Nelly Irma Jesus Maria 03"/>
    <x v="424"/>
    <n v="12829097.619999999"/>
    <x v="73"/>
    <x v="1"/>
    <s v="pagado"/>
    <s v="pagado"/>
    <x v="0"/>
    <x v="0"/>
  </r>
  <r>
    <n v="3000000867"/>
    <d v="2025-06-23T00:00:00"/>
    <n v="5180962.74"/>
    <s v="Medina Lauro Jose Las Cejas 14"/>
    <x v="425"/>
    <n v="5180962.74"/>
    <x v="73"/>
    <x v="1"/>
    <s v="pagado"/>
    <s v="pagado"/>
    <x v="0"/>
    <x v="0"/>
  </r>
  <r>
    <n v="3000000869"/>
    <d v="2025-06-23T00:00:00"/>
    <n v="5939823.7999999998"/>
    <s v="AYALA HERNAN OSVALDO SAN MIGUEL DE TUCUMAN 14"/>
    <x v="426"/>
    <n v="5939823.7999999998"/>
    <x v="73"/>
    <x v="1"/>
    <s v="pagado"/>
    <s v="pagado"/>
    <x v="0"/>
    <x v="0"/>
  </r>
  <r>
    <n v="3000000870"/>
    <d v="2025-06-23T00:00:00"/>
    <n v="6796200.9199999999"/>
    <s v="GRUPO MARGEN DEL NOA SA YERBA BUENA 14"/>
    <x v="427"/>
    <n v="6796200.9199999999"/>
    <x v="73"/>
    <x v="1"/>
    <s v="pagado"/>
    <s v="pagado"/>
    <x v="0"/>
    <x v="0"/>
  </r>
  <r>
    <n v="3000000890"/>
    <d v="2025-06-25T00:00:00"/>
    <n v="20000000"/>
    <s v="JAVIER EDUARDO PRADO FLORIDA 13"/>
    <x v="428"/>
    <n v="20000000"/>
    <x v="76"/>
    <x v="1"/>
    <s v="pagado"/>
    <s v="pagado"/>
    <x v="0"/>
    <x v="0"/>
  </r>
  <r>
    <n v="3000000890"/>
    <d v="2025-06-25T00:00:00"/>
    <n v="17457675.149999999"/>
    <s v="JAVIER EDUARDO PRADO FLORIDA 13"/>
    <x v="429"/>
    <n v="17457675.149999999"/>
    <x v="77"/>
    <x v="1"/>
    <s v="pagado"/>
    <s v="pagado"/>
    <x v="0"/>
    <x v="0"/>
  </r>
  <r>
    <n v="3000000892"/>
    <d v="2025-06-25T00:00:00"/>
    <n v="20000000"/>
    <s v="LAVENIA VITO CARMELO LASTENIA 14"/>
    <x v="430"/>
    <n v="20000000"/>
    <x v="76"/>
    <x v="1"/>
    <s v="pagado"/>
    <s v="pagado"/>
    <x v="0"/>
    <x v="0"/>
  </r>
  <r>
    <n v="3000000892"/>
    <d v="2025-06-25T00:00:00"/>
    <n v="21178447.57"/>
    <s v="LAVENIA VITO CARMELO LASTENIA 14"/>
    <x v="431"/>
    <n v="21178447.57"/>
    <x v="77"/>
    <x v="1"/>
    <s v="pagado"/>
    <s v="pagado"/>
    <x v="0"/>
    <x v="0"/>
  </r>
  <r>
    <n v="3000000887"/>
    <d v="2025-06-25T00:00:00"/>
    <n v="11824089.029999999"/>
    <s v="BUSTOS EXEQUIEL ANTONIO BANDA DEL RIO SALI 14"/>
    <x v="432"/>
    <n v="11824089.029999999"/>
    <x v="76"/>
    <x v="1"/>
    <s v="pagado"/>
    <s v="pagado"/>
    <x v="0"/>
    <x v="0"/>
  </r>
  <r>
    <n v="3000000888"/>
    <d v="2025-06-25T00:00:00"/>
    <n v="7190472.1900000004"/>
    <s v="LOGISTICA CENTRO S.R.L CORONDA 12"/>
    <x v="433"/>
    <n v="7190472.1900000004"/>
    <x v="76"/>
    <x v="1"/>
    <s v="pagado"/>
    <s v="pagado"/>
    <x v="0"/>
    <x v="0"/>
  </r>
  <r>
    <n v="3000000889"/>
    <d v="2025-06-25T00:00:00"/>
    <n v="13724424.23"/>
    <s v="TRANSPORTE BARBERAN HNOS SRL CHABAS 12"/>
    <x v="434"/>
    <n v="13724424.23"/>
    <x v="76"/>
    <x v="1"/>
    <s v="pagado"/>
    <s v="pagado"/>
    <x v="0"/>
    <x v="0"/>
  </r>
  <r>
    <n v="3000000891"/>
    <d v="2025-06-25T00:00:00"/>
    <n v="5559576.6200000001"/>
    <s v="ABUT TRANSPORTES SA CENTENO 12"/>
    <x v="435"/>
    <n v="5559576.6200000001"/>
    <x v="76"/>
    <x v="1"/>
    <s v="pagado"/>
    <s v="pagado"/>
    <x v="0"/>
    <x v="0"/>
  </r>
  <r>
    <n v="3000000893"/>
    <d v="2025-06-25T00:00:00"/>
    <n v="10632112.869999999"/>
    <s v="BUSTOS CESAR ANIBAL BANDAL DE RIO SALI 14"/>
    <x v="436"/>
    <n v="10632112.869999999"/>
    <x v="76"/>
    <x v="1"/>
    <s v="pagado"/>
    <s v="pagado"/>
    <x v="0"/>
    <x v="0"/>
  </r>
  <r>
    <n v="3000000894"/>
    <d v="2025-06-25T00:00:00"/>
    <n v="2915331.01"/>
    <s v="WILLIAMS LOGISTICA SA CIUDAD AUTONOMA BUENOS AIRES 00"/>
    <x v="437"/>
    <n v="2915331.01"/>
    <x v="76"/>
    <x v="1"/>
    <s v="pagado"/>
    <s v="pagado"/>
    <x v="0"/>
    <x v="0"/>
  </r>
  <r>
    <n v="3000000901"/>
    <d v="2025-07-01T00:00:00"/>
    <n v="10000000"/>
    <s v="AGROQUIMICA ALBERDI S.R.L. CONCEPCION 14"/>
    <x v="438"/>
    <n v="10000000"/>
    <x v="78"/>
    <x v="1"/>
    <s v="pagado"/>
    <s v="pagado"/>
    <x v="0"/>
    <x v="0"/>
  </r>
  <r>
    <n v="3000000901"/>
    <d v="2025-07-01T00:00:00"/>
    <n v="9996863.8100000005"/>
    <s v="AGROQUIMICA ALBERDI S.R.L. CONCEPCION 14"/>
    <x v="439"/>
    <n v="9996863.8100000005"/>
    <x v="79"/>
    <x v="1"/>
    <s v="pagado"/>
    <s v="pagado"/>
    <x v="0"/>
    <x v="0"/>
  </r>
  <r>
    <n v="3000000902"/>
    <d v="2025-07-01T00:00:00"/>
    <n v="12120815.51"/>
    <s v="ROMAN BARCELO Y JORGE CARRERASLAS LAJITAS 09"/>
    <x v="440"/>
    <n v="12120815.51"/>
    <x v="79"/>
    <x v="1"/>
    <s v="pagado"/>
    <s v="pagado"/>
    <x v="0"/>
    <x v="0"/>
  </r>
  <r>
    <n v="3000000903"/>
    <d v="2025-07-01T00:00:00"/>
    <n v="7551342.5999999996"/>
    <s v="VERON MARIANA BEATRIZ NUEVA ESPERANZA 13"/>
    <x v="441"/>
    <n v="7551342.5999999996"/>
    <x v="78"/>
    <x v="1"/>
    <s v="pagado"/>
    <s v="pagado"/>
    <x v="0"/>
    <x v="0"/>
  </r>
  <r>
    <n v="3000000904"/>
    <d v="2025-07-01T00:00:00"/>
    <n v="8565013.9000000004"/>
    <s v="Medina Lauro Jose Las Cejas 14"/>
    <x v="442"/>
    <n v="8565013.9000000004"/>
    <x v="78"/>
    <x v="1"/>
    <s v="pagado"/>
    <s v="pagado"/>
    <x v="0"/>
    <x v="0"/>
  </r>
  <r>
    <n v="3000000905"/>
    <d v="2025-07-01T00:00:00"/>
    <n v="1769343.4"/>
    <s v="CAFELI S.R.L. SAN MIGUEL DE TUCUMAN 14"/>
    <x v="443"/>
    <n v="1769343.4"/>
    <x v="78"/>
    <x v="1"/>
    <s v="pagado"/>
    <s v="pagado"/>
    <x v="0"/>
    <x v="0"/>
  </r>
  <r>
    <n v="3000000906"/>
    <d v="2025-07-01T00:00:00"/>
    <n v="9000000"/>
    <s v="RODRIGUEZ NESTOR HORACIO YERBA BUENA 14"/>
    <x v="444"/>
    <n v="9000000"/>
    <x v="78"/>
    <x v="1"/>
    <s v="pagado"/>
    <s v="pagado"/>
    <x v="0"/>
    <x v="0"/>
  </r>
  <r>
    <n v="3000000906"/>
    <d v="2025-07-01T00:00:00"/>
    <n v="8891883.4499999993"/>
    <s v="RODRIGUEZ NESTOR HORACIO YERBA BUENA 14"/>
    <x v="445"/>
    <n v="8891883.4499999993"/>
    <x v="79"/>
    <x v="1"/>
    <s v="pagado"/>
    <s v="pagado"/>
    <x v="0"/>
    <x v="0"/>
  </r>
  <r>
    <n v="3000000907"/>
    <d v="2025-07-01T00:00:00"/>
    <n v="5000000"/>
    <s v="Pulmajo S.R.L. CONCEPCION 14"/>
    <x v="446"/>
    <n v="5000000"/>
    <x v="78"/>
    <x v="1"/>
    <s v="pagado"/>
    <s v="pagado"/>
    <x v="0"/>
    <x v="0"/>
  </r>
  <r>
    <n v="3000000907"/>
    <d v="2025-07-01T00:00:00"/>
    <n v="5914278.4000000004"/>
    <s v="Pulmajo S.R.L. CONCEPCION 14"/>
    <x v="447"/>
    <n v="5914278.4000000004"/>
    <x v="79"/>
    <x v="1"/>
    <s v="pagado"/>
    <s v="pagado"/>
    <x v="0"/>
    <x v="0"/>
  </r>
  <r>
    <n v="3000000908"/>
    <d v="2025-07-01T00:00:00"/>
    <n v="5519368.6399999997"/>
    <s v="SAN LORENZO CEREALES S.R.L SAN LORENZO 12"/>
    <x v="448"/>
    <n v="5519368.6399999997"/>
    <x v="78"/>
    <x v="1"/>
    <s v="pagado"/>
    <s v="pagado"/>
    <x v="0"/>
    <x v="0"/>
  </r>
  <r>
    <n v="3000000909"/>
    <d v="2025-07-01T00:00:00"/>
    <n v="12000000"/>
    <s v="TRANSPORTE Y LOGISTICA DEL ESTLAS CEJAS 14"/>
    <x v="449"/>
    <n v="12000000"/>
    <x v="78"/>
    <x v="1"/>
    <s v="pagado"/>
    <s v="pagado"/>
    <x v="0"/>
    <x v="0"/>
  </r>
  <r>
    <n v="3000000909"/>
    <d v="2025-07-01T00:00:00"/>
    <n v="11818996.720000001"/>
    <s v="TRANSPORTE Y LOGISTICA DEL ESTLAS CEJAS 14"/>
    <x v="450"/>
    <n v="11818996.720000001"/>
    <x v="79"/>
    <x v="1"/>
    <s v="pagado"/>
    <s v="pagado"/>
    <x v="0"/>
    <x v="0"/>
  </r>
  <r>
    <n v="3000000910"/>
    <d v="2025-07-01T00:00:00"/>
    <n v="14438937.970000001"/>
    <s v="ANTONACCI LUIS GABRIEL LA FLORIDA 14"/>
    <x v="451"/>
    <n v="14438937.970000001"/>
    <x v="79"/>
    <x v="1"/>
    <s v="pagado"/>
    <s v="pagado"/>
    <x v="0"/>
    <x v="0"/>
  </r>
  <r>
    <n v="3000000911"/>
    <d v="2025-07-01T00:00:00"/>
    <n v="10000000"/>
    <s v="LANGELLA JUAN RODOLFO ALDERETES 14"/>
    <x v="452"/>
    <n v="10000000"/>
    <x v="78"/>
    <x v="1"/>
    <s v="pagado"/>
    <s v="pagado"/>
    <x v="0"/>
    <x v="0"/>
  </r>
  <r>
    <n v="3000000911"/>
    <d v="2025-07-01T00:00:00"/>
    <n v="11004621.82"/>
    <s v="LANGELLA JUAN RODOLFO ALDERETES 14"/>
    <x v="453"/>
    <n v="11004621.82"/>
    <x v="79"/>
    <x v="1"/>
    <s v="pagado"/>
    <s v="pagado"/>
    <x v="0"/>
    <x v="0"/>
  </r>
  <r>
    <n v="3000000912"/>
    <d v="2025-07-01T00:00:00"/>
    <n v="3820656.17"/>
    <s v="PAIS WALTER LUIS SAN MIGUEL DE TUCUMAN 14"/>
    <x v="454"/>
    <n v="3820656.17"/>
    <x v="78"/>
    <x v="1"/>
    <s v="pagado"/>
    <s v="pagado"/>
    <x v="0"/>
    <x v="0"/>
  </r>
  <r>
    <n v="3000000913"/>
    <d v="2025-07-01T00:00:00"/>
    <n v="8000000"/>
    <s v="ARAGON CARLOS DANIEL LA BANDA 13"/>
    <x v="455"/>
    <n v="8000000"/>
    <x v="78"/>
    <x v="1"/>
    <s v="pagado"/>
    <s v="pagado"/>
    <x v="0"/>
    <x v="0"/>
  </r>
  <r>
    <n v="3000000913"/>
    <d v="2025-07-01T00:00:00"/>
    <n v="8485167.9199999999"/>
    <s v="ARAGON CARLOS DANIEL LA BANDA 13"/>
    <x v="456"/>
    <n v="8485167.9199999999"/>
    <x v="79"/>
    <x v="1"/>
    <s v="pagado"/>
    <s v="pagado"/>
    <x v="0"/>
    <x v="0"/>
  </r>
  <r>
    <n v="3000000914"/>
    <d v="2025-07-01T00:00:00"/>
    <n v="10000000"/>
    <s v="LOGISTICA DEL NORTE S.R.L. SAN MIGUEL DE TUCUMAN 14"/>
    <x v="457"/>
    <n v="10000000"/>
    <x v="78"/>
    <x v="1"/>
    <s v="pagado"/>
    <s v="pagado"/>
    <x v="0"/>
    <x v="0"/>
  </r>
  <r>
    <n v="3000000914"/>
    <d v="2025-07-01T00:00:00"/>
    <n v="11100726.050000001"/>
    <s v="LOGISTICA DEL NORTE S.R.L. SAN MIGUEL DE TUCUMAN 14"/>
    <x v="458"/>
    <n v="11100726.050000001"/>
    <x v="79"/>
    <x v="1"/>
    <s v="pagado"/>
    <s v="pagado"/>
    <x v="0"/>
    <x v="0"/>
  </r>
  <r>
    <n v="3000000915"/>
    <d v="2025-07-01T00:00:00"/>
    <n v="6887405.2800000003"/>
    <s v="TRANSPORTE GLOBAL SAS SAN MIGUEL DE TUCUMAN 14"/>
    <x v="459"/>
    <n v="6887405.2800000003"/>
    <x v="78"/>
    <x v="1"/>
    <s v="pagado"/>
    <s v="pagado"/>
    <x v="0"/>
    <x v="0"/>
  </r>
  <r>
    <n v="3000000916"/>
    <d v="2025-07-01T00:00:00"/>
    <n v="10000000"/>
    <s v="DE CIA GALFRASCOLI PIERO FABIOQUIMILI 13"/>
    <x v="460"/>
    <n v="10000000"/>
    <x v="78"/>
    <x v="1"/>
    <s v="pagado"/>
    <s v="pagado"/>
    <x v="0"/>
    <x v="0"/>
  </r>
  <r>
    <n v="3000000916"/>
    <d v="2025-07-01T00:00:00"/>
    <n v="11938647.01"/>
    <s v="DE CIA GALFRASCOLI PIERO FABIOQUIMILI 13"/>
    <x v="461"/>
    <n v="11938647.01"/>
    <x v="79"/>
    <x v="1"/>
    <s v="pagado"/>
    <s v="pagado"/>
    <x v="0"/>
    <x v="0"/>
  </r>
  <r>
    <n v="3000000917"/>
    <d v="2025-07-01T00:00:00"/>
    <n v="14000000"/>
    <s v="TRANSPORTE LUIS SANDOVAL S.A.SLOS VALLISTOS 14"/>
    <x v="462"/>
    <n v="14000000"/>
    <x v="78"/>
    <x v="1"/>
    <s v="pagado"/>
    <s v="pagado"/>
    <x v="0"/>
    <x v="0"/>
  </r>
  <r>
    <n v="3000000917"/>
    <d v="2025-07-01T00:00:00"/>
    <n v="13942842.789999999"/>
    <s v="TRANSPORTE LUIS SANDOVAL S.A.SLOS VALLISTOS 14"/>
    <x v="463"/>
    <n v="13942842.789999999"/>
    <x v="79"/>
    <x v="1"/>
    <s v="pagado"/>
    <s v="pagado"/>
    <x v="0"/>
    <x v="0"/>
  </r>
  <r>
    <n v="3000000918"/>
    <d v="2025-07-01T00:00:00"/>
    <n v="26059801.82"/>
    <s v="MOYANO SERGIO ESTEBAN BANDA DEL RIO SALI 14"/>
    <x v="464"/>
    <n v="26059801.82"/>
    <x v="78"/>
    <x v="1"/>
    <s v="pagado"/>
    <s v="pagado"/>
    <x v="0"/>
    <x v="0"/>
  </r>
  <r>
    <n v="3000000931"/>
    <d v="2025-07-03T00:00:00"/>
    <n v="1054529.3600000001"/>
    <s v="SURIAGRO SRL SAN MIGUEL DE TUCUMAN 14"/>
    <x v="465"/>
    <n v="1054529.3600000001"/>
    <x v="80"/>
    <x v="1"/>
    <s v="pagado"/>
    <s v="pagado"/>
    <x v="0"/>
    <x v="0"/>
  </r>
  <r>
    <n v="3000000930"/>
    <d v="2025-07-03T00:00:00"/>
    <n v="6789197.2300000004"/>
    <s v="AGROTRANSPORTE ALDAO S.A. CAMILO ALDAO 03"/>
    <x v="466"/>
    <n v="6789197.2300000004"/>
    <x v="80"/>
    <x v="1"/>
    <s v="pagado"/>
    <s v="pagado"/>
    <x v="0"/>
    <x v="0"/>
  </r>
  <r>
    <n v="3000000928"/>
    <d v="2025-07-03T00:00:00"/>
    <n v="357280.18"/>
    <s v="GOMEZ JOSE PATRICIO SAN MIGUEL DE TUCUMAN 14"/>
    <x v="467"/>
    <n v="357280.18"/>
    <x v="80"/>
    <x v="1"/>
    <s v="pagado"/>
    <s v="pagado"/>
    <x v="0"/>
    <x v="0"/>
  </r>
  <r>
    <n v="3000000929"/>
    <d v="2025-07-03T00:00:00"/>
    <n v="1749284.96"/>
    <s v="CAMPOSTRINI S R L VILLAGUAY 05"/>
    <x v="468"/>
    <n v="1749284.96"/>
    <x v="80"/>
    <x v="1"/>
    <s v="pagado"/>
    <s v="pagado"/>
    <x v="0"/>
    <x v="0"/>
  </r>
  <r>
    <n v="3000000932"/>
    <d v="2025-07-03T00:00:00"/>
    <n v="7172756.8700000001"/>
    <s v="RUIZ CRISTIAN ALEJANDRO . LA FLORIDA 14"/>
    <x v="469"/>
    <n v="7172756.8700000001"/>
    <x v="80"/>
    <x v="1"/>
    <s v="pagado"/>
    <s v="pagado"/>
    <x v="0"/>
    <x v="0"/>
  </r>
  <r>
    <n v="3000000933"/>
    <d v="2025-07-03T00:00:00"/>
    <n v="4321108.0199999996"/>
    <s v="TRANSPORTE RAUL S.R.L SAN MIGUEL DE TUCUMAN 14"/>
    <x v="470"/>
    <n v="4321108.0199999996"/>
    <x v="80"/>
    <x v="1"/>
    <s v="pagado"/>
    <s v="pagado"/>
    <x v="0"/>
    <x v="0"/>
  </r>
  <r>
    <n v="3000000943"/>
    <d v="2025-07-08T00:00:00"/>
    <n v="17231257.559999999"/>
    <s v="Suarez Elio Hernan Los altos 02"/>
    <x v="471"/>
    <n v="17231257.559999999"/>
    <x v="81"/>
    <x v="1"/>
    <s v="pagado"/>
    <s v="pagado"/>
    <x v="0"/>
    <x v="0"/>
  </r>
  <r>
    <n v="3000000959"/>
    <d v="2025-07-10T00:00:00"/>
    <n v="13000000"/>
    <s v="MOLINA JUAN F. Y MOLINA ROQUE Lastenia 14"/>
    <x v="472"/>
    <n v="13000000"/>
    <x v="82"/>
    <x v="1"/>
    <s v="pagado"/>
    <s v="pagado"/>
    <x v="0"/>
    <x v="0"/>
  </r>
  <r>
    <n v="3000000959"/>
    <d v="2025-07-10T00:00:00"/>
    <n v="13088899.279999999"/>
    <s v="MOLINA JUAN F. Y MOLINA ROQUE Lastenia 14"/>
    <x v="473"/>
    <n v="13088899.279999999"/>
    <x v="82"/>
    <x v="1"/>
    <s v="pagado"/>
    <s v="pagado"/>
    <x v="0"/>
    <x v="0"/>
  </r>
  <r>
    <n v="3000000960"/>
    <d v="2025-07-10T00:00:00"/>
    <n v="15000000"/>
    <s v="LOGISTICA CENTRO S.R.L CORONDA 12"/>
    <x v="474"/>
    <n v="15000000"/>
    <x v="82"/>
    <x v="1"/>
    <s v="pagado"/>
    <s v="pagado"/>
    <x v="0"/>
    <x v="0"/>
  </r>
  <r>
    <n v="3000000960"/>
    <d v="2025-07-10T00:00:00"/>
    <n v="16686869.109999999"/>
    <s v="LOGISTICA CENTRO S.R.L CORONDA 12"/>
    <x v="475"/>
    <n v="16686869.109999999"/>
    <x v="83"/>
    <x v="1"/>
    <s v="pagado"/>
    <s v="pagado"/>
    <x v="0"/>
    <x v="0"/>
  </r>
  <r>
    <n v="3000000961"/>
    <d v="2025-07-10T00:00:00"/>
    <n v="30000000"/>
    <s v="TRANSPORTE BARBERAN HNOS SRL CHABAS 12"/>
    <x v="476"/>
    <n v="30000000"/>
    <x v="82"/>
    <x v="1"/>
    <s v="pagado"/>
    <s v="pagado"/>
    <x v="0"/>
    <x v="0"/>
  </r>
  <r>
    <n v="3000000961"/>
    <d v="2025-07-10T00:00:00"/>
    <n v="27062480.219999999"/>
    <s v="TRANSPORTE BARBERAN HNOS SRL CHABAS 12"/>
    <x v="477"/>
    <n v="27062480.219999999"/>
    <x v="83"/>
    <x v="1"/>
    <s v="pagado"/>
    <s v="pagado"/>
    <x v="0"/>
    <x v="0"/>
  </r>
  <r>
    <n v="3000000962"/>
    <d v="2025-07-10T00:00:00"/>
    <n v="4922462.93"/>
    <s v="BUSTOS CESAR ANIBAL BANDAL DE RIO SALI 14"/>
    <x v="478"/>
    <n v="4922462.93"/>
    <x v="82"/>
    <x v="1"/>
    <s v="pagado"/>
    <s v="pagado"/>
    <x v="0"/>
    <x v="0"/>
  </r>
  <r>
    <n v="3000000963"/>
    <d v="2025-07-10T00:00:00"/>
    <n v="18000000"/>
    <s v="DANIEL MARCELO GUERRERO ALDERETES 14"/>
    <x v="479"/>
    <n v="18000000"/>
    <x v="82"/>
    <x v="1"/>
    <s v="pagado"/>
    <s v="pagado"/>
    <x v="0"/>
    <x v="0"/>
  </r>
  <r>
    <n v="3000000963"/>
    <d v="2025-07-10T00:00:00"/>
    <n v="15826982.65"/>
    <s v="DANIEL MARCELO GUERRERO ALDERETES 14"/>
    <x v="480"/>
    <n v="15826982.65"/>
    <x v="83"/>
    <x v="1"/>
    <s v="pagado"/>
    <s v="pagado"/>
    <x v="0"/>
    <x v="0"/>
  </r>
  <r>
    <n v="3000000964"/>
    <d v="2025-07-10T00:00:00"/>
    <n v="15000000"/>
    <s v="LAVENIA VITO CARMELO LASTENIA 14"/>
    <x v="481"/>
    <n v="15000000"/>
    <x v="82"/>
    <x v="1"/>
    <s v="pagado"/>
    <s v="pagado"/>
    <x v="0"/>
    <x v="0"/>
  </r>
  <r>
    <n v="3000000964"/>
    <d v="2025-07-10T00:00:00"/>
    <n v="11746300.390000001"/>
    <s v="LAVENIA VITO CARMELO LASTENIA 14"/>
    <x v="482"/>
    <n v="11746300.390000001"/>
    <x v="83"/>
    <x v="1"/>
    <s v="pagado"/>
    <s v="pagado"/>
    <x v="0"/>
    <x v="0"/>
  </r>
  <r>
    <n v="3000000965"/>
    <d v="2025-07-10T00:00:00"/>
    <n v="3913230.15"/>
    <s v="PAIS WALTER LUIS SAN MIGUEL DE TUCUMAN 14"/>
    <x v="483"/>
    <n v="3913230.15"/>
    <x v="82"/>
    <x v="1"/>
    <s v="pagado"/>
    <s v="pagado"/>
    <x v="0"/>
    <x v="0"/>
  </r>
  <r>
    <n v="3000000966"/>
    <d v="2025-07-10T00:00:00"/>
    <n v="11749044.039999999"/>
    <s v="ANTONACCI LUIS GABRIEL LA FLORIDA 14"/>
    <x v="484"/>
    <n v="11749044.039999999"/>
    <x v="82"/>
    <x v="1"/>
    <s v="pagado"/>
    <s v="pagado"/>
    <x v="0"/>
    <x v="0"/>
  </r>
  <r>
    <n v="3000000967"/>
    <d v="2025-07-10T00:00:00"/>
    <n v="5505277.5"/>
    <s v="AGROTRANSPORTE ALDAO S.A. CAMILO ALDAO 03"/>
    <x v="485"/>
    <n v="5505277.5"/>
    <x v="82"/>
    <x v="1"/>
    <s v="pagado"/>
    <s v="pagado"/>
    <x v="0"/>
    <x v="0"/>
  </r>
  <r>
    <n v="3000000968"/>
    <d v="2025-07-10T00:00:00"/>
    <n v="3109007.99"/>
    <s v="GUIFFREY MARCELO GUSTAVO VILLA ELISA 05"/>
    <x v="486"/>
    <n v="3109007.99"/>
    <x v="82"/>
    <x v="1"/>
    <s v="pagado"/>
    <s v="pagado"/>
    <x v="0"/>
    <x v="0"/>
  </r>
  <r>
    <n v="3000000974"/>
    <d v="2025-07-11T00:00:00"/>
    <n v="19199000"/>
    <s v="EDET S.A. SAN MIGUEL DE TUCUMAN 14"/>
    <x v="487"/>
    <n v="19199000"/>
    <x v="81"/>
    <x v="1"/>
    <s v="pagado"/>
    <s v="pagado"/>
    <x v="0"/>
    <x v="0"/>
  </r>
  <r>
    <n v="3000000977"/>
    <d v="2025-07-14T00:00:00"/>
    <n v="4250225.53"/>
    <s v="TRANSPORTE Y LOGISTICA DEL ESTLAS CEJAS 14"/>
    <x v="488"/>
    <n v="4250225.53"/>
    <x v="84"/>
    <x v="1"/>
    <s v="pagado"/>
    <s v="pagado"/>
    <x v="0"/>
    <x v="0"/>
  </r>
  <r>
    <n v="3000000978"/>
    <d v="2025-07-14T00:00:00"/>
    <n v="6411894.8600000003"/>
    <s v="TRANSPORTE GLOBAL SAS SAN MIGUEL DE TUCUMAN 14"/>
    <x v="489"/>
    <n v="6411894.8600000003"/>
    <x v="84"/>
    <x v="1"/>
    <s v="pagado"/>
    <s v="pagado"/>
    <x v="0"/>
    <x v="0"/>
  </r>
  <r>
    <n v="3000000979"/>
    <d v="2025-07-14T00:00:00"/>
    <n v="10184573.710000001"/>
    <s v="ELIAS LUCIANO EMANUEL LAS TALITAS 14"/>
    <x v="490"/>
    <n v="10184573.710000001"/>
    <x v="84"/>
    <x v="1"/>
    <s v="pagado"/>
    <s v="pagado"/>
    <x v="0"/>
    <x v="0"/>
  </r>
  <r>
    <n v="3000000980"/>
    <d v="2025-07-14T00:00:00"/>
    <n v="6784045.9500000002"/>
    <s v="RODRIGUEZ NESTOR HORACIO YERBA BUENA 14"/>
    <x v="491"/>
    <n v="6784045.9500000002"/>
    <x v="84"/>
    <x v="1"/>
    <s v="pagado"/>
    <s v="pagado"/>
    <x v="0"/>
    <x v="0"/>
  </r>
  <r>
    <n v="3000000981"/>
    <d v="2025-07-14T00:00:00"/>
    <n v="6000000"/>
    <s v="Pulmajo S.R.L. CONCEPCION 14"/>
    <x v="492"/>
    <n v="6000000"/>
    <x v="84"/>
    <x v="1"/>
    <s v="pagado"/>
    <s v="pagado"/>
    <x v="0"/>
    <x v="0"/>
  </r>
  <r>
    <n v="3000000981"/>
    <d v="2025-07-14T00:00:00"/>
    <n v="5880166.0999999996"/>
    <s v="Pulmajo S.R.L. CONCEPCION 14"/>
    <x v="493"/>
    <n v="5880166.0999999996"/>
    <x v="85"/>
    <x v="1"/>
    <s v="pagado"/>
    <s v="pagado"/>
    <x v="0"/>
    <x v="0"/>
  </r>
  <r>
    <n v="3000000982"/>
    <d v="2025-07-14T00:00:00"/>
    <n v="7299857.4800000004"/>
    <s v="AYALA WALTER DANIEL ALDERETES 14"/>
    <x v="494"/>
    <n v="7299857.4800000004"/>
    <x v="84"/>
    <x v="1"/>
    <s v="pagado"/>
    <s v="pagado"/>
    <x v="0"/>
    <x v="0"/>
  </r>
  <r>
    <n v="3000000983"/>
    <d v="2025-07-14T00:00:00"/>
    <n v="11160093"/>
    <s v="ROMAN BARCELO Y JORGE CARRERASLAS LAJITAS 09"/>
    <x v="495"/>
    <n v="11160093"/>
    <x v="84"/>
    <x v="1"/>
    <s v="pagado"/>
    <s v="pagado"/>
    <x v="0"/>
    <x v="0"/>
  </r>
  <r>
    <n v="3000001040"/>
    <d v="2025-07-31T00:00:00"/>
    <n v="8242094.2599999998"/>
    <s v="ABUT TRANSPORTES SA CENTENO 12"/>
    <x v="496"/>
    <n v="8242094.2599999998"/>
    <x v="86"/>
    <x v="1"/>
    <s v="pagado"/>
    <s v="pagado"/>
    <x v="0"/>
    <x v="0"/>
  </r>
  <r>
    <n v="3000001041"/>
    <d v="2025-07-31T00:00:00"/>
    <n v="8506626.5199999996"/>
    <s v="LOGISTICA DEL NORTE S.R.L. SAN MIGUEL DE TUCUMAN 14"/>
    <x v="497"/>
    <n v="8506626.5199999996"/>
    <x v="86"/>
    <x v="1"/>
    <s v="pagado"/>
    <s v="pagado"/>
    <x v="0"/>
    <x v="0"/>
  </r>
  <r>
    <n v="3000001042"/>
    <d v="2025-07-31T00:00:00"/>
    <n v="4803570.42"/>
    <s v="ELIAS LUCIANO EMANUEL LAS TALITAS 14"/>
    <x v="498"/>
    <n v="4803570.42"/>
    <x v="86"/>
    <x v="1"/>
    <s v="pagado"/>
    <s v="pagado"/>
    <x v="0"/>
    <x v="0"/>
  </r>
  <r>
    <n v="3000001043"/>
    <d v="2025-07-31T00:00:00"/>
    <n v="4970121.51"/>
    <s v="TRANSPORTE Y LOGISTICA DEL ESTLAS CEJAS 14"/>
    <x v="499"/>
    <n v="4970121.51"/>
    <x v="86"/>
    <x v="1"/>
    <s v="pagado"/>
    <s v="pagado"/>
    <x v="0"/>
    <x v="0"/>
  </r>
  <r>
    <n v="3000001044"/>
    <d v="2025-07-31T00:00:00"/>
    <n v="3402292.44"/>
    <s v="PAIS WALTER LUIS SAN MIGUEL DE TUCUMAN 14"/>
    <x v="500"/>
    <n v="3402292.44"/>
    <x v="86"/>
    <x v="1"/>
    <s v="pagado"/>
    <s v="pagado"/>
    <x v="0"/>
    <x v="0"/>
  </r>
  <r>
    <n v="3000001045"/>
    <d v="2025-07-31T00:00:00"/>
    <n v="6884097.5999999996"/>
    <s v="ANTONACCI LUIS GABRIEL LA FLORIDA 14"/>
    <x v="501"/>
    <n v="6884097.5999999996"/>
    <x v="86"/>
    <x v="1"/>
    <s v="pagado"/>
    <s v="pagado"/>
    <x v="0"/>
    <x v="0"/>
  </r>
  <r>
    <n v="3000001046"/>
    <d v="2025-07-31T00:00:00"/>
    <n v="1595040.73"/>
    <s v="BUSTOS EXEQUIEL ANTONIO BANDA DEL RIO SALI 14"/>
    <x v="502"/>
    <n v="1595040.73"/>
    <x v="86"/>
    <x v="1"/>
    <s v="pagado"/>
    <s v="pagado"/>
    <x v="0"/>
    <x v="0"/>
  </r>
  <r>
    <n v="3000001047"/>
    <d v="2025-07-31T00:00:00"/>
    <n v="9829943.5999999996"/>
    <s v="Syngenta Agro S.A. Vicente López 01"/>
    <x v="503"/>
    <n v="9829943.5999999996"/>
    <x v="86"/>
    <x v="1"/>
    <s v="pagado"/>
    <s v="pagado"/>
    <x v="0"/>
    <x v="0"/>
  </r>
  <r>
    <n v="3000001048"/>
    <d v="2025-07-31T00:00:00"/>
    <n v="10501823.5"/>
    <s v="Pulverizaciones Tuninetti S.R.Las Rosas 01"/>
    <x v="504"/>
    <n v="10501823.5"/>
    <x v="86"/>
    <x v="1"/>
    <s v="pagado"/>
    <s v="pagado"/>
    <x v="0"/>
    <x v="0"/>
  </r>
  <r>
    <n v="3000001049"/>
    <d v="2025-07-31T00:00:00"/>
    <n v="8318980.5999999996"/>
    <s v="VERON MARIANA BEATRIZ NUEVA ESPERANZA 13"/>
    <x v="505"/>
    <n v="8318980.5999999996"/>
    <x v="86"/>
    <x v="1"/>
    <s v="pagado"/>
    <s v="pagado"/>
    <x v="0"/>
    <x v="0"/>
  </r>
  <r>
    <n v="3000001050"/>
    <d v="2025-07-31T00:00:00"/>
    <n v="1112544"/>
    <s v="AYALA HERNAN OSVALDO SAN MIGUEL DE TUCUMAN 14"/>
    <x v="506"/>
    <n v="1112544"/>
    <x v="86"/>
    <x v="1"/>
    <s v="pagado"/>
    <s v="pagado"/>
    <x v="0"/>
    <x v="0"/>
  </r>
  <r>
    <n v="3000001050"/>
    <d v="2025-07-31T00:00:00"/>
    <n v="9387580"/>
    <s v="AYALA HERNAN OSVALDO SAN MIGUEL DE TUCUMAN 14"/>
    <x v="507"/>
    <n v="9387580"/>
    <x v="87"/>
    <x v="1"/>
    <s v="pagado"/>
    <s v="pagado"/>
    <x v="0"/>
    <x v="0"/>
  </r>
  <r>
    <n v="3000001051"/>
    <d v="2025-07-31T00:00:00"/>
    <n v="12700600.84"/>
    <s v="TRANSPORTE BARBERAN HNOS SRL CHABAS 12"/>
    <x v="508"/>
    <n v="12700600.84"/>
    <x v="87"/>
    <x v="1"/>
    <s v="pagado"/>
    <s v="pagado"/>
    <x v="0"/>
    <x v="0"/>
  </r>
  <r>
    <n v="3000001052"/>
    <d v="2025-07-31T00:00:00"/>
    <n v="11385065.310000001"/>
    <s v="FLETES Y SERVICIOS PUJATO S.A PUJATO 12"/>
    <x v="509"/>
    <n v="11385065.310000001"/>
    <x v="87"/>
    <x v="1"/>
    <s v="pagado"/>
    <s v="pagado"/>
    <x v="0"/>
    <x v="0"/>
  </r>
  <r>
    <n v="3000001053"/>
    <d v="2025-07-31T00:00:00"/>
    <n v="12252177.49"/>
    <s v="SURIAGRO SRL SAN MIGUEL DE TUCUMAN 14"/>
    <x v="510"/>
    <n v="12252177.49"/>
    <x v="87"/>
    <x v="1"/>
    <s v="pagado"/>
    <s v="pagado"/>
    <x v="0"/>
    <x v="0"/>
  </r>
  <r>
    <n v="3000001054"/>
    <d v="2025-07-31T00:00:00"/>
    <n v="13417977.24"/>
    <s v="LAVENIA VITO CARMELO LASTENIA 14"/>
    <x v="511"/>
    <n v="13417977.24"/>
    <x v="87"/>
    <x v="1"/>
    <s v="pagado"/>
    <s v="pagado"/>
    <x v="0"/>
    <x v="0"/>
  </r>
  <r>
    <n v="3000001055"/>
    <d v="2025-07-31T00:00:00"/>
    <n v="17991278.920000002"/>
    <s v="JAVIER EDUARDO PRADO FLORIDA 13"/>
    <x v="512"/>
    <n v="17991278.920000002"/>
    <x v="87"/>
    <x v="1"/>
    <s v="pagado"/>
    <s v="pagado"/>
    <x v="0"/>
    <x v="0"/>
  </r>
  <r>
    <n v="3000001056"/>
    <d v="2025-07-31T00:00:00"/>
    <n v="11788512.98"/>
    <s v="LANGELLA JUAN RODOLFO ALDERETES 14"/>
    <x v="513"/>
    <n v="11788512.98"/>
    <x v="87"/>
    <x v="1"/>
    <s v="pagado"/>
    <s v="pagado"/>
    <x v="0"/>
    <x v="0"/>
  </r>
  <r>
    <n v="3000001057"/>
    <d v="2025-07-31T00:00:00"/>
    <n v="11770724.58"/>
    <s v="GOMEZ JESSICA NOELIA LAS TALITAS 14"/>
    <x v="514"/>
    <n v="11770724.58"/>
    <x v="87"/>
    <x v="1"/>
    <s v="pagado"/>
    <s v="pagado"/>
    <x v="0"/>
    <x v="0"/>
  </r>
  <r>
    <n v="3000001058"/>
    <d v="2025-07-31T00:00:00"/>
    <n v="16164153.4"/>
    <s v="SUAREZ GABRIEL SEBASTIAN SANTIAGO DEL ESTERO 13"/>
    <x v="515"/>
    <n v="16164153.4"/>
    <x v="87"/>
    <x v="1"/>
    <s v="pagado"/>
    <s v="pagado"/>
    <x v="0"/>
    <x v="0"/>
  </r>
  <r>
    <n v="3000001059"/>
    <d v="2025-07-31T00:00:00"/>
    <n v="19830874.280000001"/>
    <s v="AGROQUIMICA ALBERDI S.R.L. CONCEPCION 14"/>
    <x v="516"/>
    <n v="19830874.280000001"/>
    <x v="87"/>
    <x v="1"/>
    <s v="pagado"/>
    <s v="pagado"/>
    <x v="0"/>
    <x v="0"/>
  </r>
  <r>
    <n v="3000001060"/>
    <d v="2025-07-31T00:00:00"/>
    <n v="26065644"/>
    <s v="Medina Lauro Jose Las Cejas 14"/>
    <x v="517"/>
    <n v="26065644"/>
    <x v="87"/>
    <x v="1"/>
    <s v="pagado"/>
    <s v="pagado"/>
    <x v="0"/>
    <x v="0"/>
  </r>
  <r>
    <n v="3000001061"/>
    <d v="2025-07-31T00:00:00"/>
    <n v="25000000"/>
    <s v="DANIEL MARCELO GUERRERO ALDERETES 14"/>
    <x v="518"/>
    <n v="25000000"/>
    <x v="86"/>
    <x v="1"/>
    <s v="pagado"/>
    <s v="pagado"/>
    <x v="0"/>
    <x v="0"/>
  </r>
  <r>
    <n v="3000001061"/>
    <d v="2025-07-31T00:00:00"/>
    <n v="26103957.030000001"/>
    <s v="DANIEL MARCELO GUERRERO ALDERETES 14"/>
    <x v="519"/>
    <n v="26103957.030000001"/>
    <x v="87"/>
    <x v="1"/>
    <s v="pagado"/>
    <s v="pagado"/>
    <x v="0"/>
    <x v="0"/>
  </r>
  <r>
    <n v="3000001099"/>
    <d v="2025-08-08T00:00:00"/>
    <n v="1384844.74"/>
    <s v="LOGISTICA DEL NORTE S.R.L. SAN MIGUEL DE TUCUMAN 14"/>
    <x v="520"/>
    <n v="1384844.74"/>
    <x v="88"/>
    <x v="1"/>
    <s v="pagado"/>
    <s v="pagado"/>
    <x v="0"/>
    <x v="0"/>
  </r>
  <r>
    <n v="3000001106"/>
    <d v="2025-08-11T00:00:00"/>
    <n v="4231185.1500000004"/>
    <s v="MOLINA JUAN F. Y MOLINA ROQUE Lastenia 14"/>
    <x v="521"/>
    <n v="4231185.1500000004"/>
    <x v="89"/>
    <x v="1"/>
    <s v="pagado"/>
    <s v="pagado"/>
    <x v="0"/>
    <x v="0"/>
  </r>
  <r>
    <n v="3000001106"/>
    <d v="2025-08-11T00:00:00"/>
    <n v="16882817.82"/>
    <s v="MOLINA JUAN F. Y MOLINA ROQUE Lastenia 14"/>
    <x v="522"/>
    <n v="16882817.82"/>
    <x v="90"/>
    <x v="1"/>
    <s v="pagado"/>
    <s v="pagado"/>
    <x v="0"/>
    <x v="0"/>
  </r>
  <r>
    <n v="3000001109"/>
    <d v="2025-08-11T00:00:00"/>
    <n v="20000000"/>
    <s v="VITRIU NICOLAS YERBA BUENA 14"/>
    <x v="523"/>
    <n v="20000000"/>
    <x v="89"/>
    <x v="1"/>
    <s v="pagado"/>
    <s v="pagado"/>
    <x v="0"/>
    <x v="0"/>
  </r>
  <r>
    <n v="3000001109"/>
    <d v="2025-08-11T00:00:00"/>
    <n v="16755093.4"/>
    <s v="VITRIU NICOLAS YERBA BUENA 14"/>
    <x v="524"/>
    <n v="16755093.4"/>
    <x v="90"/>
    <x v="1"/>
    <s v="pagado"/>
    <s v="pagado"/>
    <x v="0"/>
    <x v="0"/>
  </r>
  <r>
    <n v="3000001110"/>
    <d v="2025-08-11T00:00:00"/>
    <n v="10000000"/>
    <s v="ANTONACCI LUIS GABRIEL LA FLORIDA 14"/>
    <x v="525"/>
    <n v="10000000"/>
    <x v="89"/>
    <x v="1"/>
    <s v="pagado"/>
    <s v="pagado"/>
    <x v="0"/>
    <x v="0"/>
  </r>
  <r>
    <n v="3000001110"/>
    <d v="2025-08-11T00:00:00"/>
    <n v="10846843"/>
    <s v="ANTONACCI LUIS GABRIEL LA FLORIDA 14"/>
    <x v="526"/>
    <n v="10846843"/>
    <x v="90"/>
    <x v="1"/>
    <s v="pagado"/>
    <s v="pagado"/>
    <x v="0"/>
    <x v="0"/>
  </r>
  <r>
    <n v="3000001112"/>
    <d v="2025-08-11T00:00:00"/>
    <n v="10000000"/>
    <s v="LOGISTICA CENTRO S.R.L CORONDA 12"/>
    <x v="527"/>
    <n v="10000000"/>
    <x v="89"/>
    <x v="1"/>
    <s v="pagado"/>
    <s v="pagado"/>
    <x v="0"/>
    <x v="0"/>
  </r>
  <r>
    <n v="3000001112"/>
    <d v="2025-08-11T00:00:00"/>
    <n v="5749284.8200000003"/>
    <s v="LOGISTICA CENTRO S.R.L CORONDA 12"/>
    <x v="528"/>
    <n v="5749284.8200000003"/>
    <x v="90"/>
    <x v="1"/>
    <s v="pagado"/>
    <s v="pagado"/>
    <x v="0"/>
    <x v="0"/>
  </r>
  <r>
    <n v="3000001113"/>
    <d v="2025-08-11T00:00:00"/>
    <n v="20000000"/>
    <s v="LAVENIA VITO CARMELO LASTENIA 14"/>
    <x v="529"/>
    <n v="20000000"/>
    <x v="89"/>
    <x v="1"/>
    <s v="pagado"/>
    <s v="pagado"/>
    <x v="0"/>
    <x v="0"/>
  </r>
  <r>
    <n v="3000001113"/>
    <d v="2025-08-11T00:00:00"/>
    <n v="14839987.42"/>
    <s v="LAVENIA VITO CARMELO LASTENIA 14"/>
    <x v="530"/>
    <n v="14839987.42"/>
    <x v="90"/>
    <x v="1"/>
    <s v="pagado"/>
    <s v="pagado"/>
    <x v="0"/>
    <x v="0"/>
  </r>
  <r>
    <n v="3000001114"/>
    <d v="2025-08-11T00:00:00"/>
    <n v="20000000"/>
    <s v="DE CIA GALFRASCOLI PIERO FABIOQUIMILI 13"/>
    <x v="531"/>
    <n v="20000000"/>
    <x v="89"/>
    <x v="1"/>
    <s v="pagado"/>
    <s v="pagado"/>
    <x v="0"/>
    <x v="0"/>
  </r>
  <r>
    <n v="3000001114"/>
    <d v="2025-08-11T00:00:00"/>
    <n v="13050449.43"/>
    <s v="DE CIA GALFRASCOLI PIERO FABIOQUIMILI 13"/>
    <x v="532"/>
    <n v="13050449.43"/>
    <x v="90"/>
    <x v="1"/>
    <s v="pagado"/>
    <s v="pagado"/>
    <x v="0"/>
    <x v="0"/>
  </r>
  <r>
    <n v="3000001105"/>
    <d v="2025-08-11T00:00:00"/>
    <n v="3155226.27"/>
    <s v="Agricola Garcia S.A. SAN MIGUEL DE TUCUMAN 14"/>
    <x v="533"/>
    <n v="3155226.27"/>
    <x v="89"/>
    <x v="1"/>
    <s v="pagado"/>
    <s v="pagado"/>
    <x v="0"/>
    <x v="0"/>
  </r>
  <r>
    <n v="3000001107"/>
    <d v="2025-08-11T00:00:00"/>
    <n v="9877000"/>
    <s v="GOMEZ MANUEL ARCENIO METAN 09"/>
    <x v="534"/>
    <n v="9877000"/>
    <x v="89"/>
    <x v="1"/>
    <s v="pagado"/>
    <s v="pagado"/>
    <x v="0"/>
    <x v="0"/>
  </r>
  <r>
    <n v="3000001108"/>
    <d v="2025-08-11T00:00:00"/>
    <n v="13912949.449999999"/>
    <s v="JAVIER EDUARDO PRADO FLORIDA 13"/>
    <x v="535"/>
    <n v="13912949.449999999"/>
    <x v="89"/>
    <x v="1"/>
    <s v="pagado"/>
    <s v="pagado"/>
    <x v="0"/>
    <x v="0"/>
  </r>
  <r>
    <n v="3000001111"/>
    <d v="2025-08-11T00:00:00"/>
    <n v="10333116.41"/>
    <s v="TRANSPORTE LUIS SANDOVAL S.A.SLOS VALLISTOS 14"/>
    <x v="536"/>
    <n v="10333116.41"/>
    <x v="89"/>
    <x v="1"/>
    <s v="pagado"/>
    <s v="pagado"/>
    <x v="0"/>
    <x v="0"/>
  </r>
  <r>
    <n v="3000001115"/>
    <d v="2025-08-11T00:00:00"/>
    <n v="14951104.9"/>
    <s v="ELIAS LUCIANO EMANUEL LAS TALITAS 14"/>
    <x v="537"/>
    <n v="14951104.9"/>
    <x v="89"/>
    <x v="1"/>
    <s v="pagado"/>
    <s v="pagado"/>
    <x v="0"/>
    <x v="0"/>
  </r>
  <r>
    <n v="3000001116"/>
    <d v="2025-08-11T00:00:00"/>
    <n v="12543082.6"/>
    <s v="AGROTRANSPORTE ALDAO S.A. CAMILO ALDAO 03"/>
    <x v="538"/>
    <n v="12543082.6"/>
    <x v="89"/>
    <x v="1"/>
    <s v="pagado"/>
    <s v="pagado"/>
    <x v="0"/>
    <x v="0"/>
  </r>
  <r>
    <n v="3000001117"/>
    <d v="2025-08-11T00:00:00"/>
    <n v="8718590.7699999996"/>
    <s v="TRANSPORTE CLASON SRL ROSARIO 12"/>
    <x v="539"/>
    <n v="8718590.7699999996"/>
    <x v="89"/>
    <x v="1"/>
    <s v="pagado"/>
    <s v="pagado"/>
    <x v="0"/>
    <x v="0"/>
  </r>
  <r>
    <n v="3000001118"/>
    <d v="2025-08-11T00:00:00"/>
    <n v="3162384.97"/>
    <s v="WILLIAMS LOGISTICA SA CIUDAD AUTONOMA BUENOS AIRES 00"/>
    <x v="540"/>
    <n v="3162384.97"/>
    <x v="89"/>
    <x v="1"/>
    <s v="pagado"/>
    <s v="pagado"/>
    <x v="0"/>
    <x v="0"/>
  </r>
  <r>
    <n v="3000001119"/>
    <d v="2025-08-11T00:00:00"/>
    <n v="3134290.72"/>
    <s v="TRANSPORTE Y LOGISTICA DEL ESTLAS CEJAS 14"/>
    <x v="541"/>
    <n v="3134290.72"/>
    <x v="89"/>
    <x v="1"/>
    <s v="pagado"/>
    <s v="pagado"/>
    <x v="0"/>
    <x v="0"/>
  </r>
  <r>
    <n v="3000001129"/>
    <d v="2025-08-12T00:00:00"/>
    <n v="7161955.1500000004"/>
    <s v="LANGELLA JUAN RODOLFO ALDERETES 14"/>
    <x v="542"/>
    <n v="7161955.1500000004"/>
    <x v="89"/>
    <x v="1"/>
    <s v="pagado"/>
    <s v="pagado"/>
    <x v="0"/>
    <x v="0"/>
  </r>
  <r>
    <n v="3000001130"/>
    <d v="2025-08-12T00:00:00"/>
    <n v="5967264.0999999996"/>
    <s v="MOYANO JULIO CESAR BANDA DEL RIO SALI 14"/>
    <x v="543"/>
    <n v="5967264.0999999996"/>
    <x v="89"/>
    <x v="1"/>
    <s v="pagado"/>
    <s v="pagado"/>
    <x v="0"/>
    <x v="0"/>
  </r>
  <r>
    <n v="3000001131"/>
    <d v="2025-08-12T00:00:00"/>
    <n v="12624451.779999999"/>
    <s v="SURIAGRO SRL SAN MIGUEL DE TUCUMAN 14"/>
    <x v="544"/>
    <n v="12624451.779999999"/>
    <x v="89"/>
    <x v="1"/>
    <s v="pagado"/>
    <s v="pagado"/>
    <x v="0"/>
    <x v="0"/>
  </r>
  <r>
    <n v="3000001145"/>
    <d v="2025-08-14T00:00:00"/>
    <n v="42242070"/>
    <s v="EDET S.A. SAN MIGUEL DE TUCUMAN 14"/>
    <x v="545"/>
    <n v="42242070"/>
    <x v="89"/>
    <x v="1"/>
    <s v="pagado"/>
    <s v="pagado"/>
    <x v="0"/>
    <x v="0"/>
  </r>
  <r>
    <n v="3000001153"/>
    <d v="2025-08-18T00:00:00"/>
    <n v="639115.56999999995"/>
    <s v="AACREA BUENOS AIRES 01"/>
    <x v="546"/>
    <n v="639115.56999999995"/>
    <x v="91"/>
    <x v="1"/>
    <s v="pagado"/>
    <s v="pagado"/>
    <x v="0"/>
    <x v="0"/>
  </r>
  <r>
    <n v="3000001154"/>
    <d v="2025-08-18T00:00:00"/>
    <n v="8307421.4000000004"/>
    <s v="RODRIGUEZ NESTOR HORACIO YERBA BUENA 14"/>
    <x v="547"/>
    <n v="8307421.4000000004"/>
    <x v="91"/>
    <x v="1"/>
    <s v="pagado"/>
    <s v="pagado"/>
    <x v="0"/>
    <x v="0"/>
  </r>
  <r>
    <n v="3000001155"/>
    <d v="2025-08-18T00:00:00"/>
    <n v="23055528.399999999"/>
    <s v="Aso, Eduardo SAN MIGUEL DE TUCUMAN 14"/>
    <x v="548"/>
    <n v="23055528.399999999"/>
    <x v="92"/>
    <x v="1"/>
    <s v="pagado"/>
    <s v="pagado"/>
    <x v="0"/>
    <x v="0"/>
  </r>
  <r>
    <n v="3000001156"/>
    <d v="2025-08-18T00:00:00"/>
    <n v="26400016.699999999"/>
    <s v="LOS LAURELES SERVICIOS AGRICOLSan Miguel De Tucuman 14"/>
    <x v="549"/>
    <n v="26400016.699999999"/>
    <x v="92"/>
    <x v="1"/>
    <s v="pagado"/>
    <s v="pagado"/>
    <x v="0"/>
    <x v="0"/>
  </r>
  <r>
    <n v="3000001157"/>
    <d v="2025-08-18T00:00:00"/>
    <n v="29841120.579999998"/>
    <s v="AYALA WALTER DANIEL ALDERETES 14"/>
    <x v="550"/>
    <n v="29841120.579999998"/>
    <x v="92"/>
    <x v="1"/>
    <s v="pagado"/>
    <s v="pagado"/>
    <x v="0"/>
    <x v="0"/>
  </r>
  <r>
    <n v="3000001183"/>
    <d v="2025-08-25T00:00:00"/>
    <n v="6248880"/>
    <s v="RASUK JORGE LUIS YERBA BUENA 14"/>
    <x v="551"/>
    <n v="6248880"/>
    <x v="93"/>
    <x v="1"/>
    <s v="pagado"/>
    <s v="pagado"/>
    <x v="0"/>
    <x v="0"/>
  </r>
  <r>
    <n v="3000001184"/>
    <d v="2025-08-25T00:00:00"/>
    <n v="4228895.4000000004"/>
    <s v="Avila Carlos Alberto SAN MIGUEL DE TUCUMAN 14"/>
    <x v="552"/>
    <n v="4228895.4000000004"/>
    <x v="93"/>
    <x v="1"/>
    <s v="pagado"/>
    <s v="pagado"/>
    <x v="0"/>
    <x v="0"/>
  </r>
  <r>
    <n v="3000001185"/>
    <d v="2025-08-25T00:00:00"/>
    <n v="10179240.5"/>
    <s v="Pulmajo S.R.L. CONCEPCION 14"/>
    <x v="553"/>
    <n v="10179240.5"/>
    <x v="93"/>
    <x v="1"/>
    <s v="pagado"/>
    <s v="pagado"/>
    <x v="0"/>
    <x v="0"/>
  </r>
  <r>
    <n v="3000001186"/>
    <d v="2025-08-25T00:00:00"/>
    <n v="10000000"/>
    <s v="Medina Lauro Jose Las Cejas 14"/>
    <x v="554"/>
    <n v="10000000"/>
    <x v="93"/>
    <x v="1"/>
    <s v="pagado"/>
    <s v="pagado"/>
    <x v="0"/>
    <x v="0"/>
  </r>
  <r>
    <n v="3000001186"/>
    <d v="2025-08-25T00:00:00"/>
    <n v="10227333.5"/>
    <s v="Medina Lauro Jose Las Cejas 14"/>
    <x v="555"/>
    <n v="10227333.5"/>
    <x v="94"/>
    <x v="1"/>
    <s v="pagado"/>
    <s v="pagado"/>
    <x v="0"/>
    <x v="0"/>
  </r>
  <r>
    <n v="3000001187"/>
    <d v="2025-08-25T00:00:00"/>
    <n v="9704032.1999999993"/>
    <s v="AYALA HERNAN OSVALDO SAN MIGUEL DE TUCUMAN 14"/>
    <x v="556"/>
    <n v="9704032.1999999993"/>
    <x v="93"/>
    <x v="1"/>
    <s v="pagado"/>
    <s v="pagado"/>
    <x v="0"/>
    <x v="0"/>
  </r>
  <r>
    <n v="3000001188"/>
    <d v="2025-08-25T00:00:00"/>
    <n v="5077040.5"/>
    <s v="ROMAN BARCELO Y JORGE CARRERASLAS LAJITAS 09"/>
    <x v="557"/>
    <n v="5077040.5"/>
    <x v="93"/>
    <x v="1"/>
    <s v="pagado"/>
    <s v="pagado"/>
    <x v="0"/>
    <x v="0"/>
  </r>
  <r>
    <n v="3000001189"/>
    <d v="2025-08-25T00:00:00"/>
    <n v="6488249"/>
    <s v="SUAREZ GABRIEL SEBASTIAN SANTIAGO DEL ESTERO 13"/>
    <x v="558"/>
    <n v="6488249"/>
    <x v="93"/>
    <x v="1"/>
    <s v="pagado"/>
    <s v="pagado"/>
    <x v="0"/>
    <x v="0"/>
  </r>
  <r>
    <n v="3000001190"/>
    <d v="2025-08-25T00:00:00"/>
    <n v="7727813.4000000004"/>
    <s v="DON KOKO S.R.L CAMILO ALDAO 03"/>
    <x v="559"/>
    <n v="7727813.4000000004"/>
    <x v="93"/>
    <x v="1"/>
    <s v="pagado"/>
    <s v="pagado"/>
    <x v="0"/>
    <x v="0"/>
  </r>
  <r>
    <n v="3000001191"/>
    <d v="2025-08-25T00:00:00"/>
    <n v="8990948.1500000004"/>
    <s v="Pulverizaciones Tuninetti S.R.Las Rosas 01"/>
    <x v="560"/>
    <n v="8990948.1500000004"/>
    <x v="93"/>
    <x v="1"/>
    <s v="pagado"/>
    <s v="pagado"/>
    <x v="0"/>
    <x v="0"/>
  </r>
  <r>
    <n v="3000001192"/>
    <d v="2025-08-25T00:00:00"/>
    <n v="7000000"/>
    <s v="LOS NOGALES S.R.L General Jose de San 16"/>
    <x v="561"/>
    <n v="7000000"/>
    <x v="93"/>
    <x v="1"/>
    <s v="pagado"/>
    <s v="pagado"/>
    <x v="0"/>
    <x v="0"/>
  </r>
  <r>
    <n v="3000001192"/>
    <d v="2025-08-25T00:00:00"/>
    <n v="7369480"/>
    <s v="LOS NOGALES S.R.L General Jose de San 16"/>
    <x v="562"/>
    <n v="7369480"/>
    <x v="94"/>
    <x v="1"/>
    <s v="pagado"/>
    <s v="pagado"/>
    <x v="0"/>
    <x v="0"/>
  </r>
  <r>
    <n v="3000001193"/>
    <d v="2025-08-25T00:00:00"/>
    <n v="19182308.780000001"/>
    <s v="LOS LAURELES SERVICIOS AGRICOLSan Miguel De Tucuman 14"/>
    <x v="563"/>
    <n v="19182308.780000001"/>
    <x v="93"/>
    <x v="1"/>
    <s v="pagado"/>
    <s v="pagado"/>
    <x v="0"/>
    <x v="0"/>
  </r>
  <r>
    <n v="3000001193"/>
    <d v="2025-08-25T00:00:00"/>
    <n v="4682956.72"/>
    <s v="LOS LAURELES SERVICIOS AGRICOLSan Miguel De Tucuman 14"/>
    <x v="564"/>
    <n v="4682956.72"/>
    <x v="94"/>
    <x v="1"/>
    <s v="pagado"/>
    <s v="pagado"/>
    <x v="0"/>
    <x v="0"/>
  </r>
  <r>
    <n v="3000001209"/>
    <d v="2025-08-26T00:00:00"/>
    <n v="663404.86"/>
    <s v="BUSSINES AND TRANSPORT SRL . 30712924507 14"/>
    <x v="565"/>
    <n v="663404.86"/>
    <x v="94"/>
    <x v="1"/>
    <s v="pagado"/>
    <s v="pagado"/>
    <x v="0"/>
    <x v="0"/>
  </r>
  <r>
    <n v="3000001210"/>
    <d v="2025-08-26T00:00:00"/>
    <n v="10000000"/>
    <s v="LOGISTICA CENTRO S.R.L CORONDA 12"/>
    <x v="566"/>
    <n v="10000000"/>
    <x v="94"/>
    <x v="1"/>
    <s v="pagado"/>
    <s v="pagado"/>
    <x v="0"/>
    <x v="0"/>
  </r>
  <r>
    <n v="3000001210"/>
    <d v="2025-08-26T00:00:00"/>
    <n v="8445918.4499999993"/>
    <s v="LOGISTICA CENTRO S.R.L CORONDA 12"/>
    <x v="567"/>
    <n v="8445918.4499999993"/>
    <x v="95"/>
    <x v="1"/>
    <s v="pagado"/>
    <s v="pagado"/>
    <x v="0"/>
    <x v="0"/>
  </r>
  <r>
    <n v="3000001211"/>
    <d v="2025-08-26T00:00:00"/>
    <n v="6692757.1799999997"/>
    <s v="COCCOLO LOGISTICA SA cañada rosquin 12"/>
    <x v="568"/>
    <n v="6692757.1799999997"/>
    <x v="94"/>
    <x v="1"/>
    <s v="pagado"/>
    <s v="pagado"/>
    <x v="0"/>
    <x v="0"/>
  </r>
  <r>
    <n v="3000001212"/>
    <d v="2025-08-26T00:00:00"/>
    <n v="5089778.87"/>
    <s v="PAIS WALTER LUIS SAN MIGUEL DE TUCUMAN 14"/>
    <x v="569"/>
    <n v="5089778.87"/>
    <x v="94"/>
    <x v="1"/>
    <s v="pagado"/>
    <s v="pagado"/>
    <x v="0"/>
    <x v="0"/>
  </r>
  <r>
    <n v="3000001213"/>
    <d v="2025-08-26T00:00:00"/>
    <n v="3451556.16"/>
    <s v="TRANSPORTE Y LOGISTICA DEL ESTLAS CEJAS 14"/>
    <x v="570"/>
    <n v="3451556.16"/>
    <x v="94"/>
    <x v="1"/>
    <s v="pagado"/>
    <s v="pagado"/>
    <x v="0"/>
    <x v="0"/>
  </r>
  <r>
    <n v="3000001214"/>
    <d v="2025-08-26T00:00:00"/>
    <n v="8149532.3700000001"/>
    <s v="Paz Pablo Jose SAN MIGUEL DE TUCUMAN 14"/>
    <x v="571"/>
    <n v="8149532.3700000001"/>
    <x v="94"/>
    <x v="1"/>
    <s v="pagado"/>
    <s v="pagado"/>
    <x v="0"/>
    <x v="0"/>
  </r>
  <r>
    <n v="3000001215"/>
    <d v="2025-08-26T00:00:00"/>
    <n v="7714014.5899999999"/>
    <s v="GOMEZ JESSICA NOELIA LAS TALITAS 14"/>
    <x v="572"/>
    <n v="7714014.5899999999"/>
    <x v="94"/>
    <x v="1"/>
    <s v="pagado"/>
    <s v="pagado"/>
    <x v="0"/>
    <x v="0"/>
  </r>
  <r>
    <n v="3000001216"/>
    <d v="2025-08-26T00:00:00"/>
    <n v="3704696.71"/>
    <s v="SURIAGRO SRL SAN MIGUEL DE TUCUMAN 14"/>
    <x v="573"/>
    <n v="3704696.71"/>
    <x v="94"/>
    <x v="1"/>
    <s v="pagado"/>
    <s v="pagado"/>
    <x v="0"/>
    <x v="0"/>
  </r>
  <r>
    <n v="3000001217"/>
    <d v="2025-08-26T00:00:00"/>
    <n v="5854299.6600000001"/>
    <s v="BUSTOS EXEQUIEL ANTONIO BANDA DEL RIO SALI 14"/>
    <x v="574"/>
    <n v="5854299.6600000001"/>
    <x v="94"/>
    <x v="1"/>
    <s v="pagado"/>
    <s v="pagado"/>
    <x v="0"/>
    <x v="0"/>
  </r>
  <r>
    <n v="3000001218"/>
    <d v="2025-08-26T00:00:00"/>
    <n v="8000000"/>
    <s v="JAVIER EDUARDO PRADO FLORIDA 13"/>
    <x v="575"/>
    <n v="8000000"/>
    <x v="94"/>
    <x v="1"/>
    <s v="pagado"/>
    <s v="pagado"/>
    <x v="0"/>
    <x v="0"/>
  </r>
  <r>
    <n v="3000001218"/>
    <d v="2025-08-26T00:00:00"/>
    <n v="7346163.8499999996"/>
    <s v="JAVIER EDUARDO PRADO FLORIDA 13"/>
    <x v="576"/>
    <n v="7346163.8499999996"/>
    <x v="95"/>
    <x v="1"/>
    <s v="pagado"/>
    <s v="pagado"/>
    <x v="0"/>
    <x v="0"/>
  </r>
  <r>
    <n v="3000001219"/>
    <d v="2025-08-26T00:00:00"/>
    <n v="3681508.21"/>
    <s v="LANGELLA JUAN RODOLFO ALDERETES 14"/>
    <x v="577"/>
    <n v="3681508.21"/>
    <x v="94"/>
    <x v="1"/>
    <s v="pagado"/>
    <s v="pagado"/>
    <x v="0"/>
    <x v="0"/>
  </r>
  <r>
    <n v="3000001220"/>
    <d v="2025-08-26T00:00:00"/>
    <n v="6000000"/>
    <s v="LAVENIA VITO CARMELO LASTENIA 14"/>
    <x v="578"/>
    <n v="6000000"/>
    <x v="94"/>
    <x v="1"/>
    <s v="pagado"/>
    <s v="pagado"/>
    <x v="0"/>
    <x v="0"/>
  </r>
  <r>
    <n v="3000001220"/>
    <d v="2025-08-26T00:00:00"/>
    <n v="6161944.6900000004"/>
    <s v="LAVENIA VITO CARMELO LASTENIA 14"/>
    <x v="579"/>
    <n v="6161944.6900000004"/>
    <x v="95"/>
    <x v="1"/>
    <s v="pagado"/>
    <s v="pagado"/>
    <x v="0"/>
    <x v="0"/>
  </r>
  <r>
    <n v="3000001228"/>
    <d v="2025-09-01T00:00:00"/>
    <n v="137166528.97999999"/>
    <s v="Tucagro S.R.L CEVIL POZO 14"/>
    <x v="580"/>
    <n v="137166528.97999999"/>
    <x v="96"/>
    <x v="1"/>
    <s v="pagado"/>
    <s v="pagado"/>
    <x v="0"/>
    <x v="0"/>
  </r>
  <r>
    <n v="3000001229"/>
    <d v="2025-09-01T00:00:00"/>
    <n v="3425596.96"/>
    <s v="SAN LORENZO CEREALES S.R.L SAN LORENZO 12"/>
    <x v="581"/>
    <n v="3425596.96"/>
    <x v="97"/>
    <x v="1"/>
    <s v="pagado"/>
    <s v="pagado"/>
    <x v="0"/>
    <x v="0"/>
  </r>
  <r>
    <n v="3000001230"/>
    <d v="2025-09-01T00:00:00"/>
    <n v="10059837.68"/>
    <s v="MOYANO JULIO CESAR BANDA DEL RIO SALI 14"/>
    <x v="582"/>
    <n v="10059837.68"/>
    <x v="97"/>
    <x v="1"/>
    <s v="pagado"/>
    <s v="pagado"/>
    <x v="0"/>
    <x v="0"/>
  </r>
  <r>
    <n v="3000001231"/>
    <d v="2025-09-01T00:00:00"/>
    <n v="6643251.2000000002"/>
    <s v="RODRIGUEZ NESTOR HORACIO YERBA BUENA 14"/>
    <x v="583"/>
    <n v="6643251.2000000002"/>
    <x v="98"/>
    <x v="1"/>
    <s v="pagado"/>
    <s v="pagado"/>
    <x v="0"/>
    <x v="0"/>
  </r>
  <r>
    <n v="3000001232"/>
    <d v="2025-09-01T00:00:00"/>
    <n v="6548925.3300000001"/>
    <s v="SOUK S. A. S. SANTIAGO DEL ESTERO 13"/>
    <x v="584"/>
    <n v="6548925.3300000001"/>
    <x v="98"/>
    <x v="1"/>
    <s v="pagado"/>
    <s v="pagado"/>
    <x v="0"/>
    <x v="0"/>
  </r>
  <r>
    <n v="3000001233"/>
    <d v="2025-09-01T00:00:00"/>
    <n v="10251293.4"/>
    <s v="M.A.D Serv y mant eléctri SAN MIGUEL DE TUCUMAN 14"/>
    <x v="585"/>
    <n v="10251293.4"/>
    <x v="97"/>
    <x v="1"/>
    <s v="pagado"/>
    <s v="pagado"/>
    <x v="0"/>
    <x v="0"/>
  </r>
  <r>
    <n v="3000001234"/>
    <d v="2025-09-01T00:00:00"/>
    <n v="10184590.890000001"/>
    <s v="FLETES Y SERVICIOS PUJATO S.A PUJATO 12"/>
    <x v="586"/>
    <n v="10184590.890000001"/>
    <x v="97"/>
    <x v="1"/>
    <s v="pagado"/>
    <s v="pagado"/>
    <x v="0"/>
    <x v="0"/>
  </r>
  <r>
    <n v="3000001235"/>
    <d v="2025-09-01T00:00:00"/>
    <n v="5690184.7300000004"/>
    <s v="ANTONACCI LUIS GABRIEL LA FLORIDA 14"/>
    <x v="587"/>
    <n v="5690184.7300000004"/>
    <x v="97"/>
    <x v="1"/>
    <s v="pagado"/>
    <s v="pagado"/>
    <x v="0"/>
    <x v="0"/>
  </r>
  <r>
    <n v="3000001236"/>
    <d v="2025-09-01T00:00:00"/>
    <n v="13077940.449999999"/>
    <s v="Medina Lauro Jose Las Cejas 14"/>
    <x v="588"/>
    <n v="13077940.449999999"/>
    <x v="97"/>
    <x v="1"/>
    <s v="pagado"/>
    <s v="pagado"/>
    <x v="0"/>
    <x v="0"/>
  </r>
  <r>
    <n v="3000001247"/>
    <d v="2025-09-03T00:00:00"/>
    <n v="22108198.100000001"/>
    <s v="TRANSPORTE CLASON SRL ROSARIO 12"/>
    <x v="589"/>
    <n v="22108198.100000001"/>
    <x v="99"/>
    <x v="1"/>
    <s v="pagado"/>
    <s v="pagado"/>
    <x v="0"/>
    <x v="0"/>
  </r>
  <r>
    <n v="3000001248"/>
    <d v="2025-09-03T00:00:00"/>
    <n v="17019039.010000002"/>
    <s v="SIGMA AGRO SA MERCEDES 01"/>
    <x v="590"/>
    <n v="17019039.010000002"/>
    <x v="99"/>
    <x v="1"/>
    <s v="pagado"/>
    <s v="pagado"/>
    <x v="0"/>
    <x v="0"/>
  </r>
  <r>
    <n v="3000001258"/>
    <d v="2025-09-08T00:00:00"/>
    <n v="6127663.4800000004"/>
    <s v="MOLINA JUAN F. Y MOLINA ROQUE Lastenia 14"/>
    <x v="591"/>
    <n v="6127663.4800000004"/>
    <x v="100"/>
    <x v="1"/>
    <s v="pagado"/>
    <s v="pagado"/>
    <x v="0"/>
    <x v="0"/>
  </r>
  <r>
    <n v="3000001258"/>
    <d v="2025-09-08T00:00:00"/>
    <n v="4160581.71"/>
    <s v="MOLINA JUAN F. Y MOLINA ROQUE Lastenia 14"/>
    <x v="592"/>
    <n v="4160581.71"/>
    <x v="101"/>
    <x v="1"/>
    <s v="pagado"/>
    <s v="pagado"/>
    <x v="0"/>
    <x v="0"/>
  </r>
  <r>
    <n v="3000001259"/>
    <d v="2025-09-08T00:00:00"/>
    <n v="6477491.4800000004"/>
    <s v="ENTREGAS SERDEN S.R.L SAN LORENZO 12"/>
    <x v="593"/>
    <n v="6477491.4800000004"/>
    <x v="100"/>
    <x v="1"/>
    <s v="pagado"/>
    <s v="pagado"/>
    <x v="0"/>
    <x v="0"/>
  </r>
  <r>
    <n v="3000001260"/>
    <d v="2025-09-08T00:00:00"/>
    <n v="15000000"/>
    <s v="ROMAN BARCELO Y JORGE CARRERASLAS LAJITAS 09"/>
    <x v="594"/>
    <n v="15000000"/>
    <x v="100"/>
    <x v="1"/>
    <s v="pagado"/>
    <s v="pagado"/>
    <x v="0"/>
    <x v="0"/>
  </r>
  <r>
    <n v="3000001260"/>
    <d v="2025-09-08T00:00:00"/>
    <n v="15094979.35"/>
    <s v="ROMAN BARCELO Y JORGE CARRERASLAS LAJITAS 09"/>
    <x v="595"/>
    <n v="15094979.35"/>
    <x v="101"/>
    <x v="1"/>
    <s v="pagado"/>
    <s v="pagado"/>
    <x v="0"/>
    <x v="0"/>
  </r>
  <r>
    <n v="3000001261"/>
    <d v="2025-09-08T00:00:00"/>
    <n v="8829882.0700000003"/>
    <s v="GARCIA JORGE LUIS METAN 09"/>
    <x v="596"/>
    <n v="8829882.0700000003"/>
    <x v="100"/>
    <x v="1"/>
    <s v="pagado"/>
    <s v="pagado"/>
    <x v="0"/>
    <x v="0"/>
  </r>
  <r>
    <n v="3000001262"/>
    <d v="2025-09-08T00:00:00"/>
    <n v="14974425.539999999"/>
    <s v="AYALA WALTER DANIEL ALDERETES 14"/>
    <x v="597"/>
    <n v="14974425.539999999"/>
    <x v="100"/>
    <x v="1"/>
    <s v="pagado"/>
    <s v="pagado"/>
    <x v="0"/>
    <x v="0"/>
  </r>
  <r>
    <n v="3000001263"/>
    <d v="2025-09-08T00:00:00"/>
    <n v="15544704.49"/>
    <s v="LOGISTICA CENTRO S.R.L CORONDA 12"/>
    <x v="598"/>
    <n v="15544704.49"/>
    <x v="100"/>
    <x v="1"/>
    <s v="pagado"/>
    <s v="pagado"/>
    <x v="0"/>
    <x v="0"/>
  </r>
  <r>
    <n v="3000001305"/>
    <d v="2025-09-16T00:00:00"/>
    <n v="711054.54"/>
    <s v="Ventimiglia Nelly Irma Jesus Maria 03"/>
    <x v="599"/>
    <n v="711054.54"/>
    <x v="102"/>
    <x v="1"/>
    <s v="pagado"/>
    <s v="pagado"/>
    <x v="0"/>
    <x v="0"/>
  </r>
  <r>
    <n v="3000001306"/>
    <d v="2025-09-16T00:00:00"/>
    <n v="10000000"/>
    <s v="AYALA WALTER DANIEL ALDERETES 14"/>
    <x v="600"/>
    <n v="10000000"/>
    <x v="103"/>
    <x v="1"/>
    <s v="pagado"/>
    <s v="pagado"/>
    <x v="0"/>
    <x v="0"/>
  </r>
  <r>
    <n v="3000001306"/>
    <d v="2025-09-16T00:00:00"/>
    <n v="7679122.0599999996"/>
    <s v="AYALA WALTER DANIEL ALDERETES 14"/>
    <x v="601"/>
    <n v="7679122.0599999996"/>
    <x v="104"/>
    <x v="1"/>
    <s v="pagado"/>
    <s v="pagado"/>
    <x v="0"/>
    <x v="0"/>
  </r>
  <r>
    <n v="3000001307"/>
    <d v="2025-09-16T00:00:00"/>
    <n v="10000000"/>
    <s v="RODRIGUEZ NESTOR HORACIO YERBA BUENA 14"/>
    <x v="602"/>
    <n v="10000000"/>
    <x v="103"/>
    <x v="1"/>
    <s v="pagado"/>
    <s v="pagado"/>
    <x v="0"/>
    <x v="0"/>
  </r>
  <r>
    <n v="3000001307"/>
    <d v="2025-09-16T00:00:00"/>
    <n v="10704157.6"/>
    <s v="RODRIGUEZ NESTOR HORACIO YERBA BUENA 14"/>
    <x v="603"/>
    <n v="10704157.6"/>
    <x v="104"/>
    <x v="1"/>
    <s v="pagado"/>
    <s v="pagado"/>
    <x v="0"/>
    <x v="0"/>
  </r>
  <r>
    <n v="3000001308"/>
    <d v="2025-09-16T00:00:00"/>
    <n v="6172031.25"/>
    <s v="Medina Lauro Jose Las Cejas 14"/>
    <x v="604"/>
    <n v="6172031.25"/>
    <x v="103"/>
    <x v="1"/>
    <s v="pagado"/>
    <s v="pagado"/>
    <x v="0"/>
    <x v="0"/>
  </r>
  <r>
    <n v="3000001309"/>
    <d v="2025-09-16T00:00:00"/>
    <n v="4405509.5999999996"/>
    <s v="VERON MARIANA BEATRIZ NUEVA ESPERANZA 13"/>
    <x v="605"/>
    <n v="4405509.5999999996"/>
    <x v="103"/>
    <x v="1"/>
    <s v="pagado"/>
    <s v="pagado"/>
    <x v="0"/>
    <x v="0"/>
  </r>
  <r>
    <n v="3000001310"/>
    <d v="2025-09-16T00:00:00"/>
    <n v="10000000"/>
    <s v="MOYANO JULIO CESAR BANDA DEL RIO SALI 14"/>
    <x v="606"/>
    <n v="10000000"/>
    <x v="103"/>
    <x v="1"/>
    <s v="pagado"/>
    <s v="pagado"/>
    <x v="0"/>
    <x v="0"/>
  </r>
  <r>
    <n v="3000001310"/>
    <d v="2025-09-16T00:00:00"/>
    <n v="11156149.09"/>
    <s v="MOYANO JULIO CESAR BANDA DEL RIO SALI 14"/>
    <x v="607"/>
    <n v="11156149.09"/>
    <x v="104"/>
    <x v="1"/>
    <s v="pagado"/>
    <s v="pagado"/>
    <x v="0"/>
    <x v="0"/>
  </r>
  <r>
    <n v="3000001311"/>
    <d v="2025-09-16T00:00:00"/>
    <n v="10000000"/>
    <s v="TRANSPORTE Y LOGISTICA DEL ESTLAS CEJAS 14"/>
    <x v="608"/>
    <n v="10000000"/>
    <x v="103"/>
    <x v="1"/>
    <s v="pagado"/>
    <s v="pagado"/>
    <x v="0"/>
    <x v="0"/>
  </r>
  <r>
    <n v="3000001311"/>
    <d v="2025-09-16T00:00:00"/>
    <n v="6759356.6399999997"/>
    <s v="TRANSPORTE Y LOGISTICA DEL ESTLAS CEJAS 14"/>
    <x v="609"/>
    <n v="6759356.6399999997"/>
    <x v="104"/>
    <x v="1"/>
    <s v="pagado"/>
    <s v="pagado"/>
    <x v="0"/>
    <x v="0"/>
  </r>
  <r>
    <n v="3000001312"/>
    <d v="2025-09-16T00:00:00"/>
    <n v="7015449.8300000001"/>
    <s v="ANTONACCI LUIS GABRIEL LA FLORIDA 14"/>
    <x v="610"/>
    <n v="7015449.8300000001"/>
    <x v="103"/>
    <x v="1"/>
    <s v="pagado"/>
    <s v="pagado"/>
    <x v="0"/>
    <x v="0"/>
  </r>
  <r>
    <n v="3000001313"/>
    <d v="2025-09-16T00:00:00"/>
    <n v="7186478.5300000003"/>
    <s v="LANGELLA JUAN RODOLFO ALDERETES 14"/>
    <x v="611"/>
    <n v="7186478.5300000003"/>
    <x v="103"/>
    <x v="1"/>
    <s v="pagado"/>
    <s v="pagado"/>
    <x v="0"/>
    <x v="0"/>
  </r>
  <r>
    <n v="3000001314"/>
    <d v="2025-09-16T00:00:00"/>
    <n v="7994938.0300000003"/>
    <s v="LOGISTICA DEL NORTE S.R.L. SAN MIGUEL DE TUCUMAN 14"/>
    <x v="612"/>
    <n v="7994938.0300000003"/>
    <x v="104"/>
    <x v="1"/>
    <s v="pagado"/>
    <s v="pagado"/>
    <x v="0"/>
    <x v="0"/>
  </r>
  <r>
    <n v="3000001315"/>
    <d v="2025-09-16T00:00:00"/>
    <n v="20000000"/>
    <s v="TRANSPORTE LUIS SANDOVAL S.A.SLOS VALLISTOS 14"/>
    <x v="613"/>
    <n v="20000000"/>
    <x v="103"/>
    <x v="1"/>
    <s v="pagado"/>
    <s v="pagado"/>
    <x v="0"/>
    <x v="0"/>
  </r>
  <r>
    <n v="3000001315"/>
    <d v="2025-09-16T00:00:00"/>
    <n v="15157314.5"/>
    <s v="TRANSPORTE LUIS SANDOVAL S.A.SLOS VALLISTOS 14"/>
    <x v="614"/>
    <n v="15157314.5"/>
    <x v="104"/>
    <x v="1"/>
    <s v="pagado"/>
    <s v="pagado"/>
    <x v="0"/>
    <x v="0"/>
  </r>
  <r>
    <n v="3000001320"/>
    <d v="2025-09-17T00:00:00"/>
    <n v="30000000"/>
    <s v="DANIEL MARCELO GUERRERO ALDERETES 14"/>
    <x v="615"/>
    <n v="30000000"/>
    <x v="104"/>
    <x v="1"/>
    <s v="pagado"/>
    <s v="pagado"/>
    <x v="0"/>
    <x v="0"/>
  </r>
  <r>
    <n v="3000001320"/>
    <d v="2025-09-17T00:00:00"/>
    <n v="30126240.390000001"/>
    <s v="DANIEL MARCELO GUERRERO ALDERETES 14"/>
    <x v="616"/>
    <n v="30126240.390000001"/>
    <x v="105"/>
    <x v="1"/>
    <s v="pagado"/>
    <s v="pagado"/>
    <x v="0"/>
    <x v="0"/>
  </r>
  <r>
    <n v="3000001321"/>
    <d v="2025-09-17T00:00:00"/>
    <n v="25000000"/>
    <s v="LAVENIA VITO CARMELO LASTENIA 14"/>
    <x v="617"/>
    <n v="25000000"/>
    <x v="104"/>
    <x v="1"/>
    <s v="pagado"/>
    <s v="pagado"/>
    <x v="0"/>
    <x v="0"/>
  </r>
  <r>
    <n v="3000001321"/>
    <d v="2025-09-17T00:00:00"/>
    <n v="28607991.440000001"/>
    <s v="LAVENIA VITO CARMELO LASTENIA 14"/>
    <x v="618"/>
    <n v="28607991.440000001"/>
    <x v="105"/>
    <x v="1"/>
    <s v="pagado"/>
    <s v="pagado"/>
    <x v="0"/>
    <x v="0"/>
  </r>
  <r>
    <n v="3000001318"/>
    <d v="2025-09-17T00:00:00"/>
    <n v="16532771.57"/>
    <s v="GOMEZ JESSICA NOELIA LAS TALITAS 14"/>
    <x v="619"/>
    <n v="16532771.57"/>
    <x v="104"/>
    <x v="1"/>
    <s v="pagado"/>
    <s v="pagado"/>
    <x v="0"/>
    <x v="0"/>
  </r>
  <r>
    <n v="3000001319"/>
    <d v="2025-09-17T00:00:00"/>
    <n v="12442844.939999999"/>
    <s v="JAVIER EDUARDO PRADO FLORIDA 13"/>
    <x v="620"/>
    <n v="12442844.939999999"/>
    <x v="104"/>
    <x v="1"/>
    <s v="pagado"/>
    <s v="pagado"/>
    <x v="0"/>
    <x v="0"/>
  </r>
  <r>
    <n v="3000001322"/>
    <d v="2025-09-18T00:00:00"/>
    <n v="49166150"/>
    <s v="EDET S.A. SAN MIGUEL DE TUCUMAN 14"/>
    <x v="621"/>
    <n v="49166150"/>
    <x v="106"/>
    <x v="1"/>
    <s v="pagado"/>
    <s v="pagado"/>
    <x v="0"/>
    <x v="0"/>
  </r>
  <r>
    <n v="3000000602"/>
    <d v="2025-05-06T00:00:00"/>
    <n v="0"/>
    <s v="invalidado med.EOLIVERA -Destruido/ Sin uso"/>
    <x v="622"/>
    <n v="0"/>
    <x v="107"/>
    <x v="1"/>
    <s v="no pagado"/>
    <s v="fuera de fecha"/>
    <x v="0"/>
    <x v="0"/>
  </r>
  <r>
    <n v="3000001338"/>
    <d v="2025-09-22T00:00:00"/>
    <n v="6129508.2599999998"/>
    <s v="BERCOVICH COMERCIAL SAS SAN MIGUEL DE TUCUMAN 14"/>
    <x v="623"/>
    <n v="6129508.2599999998"/>
    <x v="108"/>
    <x v="1"/>
    <s v="pagado"/>
    <s v="pagado"/>
    <x v="0"/>
    <x v="0"/>
  </r>
  <r>
    <n v="3000001339"/>
    <d v="2025-09-22T00:00:00"/>
    <n v="5851343.4000000004"/>
    <s v="ZALAZAR ATTIS LOURDES NOEMI NUEVA ESPERANZA 13"/>
    <x v="624"/>
    <n v="5851343.4000000004"/>
    <x v="108"/>
    <x v="1"/>
    <s v="pagado"/>
    <s v="pagado"/>
    <x v="0"/>
    <x v="0"/>
  </r>
  <r>
    <n v="3000001340"/>
    <d v="2025-09-22T00:00:00"/>
    <n v="11000000"/>
    <s v="AYALA HERNAN OSVALDO SAN MIGUEL DE TUCUMAN 14"/>
    <x v="625"/>
    <n v="11000000"/>
    <x v="108"/>
    <x v="1"/>
    <s v="pagado"/>
    <s v="pagado"/>
    <x v="0"/>
    <x v="0"/>
  </r>
  <r>
    <n v="3000001340"/>
    <d v="2025-09-22T00:00:00"/>
    <n v="5228245.2300000004"/>
    <s v="AYALA HERNAN OSVALDO SAN MIGUEL DE TUCUMAN 14"/>
    <x v="626"/>
    <n v="5228245.2300000004"/>
    <x v="108"/>
    <x v="1"/>
    <s v="pagado"/>
    <s v="pagado"/>
    <x v="0"/>
    <x v="0"/>
  </r>
  <r>
    <n v="3000001341"/>
    <d v="2025-09-22T00:00:00"/>
    <n v="7606584"/>
    <s v="VERON MARIANA BEATRIZ NUEVA ESPERANZA 13"/>
    <x v="627"/>
    <n v="7606584"/>
    <x v="108"/>
    <x v="1"/>
    <s v="pagado"/>
    <s v="pagado"/>
    <x v="0"/>
    <x v="0"/>
  </r>
  <r>
    <n v="3000001342"/>
    <d v="2025-09-22T00:00:00"/>
    <n v="13511780.1"/>
    <s v="JAVIER EDUARDO PRADO FLORIDA 13"/>
    <x v="628"/>
    <n v="13511780.1"/>
    <x v="108"/>
    <x v="1"/>
    <s v="pagado"/>
    <s v="pagado"/>
    <x v="0"/>
    <x v="0"/>
  </r>
  <r>
    <n v="3000001343"/>
    <d v="2025-09-22T00:00:00"/>
    <n v="6641067.7999999998"/>
    <s v="LOGISTICA DEL NORTE S.R.L. SAN MIGUEL DE TUCUMAN 14"/>
    <x v="629"/>
    <n v="6641067.7999999998"/>
    <x v="108"/>
    <x v="1"/>
    <s v="pagado"/>
    <s v="pagado"/>
    <x v="0"/>
    <x v="0"/>
  </r>
  <r>
    <n v="3000001344"/>
    <d v="2025-09-22T00:00:00"/>
    <n v="9531186.1799999997"/>
    <s v="GOMEZ JESSICA NOELIA LAS TALITAS 14"/>
    <x v="630"/>
    <n v="9531186.1799999997"/>
    <x v="108"/>
    <x v="1"/>
    <s v="pagado"/>
    <s v="pagado"/>
    <x v="0"/>
    <x v="0"/>
  </r>
  <r>
    <n v="3000001345"/>
    <d v="2025-09-22T00:00:00"/>
    <n v="23192768.780000001"/>
    <s v="LOGISTICA CENTRO S.R.L CORONDA 12"/>
    <x v="631"/>
    <n v="23192768.780000001"/>
    <x v="108"/>
    <x v="1"/>
    <s v="pagado"/>
    <s v="pagado"/>
    <x v="0"/>
    <x v="0"/>
  </r>
  <r>
    <n v="3000001346"/>
    <d v="2025-09-22T00:00:00"/>
    <n v="5325635.8600000003"/>
    <s v="BERNADAL SERGIO RODOLFO BANDA DEL RIO SALI- TUCUMAN 14"/>
    <x v="632"/>
    <n v="5325635.8600000003"/>
    <x v="108"/>
    <x v="1"/>
    <s v="pagado"/>
    <s v="pagado"/>
    <x v="0"/>
    <x v="0"/>
  </r>
  <r>
    <n v="3000001347"/>
    <d v="2025-09-22T00:00:00"/>
    <n v="8895626.3399999999"/>
    <s v="ABUT TRANSPORTES SA CENTENO 12"/>
    <x v="633"/>
    <n v="8895626.3399999999"/>
    <x v="108"/>
    <x v="1"/>
    <s v="pagado"/>
    <s v="pagado"/>
    <x v="0"/>
    <x v="0"/>
  </r>
  <r>
    <n v="3000001348"/>
    <d v="2025-09-22T00:00:00"/>
    <n v="7862534.2800000003"/>
    <s v="PAIS WALTER LUIS SAN MIGUEL DE TUCUMAN 14"/>
    <x v="634"/>
    <n v="7862534.2800000003"/>
    <x v="108"/>
    <x v="1"/>
    <s v="pagado"/>
    <s v="pagado"/>
    <x v="0"/>
    <x v="0"/>
  </r>
  <r>
    <n v="3000001349"/>
    <d v="2025-09-22T00:00:00"/>
    <n v="3467036.5"/>
    <s v="MARCOS SCHMUKLER S.A SAN SALVADOR 05"/>
    <x v="635"/>
    <n v="3467036.5"/>
    <x v="108"/>
    <x v="1"/>
    <s v="pagado"/>
    <s v="pagado"/>
    <x v="0"/>
    <x v="0"/>
  </r>
  <r>
    <n v="3000001350"/>
    <d v="2025-09-22T00:00:00"/>
    <n v="8525266.1999999993"/>
    <s v="MOYANO JULIO CESAR BANDA DEL RIO SALI 14"/>
    <x v="636"/>
    <n v="8525266.1999999993"/>
    <x v="108"/>
    <x v="1"/>
    <s v="pagado"/>
    <s v="pagado"/>
    <x v="0"/>
    <x v="0"/>
  </r>
  <r>
    <n v="3000001362"/>
    <d v="2025-09-23T00:00:00"/>
    <n v="2263272.7799999998"/>
    <s v="FLETES Y SERVICIOS PUJATO S.A PUJATO 12"/>
    <x v="637"/>
    <n v="2263272.7799999998"/>
    <x v="108"/>
    <x v="1"/>
    <s v="pagado"/>
    <s v="pagado"/>
    <x v="0"/>
    <x v="0"/>
  </r>
  <r>
    <n v="3000001363"/>
    <d v="2025-09-23T00:00:00"/>
    <n v="15000000"/>
    <s v="TRANSPORTE BARBERAN HNOS SRL CHABAS 12"/>
    <x v="638"/>
    <n v="15000000"/>
    <x v="108"/>
    <x v="1"/>
    <s v="pagado"/>
    <s v="pagado"/>
    <x v="0"/>
    <x v="0"/>
  </r>
  <r>
    <n v="3000001363"/>
    <d v="2025-09-23T00:00:00"/>
    <n v="14659530.25"/>
    <s v="TRANSPORTE BARBERAN HNOS SRL CHABAS 12"/>
    <x v="639"/>
    <n v="14659530.25"/>
    <x v="109"/>
    <x v="1"/>
    <s v="pagado"/>
    <s v="pagado"/>
    <x v="0"/>
    <x v="0"/>
  </r>
  <r>
    <n v="3000001364"/>
    <d v="2025-09-23T00:00:00"/>
    <n v="3417060.81"/>
    <s v="BUSTOS CESAR ANIBAL BANDAL DE RIO SALI 14"/>
    <x v="640"/>
    <n v="3417060.81"/>
    <x v="108"/>
    <x v="1"/>
    <s v="pagado"/>
    <s v="pagado"/>
    <x v="0"/>
    <x v="0"/>
  </r>
  <r>
    <n v="3000001365"/>
    <d v="2025-09-23T00:00:00"/>
    <n v="7283390.4000000004"/>
    <s v="TRANSPORTE Y LOGISTICA DEL ESTLAS CEJAS 14"/>
    <x v="641"/>
    <n v="7283390.4000000004"/>
    <x v="108"/>
    <x v="1"/>
    <s v="pagado"/>
    <s v="pagado"/>
    <x v="0"/>
    <x v="0"/>
  </r>
  <r>
    <n v="3000001366"/>
    <d v="2025-09-23T00:00:00"/>
    <n v="3562049.92"/>
    <s v="TRANSPORTE RAUL S.R.L SAN MIGUEL DE TUCUMAN 14"/>
    <x v="642"/>
    <n v="3562049.92"/>
    <x v="108"/>
    <x v="1"/>
    <s v="pagado"/>
    <s v="pagado"/>
    <x v="0"/>
    <x v="0"/>
  </r>
  <r>
    <n v="3000001367"/>
    <d v="2025-09-23T00:00:00"/>
    <n v="13000000"/>
    <s v="LANGELLA JUAN RODOLFO ALDERETES 14"/>
    <x v="643"/>
    <n v="13000000"/>
    <x v="108"/>
    <x v="1"/>
    <s v="pagado"/>
    <s v="pagado"/>
    <x v="0"/>
    <x v="0"/>
  </r>
  <r>
    <n v="3000001367"/>
    <d v="2025-09-23T00:00:00"/>
    <n v="10014781.220000001"/>
    <s v="LANGELLA JUAN RODOLFO ALDERETES 14"/>
    <x v="644"/>
    <n v="10014781.220000001"/>
    <x v="109"/>
    <x v="1"/>
    <s v="pagado"/>
    <s v="pagado"/>
    <x v="0"/>
    <x v="0"/>
  </r>
  <r>
    <n v="3000001368"/>
    <d v="2025-09-23T00:00:00"/>
    <n v="8302860.71"/>
    <s v="ANTONACCI LUIS GABRIEL LA FLORIDA 14"/>
    <x v="645"/>
    <n v="8302860.71"/>
    <x v="108"/>
    <x v="1"/>
    <s v="pagado"/>
    <s v="pagado"/>
    <x v="0"/>
    <x v="0"/>
  </r>
  <r>
    <n v="3000001369"/>
    <d v="2025-09-23T00:00:00"/>
    <n v="20000000"/>
    <s v="DANIEL MARCELO GUERRERO ALDERETES 14"/>
    <x v="646"/>
    <n v="20000000"/>
    <x v="108"/>
    <x v="1"/>
    <s v="pagado"/>
    <s v="pagado"/>
    <x v="0"/>
    <x v="0"/>
  </r>
  <r>
    <n v="3000001369"/>
    <d v="2025-09-23T00:00:00"/>
    <n v="17206381.899999999"/>
    <s v="DANIEL MARCELO GUERRERO ALDERETES 14"/>
    <x v="647"/>
    <n v="17206381.899999999"/>
    <x v="109"/>
    <x v="1"/>
    <s v="pagado"/>
    <s v="pagado"/>
    <x v="0"/>
    <x v="0"/>
  </r>
  <r>
    <n v="3000001370"/>
    <d v="2025-09-23T00:00:00"/>
    <n v="5132174.7300000004"/>
    <s v="ZIVILLICA JOSE LUIS SAN MIGUEL DE TUCUMAN 14"/>
    <x v="648"/>
    <n v="5132174.7300000004"/>
    <x v="108"/>
    <x v="1"/>
    <s v="pagado"/>
    <s v="pagado"/>
    <x v="0"/>
    <x v="0"/>
  </r>
  <r>
    <n v="3000001371"/>
    <d v="2025-09-23T00:00:00"/>
    <n v="3759369.3"/>
    <s v="JAVIER EDUARDO PRADO FLORIDA 13"/>
    <x v="649"/>
    <n v="3759369.3"/>
    <x v="108"/>
    <x v="1"/>
    <s v="pagado"/>
    <s v="pagado"/>
    <x v="0"/>
    <x v="0"/>
  </r>
  <r>
    <n v="3000001372"/>
    <d v="2025-09-23T00:00:00"/>
    <n v="3748248.52"/>
    <s v="BONURA CARLOS RUBEN LOS RALOS 14"/>
    <x v="650"/>
    <n v="3748248.52"/>
    <x v="108"/>
    <x v="1"/>
    <s v="pagado"/>
    <s v="pagado"/>
    <x v="0"/>
    <x v="0"/>
  </r>
  <r>
    <n v="3000001373"/>
    <d v="2025-09-23T00:00:00"/>
    <n v="3968181.02"/>
    <s v="ELIAS LUCIANO EMANUEL LAS TALITAS 14"/>
    <x v="651"/>
    <n v="3968181.02"/>
    <x v="108"/>
    <x v="1"/>
    <s v="pagado"/>
    <s v="pagado"/>
    <x v="0"/>
    <x v="0"/>
  </r>
  <r>
    <n v="3000001374"/>
    <d v="2025-09-23T00:00:00"/>
    <n v="7477506.9000000004"/>
    <s v="LOGISTICA DEL NORTE S.R.L. SAN MIGUEL DE TUCUMAN 14"/>
    <x v="652"/>
    <n v="7477506.9000000004"/>
    <x v="108"/>
    <x v="1"/>
    <s v="pagado"/>
    <s v="pagado"/>
    <x v="0"/>
    <x v="0"/>
  </r>
  <r>
    <n v="3000001386"/>
    <d v="2025-09-29T00:00:00"/>
    <n v="8382124.0199999996"/>
    <s v="LAVENIA VITO CARMELO LASTENIA 14"/>
    <x v="653"/>
    <n v="8382124.0199999996"/>
    <x v="110"/>
    <x v="1"/>
    <s v="pagado"/>
    <s v="pagado"/>
    <x v="0"/>
    <x v="0"/>
  </r>
  <r>
    <n v="3000001387"/>
    <d v="2025-09-29T00:00:00"/>
    <n v="4594030.68"/>
    <s v="GUIFFREY MARCELO GUSTAVO VILLA ELISA 05"/>
    <x v="654"/>
    <n v="4594030.68"/>
    <x v="110"/>
    <x v="1"/>
    <s v="pagado"/>
    <s v="pagado"/>
    <x v="0"/>
    <x v="0"/>
  </r>
  <r>
    <n v="3000001388"/>
    <d v="2025-09-29T00:00:00"/>
    <n v="5216965.05"/>
    <s v="MOYANO SERGIO ESTEBAN BANDA DEL RIO SALI 14"/>
    <x v="655"/>
    <n v="5216965.05"/>
    <x v="110"/>
    <x v="1"/>
    <s v="pagado"/>
    <s v="pagado"/>
    <x v="0"/>
    <x v="0"/>
  </r>
  <r>
    <n v="3000001389"/>
    <d v="2025-09-29T00:00:00"/>
    <n v="9472784.8399999999"/>
    <s v="TECNOMYL SA CORDOBA 03"/>
    <x v="656"/>
    <n v="9472784.8399999999"/>
    <x v="110"/>
    <x v="1"/>
    <s v="pagado"/>
    <s v="pagado"/>
    <x v="0"/>
    <x v="0"/>
  </r>
  <r>
    <n v="3000001390"/>
    <d v="2025-09-29T00:00:00"/>
    <n v="9878343.4000000004"/>
    <s v="GOMEZ MANUEL ARCENIO METAN 09"/>
    <x v="657"/>
    <n v="9878343.4000000004"/>
    <x v="110"/>
    <x v="1"/>
    <s v="pagado"/>
    <s v="pagado"/>
    <x v="0"/>
    <x v="0"/>
  </r>
  <r>
    <n v="3000001405"/>
    <d v="2025-10-02T00:00:00"/>
    <n v="4800085.4800000004"/>
    <s v="AGROGANADERA DEL NOA CEVIL POZO 14"/>
    <x v="658"/>
    <n v="4800085.4800000004"/>
    <x v="111"/>
    <x v="1"/>
    <s v="pagado"/>
    <s v="pagado"/>
    <x v="0"/>
    <x v="0"/>
  </r>
  <r>
    <n v="3000001405"/>
    <d v="2025-10-02T00:00:00"/>
    <n v="2849769.42"/>
    <s v="AGROGANADERA DEL NOA CEVIL POZO 14"/>
    <x v="659"/>
    <n v="2849769.42"/>
    <x v="111"/>
    <x v="1"/>
    <s v="pagado"/>
    <s v="pagado"/>
    <x v="0"/>
    <x v="0"/>
  </r>
  <r>
    <n v="3000001405"/>
    <d v="2025-10-02T00:00:00"/>
    <n v="4469189.8"/>
    <s v="AGROGANADERA DEL NOA CEVIL POZO 14"/>
    <x v="660"/>
    <n v="4469189.8"/>
    <x v="111"/>
    <x v="1"/>
    <s v="pagado"/>
    <s v="pagado"/>
    <x v="0"/>
    <x v="0"/>
  </r>
  <r>
    <n v="3000001405"/>
    <d v="2025-10-02T00:00:00"/>
    <n v="2011253.4"/>
    <s v="AGROGANADERA DEL NOA CEVIL POZO 14"/>
    <x v="661"/>
    <n v="2011253.4"/>
    <x v="111"/>
    <x v="1"/>
    <s v="pagado"/>
    <s v="pagado"/>
    <x v="0"/>
    <x v="0"/>
  </r>
  <r>
    <n v="3000001405"/>
    <d v="2025-10-02T00:00:00"/>
    <n v="2271062.5099999998"/>
    <s v="AGROGANADERA DEL NOA CEVIL POZO 14"/>
    <x v="662"/>
    <n v="2271062.5099999998"/>
    <x v="111"/>
    <x v="1"/>
    <s v="pagado"/>
    <s v="pagado"/>
    <x v="0"/>
    <x v="0"/>
  </r>
  <r>
    <n v="3000001405"/>
    <d v="2025-10-02T00:00:00"/>
    <n v="1603095.06"/>
    <s v="AGROGANADERA DEL NOA CEVIL POZO 14"/>
    <x v="663"/>
    <n v="1603095.06"/>
    <x v="111"/>
    <x v="1"/>
    <s v="pagado"/>
    <s v="pagado"/>
    <x v="0"/>
    <x v="0"/>
  </r>
  <r>
    <n v="3000001405"/>
    <d v="2025-10-02T00:00:00"/>
    <n v="107932.1"/>
    <s v="AGROGANADERA DEL NOA CEVIL POZO 14"/>
    <x v="664"/>
    <n v="107932.1"/>
    <x v="111"/>
    <x v="1"/>
    <s v="pagado"/>
    <s v="pagado"/>
    <x v="0"/>
    <x v="0"/>
  </r>
  <r>
    <n v="3000001415"/>
    <d v="2025-10-06T00:00:00"/>
    <n v="112710920"/>
    <s v="EL PIONERO SAS TUCUMAN 14"/>
    <x v="665"/>
    <n v="112710920"/>
    <x v="112"/>
    <x v="1"/>
    <s v="pagado"/>
    <s v="pagado"/>
    <x v="0"/>
    <x v="0"/>
  </r>
  <r>
    <n v="3000001416"/>
    <d v="2025-10-06T00:00:00"/>
    <n v="364044267.37"/>
    <s v="UPL ARGENTINA S.A. CIUDAD AUTONOMA BUENOS AIRES 01"/>
    <x v="666"/>
    <n v="364044267.37"/>
    <x v="113"/>
    <x v="1"/>
    <s v="pagado"/>
    <s v="pagado"/>
    <x v="0"/>
    <x v="0"/>
  </r>
  <r>
    <n v="3000001417"/>
    <d v="2025-10-06T00:00:00"/>
    <n v="3000000"/>
    <s v="Pulmajo S.R.L. CONCEPCION 14"/>
    <x v="667"/>
    <n v="3000000"/>
    <x v="114"/>
    <x v="1"/>
    <s v="pagado"/>
    <s v="pagado"/>
    <x v="0"/>
    <x v="0"/>
  </r>
  <r>
    <n v="3000001417"/>
    <d v="2025-10-06T00:00:00"/>
    <n v="3000000"/>
    <s v="Pulmajo S.R.L. CONCEPCION 14"/>
    <x v="668"/>
    <n v="3000000"/>
    <x v="114"/>
    <x v="1"/>
    <s v="pagado"/>
    <s v="pagado"/>
    <x v="0"/>
    <x v="0"/>
  </r>
  <r>
    <n v="3000001417"/>
    <d v="2025-10-06T00:00:00"/>
    <n v="10703682.9"/>
    <s v="Pulmajo S.R.L. CONCEPCION 14"/>
    <x v="669"/>
    <n v="10703682.9"/>
    <x v="115"/>
    <x v="1"/>
    <s v="pagado"/>
    <s v="pagado"/>
    <x v="0"/>
    <x v="0"/>
  </r>
  <r>
    <n v="3000001418"/>
    <d v="2025-10-06T00:00:00"/>
    <n v="8300748.5099999998"/>
    <s v="Remetal S.A. SAN MIGUEL DE TUCUMAN 14"/>
    <x v="670"/>
    <n v="8300748.5099999998"/>
    <x v="114"/>
    <x v="1"/>
    <s v="pagado"/>
    <s v="pagado"/>
    <x v="0"/>
    <x v="0"/>
  </r>
  <r>
    <n v="3000001419"/>
    <d v="2025-10-06T00:00:00"/>
    <n v="13048670"/>
    <s v="RODRIGUEZ NESTOR HORACIO YERBA BUENA 14"/>
    <x v="671"/>
    <n v="13048670"/>
    <x v="114"/>
    <x v="1"/>
    <s v="pagado"/>
    <s v="pagado"/>
    <x v="0"/>
    <x v="0"/>
  </r>
  <r>
    <n v="3000001420"/>
    <d v="2025-10-06T00:00:00"/>
    <n v="20000000"/>
    <s v="AYALA WALTER DANIEL ALDERETES 14"/>
    <x v="672"/>
    <n v="20000000"/>
    <x v="114"/>
    <x v="1"/>
    <s v="pagado"/>
    <s v="pagado"/>
    <x v="0"/>
    <x v="0"/>
  </r>
  <r>
    <n v="3000001420"/>
    <d v="2025-10-06T00:00:00"/>
    <n v="17311631.879999999"/>
    <s v="AYALA WALTER DANIEL ALDERETES 14"/>
    <x v="673"/>
    <n v="17311631.879999999"/>
    <x v="115"/>
    <x v="1"/>
    <s v="pagado"/>
    <s v="pagado"/>
    <x v="0"/>
    <x v="0"/>
  </r>
  <r>
    <n v="3000001421"/>
    <d v="2025-10-06T00:00:00"/>
    <n v="10000000"/>
    <s v="ROMAN BARCELO Y JORGE CARRERASLAS LAJITAS 09"/>
    <x v="674"/>
    <n v="10000000"/>
    <x v="114"/>
    <x v="1"/>
    <s v="pagado"/>
    <s v="pagado"/>
    <x v="0"/>
    <x v="0"/>
  </r>
  <r>
    <n v="3000001421"/>
    <d v="2025-10-06T00:00:00"/>
    <n v="10399918.449999999"/>
    <s v="ROMAN BARCELO Y JORGE CARRERASLAS LAJITAS 09"/>
    <x v="675"/>
    <n v="10399918.449999999"/>
    <x v="115"/>
    <x v="1"/>
    <s v="pagado"/>
    <s v="pagado"/>
    <x v="0"/>
    <x v="0"/>
  </r>
  <r>
    <n v="3000001422"/>
    <d v="2025-10-06T00:00:00"/>
    <n v="5090117.5199999996"/>
    <s v="Laborda Carlos SAN MIGUEL DE TUCUMAN 14"/>
    <x v="676"/>
    <n v="5090117.5199999996"/>
    <x v="114"/>
    <x v="1"/>
    <s v="pagado"/>
    <s v="pagado"/>
    <x v="0"/>
    <x v="0"/>
  </r>
  <r>
    <n v="3000001423"/>
    <d v="2025-10-06T00:00:00"/>
    <n v="7217461.2000000002"/>
    <s v="JAVIER EDUARDO PRADO FLORIDA 13"/>
    <x v="677"/>
    <n v="7217461.2000000002"/>
    <x v="114"/>
    <x v="1"/>
    <s v="pagado"/>
    <s v="pagado"/>
    <x v="0"/>
    <x v="0"/>
  </r>
  <r>
    <n v="3000001424"/>
    <d v="2025-10-06T00:00:00"/>
    <n v="3740282.51"/>
    <s v="ENTREGAS SERDEN S.R.L SAN LORENZO 12"/>
    <x v="678"/>
    <n v="3740282.51"/>
    <x v="114"/>
    <x v="1"/>
    <s v="pagado"/>
    <s v="pagado"/>
    <x v="0"/>
    <x v="0"/>
  </r>
  <r>
    <n v="3000001435"/>
    <d v="2025-10-07T00:00:00"/>
    <n v="7731452.1200000001"/>
    <s v="TRANS-MAGG S.R.L ACEBAL 12"/>
    <x v="679"/>
    <n v="7731452.1200000001"/>
    <x v="115"/>
    <x v="1"/>
    <s v="pagado"/>
    <s v="pagado"/>
    <x v="0"/>
    <x v="0"/>
  </r>
  <r>
    <n v="3000001436"/>
    <d v="2025-10-07T00:00:00"/>
    <n v="4924607.49"/>
    <s v="PAIS WALTER LUIS SAN MIGUEL DE TUCUMAN 14"/>
    <x v="680"/>
    <n v="4924607.49"/>
    <x v="115"/>
    <x v="1"/>
    <s v="pagado"/>
    <s v="pagado"/>
    <x v="0"/>
    <x v="0"/>
  </r>
  <r>
    <n v="3000001437"/>
    <d v="2025-10-07T00:00:00"/>
    <n v="35440366.340000004"/>
    <s v="TRANSPORTE BARBERAN HNOS SRL CHABAS 12"/>
    <x v="681"/>
    <n v="35440366.340000004"/>
    <x v="116"/>
    <x v="1"/>
    <s v="pagado"/>
    <s v="pagado"/>
    <x v="0"/>
    <x v="0"/>
  </r>
  <r>
    <n v="3000001438"/>
    <d v="2025-10-07T00:00:00"/>
    <n v="7834782.79"/>
    <s v="GOMEZ JESSICA NOELIA LAS TALITAS 14"/>
    <x v="682"/>
    <n v="7834782.79"/>
    <x v="116"/>
    <x v="1"/>
    <s v="pagado"/>
    <s v="pagado"/>
    <x v="0"/>
    <x v="0"/>
  </r>
  <r>
    <n v="3000001439"/>
    <d v="2025-10-07T00:00:00"/>
    <n v="11619490.92"/>
    <s v="TRANSPORTE LUIS SANDOVAL S.A.SLOS VALLISTOS 14"/>
    <x v="683"/>
    <n v="11619490.92"/>
    <x v="116"/>
    <x v="1"/>
    <s v="pagado"/>
    <s v="pagado"/>
    <x v="0"/>
    <x v="0"/>
  </r>
  <r>
    <n v="3000001440"/>
    <d v="2025-10-07T00:00:00"/>
    <n v="1947854.05"/>
    <s v="ABUT TRANSPORTES SA CENTENO 12"/>
    <x v="684"/>
    <n v="1947854.05"/>
    <x v="115"/>
    <x v="1"/>
    <s v="pagado"/>
    <s v="pagado"/>
    <x v="0"/>
    <x v="0"/>
  </r>
  <r>
    <n v="3000001442"/>
    <d v="2025-10-09T00:00:00"/>
    <n v="5426024.8600000003"/>
    <s v="Suc. de Ventimiglia Nelly IrmJesus Maria 03"/>
    <x v="685"/>
    <n v="5426024.8600000003"/>
    <x v="115"/>
    <x v="1"/>
    <s v="pagado"/>
    <s v="pagado"/>
    <x v="0"/>
    <x v="0"/>
  </r>
  <r>
    <n v="3000001451"/>
    <d v="2025-10-13T00:00:00"/>
    <n v="38337990"/>
    <s v="EDET S.A. SAN MIGUEL DE TUCUMAN 14"/>
    <x v="686"/>
    <n v="38337990"/>
    <x v="116"/>
    <x v="1"/>
    <s v="pagado"/>
    <s v="pagado"/>
    <x v="0"/>
    <x v="0"/>
  </r>
  <r>
    <n v="3000001448"/>
    <d v="2025-10-13T00:00:00"/>
    <n v="6291666"/>
    <s v="VERON MARIANA BEATRIZ NUEVA ESPERANZA 13"/>
    <x v="687"/>
    <n v="6291666"/>
    <x v="117"/>
    <x v="1"/>
    <s v="pagado"/>
    <s v="pagado"/>
    <x v="0"/>
    <x v="0"/>
  </r>
  <r>
    <n v="3000001449"/>
    <d v="2025-10-13T00:00:00"/>
    <n v="4084635.32"/>
    <s v="Aso, Eduardo SAN MIGUEL DE TUCUMAN 14"/>
    <x v="688"/>
    <n v="4084635.32"/>
    <x v="117"/>
    <x v="1"/>
    <s v="pagado"/>
    <s v="pagado"/>
    <x v="0"/>
    <x v="0"/>
  </r>
  <r>
    <n v="3000001450"/>
    <d v="2025-10-13T00:00:00"/>
    <n v="6637001.8499999996"/>
    <s v="Suc. de Ventimiglia Nelly IrmJesus Maria 03"/>
    <x v="689"/>
    <n v="6637001.8499999996"/>
    <x v="118"/>
    <x v="1"/>
    <s v="pagado"/>
    <s v="pagado"/>
    <x v="0"/>
    <x v="0"/>
  </r>
  <r>
    <n v="3000001464"/>
    <d v="2025-10-15T00:00:00"/>
    <n v="5707560.7999999998"/>
    <s v="Transporte Coronda S.A. CORDOBA 03"/>
    <x v="690"/>
    <n v="5707560.7999999998"/>
    <x v="119"/>
    <x v="1"/>
    <s v="pagado"/>
    <s v="pagado"/>
    <x v="0"/>
    <x v="0"/>
  </r>
  <r>
    <n v="3000001465"/>
    <d v="2025-10-15T00:00:00"/>
    <n v="11109319.560000001"/>
    <s v="LAVENIA VITO CARMELO LASTENIA 14"/>
    <x v="691"/>
    <n v="11109319.560000001"/>
    <x v="119"/>
    <x v="1"/>
    <s v="pagado"/>
    <s v="pagado"/>
    <x v="0"/>
    <x v="0"/>
  </r>
  <r>
    <n v="3000001466"/>
    <d v="2025-10-15T00:00:00"/>
    <n v="1821914.78"/>
    <s v="LOGISTICA CENTRO S.R.L CORONDA 12"/>
    <x v="692"/>
    <n v="1821914.78"/>
    <x v="119"/>
    <x v="1"/>
    <s v="pagado"/>
    <s v="pagado"/>
    <x v="0"/>
    <x v="0"/>
  </r>
  <r>
    <n v="3000001467"/>
    <d v="2025-10-15T00:00:00"/>
    <n v="3923970.88"/>
    <s v="TRANSPORTE RAUL S.R.L SAN MIGUEL DE TUCUMAN 14"/>
    <x v="693"/>
    <n v="3923970.88"/>
    <x v="119"/>
    <x v="1"/>
    <s v="pagado"/>
    <s v="pagado"/>
    <x v="0"/>
    <x v="0"/>
  </r>
  <r>
    <n v="3000001468"/>
    <d v="2025-10-15T00:00:00"/>
    <n v="2440915.39"/>
    <s v="CARLI SERGIO EDUARDO SANTA FE 12"/>
    <x v="694"/>
    <n v="2440915.39"/>
    <x v="119"/>
    <x v="1"/>
    <s v="pagado"/>
    <s v="pagado"/>
    <x v="0"/>
    <x v="0"/>
  </r>
  <r>
    <n v="3000001483"/>
    <d v="2025-10-20T00:00:00"/>
    <n v="25000000"/>
    <s v="AYALA HERNAN OSVALDO SAN MIGUEL DE TUCUMAN 14"/>
    <x v="695"/>
    <n v="25000000"/>
    <x v="120"/>
    <x v="1"/>
    <s v="pagado"/>
    <s v="pagado"/>
    <x v="0"/>
    <x v="0"/>
  </r>
  <r>
    <n v="3000001483"/>
    <d v="2025-10-20T00:00:00"/>
    <n v="26433849.640000001"/>
    <s v="AYALA HERNAN OSVALDO SAN MIGUEL DE TUCUMAN 14"/>
    <x v="696"/>
    <n v="26433849.640000001"/>
    <x v="121"/>
    <x v="1"/>
    <s v="pagado"/>
    <s v="pagado"/>
    <x v="0"/>
    <x v="0"/>
  </r>
  <r>
    <n v="3000001479"/>
    <d v="2025-10-20T00:00:00"/>
    <n v="4285169.4000000004"/>
    <s v="SERVICOM S.R.L SAN MIGUEL DE TUCUMAN 14"/>
    <x v="697"/>
    <n v="4285169.4000000004"/>
    <x v="120"/>
    <x v="1"/>
    <s v="pagado"/>
    <s v="pagado"/>
    <x v="0"/>
    <x v="0"/>
  </r>
  <r>
    <n v="3000001480"/>
    <d v="2025-10-20T00:00:00"/>
    <n v="3679393.72"/>
    <s v="PETROANDINA S.R.L SALTA 09"/>
    <x v="698"/>
    <n v="3679393.72"/>
    <x v="120"/>
    <x v="1"/>
    <s v="pagado"/>
    <s v="pagado"/>
    <x v="0"/>
    <x v="0"/>
  </r>
  <r>
    <n v="3000001481"/>
    <d v="2025-10-20T00:00:00"/>
    <n v="11601224.17"/>
    <s v="DANIEL MARCELO GUERRERO ALDERETES 14"/>
    <x v="699"/>
    <n v="11601224.17"/>
    <x v="121"/>
    <x v="1"/>
    <s v="pagado"/>
    <s v="pagado"/>
    <x v="0"/>
    <x v="0"/>
  </r>
  <r>
    <n v="3000001482"/>
    <d v="2025-10-20T00:00:00"/>
    <n v="13210111.01"/>
    <s v="MOYANO JULIO CESAR BANDA DEL RIO SALI 14"/>
    <x v="700"/>
    <n v="13210111.01"/>
    <x v="120"/>
    <x v="1"/>
    <s v="pagado"/>
    <s v="pagado"/>
    <x v="0"/>
    <x v="0"/>
  </r>
  <r>
    <n v="3000001484"/>
    <d v="2025-10-20T00:00:00"/>
    <n v="5704320.4000000004"/>
    <s v="Pulverizaciones Tuninetti S.R.Las Rosas 01"/>
    <x v="701"/>
    <n v="5704320.4000000004"/>
    <x v="120"/>
    <x v="1"/>
    <s v="pagado"/>
    <s v="pagado"/>
    <x v="0"/>
    <x v="0"/>
  </r>
  <r>
    <n v="3000001485"/>
    <d v="2025-10-20T00:00:00"/>
    <n v="9938480.6500000004"/>
    <s v="ROMAN BARCELO Y JORGE CARRERASLAS LAJITAS 09"/>
    <x v="702"/>
    <n v="9938480.6500000004"/>
    <x v="121"/>
    <x v="1"/>
    <s v="pagado"/>
    <s v="pagado"/>
    <x v="0"/>
    <x v="0"/>
  </r>
  <r>
    <n v="3000001486"/>
    <d v="2025-10-20T00:00:00"/>
    <n v="5343191.45"/>
    <s v="Medina Lauro Jose Las Cejas 14"/>
    <x v="703"/>
    <n v="5343191.45"/>
    <x v="120"/>
    <x v="1"/>
    <s v="pagado"/>
    <s v="pagado"/>
    <x v="0"/>
    <x v="0"/>
  </r>
  <r>
    <n v="3000001487"/>
    <d v="2025-10-20T00:00:00"/>
    <n v="9878343.4000000004"/>
    <s v="GOMEZ MANUEL ARCENIO METAN 09"/>
    <x v="704"/>
    <n v="9878343.4000000004"/>
    <x v="120"/>
    <x v="1"/>
    <s v="pagado"/>
    <s v="pagado"/>
    <x v="0"/>
    <x v="0"/>
  </r>
  <r>
    <n v="3000001488"/>
    <d v="2025-10-20T00:00:00"/>
    <n v="8548637.4000000004"/>
    <s v="VERON MARIANA BEATRIZ NUEVA ESPERANZA 13"/>
    <x v="705"/>
    <n v="8548637.4000000004"/>
    <x v="121"/>
    <x v="1"/>
    <s v="pagado"/>
    <s v="pagado"/>
    <x v="0"/>
    <x v="0"/>
  </r>
  <r>
    <n v="3000001489"/>
    <d v="2025-10-21T00:00:00"/>
    <n v="3358543.4"/>
    <s v="SALTOS JOSUE GONZALO NUEVA ESPERANZA 13"/>
    <x v="706"/>
    <n v="3358543.4"/>
    <x v="120"/>
    <x v="1"/>
    <s v="pagado"/>
    <s v="pagado"/>
    <x v="0"/>
    <x v="0"/>
  </r>
  <r>
    <n v="3000001504"/>
    <d v="2025-10-21T00:00:00"/>
    <n v="3985630.18"/>
    <s v="LANGELLA JUAN RODOLFO ALDERETES 14"/>
    <x v="707"/>
    <n v="3985630.18"/>
    <x v="122"/>
    <x v="1"/>
    <s v="pagado"/>
    <s v="pagado"/>
    <x v="0"/>
    <x v="0"/>
  </r>
  <r>
    <n v="3000001505"/>
    <d v="2025-10-21T00:00:00"/>
    <n v="8575220.3300000001"/>
    <s v="FLETES Y SERVICIOS PUJATO S.A PUJATO 12"/>
    <x v="708"/>
    <n v="8575220.3300000001"/>
    <x v="122"/>
    <x v="1"/>
    <s v="pagado"/>
    <s v="pagado"/>
    <x v="0"/>
    <x v="0"/>
  </r>
  <r>
    <n v="3000001523"/>
    <d v="2025-10-27T00:00:00"/>
    <n v="23704931.199999999"/>
    <s v="EL IMPENETRABLE SRL CORRIENTES 04"/>
    <x v="709"/>
    <n v="23704931.199999999"/>
    <x v="123"/>
    <x v="1"/>
    <s v="pagado"/>
    <s v="pagado"/>
    <x v="0"/>
    <x v="0"/>
  </r>
  <r>
    <n v="3000001524"/>
    <d v="2025-10-27T00:00:00"/>
    <n v="6478426.6399999997"/>
    <s v="UPL ARGENTINA S.A. CIUDAD AUTONOMA BUENOS AIRES 01"/>
    <x v="710"/>
    <n v="6478426.6399999997"/>
    <x v="123"/>
    <x v="1"/>
    <s v="pagado"/>
    <s v="pagado"/>
    <x v="0"/>
    <x v="0"/>
  </r>
  <r>
    <n v="3000001525"/>
    <d v="2025-10-27T00:00:00"/>
    <n v="6971977.5999999996"/>
    <s v="LLANOS RAMON ROQUE SAN MIGUEL DE TUCUMAN 14"/>
    <x v="711"/>
    <n v="6971977.5999999996"/>
    <x v="124"/>
    <x v="1"/>
    <s v="pagado"/>
    <s v="pagado"/>
    <x v="0"/>
    <x v="0"/>
  </r>
  <r>
    <n v="3000001526"/>
    <d v="2025-10-27T00:00:00"/>
    <n v="12130546.34"/>
    <s v="RODRIGUEZ NESTOR HORACIO YERBA BUENA 14"/>
    <x v="712"/>
    <n v="12130546.34"/>
    <x v="124"/>
    <x v="1"/>
    <s v="pagado"/>
    <s v="pagado"/>
    <x v="0"/>
    <x v="0"/>
  </r>
  <r>
    <n v="3000001527"/>
    <d v="2025-10-27T00:00:00"/>
    <n v="5912174.3799999999"/>
    <s v="E y Po SRL CONCEPCION 14"/>
    <x v="713"/>
    <n v="5912174.3799999999"/>
    <x v="124"/>
    <x v="1"/>
    <s v="pagado"/>
    <s v="pagado"/>
    <x v="0"/>
    <x v="0"/>
  </r>
  <r>
    <n v="3000001545"/>
    <d v="2025-10-28T00:00:00"/>
    <n v="1854890.53"/>
    <s v="ALLENDE CECILIO ALBERTO GOBERNADOR FEBRE 05"/>
    <x v="714"/>
    <n v="1854890.53"/>
    <x v="125"/>
    <x v="1"/>
    <s v="pagado"/>
    <s v="pagado"/>
    <x v="0"/>
    <x v="0"/>
  </r>
  <r>
    <n v="3000001546"/>
    <d v="2025-10-28T00:00:00"/>
    <n v="2074384.33"/>
    <s v="UDRIZARD VIVIANA ISABEL CONCORDIA 05"/>
    <x v="715"/>
    <n v="2074384.33"/>
    <x v="125"/>
    <x v="1"/>
    <s v="pagado"/>
    <s v="pagado"/>
    <x v="0"/>
    <x v="0"/>
  </r>
  <r>
    <n v="3000001548"/>
    <d v="2025-10-28T00:00:00"/>
    <n v="2108359.89"/>
    <s v="LOGISTICA DEL NORTE S.R.L. SAN MIGUEL DE TUCUMAN 14"/>
    <x v="716"/>
    <n v="2108359.89"/>
    <x v="125"/>
    <x v="1"/>
    <s v="pagado"/>
    <s v="pagado"/>
    <x v="0"/>
    <x v="0"/>
  </r>
  <r>
    <n v="3000001549"/>
    <d v="2025-10-28T00:00:00"/>
    <n v="2146161.6"/>
    <s v="AGROTRANSPORTE ALDAO S.A. CAMILO ALDAO 03"/>
    <x v="717"/>
    <n v="2146161.6"/>
    <x v="125"/>
    <x v="1"/>
    <s v="pagado"/>
    <s v="pagado"/>
    <x v="0"/>
    <x v="0"/>
  </r>
  <r>
    <n v="3000001550"/>
    <d v="2025-10-28T00:00:00"/>
    <n v="14276852.279999999"/>
    <s v="LAVENIA VITO CARMELO LASTENIA 14"/>
    <x v="718"/>
    <n v="14276852.279999999"/>
    <x v="125"/>
    <x v="1"/>
    <s v="pagado"/>
    <s v="pagado"/>
    <x v="0"/>
    <x v="0"/>
  </r>
  <r>
    <n v="3000001551"/>
    <d v="2025-10-28T00:00:00"/>
    <n v="3704355.3"/>
    <s v="TRANSPORTE PRINCE SRL ROSARIO NORTE 12"/>
    <x v="719"/>
    <n v="3704355.3"/>
    <x v="125"/>
    <x v="1"/>
    <s v="pagado"/>
    <s v="pagado"/>
    <x v="0"/>
    <x v="0"/>
  </r>
  <r>
    <n v="3000001552"/>
    <d v="2025-10-28T00:00:00"/>
    <n v="11895147.6"/>
    <s v="LANGELLA JUAN RODOLFO ALDERETES 14"/>
    <x v="720"/>
    <n v="11895147.6"/>
    <x v="125"/>
    <x v="1"/>
    <s v="pagado"/>
    <s v="pagado"/>
    <x v="0"/>
    <x v="0"/>
  </r>
  <r>
    <n v="3000001553"/>
    <d v="2025-10-28T00:00:00"/>
    <n v="202741.1"/>
    <s v="Transportes La Sevillanita S.RALDERETES 14"/>
    <x v="721"/>
    <n v="202741.1"/>
    <x v="125"/>
    <x v="1"/>
    <s v="pagado"/>
    <s v="pagado"/>
    <x v="0"/>
    <x v="0"/>
  </r>
  <r>
    <n v="1200002278"/>
    <d v="2025-10-28T00:00:00"/>
    <n v="3221123.22"/>
    <s v="Cheque de terceros tucumán"/>
    <x v="722"/>
    <n v="3221123.22"/>
    <x v="126"/>
    <x v="1"/>
    <s v="pagado"/>
    <s v="pagado"/>
    <x v="0"/>
    <x v="0"/>
  </r>
  <r>
    <n v="1200002278"/>
    <d v="2025-10-28T00:00:00"/>
    <n v="2787518.88"/>
    <s v="Cheque de terceros tucumán"/>
    <x v="723"/>
    <n v="2787518.88"/>
    <x v="126"/>
    <x v="1"/>
    <s v="pagado"/>
    <s v="pagado"/>
    <x v="0"/>
    <x v="0"/>
  </r>
  <r>
    <n v="1200002278"/>
    <d v="2025-10-28T00:00:00"/>
    <n v="17194308.600000001"/>
    <s v="Cheque de terceros tucumán"/>
    <x v="724"/>
    <n v="17194308.600000001"/>
    <x v="126"/>
    <x v="1"/>
    <s v="pagado"/>
    <s v="pagado"/>
    <x v="0"/>
    <x v="0"/>
  </r>
  <r>
    <n v="1200002278"/>
    <d v="2025-10-28T00:00:00"/>
    <n v="2403128.15"/>
    <s v="Cheque de terceros tucumán"/>
    <x v="725"/>
    <n v="2403128.15"/>
    <x v="126"/>
    <x v="1"/>
    <s v="pagado"/>
    <s v="pagado"/>
    <x v="0"/>
    <x v="0"/>
  </r>
  <r>
    <n v="1200002278"/>
    <d v="2025-10-28T00:00:00"/>
    <n v="3242280.28"/>
    <s v="Cheque de terceros tucumán"/>
    <x v="726"/>
    <n v="3242280.28"/>
    <x v="126"/>
    <x v="1"/>
    <s v="pagado"/>
    <s v="pagado"/>
    <x v="0"/>
    <x v="0"/>
  </r>
  <r>
    <n v="1200002278"/>
    <d v="2025-10-28T00:00:00"/>
    <n v="3491274.95"/>
    <s v="Cheque de terceros tucumán"/>
    <x v="727"/>
    <n v="3491274.95"/>
    <x v="126"/>
    <x v="1"/>
    <s v="pagado"/>
    <s v="pagado"/>
    <x v="0"/>
    <x v="0"/>
  </r>
  <r>
    <n v="1200002278"/>
    <d v="2025-10-28T00:00:00"/>
    <n v="7953680"/>
    <s v="Cheque de terceros tucumán"/>
    <x v="728"/>
    <n v="7953680"/>
    <x v="126"/>
    <x v="1"/>
    <s v="pagado"/>
    <s v="pagado"/>
    <x v="0"/>
    <x v="0"/>
  </r>
  <r>
    <n v="1200002278"/>
    <d v="2025-10-28T00:00:00"/>
    <n v="4863520.83"/>
    <s v="Cheque de terceros tucumán"/>
    <x v="729"/>
    <n v="4863520.83"/>
    <x v="126"/>
    <x v="1"/>
    <s v="pagado"/>
    <s v="pagado"/>
    <x v="0"/>
    <x v="0"/>
  </r>
  <r>
    <n v="1200002278"/>
    <d v="2025-10-28T00:00:00"/>
    <n v="20624208"/>
    <s v="Cheque de terceros tucumán"/>
    <x v="730"/>
    <n v="20624208"/>
    <x v="126"/>
    <x v="1"/>
    <s v="pagado"/>
    <s v="pagado"/>
    <x v="0"/>
    <x v="0"/>
  </r>
  <r>
    <n v="1200002278"/>
    <d v="2025-10-28T00:00:00"/>
    <n v="12906740"/>
    <s v="Cheque de terceros tucumán"/>
    <x v="731"/>
    <n v="12906740"/>
    <x v="126"/>
    <x v="1"/>
    <s v="pagado"/>
    <s v="pagado"/>
    <x v="0"/>
    <x v="0"/>
  </r>
  <r>
    <n v="1200002278"/>
    <d v="2025-10-28T00:00:00"/>
    <n v="11376609.25"/>
    <s v="Cheque de terceros tucumán"/>
    <x v="732"/>
    <n v="11376609.25"/>
    <x v="126"/>
    <x v="1"/>
    <s v="pagado"/>
    <s v="pagado"/>
    <x v="0"/>
    <x v="0"/>
  </r>
  <r>
    <n v="1200002278"/>
    <d v="2025-10-28T00:00:00"/>
    <n v="11435731.02"/>
    <s v="Cheque de terceros tucumán"/>
    <x v="733"/>
    <n v="11435731.02"/>
    <x v="126"/>
    <x v="1"/>
    <s v="pagado"/>
    <s v="pagado"/>
    <x v="0"/>
    <x v="0"/>
  </r>
  <r>
    <n v="1200002278"/>
    <d v="2025-10-28T00:00:00"/>
    <n v="3898170.62"/>
    <s v="Cheque de terceros tucumán"/>
    <x v="734"/>
    <n v="3898170.62"/>
    <x v="126"/>
    <x v="1"/>
    <s v="pagado"/>
    <s v="pagado"/>
    <x v="0"/>
    <x v="0"/>
  </r>
  <r>
    <n v="1200002278"/>
    <d v="2025-10-28T00:00:00"/>
    <n v="18118532.5"/>
    <s v="Cheque de terceros tucumán"/>
    <x v="735"/>
    <n v="18118532.5"/>
    <x v="126"/>
    <x v="1"/>
    <s v="pagado"/>
    <s v="pagado"/>
    <x v="0"/>
    <x v="0"/>
  </r>
  <r>
    <n v="1200002278"/>
    <d v="2025-10-28T00:00:00"/>
    <n v="4926605"/>
    <s v="Cheque de terceros tucumán"/>
    <x v="736"/>
    <n v="4926605"/>
    <x v="126"/>
    <x v="1"/>
    <s v="pagado"/>
    <s v="pagado"/>
    <x v="0"/>
    <x v="0"/>
  </r>
  <r>
    <n v="1200002278"/>
    <d v="2025-10-28T00:00:00"/>
    <n v="6770820"/>
    <s v="Cheque de terceros tucumán"/>
    <x v="737"/>
    <n v="6770820"/>
    <x v="126"/>
    <x v="1"/>
    <s v="pagado"/>
    <s v="pagado"/>
    <x v="0"/>
    <x v="0"/>
  </r>
  <r>
    <n v="1200002278"/>
    <d v="2025-10-28T00:00:00"/>
    <n v="12490633.640000001"/>
    <s v="Cheque de terceros tucumán"/>
    <x v="738"/>
    <n v="12490633.640000001"/>
    <x v="126"/>
    <x v="1"/>
    <s v="pagado"/>
    <s v="pagado"/>
    <x v="0"/>
    <x v="0"/>
  </r>
  <r>
    <n v="1200002278"/>
    <d v="2025-10-28T00:00:00"/>
    <n v="32248547"/>
    <s v="Cheque de terceros tucumán"/>
    <x v="739"/>
    <n v="32248547"/>
    <x v="126"/>
    <x v="1"/>
    <s v="pagado"/>
    <s v="pagado"/>
    <x v="0"/>
    <x v="0"/>
  </r>
  <r>
    <n v="3000001569"/>
    <d v="2025-11-03T00:00:00"/>
    <n v="6138889.1799999997"/>
    <s v="Pulmajo S.R.L. CONCEPCION 14"/>
    <x v="740"/>
    <n v="6138889.1799999997"/>
    <x v="127"/>
    <x v="1"/>
    <s v="pagado"/>
    <s v="pagado"/>
    <x v="0"/>
    <x v="0"/>
  </r>
  <r>
    <n v="3000001573"/>
    <d v="2025-11-04T00:00:00"/>
    <n v="6440710"/>
    <s v="EL IMPENETRABLE SRL CORRIENTES 04"/>
    <x v="741"/>
    <n v="6440710"/>
    <x v="127"/>
    <x v="1"/>
    <s v="pagado"/>
    <s v="pagado"/>
    <x v="0"/>
    <x v="0"/>
  </r>
  <r>
    <n v="3000001571"/>
    <d v="2025-11-04T00:00:00"/>
    <n v="3012310.2"/>
    <s v="SUAREZ GABRIEL SEBASTIAN SANTIAGO DEL ESTERO 13"/>
    <x v="742"/>
    <n v="3012310.2"/>
    <x v="127"/>
    <x v="1"/>
    <s v="pagado"/>
    <s v="pagado"/>
    <x v="0"/>
    <x v="0"/>
  </r>
  <r>
    <n v="3000001572"/>
    <d v="2025-11-04T00:00:00"/>
    <n v="4142543.4"/>
    <s v="ACOSTA EMILIA ROMINA JOAQUIN V GONZALEZ 09"/>
    <x v="743"/>
    <n v="4142543.4"/>
    <x v="127"/>
    <x v="1"/>
    <s v="pagado"/>
    <s v="pagado"/>
    <x v="0"/>
    <x v="0"/>
  </r>
  <r>
    <n v="3000001586"/>
    <d v="2025-11-04T00:00:00"/>
    <n v="5579437.1699999999"/>
    <s v="JAVIER EDUARDO PRADO FLORIDA 13"/>
    <x v="744"/>
    <n v="5579437.1699999999"/>
    <x v="127"/>
    <x v="1"/>
    <s v="pagado"/>
    <s v="pagado"/>
    <x v="0"/>
    <x v="0"/>
  </r>
  <r>
    <n v="3000001587"/>
    <d v="2025-11-04T00:00:00"/>
    <n v="18109574.82"/>
    <s v="ANTONACCI LUIS GABRIEL LA FLORIDA 14"/>
    <x v="745"/>
    <n v="18109574.82"/>
    <x v="127"/>
    <x v="1"/>
    <s v="pagado"/>
    <s v="pagado"/>
    <x v="0"/>
    <x v="0"/>
  </r>
  <r>
    <n v="3000001588"/>
    <d v="2025-11-04T00:00:00"/>
    <n v="14042020.5"/>
    <s v="LOGISTICA CENTRO S.R.L CORONDA 12"/>
    <x v="746"/>
    <n v="14042020.5"/>
    <x v="127"/>
    <x v="1"/>
    <s v="pagado"/>
    <s v="pagado"/>
    <x v="0"/>
    <x v="0"/>
  </r>
  <r>
    <n v="3000001589"/>
    <d v="2025-11-04T00:00:00"/>
    <n v="12768648.060000001"/>
    <s v="PAIS WALTER LUIS SAN MIGUEL DE TUCUMAN 14"/>
    <x v="747"/>
    <n v="12768648.060000001"/>
    <x v="127"/>
    <x v="1"/>
    <s v="pagado"/>
    <s v="pagado"/>
    <x v="0"/>
    <x v="0"/>
  </r>
  <r>
    <n v="1200002346"/>
    <d v="2025-11-04T00:00:00"/>
    <n v="4398075.9000000004"/>
    <s v="Cheque de terceros tucumán"/>
    <x v="748"/>
    <n v="4398075.9000000004"/>
    <x v="127"/>
    <x v="1"/>
    <s v="pagado"/>
    <s v="pagado"/>
    <x v="0"/>
    <x v="0"/>
  </r>
  <r>
    <n v="1200002346"/>
    <d v="2025-11-04T00:00:00"/>
    <n v="5952718.4000000004"/>
    <s v="Cheque de terceros tucumán"/>
    <x v="749"/>
    <n v="5952718.4000000004"/>
    <x v="127"/>
    <x v="1"/>
    <s v="pagado"/>
    <s v="pagado"/>
    <x v="0"/>
    <x v="0"/>
  </r>
  <r>
    <n v="1200002346"/>
    <d v="2025-11-04T00:00:00"/>
    <n v="14694609.48"/>
    <s v="Cheque de terceros tucumán"/>
    <x v="750"/>
    <n v="14694609.48"/>
    <x v="127"/>
    <x v="1"/>
    <s v="pagado"/>
    <s v="pagado"/>
    <x v="0"/>
    <x v="0"/>
  </r>
  <r>
    <n v="1200002346"/>
    <d v="2025-11-04T00:00:00"/>
    <n v="12943273.84"/>
    <s v="Cheque de terceros tucumán"/>
    <x v="751"/>
    <n v="12943273.84"/>
    <x v="127"/>
    <x v="1"/>
    <s v="pagado"/>
    <s v="pagado"/>
    <x v="0"/>
    <x v="0"/>
  </r>
  <r>
    <n v="1200002346"/>
    <d v="2025-11-04T00:00:00"/>
    <n v="4508127.67"/>
    <s v="Cheque de terceros tucumán"/>
    <x v="752"/>
    <n v="4508127.67"/>
    <x v="127"/>
    <x v="1"/>
    <s v="pagado"/>
    <s v="pagado"/>
    <x v="0"/>
    <x v="0"/>
  </r>
  <r>
    <n v="1200002346"/>
    <d v="2025-11-04T00:00:00"/>
    <n v="28351980"/>
    <s v="Cheque de terceros tucumán"/>
    <x v="753"/>
    <n v="28351980"/>
    <x v="127"/>
    <x v="1"/>
    <s v="pagado"/>
    <s v="pagado"/>
    <x v="0"/>
    <x v="0"/>
  </r>
  <r>
    <n v="1200002346"/>
    <d v="2025-11-04T00:00:00"/>
    <n v="13635050.75"/>
    <s v="Cheque de terceros tucumán"/>
    <x v="754"/>
    <n v="13635050.75"/>
    <x v="127"/>
    <x v="1"/>
    <s v="pagado"/>
    <s v="pagado"/>
    <x v="0"/>
    <x v="0"/>
  </r>
  <r>
    <n v="3000001590"/>
    <d v="2025-11-05T00:00:00"/>
    <n v="3414618.77"/>
    <s v="GDM ARGENTINA SA Chacabuco 01"/>
    <x v="755"/>
    <n v="3414618.77"/>
    <x v="127"/>
    <x v="1"/>
    <s v="pagado"/>
    <s v="pagado"/>
    <x v="0"/>
    <x v="0"/>
  </r>
  <r>
    <n v="3000001603"/>
    <d v="2025-11-11T00:00:00"/>
    <n v="15000000"/>
    <s v="NUTRITERRA S.A CHIMBAS 10"/>
    <x v="756"/>
    <n v="15000000"/>
    <x v="128"/>
    <x v="1"/>
    <s v="pagado"/>
    <s v="pagado"/>
    <x v="0"/>
    <x v="0"/>
  </r>
  <r>
    <n v="3000001603"/>
    <d v="2025-11-11T00:00:00"/>
    <n v="15000000"/>
    <s v="NUTRITERRA S.A CHIMBAS 10"/>
    <x v="757"/>
    <n v="15000000"/>
    <x v="129"/>
    <x v="1"/>
    <s v="pagado"/>
    <s v="pagado"/>
    <x v="0"/>
    <x v="0"/>
  </r>
  <r>
    <n v="3000001603"/>
    <d v="2025-11-11T00:00:00"/>
    <n v="15000000"/>
    <s v="NUTRITERRA S.A CHIMBAS 10"/>
    <x v="758"/>
    <n v="15000000"/>
    <x v="130"/>
    <x v="1"/>
    <s v="pagado"/>
    <s v="pagado"/>
    <x v="0"/>
    <x v="0"/>
  </r>
  <r>
    <n v="3000001603"/>
    <d v="2025-11-11T00:00:00"/>
    <n v="17856278.129999999"/>
    <s v="NUTRITERRA S.A CHIMBAS 10"/>
    <x v="759"/>
    <n v="17856278.129999999"/>
    <x v="131"/>
    <x v="1"/>
    <s v="pagado"/>
    <s v="pagado"/>
    <x v="0"/>
    <x v="0"/>
  </r>
  <r>
    <n v="3000001608"/>
    <d v="2025-11-11T00:00:00"/>
    <n v="2000000"/>
    <s v="EL SOL MATERIALES SA SAN MIGUEL DE TUCUMAN 14"/>
    <x v="760"/>
    <n v="2000000"/>
    <x v="132"/>
    <x v="1"/>
    <s v="pagado"/>
    <s v="pagado"/>
    <x v="0"/>
    <x v="0"/>
  </r>
  <r>
    <n v="3000001608"/>
    <d v="2025-11-11T00:00:00"/>
    <n v="1136552.8799999999"/>
    <s v="EL SOL MATERIALES SA SAN MIGUEL DE TUCUMAN 14"/>
    <x v="761"/>
    <n v="1136552.8799999999"/>
    <x v="133"/>
    <x v="1"/>
    <s v="pagado"/>
    <s v="pagado"/>
    <x v="0"/>
    <x v="0"/>
  </r>
  <r>
    <n v="3000001609"/>
    <d v="2025-11-11T00:00:00"/>
    <n v="5353324.88"/>
    <s v="MOLINA JUAN F. Y MOLINA ROQUE Lastenia 14"/>
    <x v="762"/>
    <n v="5353324.88"/>
    <x v="132"/>
    <x v="1"/>
    <s v="pagado"/>
    <s v="pagado"/>
    <x v="0"/>
    <x v="0"/>
  </r>
  <r>
    <n v="3000001609"/>
    <d v="2025-11-11T00:00:00"/>
    <n v="10912126.85"/>
    <s v="MOLINA JUAN F. Y MOLINA ROQUE Lastenia 14"/>
    <x v="763"/>
    <n v="10912126.85"/>
    <x v="132"/>
    <x v="1"/>
    <s v="pagado"/>
    <s v="pagado"/>
    <x v="0"/>
    <x v="0"/>
  </r>
  <r>
    <n v="3000001601"/>
    <d v="2025-11-11T00:00:00"/>
    <n v="135434769.36000001"/>
    <s v="Syngenta Agro S.A. Vicente López 01"/>
    <x v="764"/>
    <n v="135434769.36000001"/>
    <x v="134"/>
    <x v="1"/>
    <s v="no pagado"/>
    <s v="en periodo de pago"/>
    <x v="1"/>
    <x v="0"/>
  </r>
  <r>
    <n v="3000001602"/>
    <d v="2025-11-11T00:00:00"/>
    <n v="262874070.53999999"/>
    <s v="SUMMIT AGRO ARGENTINA S.A CIUDAD AUTONOMA DE BUENOS AIRES 01"/>
    <x v="765"/>
    <n v="262874070.53999999"/>
    <x v="135"/>
    <x v="1"/>
    <s v="pagado"/>
    <s v="pagado"/>
    <x v="0"/>
    <x v="0"/>
  </r>
  <r>
    <n v="3000001606"/>
    <d v="2025-11-11T00:00:00"/>
    <n v="13987396.4"/>
    <s v="SERVICOM S.R.L SAN MIGUEL DE TUCUMAN 14"/>
    <x v="766"/>
    <n v="13987396.4"/>
    <x v="132"/>
    <x v="1"/>
    <s v="pagado"/>
    <s v="pagado"/>
    <x v="0"/>
    <x v="0"/>
  </r>
  <r>
    <n v="3000001607"/>
    <d v="2025-11-11T00:00:00"/>
    <n v="6076118.4000000004"/>
    <s v="CAMPOAGRO SRL YERBA BUENA 14"/>
    <x v="767"/>
    <n v="6076118.4000000004"/>
    <x v="132"/>
    <x v="1"/>
    <s v="pagado"/>
    <s v="pagado"/>
    <x v="0"/>
    <x v="0"/>
  </r>
  <r>
    <n v="3000001605"/>
    <d v="2025-11-11T00:00:00"/>
    <n v="16776532.060000001"/>
    <s v="ADVANTA SEMILLAS SAIC JUNIN 01"/>
    <x v="768"/>
    <n v="16776532.060000001"/>
    <x v="132"/>
    <x v="1"/>
    <s v="pagado"/>
    <s v="pagado"/>
    <x v="0"/>
    <x v="0"/>
  </r>
  <r>
    <n v="3000001604"/>
    <d v="2025-11-11T00:00:00"/>
    <n v="220537105"/>
    <s v="Pro Agro S.R.L SAN MIGUEL DE TUCUMAN 14"/>
    <x v="769"/>
    <n v="220537105"/>
    <x v="136"/>
    <x v="1"/>
    <s v="pagado"/>
    <s v="pagado"/>
    <x v="0"/>
    <x v="0"/>
  </r>
  <r>
    <n v="1200002351"/>
    <d v="2025-11-12T00:00:00"/>
    <n v="18905446.27"/>
    <s v="Cheque de terceros tucumán"/>
    <x v="770"/>
    <n v="18905446.27"/>
    <x v="137"/>
    <x v="1"/>
    <s v="pagado"/>
    <s v="pagado"/>
    <x v="0"/>
    <x v="0"/>
  </r>
  <r>
    <n v="1200002351"/>
    <d v="2025-11-12T00:00:00"/>
    <n v="25299587.859999999"/>
    <s v="Cheque de terceros tucumán"/>
    <x v="771"/>
    <n v="25299587.859999999"/>
    <x v="137"/>
    <x v="1"/>
    <s v="pagado"/>
    <s v="pagado"/>
    <x v="0"/>
    <x v="0"/>
  </r>
  <r>
    <n v="1200002351"/>
    <d v="2025-11-12T00:00:00"/>
    <n v="3347567.92"/>
    <s v="Cheque de terceros tucumán"/>
    <x v="772"/>
    <n v="3347567.92"/>
    <x v="137"/>
    <x v="1"/>
    <s v="pagado"/>
    <s v="pagado"/>
    <x v="0"/>
    <x v="0"/>
  </r>
  <r>
    <n v="1200002351"/>
    <d v="2025-11-12T00:00:00"/>
    <n v="7636861.3600000003"/>
    <s v="Cheque de terceros tucumán"/>
    <x v="773"/>
    <n v="7636861.3600000003"/>
    <x v="137"/>
    <x v="1"/>
    <s v="pagado"/>
    <s v="pagado"/>
    <x v="0"/>
    <x v="0"/>
  </r>
  <r>
    <n v="1200002351"/>
    <d v="2025-11-12T00:00:00"/>
    <n v="7714777.0499999998"/>
    <s v="Cheque de terceros tucumán"/>
    <x v="774"/>
    <n v="7714777.0499999998"/>
    <x v="137"/>
    <x v="1"/>
    <s v="pagado"/>
    <s v="pagado"/>
    <x v="0"/>
    <x v="0"/>
  </r>
  <r>
    <n v="1200002351"/>
    <d v="2025-11-12T00:00:00"/>
    <n v="3931480"/>
    <s v="Cheque de terceros tucumán"/>
    <x v="775"/>
    <n v="3931480"/>
    <x v="137"/>
    <x v="1"/>
    <s v="pagado"/>
    <s v="pagado"/>
    <x v="0"/>
    <x v="0"/>
  </r>
  <r>
    <n v="1200002351"/>
    <d v="2025-11-12T00:00:00"/>
    <n v="8725194.25"/>
    <s v="Cheque de terceros tucumán"/>
    <x v="776"/>
    <n v="8725194.25"/>
    <x v="138"/>
    <x v="1"/>
    <s v="pagado"/>
    <s v="pagado"/>
    <x v="0"/>
    <x v="0"/>
  </r>
  <r>
    <n v="1200002351"/>
    <d v="2025-11-12T00:00:00"/>
    <n v="4140678.55"/>
    <s v="Cheque de terceros tucumán"/>
    <x v="777"/>
    <n v="4140678.55"/>
    <x v="137"/>
    <x v="1"/>
    <s v="pagado"/>
    <s v="pagado"/>
    <x v="0"/>
    <x v="0"/>
  </r>
  <r>
    <n v="1200002351"/>
    <d v="2025-11-12T00:00:00"/>
    <n v="5461881.25"/>
    <s v="Cheque de terceros tucumán"/>
    <x v="778"/>
    <n v="5461881.25"/>
    <x v="137"/>
    <x v="1"/>
    <s v="pagado"/>
    <s v="pagado"/>
    <x v="0"/>
    <x v="0"/>
  </r>
  <r>
    <n v="1200002351"/>
    <d v="2025-11-12T00:00:00"/>
    <n v="47629991.780000001"/>
    <s v="Cheque de terceros tucumán"/>
    <x v="779"/>
    <n v="47629991.780000001"/>
    <x v="137"/>
    <x v="1"/>
    <s v="pagado"/>
    <s v="pagado"/>
    <x v="0"/>
    <x v="0"/>
  </r>
  <r>
    <n v="1200002351"/>
    <d v="2025-11-12T00:00:00"/>
    <n v="8834612.5299999993"/>
    <s v="Cheque de terceros tucumán"/>
    <x v="780"/>
    <n v="8834612.5299999993"/>
    <x v="137"/>
    <x v="1"/>
    <s v="pagado"/>
    <s v="pagado"/>
    <x v="0"/>
    <x v="0"/>
  </r>
  <r>
    <n v="1200002351"/>
    <d v="2025-11-12T00:00:00"/>
    <n v="14991343.4"/>
    <s v="Cheque de terceros tucumán"/>
    <x v="781"/>
    <n v="14991343.4"/>
    <x v="137"/>
    <x v="1"/>
    <s v="pagado"/>
    <s v="pagado"/>
    <x v="0"/>
    <x v="0"/>
  </r>
  <r>
    <n v="1200002351"/>
    <d v="2025-11-12T00:00:00"/>
    <n v="3276830"/>
    <s v="Cheque de terceros tucumán"/>
    <x v="782"/>
    <n v="3276830"/>
    <x v="137"/>
    <x v="1"/>
    <s v="pagado"/>
    <s v="pagado"/>
    <x v="0"/>
    <x v="0"/>
  </r>
  <r>
    <n v="1200002351"/>
    <d v="2025-11-12T00:00:00"/>
    <n v="16703185.800000001"/>
    <s v="Cheque de terceros tucumán"/>
    <x v="783"/>
    <n v="16703185.800000001"/>
    <x v="137"/>
    <x v="1"/>
    <s v="pagado"/>
    <s v="pagado"/>
    <x v="0"/>
    <x v="0"/>
  </r>
  <r>
    <n v="1200002351"/>
    <d v="2025-11-12T00:00:00"/>
    <n v="10405080"/>
    <s v="Cheque de terceros tucumán"/>
    <x v="784"/>
    <n v="10405080"/>
    <x v="137"/>
    <x v="1"/>
    <s v="pagado"/>
    <s v="pagado"/>
    <x v="0"/>
    <x v="0"/>
  </r>
  <r>
    <n v="1200002351"/>
    <d v="2025-11-12T00:00:00"/>
    <n v="0"/>
    <s v="Anulado"/>
    <x v="785"/>
    <n v="0"/>
    <x v="137"/>
    <x v="1"/>
    <s v="no pagado"/>
    <s v="fuera de fecha"/>
    <x v="0"/>
    <x v="0"/>
  </r>
  <r>
    <n v="3000001624"/>
    <d v="2025-11-13T00:00:00"/>
    <n v="18283450"/>
    <s v="EDET S.A. SAN MIGUEL DE TUCUMAN 14"/>
    <x v="786"/>
    <n v="18283450"/>
    <x v="132"/>
    <x v="1"/>
    <s v="pagado"/>
    <s v="pagado"/>
    <x v="0"/>
    <x v="0"/>
  </r>
  <r>
    <n v="3000001629"/>
    <d v="2025-11-17T00:00:00"/>
    <n v="7707907.79"/>
    <s v="ANTONACCI LUIS GABRIEL LA FLORIDA 14"/>
    <x v="787"/>
    <n v="7707907.79"/>
    <x v="139"/>
    <x v="1"/>
    <s v="pagado"/>
    <s v="pagado"/>
    <x v="0"/>
    <x v="0"/>
  </r>
  <r>
    <n v="3000001630"/>
    <d v="2025-11-17T00:00:00"/>
    <n v="3643342.7"/>
    <s v="MARCOS SCHMUKLER S.A SAN SALVADOR 05"/>
    <x v="788"/>
    <n v="3643342.7"/>
    <x v="139"/>
    <x v="1"/>
    <s v="pagado"/>
    <s v="pagado"/>
    <x v="0"/>
    <x v="0"/>
  </r>
  <r>
    <n v="3000001631"/>
    <d v="2025-11-17T00:00:00"/>
    <n v="18628572.899999999"/>
    <s v="LOGISTICA CENTRO S.R.L CORONDA 12"/>
    <x v="789"/>
    <n v="18628572.899999999"/>
    <x v="139"/>
    <x v="1"/>
    <s v="pagado"/>
    <s v="pagado"/>
    <x v="0"/>
    <x v="0"/>
  </r>
  <r>
    <n v="3000001632"/>
    <d v="2025-11-17T00:00:00"/>
    <n v="21475169.710000001"/>
    <s v="TRANSPORTE BARBERAN HNOS SRL CHABAS 12"/>
    <x v="790"/>
    <n v="21475169.710000001"/>
    <x v="139"/>
    <x v="1"/>
    <s v="pagado"/>
    <s v="pagado"/>
    <x v="0"/>
    <x v="0"/>
  </r>
  <r>
    <n v="3000001633"/>
    <d v="2025-11-17T00:00:00"/>
    <n v="4211197.12"/>
    <s v="LAVENIA VITO CARMELO LASTENIA 14"/>
    <x v="791"/>
    <n v="4211197.12"/>
    <x v="139"/>
    <x v="1"/>
    <s v="pagado"/>
    <s v="pagado"/>
    <x v="0"/>
    <x v="0"/>
  </r>
  <r>
    <n v="3000001634"/>
    <d v="2025-11-17T00:00:00"/>
    <n v="3825767.92"/>
    <s v="COCCOLO LOGISTICA SA cañada rosquin 12"/>
    <x v="792"/>
    <n v="3825767.92"/>
    <x v="139"/>
    <x v="1"/>
    <s v="pagado"/>
    <s v="pagado"/>
    <x v="0"/>
    <x v="0"/>
  </r>
  <r>
    <n v="3000001635"/>
    <d v="2025-11-17T00:00:00"/>
    <n v="4483627.66"/>
    <s v="CAMPOSTRINI S R L VILLAGUAY 05"/>
    <x v="793"/>
    <n v="4483627.66"/>
    <x v="139"/>
    <x v="1"/>
    <s v="pagado"/>
    <s v="pagado"/>
    <x v="0"/>
    <x v="0"/>
  </r>
  <r>
    <n v="3000001636"/>
    <d v="2025-11-17T00:00:00"/>
    <n v="4697211.5999999996"/>
    <s v="EL SOL MATERIALES SA SAN MIGUEL DE TUCUMAN 14"/>
    <x v="794"/>
    <n v="4697211.5999999996"/>
    <x v="140"/>
    <x v="1"/>
    <s v="pagado"/>
    <s v="pagado"/>
    <x v="0"/>
    <x v="0"/>
  </r>
  <r>
    <n v="3000001637"/>
    <d v="2025-11-17T00:00:00"/>
    <n v="13982823.4"/>
    <s v="VERON MARIANA BEATRIZ NUEVA ESPERANZA 13"/>
    <x v="795"/>
    <n v="13982823.4"/>
    <x v="140"/>
    <x v="1"/>
    <s v="pagado"/>
    <s v="pagado"/>
    <x v="0"/>
    <x v="0"/>
  </r>
  <r>
    <n v="3000001638"/>
    <d v="2025-11-17T00:00:00"/>
    <n v="16331788.800000001"/>
    <s v="AYALA HERNAN OSVALDO SAN MIGUEL DE TUCUMAN 14"/>
    <x v="796"/>
    <n v="16331788.800000001"/>
    <x v="140"/>
    <x v="1"/>
    <s v="pagado"/>
    <s v="pagado"/>
    <x v="0"/>
    <x v="0"/>
  </r>
  <r>
    <n v="3000001639"/>
    <d v="2025-11-17T00:00:00"/>
    <n v="14239494.51"/>
    <s v="Medina Lauro Jose Las Cejas 14"/>
    <x v="797"/>
    <n v="14239494.51"/>
    <x v="140"/>
    <x v="1"/>
    <s v="pagado"/>
    <s v="pagado"/>
    <x v="0"/>
    <x v="0"/>
  </r>
  <r>
    <n v="3000001640"/>
    <d v="2025-11-17T00:00:00"/>
    <n v="7120049.6399999997"/>
    <s v="GRUPO MARGEN DEL NOA SA YERBA BUENA 14"/>
    <x v="798"/>
    <n v="7120049.6399999997"/>
    <x v="140"/>
    <x v="1"/>
    <s v="pagado"/>
    <s v="pagado"/>
    <x v="0"/>
    <x v="0"/>
  </r>
  <r>
    <n v="3000001641"/>
    <d v="2025-11-17T00:00:00"/>
    <n v="9877270.2699999996"/>
    <s v="AYALA WALTER DANIEL ALDERETES 14"/>
    <x v="799"/>
    <n v="9877270.2699999996"/>
    <x v="140"/>
    <x v="1"/>
    <s v="pagado"/>
    <s v="pagado"/>
    <x v="0"/>
    <x v="0"/>
  </r>
  <r>
    <n v="3000001642"/>
    <d v="2025-11-17T00:00:00"/>
    <n v="4755265.5"/>
    <s v="Establecimiento Minero Sofia SElena 03"/>
    <x v="800"/>
    <n v="4755265.5"/>
    <x v="140"/>
    <x v="1"/>
    <s v="pagado"/>
    <s v="pagado"/>
    <x v="0"/>
    <x v="0"/>
  </r>
  <r>
    <n v="3000001643"/>
    <d v="2025-11-17T00:00:00"/>
    <n v="7735948.4400000004"/>
    <s v="GONZALEZ LUIS ALEJANDRO YERBA BUENA 14"/>
    <x v="801"/>
    <n v="7735948.4400000004"/>
    <x v="140"/>
    <x v="1"/>
    <s v="pagado"/>
    <s v="pagado"/>
    <x v="0"/>
    <x v="0"/>
  </r>
  <r>
    <n v="1200002613"/>
    <d v="2025-11-19T00:00:00"/>
    <n v="43758209.579999998"/>
    <s v="Cheque de terceros tucumán"/>
    <x v="802"/>
    <n v="43758209.579999998"/>
    <x v="141"/>
    <x v="1"/>
    <s v="pagado"/>
    <s v="pagado"/>
    <x v="0"/>
    <x v="0"/>
  </r>
  <r>
    <n v="1200002613"/>
    <d v="2025-11-19T00:00:00"/>
    <n v="21437723.399999999"/>
    <s v="Cheque de terceros tucumán"/>
    <x v="803"/>
    <n v="21437723.399999999"/>
    <x v="141"/>
    <x v="1"/>
    <s v="pagado"/>
    <s v="pagado"/>
    <x v="0"/>
    <x v="0"/>
  </r>
  <r>
    <n v="1200002613"/>
    <d v="2025-11-19T00:00:00"/>
    <n v="2350403.4"/>
    <s v="Cheque de terceros tucumán"/>
    <x v="804"/>
    <n v="2350403.4"/>
    <x v="141"/>
    <x v="1"/>
    <s v="pagado"/>
    <s v="pagado"/>
    <x v="0"/>
    <x v="0"/>
  </r>
  <r>
    <n v="1200002613"/>
    <d v="2025-11-19T00:00:00"/>
    <n v="1121065.04"/>
    <s v="Cheque de terceros tucumán"/>
    <x v="805"/>
    <n v="1121065.04"/>
    <x v="142"/>
    <x v="1"/>
    <s v="pagado"/>
    <s v="pagado"/>
    <x v="0"/>
    <x v="0"/>
  </r>
  <r>
    <n v="1200002613"/>
    <d v="2025-11-19T00:00:00"/>
    <n v="2125298.7999999998"/>
    <s v="Cheque de terceros tucumán"/>
    <x v="806"/>
    <n v="2125298.7999999998"/>
    <x v="141"/>
    <x v="1"/>
    <s v="pagado"/>
    <s v="pagado"/>
    <x v="0"/>
    <x v="0"/>
  </r>
  <r>
    <n v="1200002613"/>
    <d v="2025-11-19T00:00:00"/>
    <n v="29213400.68"/>
    <s v="Cheque de terceros tucumán"/>
    <x v="807"/>
    <n v="29213400.68"/>
    <x v="141"/>
    <x v="1"/>
    <s v="pagado"/>
    <s v="pagado"/>
    <x v="0"/>
    <x v="0"/>
  </r>
  <r>
    <n v="1200002613"/>
    <d v="2025-11-19T00:00:00"/>
    <n v="27731787.399999999"/>
    <s v="Cheque de terceros tucumán"/>
    <x v="808"/>
    <n v="27731787.399999999"/>
    <x v="141"/>
    <x v="1"/>
    <s v="pagado"/>
    <s v="pagado"/>
    <x v="0"/>
    <x v="0"/>
  </r>
  <r>
    <n v="1200002613"/>
    <d v="2025-11-19T00:00:00"/>
    <n v="1434767.92"/>
    <s v="Cheque de terceros tucumán"/>
    <x v="809"/>
    <n v="1434767.92"/>
    <x v="141"/>
    <x v="1"/>
    <s v="pagado"/>
    <s v="pagado"/>
    <x v="0"/>
    <x v="0"/>
  </r>
  <r>
    <n v="1200002613"/>
    <d v="2025-11-19T00:00:00"/>
    <n v="717467.92"/>
    <s v="Cheque de terceros tucumán"/>
    <x v="810"/>
    <n v="717467.92"/>
    <x v="142"/>
    <x v="1"/>
    <s v="pagado"/>
    <s v="pagado"/>
    <x v="0"/>
    <x v="0"/>
  </r>
  <r>
    <n v="1200002613"/>
    <d v="2025-11-19T00:00:00"/>
    <n v="1261176.04"/>
    <s v="Cheque de terceros tucumán"/>
    <x v="811"/>
    <n v="1261176.04"/>
    <x v="141"/>
    <x v="1"/>
    <s v="pagado"/>
    <s v="pagado"/>
    <x v="0"/>
    <x v="0"/>
  </r>
  <r>
    <n v="1200002613"/>
    <d v="2025-11-19T00:00:00"/>
    <n v="1733475"/>
    <s v="Cheque de terceros tucumán"/>
    <x v="812"/>
    <n v="1733475"/>
    <x v="141"/>
    <x v="1"/>
    <s v="pagado"/>
    <s v="pagado"/>
    <x v="0"/>
    <x v="0"/>
  </r>
  <r>
    <n v="1200002613"/>
    <d v="2025-11-19T00:00:00"/>
    <n v="345558.28"/>
    <s v="Cheque de terceros tucumán"/>
    <x v="813"/>
    <n v="345558.28"/>
    <x v="142"/>
    <x v="1"/>
    <s v="pagado"/>
    <s v="pagado"/>
    <x v="0"/>
    <x v="0"/>
  </r>
  <r>
    <n v="1200002613"/>
    <d v="2025-11-19T00:00:00"/>
    <n v="881943.4"/>
    <s v="Cheque de terceros tucumán"/>
    <x v="814"/>
    <n v="881943.4"/>
    <x v="142"/>
    <x v="1"/>
    <s v="pagado"/>
    <s v="pagado"/>
    <x v="0"/>
    <x v="0"/>
  </r>
  <r>
    <n v="1200002613"/>
    <d v="2025-11-19T00:00:00"/>
    <n v="2577150"/>
    <s v="Cheque de terceros tucumán"/>
    <x v="815"/>
    <n v="2577150"/>
    <x v="141"/>
    <x v="1"/>
    <s v="pagado"/>
    <s v="pagado"/>
    <x v="0"/>
    <x v="0"/>
  </r>
  <r>
    <n v="1200002613"/>
    <d v="2025-11-19T00:00:00"/>
    <n v="593530"/>
    <s v="Cheque de terceros tucumán"/>
    <x v="816"/>
    <n v="593530"/>
    <x v="142"/>
    <x v="1"/>
    <s v="pagado"/>
    <s v="pagado"/>
    <x v="0"/>
    <x v="0"/>
  </r>
  <r>
    <n v="1200002613"/>
    <d v="2025-11-19T00:00:00"/>
    <n v="880682.24"/>
    <s v="Cheque de terceros tucumán"/>
    <x v="817"/>
    <n v="880682.24"/>
    <x v="142"/>
    <x v="1"/>
    <s v="pagado"/>
    <s v="pagado"/>
    <x v="0"/>
    <x v="0"/>
  </r>
  <r>
    <n v="1200002613"/>
    <d v="2025-11-19T00:00:00"/>
    <n v="405293.63"/>
    <s v="Cheque de terceros tucumán"/>
    <x v="818"/>
    <n v="405293.63"/>
    <x v="142"/>
    <x v="1"/>
    <s v="pagado"/>
    <s v="pagado"/>
    <x v="0"/>
    <x v="0"/>
  </r>
  <r>
    <n v="1200002613"/>
    <d v="2025-11-19T00:00:00"/>
    <n v="614669.5"/>
    <s v="Cheque de terceros tucumán"/>
    <x v="819"/>
    <n v="614669.5"/>
    <x v="142"/>
    <x v="1"/>
    <s v="pagado"/>
    <s v="pagado"/>
    <x v="0"/>
    <x v="0"/>
  </r>
  <r>
    <n v="1200002613"/>
    <d v="2025-11-19T00:00:00"/>
    <n v="540498"/>
    <s v="Cheque de terceros tucumán"/>
    <x v="820"/>
    <n v="540498"/>
    <x v="142"/>
    <x v="1"/>
    <s v="pagado"/>
    <s v="pagado"/>
    <x v="0"/>
    <x v="0"/>
  </r>
  <r>
    <n v="1200002613"/>
    <d v="2025-11-19T00:00:00"/>
    <n v="390492.4"/>
    <s v="Cheque de terceros tucumán"/>
    <x v="821"/>
    <n v="390492.4"/>
    <x v="142"/>
    <x v="1"/>
    <s v="pagado"/>
    <s v="pagado"/>
    <x v="0"/>
    <x v="0"/>
  </r>
  <r>
    <n v="1200002613"/>
    <d v="2025-11-19T00:00:00"/>
    <n v="769295.51"/>
    <s v="Cheque de terceros tucumán"/>
    <x v="822"/>
    <n v="769295.51"/>
    <x v="142"/>
    <x v="1"/>
    <s v="pagado"/>
    <s v="pagado"/>
    <x v="0"/>
    <x v="0"/>
  </r>
  <r>
    <n v="1200002613"/>
    <d v="2025-11-19T00:00:00"/>
    <n v="10081500"/>
    <s v="Cheque de terceros tucumán"/>
    <x v="823"/>
    <n v="10081500"/>
    <x v="141"/>
    <x v="1"/>
    <s v="pagado"/>
    <s v="pagado"/>
    <x v="0"/>
    <x v="0"/>
  </r>
  <r>
    <n v="1200002613"/>
    <d v="2025-11-19T00:00:00"/>
    <n v="213849.98"/>
    <s v="Cheque de terceros tucumán"/>
    <x v="824"/>
    <n v="213849.98"/>
    <x v="142"/>
    <x v="1"/>
    <s v="pagado"/>
    <s v="pagado"/>
    <x v="0"/>
    <x v="0"/>
  </r>
  <r>
    <n v="1200002615"/>
    <d v="2025-11-19T00:00:00"/>
    <n v="291454.8"/>
    <s v="Cheque de terceros tucumán"/>
    <x v="825"/>
    <n v="291454.8"/>
    <x v="141"/>
    <x v="1"/>
    <s v="pagado"/>
    <s v="pagado"/>
    <x v="0"/>
    <x v="0"/>
  </r>
  <r>
    <n v="1200002615"/>
    <d v="2025-11-19T00:00:00"/>
    <n v="268152.58"/>
    <s v="Cheque de terceros tucumán"/>
    <x v="826"/>
    <n v="268152.58"/>
    <x v="141"/>
    <x v="1"/>
    <s v="pagado"/>
    <s v="pagado"/>
    <x v="0"/>
    <x v="0"/>
  </r>
  <r>
    <n v="1200002615"/>
    <d v="2025-11-19T00:00:00"/>
    <n v="11899200"/>
    <s v="Cheque de terceros tucumán"/>
    <x v="827"/>
    <n v="11899200"/>
    <x v="141"/>
    <x v="1"/>
    <s v="pagado"/>
    <s v="pagado"/>
    <x v="0"/>
    <x v="0"/>
  </r>
  <r>
    <n v="1200002615"/>
    <d v="2025-11-19T00:00:00"/>
    <n v="4414331.4000000004"/>
    <s v="Cheque de terceros tucumán"/>
    <x v="828"/>
    <n v="4414331.4000000004"/>
    <x v="141"/>
    <x v="1"/>
    <s v="pagado"/>
    <s v="pagado"/>
    <x v="0"/>
    <x v="0"/>
  </r>
  <r>
    <n v="1200002615"/>
    <d v="2025-11-19T00:00:00"/>
    <n v="11849782.51"/>
    <s v="Cheque de terceros tucumán"/>
    <x v="829"/>
    <n v="11849782.51"/>
    <x v="141"/>
    <x v="1"/>
    <s v="pagado"/>
    <s v="pagado"/>
    <x v="0"/>
    <x v="0"/>
  </r>
  <r>
    <n v="1200002615"/>
    <d v="2025-11-19T00:00:00"/>
    <n v="2649480"/>
    <s v="Cheque de terceros tucumán"/>
    <x v="830"/>
    <n v="2649480"/>
    <x v="141"/>
    <x v="1"/>
    <s v="pagado"/>
    <s v="pagado"/>
    <x v="0"/>
    <x v="0"/>
  </r>
  <r>
    <n v="1200002615"/>
    <d v="2025-11-19T00:00:00"/>
    <n v="13708856"/>
    <s v="Cheque de terceros tucumán"/>
    <x v="831"/>
    <n v="13708856"/>
    <x v="141"/>
    <x v="1"/>
    <s v="pagado"/>
    <s v="pagado"/>
    <x v="0"/>
    <x v="0"/>
  </r>
  <r>
    <n v="1200002615"/>
    <d v="2025-11-19T00:00:00"/>
    <n v="15396681.859999999"/>
    <s v="Cheque de terceros tucumán"/>
    <x v="832"/>
    <n v="15396681.859999999"/>
    <x v="141"/>
    <x v="1"/>
    <s v="pagado"/>
    <s v="pagado"/>
    <x v="0"/>
    <x v="0"/>
  </r>
  <r>
    <n v="1200002615"/>
    <d v="2025-11-19T00:00:00"/>
    <n v="20121292.77"/>
    <s v="Cheque de terceros tucumán"/>
    <x v="833"/>
    <n v="20121292.77"/>
    <x v="141"/>
    <x v="1"/>
    <s v="pagado"/>
    <s v="pagado"/>
    <x v="0"/>
    <x v="0"/>
  </r>
  <r>
    <n v="1200002615"/>
    <d v="2025-11-19T00:00:00"/>
    <n v="28099555.68"/>
    <s v="Cheque de terceros tucumán"/>
    <x v="834"/>
    <n v="28099555.68"/>
    <x v="141"/>
    <x v="1"/>
    <s v="pagado"/>
    <s v="pagado"/>
    <x v="0"/>
    <x v="0"/>
  </r>
  <r>
    <n v="1200002615"/>
    <d v="2025-11-19T00:00:00"/>
    <n v="26642915.32"/>
    <s v="Cheque de terceros tucumán"/>
    <x v="835"/>
    <n v="26642915.32"/>
    <x v="141"/>
    <x v="1"/>
    <s v="pagado"/>
    <s v="pagado"/>
    <x v="0"/>
    <x v="0"/>
  </r>
  <r>
    <n v="1200002615"/>
    <d v="2025-11-19T00:00:00"/>
    <n v="49286997.939999998"/>
    <s v="Cheque de terceros tucumán"/>
    <x v="836"/>
    <n v="49286997.939999998"/>
    <x v="141"/>
    <x v="1"/>
    <s v="pagado"/>
    <s v="pagado"/>
    <x v="0"/>
    <x v="0"/>
  </r>
  <r>
    <n v="1200002615"/>
    <d v="2025-11-19T00:00:00"/>
    <n v="7240091.5300000003"/>
    <s v="Cheque de terceros tucumán"/>
    <x v="837"/>
    <n v="7240091.5300000003"/>
    <x v="141"/>
    <x v="1"/>
    <s v="pagado"/>
    <s v="pagado"/>
    <x v="0"/>
    <x v="0"/>
  </r>
  <r>
    <n v="1200002615"/>
    <d v="2025-11-19T00:00:00"/>
    <n v="14990000"/>
    <s v="Cheque de terceros tucumán"/>
    <x v="838"/>
    <n v="14990000"/>
    <x v="141"/>
    <x v="1"/>
    <s v="pagado"/>
    <s v="pagado"/>
    <x v="0"/>
    <x v="0"/>
  </r>
  <r>
    <n v="1200002615"/>
    <d v="2025-11-19T00:00:00"/>
    <n v="6711717.5"/>
    <s v="Cheque de terceros tucumán"/>
    <x v="839"/>
    <n v="6711717.5"/>
    <x v="141"/>
    <x v="1"/>
    <s v="pagado"/>
    <s v="pagado"/>
    <x v="0"/>
    <x v="0"/>
  </r>
  <r>
    <n v="1200002615"/>
    <d v="2025-11-19T00:00:00"/>
    <n v="5582050"/>
    <s v="Cheque de terceros tucumán"/>
    <x v="840"/>
    <n v="5582050"/>
    <x v="141"/>
    <x v="1"/>
    <s v="pagado"/>
    <s v="pagado"/>
    <x v="0"/>
    <x v="0"/>
  </r>
  <r>
    <n v="1200002615"/>
    <d v="2025-11-19T00:00:00"/>
    <n v="7101176.3300000001"/>
    <s v="Cheque de terceros tucumán"/>
    <x v="841"/>
    <n v="7101176.3300000001"/>
    <x v="141"/>
    <x v="1"/>
    <s v="pagado"/>
    <s v="pagado"/>
    <x v="0"/>
    <x v="0"/>
  </r>
  <r>
    <n v="1200002615"/>
    <d v="2025-11-19T00:00:00"/>
    <n v="3097373.68"/>
    <s v="Cheque de terceros tucumán"/>
    <x v="842"/>
    <n v="3097373.68"/>
    <x v="141"/>
    <x v="1"/>
    <s v="pagado"/>
    <s v="pagado"/>
    <x v="0"/>
    <x v="0"/>
  </r>
  <r>
    <n v="1200002615"/>
    <d v="2025-11-19T00:00:00"/>
    <n v="5535371.6699999999"/>
    <s v="Cheque de terceros tucumán"/>
    <x v="843"/>
    <n v="5535371.6699999999"/>
    <x v="141"/>
    <x v="1"/>
    <s v="pagado"/>
    <s v="pagado"/>
    <x v="0"/>
    <x v="0"/>
  </r>
  <r>
    <n v="1200002615"/>
    <d v="2025-11-19T00:00:00"/>
    <n v="3040467.88"/>
    <s v="Cheque de terceros tucumán"/>
    <x v="844"/>
    <n v="3040467.88"/>
    <x v="141"/>
    <x v="1"/>
    <s v="pagado"/>
    <s v="pagado"/>
    <x v="0"/>
    <x v="0"/>
  </r>
  <r>
    <n v="1200002615"/>
    <d v="2025-11-19T00:00:00"/>
    <n v="4987180.42"/>
    <s v="Cheque de terceros tucumán"/>
    <x v="845"/>
    <n v="4987180.42"/>
    <x v="141"/>
    <x v="1"/>
    <s v="pagado"/>
    <s v="pagado"/>
    <x v="0"/>
    <x v="0"/>
  </r>
  <r>
    <n v="1200002615"/>
    <d v="2025-11-19T00:00:00"/>
    <n v="40033196.640000001"/>
    <s v="Cheque de terceros tucumán"/>
    <x v="846"/>
    <n v="40033196.640000001"/>
    <x v="141"/>
    <x v="1"/>
    <s v="pagado"/>
    <s v="pagado"/>
    <x v="0"/>
    <x v="0"/>
  </r>
  <r>
    <n v="1200002615"/>
    <d v="2025-11-19T00:00:00"/>
    <n v="13919321.5"/>
    <s v="Cheque de terceros tucumán"/>
    <x v="847"/>
    <n v="13919321.5"/>
    <x v="141"/>
    <x v="1"/>
    <s v="pagado"/>
    <s v="pagado"/>
    <x v="0"/>
    <x v="0"/>
  </r>
  <r>
    <n v="1200002615"/>
    <d v="2025-11-19T00:00:00"/>
    <n v="7513475.2000000002"/>
    <s v="Cheque de terceros tucumán"/>
    <x v="848"/>
    <n v="7513475.2000000002"/>
    <x v="141"/>
    <x v="1"/>
    <s v="pagado"/>
    <s v="pagado"/>
    <x v="0"/>
    <x v="0"/>
  </r>
  <r>
    <n v="3000001664"/>
    <d v="2025-11-19T00:00:00"/>
    <n v="4000985.2"/>
    <s v="AGROTRANSPORTE ALDAO S.A. CAMILO ALDAO 03"/>
    <x v="849"/>
    <n v="4000985.2"/>
    <x v="141"/>
    <x v="1"/>
    <s v="pagado"/>
    <s v="pagado"/>
    <x v="0"/>
    <x v="0"/>
  </r>
  <r>
    <n v="3000001665"/>
    <d v="2025-11-19T00:00:00"/>
    <n v="2244632.56"/>
    <s v="TRANSPORTE LAVENIA SAS LASTENIA 14"/>
    <x v="850"/>
    <n v="2244632.56"/>
    <x v="141"/>
    <x v="1"/>
    <s v="pagado"/>
    <s v="pagado"/>
    <x v="0"/>
    <x v="0"/>
  </r>
  <r>
    <n v="3000001666"/>
    <d v="2025-11-19T00:00:00"/>
    <n v="3672983.02"/>
    <s v="FOLMER SERGIO NICOLAS entre rios 05"/>
    <x v="851"/>
    <n v="3672983.02"/>
    <x v="141"/>
    <x v="1"/>
    <s v="pagado"/>
    <s v="pagado"/>
    <x v="0"/>
    <x v="0"/>
  </r>
  <r>
    <n v="3000001667"/>
    <d v="2025-11-19T00:00:00"/>
    <n v="6100578.6900000004"/>
    <s v="RAMIREZ CECILIA LORENA LAS LAJITAS 09"/>
    <x v="852"/>
    <n v="6100578.6900000004"/>
    <x v="141"/>
    <x v="1"/>
    <s v="pagado"/>
    <s v="pagado"/>
    <x v="0"/>
    <x v="0"/>
  </r>
  <r>
    <n v="3000001668"/>
    <d v="2025-11-19T00:00:00"/>
    <n v="5926607.2300000004"/>
    <s v="JAVIER EDUARDO PRADO FLORIDA 13"/>
    <x v="853"/>
    <n v="5926607.2300000004"/>
    <x v="141"/>
    <x v="1"/>
    <s v="pagado"/>
    <s v="pagado"/>
    <x v="0"/>
    <x v="0"/>
  </r>
  <r>
    <n v="3000001669"/>
    <d v="2025-11-19T00:00:00"/>
    <n v="3708431.34"/>
    <s v="GUIFFREY MARCELO GUSTAVO VILLA ELISA 05"/>
    <x v="854"/>
    <n v="3708431.34"/>
    <x v="141"/>
    <x v="1"/>
    <s v="pagado"/>
    <s v="pagado"/>
    <x v="0"/>
    <x v="0"/>
  </r>
  <r>
    <n v="3000001695"/>
    <d v="2025-12-01T00:00:00"/>
    <m/>
    <s v="Anulado"/>
    <x v="855"/>
    <n v="0"/>
    <x v="143"/>
    <x v="1"/>
    <s v="no pagado"/>
    <s v="fuera de fecha"/>
    <x v="0"/>
    <x v="0"/>
  </r>
  <r>
    <n v="3000001696"/>
    <d v="2025-12-01T00:00:00"/>
    <n v="10615596.67"/>
    <s v="DANIEL MARCELO GUERRERO ALDERETES 14"/>
    <x v="856"/>
    <n v="10615596.67"/>
    <x v="143"/>
    <x v="1"/>
    <s v="no pagado"/>
    <s v="fuera de fecha"/>
    <x v="0"/>
    <x v="0"/>
  </r>
  <r>
    <n v="3000001697"/>
    <d v="2025-12-01T00:00:00"/>
    <n v="12703203.82"/>
    <s v="EMPRENDIMIENTOS ASSUN S.A. SANTIAGO DEL ESTERO 13"/>
    <x v="857"/>
    <n v="12703203.82"/>
    <x v="143"/>
    <x v="1"/>
    <s v="pagado"/>
    <s v="pagado"/>
    <x v="0"/>
    <x v="0"/>
  </r>
  <r>
    <n v="3000001698"/>
    <d v="2025-12-01T00:00:00"/>
    <n v="3133343.4"/>
    <s v="SALTOS JOSUE GONZALO NUEVA ESPERANZA 13"/>
    <x v="858"/>
    <n v="3133343.4"/>
    <x v="143"/>
    <x v="1"/>
    <s v="pagado"/>
    <s v="pagado"/>
    <x v="0"/>
    <x v="0"/>
  </r>
  <r>
    <n v="3000001699"/>
    <d v="2025-12-01T00:00:00"/>
    <n v="3994274.89"/>
    <s v="GDM ARGENTINA SA Chacabuco 01"/>
    <x v="859"/>
    <n v="3994274.89"/>
    <x v="143"/>
    <x v="1"/>
    <s v="pagado"/>
    <s v="pagado"/>
    <x v="0"/>
    <x v="0"/>
  </r>
  <r>
    <n v="3000001700"/>
    <d v="2025-12-01T00:00:00"/>
    <n v="13302377.59"/>
    <s v="GOMEZ JESSICA NOELIA LAS TALITAS 14"/>
    <x v="860"/>
    <n v="13302377.59"/>
    <x v="144"/>
    <x v="1"/>
    <s v="pagado"/>
    <s v="pagado"/>
    <x v="0"/>
    <x v="0"/>
  </r>
  <r>
    <n v="3000001701"/>
    <d v="2025-12-01T00:00:00"/>
    <n v="6789793.4000000004"/>
    <s v="SERVICOM S.R.L SAN MIGUEL DE TUCUMAN 14"/>
    <x v="861"/>
    <n v="6789793.4000000004"/>
    <x v="144"/>
    <x v="1"/>
    <s v="pagado"/>
    <s v="pagado"/>
    <x v="0"/>
    <x v="0"/>
  </r>
  <r>
    <n v="3000001702"/>
    <d v="2025-12-01T00:00:00"/>
    <n v="4297443.43"/>
    <s v="UDRIZARD VIVIANA ISABEL CONCORDIA 05"/>
    <x v="862"/>
    <n v="4297443.43"/>
    <x v="144"/>
    <x v="1"/>
    <s v="pagado"/>
    <s v="pagado"/>
    <x v="0"/>
    <x v="0"/>
  </r>
  <r>
    <n v="3000001703"/>
    <d v="2025-12-01T00:00:00"/>
    <n v="24755560"/>
    <s v="SALTOS JOSUE GONZALO NUEVA ESPERANZA 13"/>
    <x v="863"/>
    <n v="24755560"/>
    <x v="144"/>
    <x v="1"/>
    <s v="pagado"/>
    <s v="pagado"/>
    <x v="0"/>
    <x v="0"/>
  </r>
  <r>
    <n v="3000001704"/>
    <d v="2025-12-01T00:00:00"/>
    <n v="4600000"/>
    <s v="Pulmajo S.R.L. CONCEPCION 14"/>
    <x v="864"/>
    <n v="4600000"/>
    <x v="144"/>
    <x v="1"/>
    <s v="pagado"/>
    <s v="pagado"/>
    <x v="0"/>
    <x v="0"/>
  </r>
  <r>
    <n v="3000001704"/>
    <d v="2025-12-01T00:00:00"/>
    <n v="3000000"/>
    <s v="Pulmajo S.R.L. CONCEPCION 14"/>
    <x v="865"/>
    <n v="3000000"/>
    <x v="144"/>
    <x v="1"/>
    <s v="pagado"/>
    <s v="pagado"/>
    <x v="0"/>
    <x v="0"/>
  </r>
  <r>
    <n v="3000001704"/>
    <d v="2025-12-01T00:00:00"/>
    <n v="5000000"/>
    <s v="Pulmajo S.R.L. CONCEPCION 14"/>
    <x v="866"/>
    <n v="5000000"/>
    <x v="144"/>
    <x v="1"/>
    <s v="pagado"/>
    <s v="pagado"/>
    <x v="0"/>
    <x v="0"/>
  </r>
  <r>
    <n v="3000001704"/>
    <d v="2025-12-01T00:00:00"/>
    <n v="5000000"/>
    <s v="Pulmajo S.R.L. CONCEPCION 14"/>
    <x v="867"/>
    <n v="5000000"/>
    <x v="144"/>
    <x v="1"/>
    <s v="pagado"/>
    <s v="pagado"/>
    <x v="0"/>
    <x v="0"/>
  </r>
  <r>
    <n v="3000001704"/>
    <d v="2025-12-01T00:00:00"/>
    <n v="5000000"/>
    <s v="Pulmajo S.R.L. CONCEPCION 14"/>
    <x v="868"/>
    <n v="5000000"/>
    <x v="144"/>
    <x v="1"/>
    <s v="pagado"/>
    <s v="pagado"/>
    <x v="0"/>
    <x v="0"/>
  </r>
  <r>
    <n v="3000001704"/>
    <d v="2025-12-01T00:00:00"/>
    <n v="3136140.4"/>
    <s v="Pulmajo S.R.L. CONCEPCION 14"/>
    <x v="869"/>
    <n v="3136140.4"/>
    <x v="144"/>
    <x v="1"/>
    <s v="pagado"/>
    <s v="pagado"/>
    <x v="0"/>
    <x v="0"/>
  </r>
  <r>
    <n v="3000001706"/>
    <d v="2025-12-02T00:00:00"/>
    <n v="63600000"/>
    <s v="TENSAC S.H. SAN MIGUEL DE TUCUMAN 14"/>
    <x v="870"/>
    <n v="63600000"/>
    <x v="145"/>
    <x v="1"/>
    <s v="pagado"/>
    <s v="pagado"/>
    <x v="0"/>
    <x v="0"/>
  </r>
  <r>
    <n v="3000001706"/>
    <d v="2025-12-02T00:00:00"/>
    <n v="63601602.25"/>
    <s v="TENSAC S.H. SAN MIGUEL DE TUCUMAN 14"/>
    <x v="871"/>
    <n v="63601602.25"/>
    <x v="146"/>
    <x v="1"/>
    <s v="pagado"/>
    <s v="pagado"/>
    <x v="0"/>
    <x v="0"/>
  </r>
  <r>
    <n v="3000001709"/>
    <d v="2025-12-03T00:00:00"/>
    <n v="6570120.8600000003"/>
    <s v="AGROGANADERA DEL NOA CEVIL POZO 14"/>
    <x v="872"/>
    <n v="6570120.8600000003"/>
    <x v="143"/>
    <x v="1"/>
    <s v="pagado"/>
    <s v="pagado"/>
    <x v="0"/>
    <x v="0"/>
  </r>
  <r>
    <n v="3000001709"/>
    <d v="2025-12-03T00:00:00"/>
    <n v="12964401.23"/>
    <s v="AGROGANADERA DEL NOA CEVIL POZO 14"/>
    <x v="873"/>
    <n v="12964401.23"/>
    <x v="144"/>
    <x v="1"/>
    <s v="pagado"/>
    <s v="pagado"/>
    <x v="0"/>
    <x v="0"/>
  </r>
  <r>
    <n v="3000001709"/>
    <d v="2025-12-03T00:00:00"/>
    <n v="5854966.75"/>
    <s v="AGROGANADERA DEL NOA CEVIL POZO 14"/>
    <x v="874"/>
    <n v="5854966.75"/>
    <x v="143"/>
    <x v="1"/>
    <s v="pagado"/>
    <s v="pagado"/>
    <x v="0"/>
    <x v="0"/>
  </r>
  <r>
    <n v="1200002672"/>
    <d v="2025-12-04T00:00:00"/>
    <n v="18979810.989999998"/>
    <s v="Cheque de terceros TUCUMAN"/>
    <x v="875"/>
    <n v="18979810.989999998"/>
    <x v="147"/>
    <x v="1"/>
    <s v="pagado"/>
    <s v="pagado"/>
    <x v="0"/>
    <x v="0"/>
  </r>
  <r>
    <n v="3000001720"/>
    <d v="2025-12-04T00:00:00"/>
    <n v="45104674.950000003"/>
    <s v="TRANSPORTE BARBERAN HNOS SRL CHABAS 12"/>
    <x v="876"/>
    <n v="45104674.950000003"/>
    <x v="148"/>
    <x v="1"/>
    <s v="pagado"/>
    <s v="pagado"/>
    <x v="0"/>
    <x v="0"/>
  </r>
  <r>
    <n v="3000001721"/>
    <d v="2025-12-04T00:00:00"/>
    <n v="33123719.050000001"/>
    <s v="TRANSPORTE LAVENIA SAS LASTENIA 14"/>
    <x v="877"/>
    <n v="33123719.050000001"/>
    <x v="148"/>
    <x v="1"/>
    <s v="pagado"/>
    <s v="pagado"/>
    <x v="0"/>
    <x v="0"/>
  </r>
  <r>
    <n v="3000001722"/>
    <d v="2025-12-04T00:00:00"/>
    <n v="6356476.9000000004"/>
    <s v="LOGISTICA CENTRO S.R.L CORONDA 12"/>
    <x v="878"/>
    <n v="6356476.9000000004"/>
    <x v="144"/>
    <x v="1"/>
    <s v="pagado"/>
    <s v="pagado"/>
    <x v="0"/>
    <x v="0"/>
  </r>
  <r>
    <n v="3000001723"/>
    <d v="2025-12-04T00:00:00"/>
    <n v="5345038.4000000004"/>
    <s v="SAN LORENZO CEREALES S.R.L SAN LORENZO 12"/>
    <x v="879"/>
    <n v="5345038.4000000004"/>
    <x v="148"/>
    <x v="1"/>
    <s v="pagado"/>
    <s v="pagado"/>
    <x v="0"/>
    <x v="0"/>
  </r>
  <r>
    <n v="3000001724"/>
    <d v="2025-12-04T00:00:00"/>
    <n v="4999217.92"/>
    <s v="FERNANDEZ CESAR ANDRES ALEJANDSALTA 09"/>
    <x v="880"/>
    <n v="4999217.92"/>
    <x v="144"/>
    <x v="1"/>
    <s v="pagado"/>
    <s v="pagado"/>
    <x v="0"/>
    <x v="0"/>
  </r>
  <r>
    <n v="3000001725"/>
    <d v="2025-12-04T00:00:00"/>
    <n v="3825767.92"/>
    <s v="LOGISTICA DEL NORTE S.R.L. SAN MIGUEL DE TUCUMAN 14"/>
    <x v="881"/>
    <n v="3825767.92"/>
    <x v="144"/>
    <x v="1"/>
    <s v="pagado"/>
    <s v="pagado"/>
    <x v="0"/>
    <x v="0"/>
  </r>
  <r>
    <n v="3000001726"/>
    <d v="2025-12-04T00:00:00"/>
    <n v="15051976.699999999"/>
    <s v="ANTONACCI LUIS GABRIEL LA FLORIDA 14"/>
    <x v="882"/>
    <n v="15051976.699999999"/>
    <x v="148"/>
    <x v="1"/>
    <s v="pagado"/>
    <s v="pagado"/>
    <x v="0"/>
    <x v="0"/>
  </r>
  <r>
    <n v="3000001727"/>
    <d v="2025-12-04T00:00:00"/>
    <n v="4547308.76"/>
    <s v="TRANS TRUCKS SRL SOLDINI 12"/>
    <x v="883"/>
    <n v="4547308.76"/>
    <x v="148"/>
    <x v="1"/>
    <s v="pagado"/>
    <s v="pagado"/>
    <x v="0"/>
    <x v="0"/>
  </r>
  <r>
    <n v="3000001728"/>
    <d v="2025-12-04T00:00:00"/>
    <n v="4094116.23"/>
    <s v="LENARDUZZI DIEGO LEONARDO SAN JUSTO 12"/>
    <x v="884"/>
    <n v="4094116.23"/>
    <x v="148"/>
    <x v="1"/>
    <s v="pagado"/>
    <s v="pagado"/>
    <x v="0"/>
    <x v="0"/>
  </r>
  <r>
    <n v="3000001696"/>
    <d v="2025-12-04T00:00:00"/>
    <n v="10615596.67"/>
    <s v="DANIEL MARCELO GUERRERO ALDERETES 14"/>
    <x v="885"/>
    <n v="10615596.67"/>
    <x v="143"/>
    <x v="1"/>
    <s v="pagado"/>
    <s v="pagado"/>
    <x v="0"/>
    <x v="0"/>
  </r>
  <r>
    <n v="3000001754"/>
    <d v="2025-12-10T00:00:00"/>
    <n v="20900000"/>
    <s v="Medina Lauro Jose Las Cejas 14"/>
    <x v="886"/>
    <n v="20900000"/>
    <x v="136"/>
    <x v="1"/>
    <s v="pagado"/>
    <s v="pagado"/>
    <x v="0"/>
    <x v="0"/>
  </r>
  <r>
    <n v="3000001755"/>
    <d v="2025-12-10T00:00:00"/>
    <n v="24076343.399999999"/>
    <s v="MARIA FERNANDA SRL LA TRINIDAD 14"/>
    <x v="887"/>
    <n v="24076343.399999999"/>
    <x v="136"/>
    <x v="1"/>
    <s v="pagado"/>
    <s v="pagado"/>
    <x v="0"/>
    <x v="0"/>
  </r>
  <r>
    <n v="3000001756"/>
    <d v="2025-12-10T00:00:00"/>
    <n v="18956952.289999999"/>
    <s v="JAVIER EDUARDO PRADO FLORIDA 13"/>
    <x v="888"/>
    <n v="18956952.289999999"/>
    <x v="136"/>
    <x v="1"/>
    <s v="pagado"/>
    <s v="pagado"/>
    <x v="0"/>
    <x v="0"/>
  </r>
  <r>
    <n v="3000001757"/>
    <d v="2025-12-10T00:00:00"/>
    <n v="8601128.9499999993"/>
    <s v="ANJOR SA CORDOBA 03"/>
    <x v="889"/>
    <n v="8601128.9499999993"/>
    <x v="136"/>
    <x v="1"/>
    <s v="pagado"/>
    <s v="pagado"/>
    <x v="0"/>
    <x v="0"/>
  </r>
  <r>
    <n v="3000001758"/>
    <d v="2025-12-10T00:00:00"/>
    <n v="16796628.82"/>
    <s v="LEGUMBRES SACIFIA SAN MIGUEL DE TUCUMAN 14"/>
    <x v="890"/>
    <n v="16796628.82"/>
    <x v="136"/>
    <x v="1"/>
    <s v="pagado"/>
    <s v="pagado"/>
    <x v="0"/>
    <x v="0"/>
  </r>
  <r>
    <n v="3000001759"/>
    <d v="2025-12-10T00:00:00"/>
    <n v="8200167.6100000003"/>
    <s v="SERVICOM S.R.L SAN MIGUEL DE TUCUMAN 14"/>
    <x v="891"/>
    <n v="8200167.6100000003"/>
    <x v="136"/>
    <x v="1"/>
    <s v="pagado"/>
    <s v="pagado"/>
    <x v="0"/>
    <x v="0"/>
  </r>
  <r>
    <n v="3000001760"/>
    <d v="2025-12-10T00:00:00"/>
    <n v="6000000"/>
    <s v="AYALA WALTER DANIEL ALDERETES 14"/>
    <x v="892"/>
    <n v="6000000"/>
    <x v="136"/>
    <x v="1"/>
    <s v="pagado"/>
    <s v="pagado"/>
    <x v="0"/>
    <x v="0"/>
  </r>
  <r>
    <n v="3000001760"/>
    <d v="2025-12-10T00:00:00"/>
    <n v="6000000"/>
    <s v="AYALA WALTER DANIEL ALDERETES 14"/>
    <x v="893"/>
    <n v="6000000"/>
    <x v="136"/>
    <x v="1"/>
    <s v="pagado"/>
    <s v="pagado"/>
    <x v="0"/>
    <x v="0"/>
  </r>
  <r>
    <n v="3000001760"/>
    <d v="2025-12-10T00:00:00"/>
    <n v="6000000"/>
    <s v="AYALA WALTER DANIEL ALDERETES 14"/>
    <x v="894"/>
    <n v="6000000"/>
    <x v="149"/>
    <x v="1"/>
    <s v="pagado"/>
    <s v="pagado"/>
    <x v="0"/>
    <x v="0"/>
  </r>
  <r>
    <n v="3000001760"/>
    <d v="2025-12-10T00:00:00"/>
    <n v="8778452.2699999996"/>
    <s v="AYALA WALTER DANIEL ALDERETES 14"/>
    <x v="895"/>
    <n v="8778452.2699999996"/>
    <x v="149"/>
    <x v="1"/>
    <s v="pagado"/>
    <s v="pagado"/>
    <x v="0"/>
    <x v="0"/>
  </r>
  <r>
    <n v="3000001761"/>
    <d v="2025-12-11T00:00:00"/>
    <n v="18400000"/>
    <s v="TENSAC S.H. SAN MIGUEL DE TUCUMAN 14"/>
    <x v="896"/>
    <n v="18400000"/>
    <x v="150"/>
    <x v="1"/>
    <s v="pagado"/>
    <s v="pagado"/>
    <x v="0"/>
    <x v="0"/>
  </r>
  <r>
    <n v="3000001761"/>
    <d v="2025-12-11T00:00:00"/>
    <n v="18387781.25"/>
    <s v="TENSAC S.H. SAN MIGUEL DE TUCUMAN 14"/>
    <x v="897"/>
    <n v="18387781.25"/>
    <x v="151"/>
    <x v="1"/>
    <s v="pagado"/>
    <s v="pagado"/>
    <x v="0"/>
    <x v="0"/>
  </r>
  <r>
    <n v="3000001762"/>
    <d v="2025-12-11T00:00:00"/>
    <n v="38500000"/>
    <s v="Gulf Oil Argentina SA Lomas Del Mirador 01"/>
    <x v="898"/>
    <n v="38500000"/>
    <x v="152"/>
    <x v="1"/>
    <s v="pagado"/>
    <s v="pagado"/>
    <x v="0"/>
    <x v="0"/>
  </r>
  <r>
    <n v="3000001762"/>
    <d v="2025-12-11T00:00:00"/>
    <n v="38103800"/>
    <s v="Gulf Oil Argentina SA Lomas Del Mirador 01"/>
    <x v="899"/>
    <n v="38103800"/>
    <x v="153"/>
    <x v="1"/>
    <s v="pagado"/>
    <s v="pagado"/>
    <x v="0"/>
    <x v="0"/>
  </r>
  <r>
    <n v="3000001770"/>
    <d v="2025-12-12T00:00:00"/>
    <n v="17292780"/>
    <s v="EDET S.A. SAN MIGUEL DE TUCUMAN 14"/>
    <x v="900"/>
    <n v="17292780"/>
    <x v="128"/>
    <x v="1"/>
    <s v="pagado"/>
    <s v="pagado"/>
    <x v="0"/>
    <x v="0"/>
  </r>
  <r>
    <n v="3000001771"/>
    <d v="2025-12-12T00:00:00"/>
    <n v="6260578.0999999996"/>
    <s v="SAN LORENZO CEREALES S.R.L SAN LORENZO 12"/>
    <x v="901"/>
    <n v="6260578.0999999996"/>
    <x v="154"/>
    <x v="1"/>
    <s v="pagado"/>
    <s v="pagado"/>
    <x v="0"/>
    <x v="0"/>
  </r>
  <r>
    <n v="3000001776"/>
    <d v="2025-12-15T00:00:00"/>
    <n v="2085598.12"/>
    <s v="ELIAS LUCIANO EMANUEL LAS TALITAS 14"/>
    <x v="902"/>
    <n v="2085598.12"/>
    <x v="154"/>
    <x v="1"/>
    <s v="pagado"/>
    <s v="pagado"/>
    <x v="0"/>
    <x v="0"/>
  </r>
  <r>
    <n v="3000001777"/>
    <d v="2025-12-15T00:00:00"/>
    <n v="10951808.130000001"/>
    <s v="DANIEL MARCELO GUERRERO ALDERETES 14"/>
    <x v="903"/>
    <n v="10951808.130000001"/>
    <x v="154"/>
    <x v="1"/>
    <s v="pagado"/>
    <s v="pagado"/>
    <x v="0"/>
    <x v="0"/>
  </r>
  <r>
    <n v="3000001778"/>
    <d v="2025-12-15T00:00:00"/>
    <n v="7251743.4000000004"/>
    <s v="MARTO ALBERTO ANTONIO LA RAMADA DE ABAJO 14"/>
    <x v="904"/>
    <n v="7251743.4000000004"/>
    <x v="154"/>
    <x v="1"/>
    <s v="pagado"/>
    <s v="pagado"/>
    <x v="0"/>
    <x v="0"/>
  </r>
  <r>
    <n v="3000001779"/>
    <d v="2025-12-15T00:00:00"/>
    <n v="12552811.640000001"/>
    <s v="PETROANDINA S.R.L SALTA 09"/>
    <x v="905"/>
    <n v="12552811.640000001"/>
    <x v="154"/>
    <x v="1"/>
    <s v="pagado"/>
    <s v="pagado"/>
    <x v="0"/>
    <x v="0"/>
  </r>
  <r>
    <n v="3000001780"/>
    <d v="2025-12-15T00:00:00"/>
    <n v="13569065.949999999"/>
    <s v="LIZONDO OSCAR FABIAN METAN 09"/>
    <x v="906"/>
    <n v="13569065.949999999"/>
    <x v="154"/>
    <x v="1"/>
    <s v="pagado"/>
    <s v="pagado"/>
    <x v="0"/>
    <x v="0"/>
  </r>
  <r>
    <n v="3000001781"/>
    <d v="2025-12-15T00:00:00"/>
    <n v="21000000"/>
    <s v="Medina Lauro Jose Las Cejas 14"/>
    <x v="907"/>
    <n v="21000000"/>
    <x v="154"/>
    <x v="1"/>
    <s v="pagado"/>
    <s v="pagado"/>
    <x v="0"/>
    <x v="0"/>
  </r>
  <r>
    <n v="3000001781"/>
    <d v="2025-12-15T00:00:00"/>
    <n v="21016812.399999999"/>
    <s v="Medina Lauro Jose Las Cejas 14"/>
    <x v="908"/>
    <n v="21016812.399999999"/>
    <x v="155"/>
    <x v="1"/>
    <s v="pagado"/>
    <s v="pagado"/>
    <x v="0"/>
    <x v="0"/>
  </r>
  <r>
    <n v="3000001782"/>
    <d v="2025-12-15T00:00:00"/>
    <n v="6564286.2400000002"/>
    <s v="GRUPO MARGEN DEL NOA SA YERBA BUENA 14"/>
    <x v="909"/>
    <n v="6564286.2400000002"/>
    <x v="154"/>
    <x v="1"/>
    <s v="pagado"/>
    <s v="pagado"/>
    <x v="0"/>
    <x v="0"/>
  </r>
  <r>
    <n v="3000001783"/>
    <d v="2025-12-15T00:00:00"/>
    <n v="16038063.279999999"/>
    <s v="AYALA WALTER DANIEL ALDERETES 14"/>
    <x v="910"/>
    <n v="16038063.279999999"/>
    <x v="154"/>
    <x v="1"/>
    <s v="pagado"/>
    <s v="pagado"/>
    <x v="0"/>
    <x v="0"/>
  </r>
  <r>
    <n v="3000001784"/>
    <d v="2025-12-15T00:00:00"/>
    <n v="21076936.75"/>
    <s v="Pulverizaciones Tuninetti S.R.Las Rosas 01"/>
    <x v="911"/>
    <n v="21076936.75"/>
    <x v="154"/>
    <x v="1"/>
    <s v="pagado"/>
    <s v="pagado"/>
    <x v="0"/>
    <x v="0"/>
  </r>
  <r>
    <n v="3000001785"/>
    <d v="2025-12-15T00:00:00"/>
    <n v="22366056.82"/>
    <s v="VERON MARIANA BEATRIZ NUEVA ESPERANZA 13"/>
    <x v="912"/>
    <n v="22366056.82"/>
    <x v="154"/>
    <x v="1"/>
    <s v="pagado"/>
    <s v="pagado"/>
    <x v="0"/>
    <x v="0"/>
  </r>
  <r>
    <n v="3000001786"/>
    <d v="2025-12-15T00:00:00"/>
    <n v="21000000"/>
    <s v="DON KOKO S.R.L CAMILO ALDAO 03"/>
    <x v="913"/>
    <n v="21000000"/>
    <x v="154"/>
    <x v="1"/>
    <s v="pagado"/>
    <s v="pagado"/>
    <x v="0"/>
    <x v="0"/>
  </r>
  <r>
    <n v="3000001786"/>
    <d v="2025-12-15T00:00:00"/>
    <n v="21801343.399999999"/>
    <s v="DON KOKO S.R.L CAMILO ALDAO 03"/>
    <x v="914"/>
    <n v="21801343.399999999"/>
    <x v="155"/>
    <x v="1"/>
    <s v="pagado"/>
    <s v="pagado"/>
    <x v="0"/>
    <x v="0"/>
  </r>
  <r>
    <n v="3000001787"/>
    <d v="2025-12-15T00:00:00"/>
    <n v="1000000"/>
    <s v="Pulmajo S.R.L. CONCEPCION 14"/>
    <x v="915"/>
    <n v="1000000"/>
    <x v="154"/>
    <x v="1"/>
    <s v="pagado"/>
    <s v="pagado"/>
    <x v="0"/>
    <x v="0"/>
  </r>
  <r>
    <n v="3000001787"/>
    <d v="2025-12-15T00:00:00"/>
    <n v="1000000"/>
    <s v="Pulmajo S.R.L. CONCEPCION 14"/>
    <x v="916"/>
    <n v="1000000"/>
    <x v="154"/>
    <x v="1"/>
    <s v="pagado"/>
    <s v="pagado"/>
    <x v="0"/>
    <x v="0"/>
  </r>
  <r>
    <n v="3000001787"/>
    <d v="2025-12-15T00:00:00"/>
    <n v="1000000"/>
    <s v="Pulmajo S.R.L. CONCEPCION 14"/>
    <x v="917"/>
    <n v="1000000"/>
    <x v="154"/>
    <x v="1"/>
    <s v="pagado"/>
    <s v="pagado"/>
    <x v="0"/>
    <x v="0"/>
  </r>
  <r>
    <n v="3000001787"/>
    <d v="2025-12-15T00:00:00"/>
    <n v="2000000"/>
    <s v="Pulmajo S.R.L. CONCEPCION 14"/>
    <x v="918"/>
    <n v="2000000"/>
    <x v="154"/>
    <x v="1"/>
    <s v="pagado"/>
    <s v="pagado"/>
    <x v="0"/>
    <x v="0"/>
  </r>
  <r>
    <n v="3000001787"/>
    <d v="2025-12-15T00:00:00"/>
    <n v="2000000"/>
    <s v="Pulmajo S.R.L. CONCEPCION 14"/>
    <x v="919"/>
    <n v="2000000"/>
    <x v="154"/>
    <x v="1"/>
    <s v="pagado"/>
    <s v="pagado"/>
    <x v="0"/>
    <x v="0"/>
  </r>
  <r>
    <n v="3000001787"/>
    <d v="2025-12-15T00:00:00"/>
    <n v="2000000"/>
    <s v="Pulmajo S.R.L. CONCEPCION 14"/>
    <x v="920"/>
    <n v="2000000"/>
    <x v="154"/>
    <x v="1"/>
    <s v="pagado"/>
    <s v="pagado"/>
    <x v="0"/>
    <x v="0"/>
  </r>
  <r>
    <n v="3000001787"/>
    <d v="2025-12-15T00:00:00"/>
    <n v="2000000"/>
    <s v="Pulmajo S.R.L. CONCEPCION 14"/>
    <x v="921"/>
    <n v="2000000"/>
    <x v="154"/>
    <x v="1"/>
    <s v="pagado"/>
    <s v="pagado"/>
    <x v="0"/>
    <x v="0"/>
  </r>
  <r>
    <n v="3000001787"/>
    <d v="2025-12-15T00:00:00"/>
    <n v="2000000"/>
    <s v="Pulmajo S.R.L. CONCEPCION 14"/>
    <x v="922"/>
    <n v="2000000"/>
    <x v="154"/>
    <x v="1"/>
    <s v="pagado"/>
    <s v="pagado"/>
    <x v="0"/>
    <x v="0"/>
  </r>
  <r>
    <n v="3000001787"/>
    <d v="2025-12-15T00:00:00"/>
    <n v="3300000"/>
    <s v="Pulmajo S.R.L. CONCEPCION 14"/>
    <x v="923"/>
    <n v="3300000"/>
    <x v="154"/>
    <x v="1"/>
    <s v="pagado"/>
    <s v="pagado"/>
    <x v="0"/>
    <x v="0"/>
  </r>
  <r>
    <n v="3000001787"/>
    <d v="2025-12-15T00:00:00"/>
    <n v="3300000"/>
    <s v="Pulmajo S.R.L. CONCEPCION 14"/>
    <x v="924"/>
    <n v="3300000"/>
    <x v="154"/>
    <x v="1"/>
    <s v="pagado"/>
    <s v="pagado"/>
    <x v="0"/>
    <x v="0"/>
  </r>
  <r>
    <n v="3000001787"/>
    <d v="2025-12-15T00:00:00"/>
    <n v="3300000"/>
    <s v="Pulmajo S.R.L. CONCEPCION 14"/>
    <x v="925"/>
    <n v="3300000"/>
    <x v="154"/>
    <x v="1"/>
    <s v="pagado"/>
    <s v="pagado"/>
    <x v="0"/>
    <x v="0"/>
  </r>
  <r>
    <n v="3000001787"/>
    <d v="2025-12-15T00:00:00"/>
    <n v="5000000"/>
    <s v="Pulmajo S.R.L. CONCEPCION 14"/>
    <x v="926"/>
    <n v="5000000"/>
    <x v="155"/>
    <x v="1"/>
    <s v="pagado"/>
    <s v="pagado"/>
    <x v="0"/>
    <x v="0"/>
  </r>
  <r>
    <n v="3000001787"/>
    <d v="2025-12-15T00:00:00"/>
    <n v="5000000"/>
    <s v="Pulmajo S.R.L. CONCEPCION 14"/>
    <x v="927"/>
    <n v="5000000"/>
    <x v="155"/>
    <x v="1"/>
    <s v="pagado"/>
    <s v="pagado"/>
    <x v="0"/>
    <x v="0"/>
  </r>
  <r>
    <n v="3000001787"/>
    <d v="2025-12-15T00:00:00"/>
    <n v="5000000"/>
    <s v="Pulmajo S.R.L. CONCEPCION 14"/>
    <x v="928"/>
    <n v="5000000"/>
    <x v="155"/>
    <x v="1"/>
    <s v="pagado"/>
    <s v="pagado"/>
    <x v="0"/>
    <x v="0"/>
  </r>
  <r>
    <n v="3000001787"/>
    <d v="2025-12-15T00:00:00"/>
    <n v="5000000"/>
    <s v="Pulmajo S.R.L. CONCEPCION 14"/>
    <x v="929"/>
    <n v="5000000"/>
    <x v="155"/>
    <x v="1"/>
    <s v="pagado"/>
    <s v="pagado"/>
    <x v="0"/>
    <x v="0"/>
  </r>
  <r>
    <n v="3000001787"/>
    <d v="2025-12-15T00:00:00"/>
    <n v="5000000"/>
    <s v="Pulmajo S.R.L. CONCEPCION 14"/>
    <x v="930"/>
    <n v="5000000"/>
    <x v="155"/>
    <x v="1"/>
    <s v="pagado"/>
    <s v="pagado"/>
    <x v="0"/>
    <x v="0"/>
  </r>
  <r>
    <n v="3000001787"/>
    <d v="2025-12-15T00:00:00"/>
    <n v="5428324.0099999998"/>
    <s v="Pulmajo S.R.L. CONCEPCION 14"/>
    <x v="931"/>
    <n v="5428324.0099999998"/>
    <x v="155"/>
    <x v="1"/>
    <s v="pagado"/>
    <s v="pagado"/>
    <x v="0"/>
    <x v="0"/>
  </r>
  <r>
    <n v="3000001788"/>
    <d v="2025-12-16T00:00:00"/>
    <n v="17000000"/>
    <s v="TENSAC S.H. SAN MIGUEL DE TUCUMAN 14"/>
    <x v="932"/>
    <n v="17000000"/>
    <x v="156"/>
    <x v="1"/>
    <s v="pagado"/>
    <s v="pagado"/>
    <x v="0"/>
    <x v="0"/>
  </r>
  <r>
    <n v="3000001788"/>
    <d v="2025-12-16T00:00:00"/>
    <n v="16466702.5"/>
    <s v="TENSAC S.H. SAN MIGUEL DE TUCUMAN 14"/>
    <x v="933"/>
    <n v="16466702.5"/>
    <x v="131"/>
    <x v="1"/>
    <s v="pagado"/>
    <s v="pagado"/>
    <x v="0"/>
    <x v="0"/>
  </r>
  <r>
    <n v="1200002676"/>
    <d v="2025-12-17T00:00:00"/>
    <n v="17229080.260000002"/>
    <s v="Cheque de terceros tucumán"/>
    <x v="934"/>
    <n v="17229080.260000002"/>
    <x v="157"/>
    <x v="1"/>
    <s v="pagado"/>
    <s v="pagado"/>
    <x v="0"/>
    <x v="0"/>
  </r>
  <r>
    <n v="1200002676"/>
    <d v="2025-12-17T00:00:00"/>
    <n v="27781394.850000001"/>
    <s v="Cheque de terceros tucumán"/>
    <x v="935"/>
    <n v="27781394.850000001"/>
    <x v="157"/>
    <x v="1"/>
    <s v="pagado"/>
    <s v="pagado"/>
    <x v="0"/>
    <x v="0"/>
  </r>
  <r>
    <n v="1200002676"/>
    <d v="2025-12-17T00:00:00"/>
    <n v="31000000"/>
    <s v="Cheque de terceros tucumán"/>
    <x v="936"/>
    <n v="31000000"/>
    <x v="157"/>
    <x v="1"/>
    <s v="pagado"/>
    <s v="pagado"/>
    <x v="0"/>
    <x v="0"/>
  </r>
  <r>
    <n v="1200002676"/>
    <d v="2025-12-17T00:00:00"/>
    <n v="19448681.600000001"/>
    <s v="Cheque de terceros tucumán"/>
    <x v="937"/>
    <n v="19448681.600000001"/>
    <x v="157"/>
    <x v="1"/>
    <s v="pagado"/>
    <s v="pagado"/>
    <x v="0"/>
    <x v="0"/>
  </r>
  <r>
    <n v="1200002676"/>
    <d v="2025-12-17T00:00:00"/>
    <n v="18137576.620000001"/>
    <s v="Cheque de terceros tucumán"/>
    <x v="938"/>
    <n v="18137576.620000001"/>
    <x v="157"/>
    <x v="1"/>
    <s v="pagado"/>
    <s v="pagado"/>
    <x v="0"/>
    <x v="0"/>
  </r>
  <r>
    <n v="1200002676"/>
    <d v="2025-12-17T00:00:00"/>
    <n v="14843933.49"/>
    <s v="Cheque de terceros tucumán"/>
    <x v="939"/>
    <n v="14843933.49"/>
    <x v="157"/>
    <x v="1"/>
    <s v="pagado"/>
    <s v="pagado"/>
    <x v="0"/>
    <x v="0"/>
  </r>
  <r>
    <n v="3000001804"/>
    <d v="2025-12-17T00:00:00"/>
    <n v="4093400.44"/>
    <s v="ANTONACCI LUIS GABRIEL LA FLORIDA 14"/>
    <x v="940"/>
    <n v="4093400.44"/>
    <x v="158"/>
    <x v="1"/>
    <s v="pagado"/>
    <s v="pagado"/>
    <x v="0"/>
    <x v="0"/>
  </r>
  <r>
    <n v="3000001805"/>
    <d v="2025-12-17T00:00:00"/>
    <n v="8410329.9499999993"/>
    <s v="JAVIER EDUARDO PRADO FLORIDA 13"/>
    <x v="941"/>
    <n v="8410329.9499999993"/>
    <x v="158"/>
    <x v="1"/>
    <s v="pagado"/>
    <s v="pagado"/>
    <x v="0"/>
    <x v="0"/>
  </r>
  <r>
    <n v="3000001806"/>
    <d v="2025-12-17T00:00:00"/>
    <n v="4519074.93"/>
    <s v="LANGELLA JUAN RODOLFO ALDERETES 14"/>
    <x v="942"/>
    <n v="4519074.93"/>
    <x v="158"/>
    <x v="1"/>
    <s v="pagado"/>
    <s v="pagado"/>
    <x v="0"/>
    <x v="0"/>
  </r>
  <r>
    <n v="3000001807"/>
    <d v="2025-12-17T00:00:00"/>
    <n v="11036942.439999999"/>
    <s v="LOGISTICA CENTRO S.R.L CORONDA 12"/>
    <x v="943"/>
    <n v="11036942.439999999"/>
    <x v="158"/>
    <x v="1"/>
    <s v="pagado"/>
    <s v="pagado"/>
    <x v="0"/>
    <x v="0"/>
  </r>
  <r>
    <n v="1200002680"/>
    <d v="2025-12-19T00:00:00"/>
    <n v="180027680.33000001"/>
    <s v="Cheque de terceros tucumán"/>
    <x v="944"/>
    <n v="180027680.33000001"/>
    <x v="159"/>
    <x v="1"/>
    <s v="pagado"/>
    <s v="pagado"/>
    <x v="0"/>
    <x v="0"/>
  </r>
  <r>
    <n v="3000001832"/>
    <d v="2025-12-23T00:00:00"/>
    <n v="6248843.4000000004"/>
    <s v="ACOSTA EMILIA ROMINA JOAQUIN V GONZALEZ 09"/>
    <x v="945"/>
    <n v="6248843.4000000004"/>
    <x v="160"/>
    <x v="1"/>
    <s v="pagado"/>
    <s v="pagado"/>
    <x v="0"/>
    <x v="0"/>
  </r>
  <r>
    <n v="3000001833"/>
    <d v="2025-12-23T00:00:00"/>
    <n v="2584598.85"/>
    <s v="MOLINA JUAN F. Y MOLINA ROQUE Lastenia 14"/>
    <x v="946"/>
    <n v="2584598.85"/>
    <x v="150"/>
    <x v="1"/>
    <s v="pagado"/>
    <s v="pagado"/>
    <x v="0"/>
    <x v="0"/>
  </r>
  <r>
    <n v="3000001833"/>
    <d v="2025-12-23T00:00:00"/>
    <n v="10755712.380000001"/>
    <s v="MOLINA JUAN F. Y MOLINA ROQUE Lastenia 14"/>
    <x v="947"/>
    <n v="10755712.380000001"/>
    <x v="160"/>
    <x v="1"/>
    <s v="pagado"/>
    <s v="pagado"/>
    <x v="0"/>
    <x v="0"/>
  </r>
  <r>
    <n v="3000001834"/>
    <d v="2025-12-23T00:00:00"/>
    <n v="14084236.539999999"/>
    <s v="LIZONDO OSCAR FABIAN METAN 09"/>
    <x v="948"/>
    <n v="14084236.539999999"/>
    <x v="160"/>
    <x v="1"/>
    <s v="pagado"/>
    <s v="pagado"/>
    <x v="0"/>
    <x v="0"/>
  </r>
  <r>
    <n v="3000001835"/>
    <d v="2025-12-23T00:00:00"/>
    <n v="25000000"/>
    <s v="Medina Lauro Jose Las Cejas 14"/>
    <x v="949"/>
    <n v="25000000"/>
    <x v="160"/>
    <x v="1"/>
    <s v="pagado"/>
    <s v="pagado"/>
    <x v="0"/>
    <x v="0"/>
  </r>
  <r>
    <n v="3000001835"/>
    <d v="2025-12-23T00:00:00"/>
    <n v="30752840"/>
    <s v="Medina Lauro Jose Las Cejas 14"/>
    <x v="950"/>
    <n v="30752840"/>
    <x v="161"/>
    <x v="1"/>
    <s v="pagado"/>
    <s v="pagado"/>
    <x v="0"/>
    <x v="0"/>
  </r>
  <r>
    <n v="3000001836"/>
    <d v="2025-12-23T00:00:00"/>
    <n v="25000000"/>
    <s v="CARIGNANO RAUL JUAN YERBA BUENA 14"/>
    <x v="951"/>
    <n v="25000000"/>
    <x v="160"/>
    <x v="1"/>
    <s v="pagado"/>
    <s v="pagado"/>
    <x v="0"/>
    <x v="0"/>
  </r>
  <r>
    <n v="3000001836"/>
    <d v="2025-12-23T00:00:00"/>
    <n v="31893947.140000001"/>
    <s v="CARIGNANO RAUL JUAN YERBA BUENA 14"/>
    <x v="952"/>
    <n v="31893947.140000001"/>
    <x v="161"/>
    <x v="1"/>
    <s v="pagado"/>
    <s v="pagado"/>
    <x v="0"/>
    <x v="0"/>
  </r>
  <r>
    <n v="3000001837"/>
    <d v="2025-12-23T00:00:00"/>
    <n v="15000000"/>
    <s v="Aso, Eduardo SAN MIGUEL DE TUCUMAN 14"/>
    <x v="953"/>
    <n v="15000000"/>
    <x v="160"/>
    <x v="1"/>
    <s v="pagado"/>
    <s v="pagado"/>
    <x v="0"/>
    <x v="0"/>
  </r>
  <r>
    <n v="3000001837"/>
    <d v="2025-12-23T00:00:00"/>
    <n v="12565242.27"/>
    <s v="Aso, Eduardo SAN MIGUEL DE TUCUMAN 14"/>
    <x v="954"/>
    <n v="12565242.27"/>
    <x v="161"/>
    <x v="1"/>
    <s v="pagado"/>
    <s v="pagado"/>
    <x v="0"/>
    <x v="0"/>
  </r>
  <r>
    <n v="3000001838"/>
    <d v="2025-12-23T00:00:00"/>
    <n v="25000000"/>
    <s v="ROMAN BARCELO Y JORGE CARRERASLAS LAJITAS 09"/>
    <x v="955"/>
    <n v="25000000"/>
    <x v="160"/>
    <x v="1"/>
    <s v="pagado"/>
    <s v="pagado"/>
    <x v="0"/>
    <x v="0"/>
  </r>
  <r>
    <n v="3000001838"/>
    <d v="2025-12-23T00:00:00"/>
    <n v="27261846"/>
    <s v="ROMAN BARCELO Y JORGE CARRERASLAS LAJITAS 09"/>
    <x v="956"/>
    <n v="27261846"/>
    <x v="161"/>
    <x v="1"/>
    <s v="pagado"/>
    <s v="pagado"/>
    <x v="0"/>
    <x v="0"/>
  </r>
  <r>
    <n v="3000001839"/>
    <d v="2025-12-23T00:00:00"/>
    <n v="25000000"/>
    <s v="AYALA HERNAN OSVALDO SAN MIGUEL DE TUCUMAN 14"/>
    <x v="957"/>
    <n v="25000000"/>
    <x v="160"/>
    <x v="1"/>
    <s v="pagado"/>
    <s v="pagado"/>
    <x v="0"/>
    <x v="0"/>
  </r>
  <r>
    <n v="3000001839"/>
    <d v="2025-12-23T00:00:00"/>
    <n v="25710232.899999999"/>
    <s v="AYALA HERNAN OSVALDO SAN MIGUEL DE TUCUMAN 14"/>
    <x v="958"/>
    <n v="25710232.899999999"/>
    <x v="161"/>
    <x v="1"/>
    <s v="pagado"/>
    <s v="pagado"/>
    <x v="0"/>
    <x v="0"/>
  </r>
  <r>
    <n v="3000001840"/>
    <d v="2025-12-23T00:00:00"/>
    <n v="12757657.369999999"/>
    <s v="GOMEZ JESSICA NOELIA LAS TALITAS 14"/>
    <x v="959"/>
    <n v="12757657.369999999"/>
    <x v="160"/>
    <x v="1"/>
    <s v="pagado"/>
    <s v="pagado"/>
    <x v="0"/>
    <x v="0"/>
  </r>
  <r>
    <n v="3000001841"/>
    <d v="2025-12-23T00:00:00"/>
    <n v="15000000"/>
    <s v="TRANSPORTE BARBERAN HNOS SRL CHABAS 12"/>
    <x v="960"/>
    <n v="15000000"/>
    <x v="160"/>
    <x v="1"/>
    <s v="pagado"/>
    <s v="pagado"/>
    <x v="0"/>
    <x v="0"/>
  </r>
  <r>
    <n v="3000001841"/>
    <d v="2025-12-23T00:00:00"/>
    <n v="14841630.369999999"/>
    <s v="TRANSPORTE BARBERAN HNOS SRL CHABAS 12"/>
    <x v="961"/>
    <n v="14841630.369999999"/>
    <x v="161"/>
    <x v="1"/>
    <s v="pagado"/>
    <s v="pagado"/>
    <x v="0"/>
    <x v="0"/>
  </r>
  <r>
    <n v="3000001842"/>
    <d v="2025-12-23T00:00:00"/>
    <n v="20051653.399999999"/>
    <s v="GOMEZ MANUEL ARCENIO METAN 09"/>
    <x v="962"/>
    <n v="20051653.399999999"/>
    <x v="160"/>
    <x v="1"/>
    <s v="pagado"/>
    <s v="pagado"/>
    <x v="0"/>
    <x v="0"/>
  </r>
  <r>
    <n v="3000001843"/>
    <d v="2025-12-23T00:00:00"/>
    <n v="16372888.689999999"/>
    <s v="PAIS WALTER LUIS SAN MIGUEL DE TUCUMAN 14"/>
    <x v="963"/>
    <n v="16372888.689999999"/>
    <x v="161"/>
    <x v="1"/>
    <s v="pagado"/>
    <s v="pagado"/>
    <x v="0"/>
    <x v="0"/>
  </r>
  <r>
    <n v="3000001844"/>
    <d v="2025-12-26T00:00:00"/>
    <n v="8500000"/>
    <s v="TENSAC S.H."/>
    <x v="964"/>
    <n v="8500000"/>
    <x v="162"/>
    <x v="1"/>
    <s v="pagado"/>
    <s v="pagado"/>
    <x v="0"/>
    <x v="0"/>
  </r>
  <r>
    <n v="3000001844"/>
    <d v="2025-12-26T00:00:00"/>
    <n v="9222695.3699999992"/>
    <s v="TENSAC S.H."/>
    <x v="965"/>
    <n v="9222695.3699999992"/>
    <x v="163"/>
    <x v="1"/>
    <s v="pagado"/>
    <s v="pagado"/>
    <x v="0"/>
    <x v="0"/>
  </r>
  <r>
    <n v="3000001855"/>
    <d v="2025-12-29T00:00:00"/>
    <n v="8000000"/>
    <s v="RODRIGUEZ NESTOR HORACIO YERBA BUENA 14"/>
    <x v="966"/>
    <n v="8000000"/>
    <x v="162"/>
    <x v="1"/>
    <s v="pagado"/>
    <s v="pagado"/>
    <x v="0"/>
    <x v="0"/>
  </r>
  <r>
    <n v="3000001855"/>
    <d v="2025-12-29T00:00:00"/>
    <n v="5920445"/>
    <s v="RODRIGUEZ NESTOR HORACIO YERBA BUENA 14"/>
    <x v="967"/>
    <n v="5920445"/>
    <x v="164"/>
    <x v="1"/>
    <s v="pagado"/>
    <s v="pagado"/>
    <x v="0"/>
    <x v="0"/>
  </r>
  <r>
    <n v="3000001856"/>
    <d v="2025-12-29T00:00:00"/>
    <n v="10000000"/>
    <s v="Aso, Eduardo SAN MIGUEL DE TUCUMAN 14"/>
    <x v="968"/>
    <n v="10000000"/>
    <x v="162"/>
    <x v="1"/>
    <s v="pagado"/>
    <s v="pagado"/>
    <x v="0"/>
    <x v="0"/>
  </r>
  <r>
    <n v="3000001856"/>
    <d v="2025-12-29T00:00:00"/>
    <n v="5701870"/>
    <s v="Aso, Eduardo SAN MIGUEL DE TUCUMAN 14"/>
    <x v="969"/>
    <n v="5701870"/>
    <x v="164"/>
    <x v="1"/>
    <s v="pagado"/>
    <s v="pagado"/>
    <x v="0"/>
    <x v="0"/>
  </r>
  <r>
    <n v="3000001857"/>
    <d v="2025-12-29T00:00:00"/>
    <n v="6000000"/>
    <s v="VERON MARIANA BEATRIZ NUEVA ESPERANZA 13"/>
    <x v="970"/>
    <n v="6000000"/>
    <x v="162"/>
    <x v="1"/>
    <s v="pagado"/>
    <s v="pagado"/>
    <x v="0"/>
    <x v="0"/>
  </r>
  <r>
    <n v="3000001857"/>
    <d v="2025-12-29T00:00:00"/>
    <n v="6402344.5999999996"/>
    <s v="VERON MARIANA BEATRIZ NUEVA ESPERANZA 13"/>
    <x v="971"/>
    <n v="6402344.5999999996"/>
    <x v="164"/>
    <x v="1"/>
    <s v="pagado"/>
    <s v="pagado"/>
    <x v="0"/>
    <x v="0"/>
  </r>
  <r>
    <n v="3000001858"/>
    <d v="2025-12-29T00:00:00"/>
    <n v="4030715.5"/>
    <s v="AYALA WALTER DANIEL ALDERETES 14"/>
    <x v="972"/>
    <n v="4030715.5"/>
    <x v="162"/>
    <x v="1"/>
    <s v="pagado"/>
    <s v="pagado"/>
    <x v="0"/>
    <x v="0"/>
  </r>
  <r>
    <n v="3000001859"/>
    <d v="2025-12-29T00:00:00"/>
    <n v="6094396"/>
    <s v="Suc. de Ventimiglia Nelly IrmJesus Maria 03"/>
    <x v="973"/>
    <n v="6094396"/>
    <x v="162"/>
    <x v="1"/>
    <s v="pagado"/>
    <s v="pagado"/>
    <x v="0"/>
    <x v="0"/>
  </r>
  <r>
    <n v="3000000008"/>
    <d v="2026-01-06T00:00:00"/>
    <n v="4023691.09"/>
    <s v="PETROANDINA S.R.L SALTA 09"/>
    <x v="974"/>
    <n v="4023691.09"/>
    <x v="164"/>
    <x v="1"/>
    <s v="pagado"/>
    <s v="pagado"/>
    <x v="0"/>
    <x v="0"/>
  </r>
  <r>
    <n v="3000000009"/>
    <d v="2026-01-06T00:00:00"/>
    <n v="3571343.4"/>
    <s v="ACOSTA EMILIA ROMINA JOAQUIN V GONZALEZ 09"/>
    <x v="975"/>
    <n v="3571343.4"/>
    <x v="164"/>
    <x v="1"/>
    <s v="pagado"/>
    <s v="pagado"/>
    <x v="0"/>
    <x v="0"/>
  </r>
  <r>
    <n v="3000000010"/>
    <d v="2026-01-06T00:00:00"/>
    <n v="16622281.49"/>
    <s v="CRIADERO KLEIN SA PLA, PARTIDO DE ALBERTI 01"/>
    <x v="976"/>
    <n v="16622281.49"/>
    <x v="164"/>
    <x v="1"/>
    <s v="pagado"/>
    <s v="pagado"/>
    <x v="0"/>
    <x v="0"/>
  </r>
  <r>
    <n v="3000000011"/>
    <d v="2026-01-06T00:00:00"/>
    <n v="4987237.59"/>
    <s v="Syngenta Agro S.A. Vicente López 01"/>
    <x v="977"/>
    <n v="4987237.59"/>
    <x v="164"/>
    <x v="1"/>
    <s v="pagado"/>
    <s v="pagado"/>
    <x v="0"/>
    <x v="0"/>
  </r>
  <r>
    <n v="3000000012"/>
    <d v="2026-01-06T00:00:00"/>
    <n v="15000000"/>
    <s v="Medina Lauro Jose Las Cejas 14"/>
    <x v="978"/>
    <n v="15000000"/>
    <x v="164"/>
    <x v="1"/>
    <s v="pagado"/>
    <s v="pagado"/>
    <x v="0"/>
    <x v="0"/>
  </r>
  <r>
    <n v="3000000012"/>
    <d v="2026-01-06T00:00:00"/>
    <n v="14152558.9"/>
    <s v="Medina Lauro Jose Las Cejas 14"/>
    <x v="979"/>
    <n v="14152558.9"/>
    <x v="165"/>
    <x v="1"/>
    <s v="pagado"/>
    <s v="pagado"/>
    <x v="0"/>
    <x v="0"/>
  </r>
  <r>
    <n v="3000000013"/>
    <d v="2026-01-06T00:00:00"/>
    <n v="9679654.4100000001"/>
    <s v="BUSTOS EXEQUIEL ANTONIO BANDA DEL RIO SALI 14"/>
    <x v="980"/>
    <n v="9679654.4100000001"/>
    <x v="164"/>
    <x v="1"/>
    <s v="pagado"/>
    <s v="pagado"/>
    <x v="0"/>
    <x v="0"/>
  </r>
  <r>
    <n v="3000000014"/>
    <d v="2026-01-06T00:00:00"/>
    <n v="4926896.9000000004"/>
    <s v="AYALA WALTER DANIEL ALDERETES 14"/>
    <x v="981"/>
    <n v="4926896.9000000004"/>
    <x v="164"/>
    <x v="1"/>
    <s v="pagado"/>
    <s v="pagado"/>
    <x v="0"/>
    <x v="0"/>
  </r>
  <r>
    <n v="3000000007"/>
    <d v="2026-01-07T00:00:00"/>
    <n v="10000000"/>
    <s v="Pulmajo S.R.L. CONCEPCION 14"/>
    <x v="982"/>
    <n v="10000000"/>
    <x v="164"/>
    <x v="1"/>
    <s v="pagado"/>
    <s v="pagado"/>
    <x v="0"/>
    <x v="0"/>
  </r>
  <r>
    <n v="3000000007"/>
    <d v="2026-01-07T00:00:00"/>
    <n v="10000000"/>
    <s v="Pulmajo S.R.L. CONCEPCION 14"/>
    <x v="983"/>
    <n v="10000000"/>
    <x v="164"/>
    <x v="1"/>
    <s v="pagado"/>
    <s v="pagado"/>
    <x v="0"/>
    <x v="0"/>
  </r>
  <r>
    <n v="3000000007"/>
    <d v="2026-01-07T00:00:00"/>
    <n v="10000000"/>
    <s v="Pulmajo S.R.L. CONCEPCION 14"/>
    <x v="984"/>
    <n v="10000000"/>
    <x v="164"/>
    <x v="1"/>
    <s v="pagado"/>
    <s v="pagado"/>
    <x v="0"/>
    <x v="0"/>
  </r>
  <r>
    <n v="3000000007"/>
    <d v="2026-01-07T00:00:00"/>
    <n v="10000000"/>
    <s v="Pulmajo S.R.L. CONCEPCION 14"/>
    <x v="985"/>
    <n v="10000000"/>
    <x v="164"/>
    <x v="1"/>
    <s v="pagado"/>
    <s v="pagado"/>
    <x v="0"/>
    <x v="0"/>
  </r>
  <r>
    <n v="3000000007"/>
    <d v="2026-01-07T00:00:00"/>
    <n v="5000000"/>
    <s v="Pulmajo S.R.L. CONCEPCION 14"/>
    <x v="986"/>
    <n v="5000000"/>
    <x v="165"/>
    <x v="1"/>
    <s v="pagado"/>
    <s v="pagado"/>
    <x v="0"/>
    <x v="0"/>
  </r>
  <r>
    <n v="3000000007"/>
    <d v="2026-01-07T00:00:00"/>
    <n v="5000000"/>
    <s v="Pulmajo S.R.L. CONCEPCION 14"/>
    <x v="987"/>
    <n v="5000000"/>
    <x v="165"/>
    <x v="1"/>
    <s v="pagado"/>
    <s v="pagado"/>
    <x v="0"/>
    <x v="0"/>
  </r>
  <r>
    <n v="3000000007"/>
    <d v="2026-01-07T00:00:00"/>
    <n v="3350000"/>
    <s v="Pulmajo S.R.L. CONCEPCION 14"/>
    <x v="988"/>
    <n v="3350000"/>
    <x v="165"/>
    <x v="1"/>
    <s v="pagado"/>
    <s v="pagado"/>
    <x v="0"/>
    <x v="0"/>
  </r>
  <r>
    <n v="3000000007"/>
    <d v="2026-01-07T00:00:00"/>
    <n v="3350000"/>
    <s v="Pulmajo S.R.L. CONCEPCION 14"/>
    <x v="989"/>
    <n v="3350000"/>
    <x v="165"/>
    <x v="1"/>
    <s v="pagado"/>
    <s v="pagado"/>
    <x v="0"/>
    <x v="0"/>
  </r>
  <r>
    <n v="3000000007"/>
    <d v="2026-01-07T00:00:00"/>
    <n v="3350000"/>
    <s v="Pulmajo S.R.L. CONCEPCION 14"/>
    <x v="990"/>
    <n v="3350000"/>
    <x v="165"/>
    <x v="1"/>
    <s v="pagado"/>
    <s v="pagado"/>
    <x v="0"/>
    <x v="0"/>
  </r>
  <r>
    <n v="3000000007"/>
    <d v="2026-01-07T00:00:00"/>
    <n v="1318027.8999999999"/>
    <s v="Pulmajo S.R.L. CONCEPCION 14"/>
    <x v="991"/>
    <n v="1318027.8999999999"/>
    <x v="165"/>
    <x v="1"/>
    <s v="no pagado"/>
    <s v="fuera de fecha"/>
    <x v="0"/>
    <x v="0"/>
  </r>
  <r>
    <n v="3000000042"/>
    <d v="2026-01-09T00:00:00"/>
    <n v="5000000"/>
    <s v="Laborda Carlos SAN MIGUEL DE TUCUMAN 14"/>
    <x v="992"/>
    <n v="5000000"/>
    <x v="162"/>
    <x v="1"/>
    <s v="pagado"/>
    <s v="pagado"/>
    <x v="0"/>
    <x v="0"/>
  </r>
  <r>
    <n v="3000000042"/>
    <d v="2026-01-09T00:00:00"/>
    <n v="5000000"/>
    <s v="Laborda Carlos SAN MIGUEL DE TUCUMAN 14"/>
    <x v="993"/>
    <n v="5000000"/>
    <x v="162"/>
    <x v="1"/>
    <s v="no pagado"/>
    <s v="fuera de fecha"/>
    <x v="0"/>
    <x v="0"/>
  </r>
  <r>
    <n v="3000000042"/>
    <d v="2026-01-09T00:00:00"/>
    <n v="5000000"/>
    <s v="Laborda Carlos SAN MIGUEL DE TUCUMAN 14"/>
    <x v="994"/>
    <n v="5000000"/>
    <x v="164"/>
    <x v="1"/>
    <s v="pagado"/>
    <s v="pagado"/>
    <x v="0"/>
    <x v="0"/>
  </r>
  <r>
    <n v="3000000042"/>
    <d v="2026-01-09T00:00:00"/>
    <n v="4226252.9000000004"/>
    <s v="Laborda Carlos SAN MIGUEL DE TUCUMAN 14"/>
    <x v="995"/>
    <n v="4226252.9000000004"/>
    <x v="164"/>
    <x v="1"/>
    <s v="pagado"/>
    <s v="pagado"/>
    <x v="0"/>
    <x v="0"/>
  </r>
  <r>
    <n v="3000000047"/>
    <d v="2026-01-12T00:00:00"/>
    <n v="10000000"/>
    <s v="Suc. de Ventimiglia Nelly IrmJesus Maria 03"/>
    <x v="996"/>
    <n v="10000000"/>
    <x v="152"/>
    <x v="1"/>
    <s v="pagado"/>
    <s v="pagado"/>
    <x v="0"/>
    <x v="0"/>
  </r>
  <r>
    <n v="3000000047"/>
    <d v="2026-01-12T00:00:00"/>
    <n v="8794783.4000000004"/>
    <s v="Suc. de Ventimiglia Nelly IrmJesus Maria 03"/>
    <x v="997"/>
    <n v="8794783.4000000004"/>
    <x v="166"/>
    <x v="1"/>
    <s v="pagado"/>
    <s v="pagado"/>
    <x v="0"/>
    <x v="0"/>
  </r>
  <r>
    <n v="3000000048"/>
    <d v="2026-01-12T00:00:00"/>
    <n v="10000000"/>
    <s v="Pulverizaciones Tuninetti S.R.Las Rosas 01"/>
    <x v="998"/>
    <n v="10000000"/>
    <x v="152"/>
    <x v="1"/>
    <s v="pagado"/>
    <s v="pagado"/>
    <x v="0"/>
    <x v="0"/>
  </r>
  <r>
    <n v="3000000048"/>
    <d v="2026-01-12T00:00:00"/>
    <n v="7646047.4000000004"/>
    <s v="Pulverizaciones Tuninetti S.R.Las Rosas 01"/>
    <x v="999"/>
    <n v="7646047.4000000004"/>
    <x v="166"/>
    <x v="1"/>
    <s v="pagado"/>
    <s v="pagado"/>
    <x v="0"/>
    <x v="0"/>
  </r>
  <r>
    <n v="3000000052"/>
    <d v="2026-01-12T00:00:00"/>
    <n v="10000000"/>
    <s v="RODRIGUEZ NESTOR HORACIO YERBA BUENA 14"/>
    <x v="1000"/>
    <n v="10000000"/>
    <x v="152"/>
    <x v="1"/>
    <s v="pagado"/>
    <s v="pagado"/>
    <x v="0"/>
    <x v="0"/>
  </r>
  <r>
    <n v="3000000052"/>
    <d v="2026-01-12T00:00:00"/>
    <n v="10447097"/>
    <s v="RODRIGUEZ NESTOR HORACIO YERBA BUENA 14"/>
    <x v="1001"/>
    <n v="10447097"/>
    <x v="166"/>
    <x v="1"/>
    <s v="pagado"/>
    <s v="pagado"/>
    <x v="0"/>
    <x v="0"/>
  </r>
  <r>
    <n v="3000000054"/>
    <d v="2026-01-12T00:00:00"/>
    <n v="10000000"/>
    <s v="AYALA WALTER DANIEL ALDERETES 14"/>
    <x v="1002"/>
    <n v="10000000"/>
    <x v="152"/>
    <x v="1"/>
    <s v="pagado"/>
    <s v="pagado"/>
    <x v="0"/>
    <x v="0"/>
  </r>
  <r>
    <n v="3000000054"/>
    <d v="2026-01-12T00:00:00"/>
    <n v="13526153.74"/>
    <s v="AYALA WALTER DANIEL ALDERETES 14"/>
    <x v="1003"/>
    <n v="13526153.74"/>
    <x v="166"/>
    <x v="1"/>
    <s v="pagado"/>
    <s v="pagado"/>
    <x v="0"/>
    <x v="0"/>
  </r>
  <r>
    <n v="3000000055"/>
    <d v="2026-01-12T00:00:00"/>
    <n v="10000000"/>
    <s v="SUAREZ GABRIEL SEBASTIAN SANTIAGO DEL ESTERO 13"/>
    <x v="1004"/>
    <n v="10000000"/>
    <x v="152"/>
    <x v="1"/>
    <s v="pagado"/>
    <s v="pagado"/>
    <x v="0"/>
    <x v="0"/>
  </r>
  <r>
    <n v="3000000055"/>
    <d v="2026-01-12T00:00:00"/>
    <n v="8545078.4000000004"/>
    <s v="SUAREZ GABRIEL SEBASTIAN SANTIAGO DEL ESTERO 13"/>
    <x v="1005"/>
    <n v="8545078.4000000004"/>
    <x v="166"/>
    <x v="1"/>
    <s v="pagado"/>
    <s v="pagado"/>
    <x v="0"/>
    <x v="0"/>
  </r>
  <r>
    <n v="3000000057"/>
    <d v="2026-01-12T00:00:00"/>
    <n v="20000000"/>
    <s v="Medina Lauro Jose Las Cejas 14"/>
    <x v="1006"/>
    <n v="20000000"/>
    <x v="152"/>
    <x v="1"/>
    <s v="pagado"/>
    <s v="pagado"/>
    <x v="0"/>
    <x v="0"/>
  </r>
  <r>
    <n v="3000000057"/>
    <d v="2026-01-12T00:00:00"/>
    <n v="20797531.5"/>
    <s v="Medina Lauro Jose Las Cejas 14"/>
    <x v="1007"/>
    <n v="20797531.5"/>
    <x v="166"/>
    <x v="1"/>
    <s v="pagado"/>
    <s v="pagado"/>
    <x v="0"/>
    <x v="0"/>
  </r>
  <r>
    <n v="3000000044"/>
    <d v="2026-01-12T00:00:00"/>
    <n v="2217261.04"/>
    <s v="TRANSPORTE LAVENIA SAS LASTENIA 14"/>
    <x v="1008"/>
    <n v="2217261.04"/>
    <x v="152"/>
    <x v="1"/>
    <s v="pagado"/>
    <s v="pagado"/>
    <x v="0"/>
    <x v="0"/>
  </r>
  <r>
    <n v="3000000045"/>
    <d v="2026-01-12T00:00:00"/>
    <n v="2245699.48"/>
    <s v="PEREZ FABIAN ESTELIO ENTRE RIOS 05"/>
    <x v="1009"/>
    <n v="2245699.48"/>
    <x v="152"/>
    <x v="1"/>
    <s v="pagado"/>
    <s v="pagado"/>
    <x v="0"/>
    <x v="0"/>
  </r>
  <r>
    <n v="3000000046"/>
    <d v="2026-01-12T00:00:00"/>
    <n v="5783786.5999999996"/>
    <s v="TRANSPORTE GLOBAL SAS SAN MIGUEL DE TUCUMAN 14"/>
    <x v="1010"/>
    <n v="5783786.5999999996"/>
    <x v="152"/>
    <x v="1"/>
    <s v="pagado"/>
    <s v="pagado"/>
    <x v="0"/>
    <x v="0"/>
  </r>
  <r>
    <n v="3000000049"/>
    <d v="2026-01-12T00:00:00"/>
    <n v="4946688.4000000004"/>
    <s v="M.A.D Serv y mant eléctri SAN MIGUEL DE TUCUMAN 14"/>
    <x v="1011"/>
    <n v="4946688.4000000004"/>
    <x v="152"/>
    <x v="1"/>
    <s v="pagado"/>
    <s v="pagado"/>
    <x v="0"/>
    <x v="0"/>
  </r>
  <r>
    <n v="3000000050"/>
    <d v="2026-01-12T00:00:00"/>
    <n v="4435333.4000000004"/>
    <s v="Avila Carlos Alberto SAN MIGUEL DE TUCUMAN 14"/>
    <x v="1012"/>
    <n v="4435333.4000000004"/>
    <x v="152"/>
    <x v="1"/>
    <s v="pagado"/>
    <s v="pagado"/>
    <x v="0"/>
    <x v="0"/>
  </r>
  <r>
    <n v="3000000051"/>
    <d v="2026-01-12T00:00:00"/>
    <n v="6675943.4000000004"/>
    <s v="SERVICOM S.R.L SAN MIGUEL DE TUCUMAN 14"/>
    <x v="1013"/>
    <n v="6675943.4000000004"/>
    <x v="152"/>
    <x v="1"/>
    <s v="pagado"/>
    <s v="pagado"/>
    <x v="0"/>
    <x v="0"/>
  </r>
  <r>
    <n v="3000000053"/>
    <d v="2026-01-12T00:00:00"/>
    <n v="11405697.9"/>
    <s v="IBAÑEZ MAXIMILIANO DAVID JUAN BAUTISTA ALBERDI 14"/>
    <x v="1014"/>
    <n v="11405697.9"/>
    <x v="152"/>
    <x v="1"/>
    <s v="pagado"/>
    <s v="pagado"/>
    <x v="0"/>
    <x v="0"/>
  </r>
  <r>
    <n v="3000000056"/>
    <d v="2026-01-12T00:00:00"/>
    <n v="13279207.4"/>
    <s v="MARTO ALBERTO ANTONIO LA RAMADA DE ABAJO 14"/>
    <x v="1015"/>
    <n v="13279207.4"/>
    <x v="166"/>
    <x v="1"/>
    <s v="pagado"/>
    <s v="pagado"/>
    <x v="0"/>
    <x v="0"/>
  </r>
  <r>
    <n v="3000000071"/>
    <d v="2026-01-14T00:00:00"/>
    <n v="4124789.59"/>
    <s v="GOMEZ JESSICA NOELIA LAS TALITAS 14"/>
    <x v="1016"/>
    <n v="4124789.59"/>
    <x v="166"/>
    <x v="1"/>
    <s v="pagado"/>
    <s v="pagado"/>
    <x v="0"/>
    <x v="0"/>
  </r>
  <r>
    <n v="3000000072"/>
    <d v="2026-01-14T00:00:00"/>
    <n v="1582963.44"/>
    <s v="ALBORNOZ RODRIGO EZEQUIEL - PAMPA MAYO 14"/>
    <x v="1017"/>
    <n v="1582963.44"/>
    <x v="166"/>
    <x v="1"/>
    <s v="pagado"/>
    <s v="pagado"/>
    <x v="0"/>
    <x v="0"/>
  </r>
  <r>
    <n v="3000000077"/>
    <d v="2026-01-16T00:00:00"/>
    <n v="15379140"/>
    <s v="EDET S.A. SAN MIGUEL DE TUCUMAN 14"/>
    <x v="1018"/>
    <n v="15379140"/>
    <x v="135"/>
    <x v="1"/>
    <s v="pagado"/>
    <s v="pagado"/>
    <x v="0"/>
    <x v="0"/>
  </r>
  <r>
    <n v="3000000083"/>
    <d v="2026-01-20T00:00:00"/>
    <n v="20000000"/>
    <s v="DON KOKO S.R.L CAMILO ALDAO 03"/>
    <x v="1019"/>
    <n v="20000000"/>
    <x v="151"/>
    <x v="1"/>
    <s v="pagado"/>
    <s v="pagado"/>
    <x v="0"/>
    <x v="0"/>
  </r>
  <r>
    <n v="3000000083"/>
    <d v="2026-01-20T00:00:00"/>
    <n v="16591976"/>
    <s v="DON KOKO S.R.L CAMILO ALDAO 03"/>
    <x v="1020"/>
    <n v="16591976"/>
    <x v="167"/>
    <x v="1"/>
    <s v="pagado"/>
    <s v="pagado"/>
    <x v="0"/>
    <x v="0"/>
  </r>
  <r>
    <n v="3000000084"/>
    <d v="2026-01-20T00:00:00"/>
    <n v="22000000"/>
    <s v="SUAREZ GABRIEL SEBASTIAN SANTIAGO DEL ESTERO 13"/>
    <x v="1021"/>
    <n v="22000000"/>
    <x v="151"/>
    <x v="1"/>
    <s v="pagado"/>
    <s v="pagado"/>
    <x v="0"/>
    <x v="0"/>
  </r>
  <r>
    <n v="3000000084"/>
    <d v="2026-01-20T00:00:00"/>
    <n v="22546191"/>
    <s v="SUAREZ GABRIEL SEBASTIAN SANTIAGO DEL ESTERO 13"/>
    <x v="1022"/>
    <n v="22546191"/>
    <x v="167"/>
    <x v="1"/>
    <s v="pagado"/>
    <s v="pagado"/>
    <x v="0"/>
    <x v="0"/>
  </r>
  <r>
    <n v="3000000085"/>
    <d v="2026-01-20T00:00:00"/>
    <n v="20000000"/>
    <s v="LASTRINA CARMELO ALTO VERDE 14"/>
    <x v="1023"/>
    <n v="20000000"/>
    <x v="151"/>
    <x v="1"/>
    <s v="pagado"/>
    <s v="pagado"/>
    <x v="0"/>
    <x v="0"/>
  </r>
  <r>
    <n v="3000000085"/>
    <d v="2026-01-20T00:00:00"/>
    <n v="17008449.239999998"/>
    <s v="LASTRINA CARMELO ALTO VERDE 14"/>
    <x v="1024"/>
    <n v="17008449.239999998"/>
    <x v="167"/>
    <x v="1"/>
    <s v="pagado"/>
    <s v="pagado"/>
    <x v="0"/>
    <x v="0"/>
  </r>
  <r>
    <n v="3000000086"/>
    <d v="2026-01-20T00:00:00"/>
    <n v="10000000"/>
    <s v="GOMEZ MANUEL ARCENIO METAN 09"/>
    <x v="1025"/>
    <n v="10000000"/>
    <x v="151"/>
    <x v="1"/>
    <s v="pagado"/>
    <s v="pagado"/>
    <x v="0"/>
    <x v="0"/>
  </r>
  <r>
    <n v="3000000086"/>
    <d v="2026-01-20T00:00:00"/>
    <n v="11302343.4"/>
    <s v="GOMEZ MANUEL ARCENIO METAN 09"/>
    <x v="1026"/>
    <n v="11302343.4"/>
    <x v="167"/>
    <x v="1"/>
    <s v="pagado"/>
    <s v="pagado"/>
    <x v="0"/>
    <x v="0"/>
  </r>
  <r>
    <n v="3000000087"/>
    <d v="2026-01-20T00:00:00"/>
    <n v="15000000"/>
    <s v="Pulmajo S.R.L. CONCEPCION 14"/>
    <x v="1027"/>
    <n v="15000000"/>
    <x v="151"/>
    <x v="1"/>
    <s v="pagado"/>
    <s v="pagado"/>
    <x v="0"/>
    <x v="0"/>
  </r>
  <r>
    <n v="3000000087"/>
    <d v="2026-01-20T00:00:00"/>
    <n v="15000000"/>
    <s v="Pulmajo S.R.L. CONCEPCION 14"/>
    <x v="1028"/>
    <n v="15000000"/>
    <x v="167"/>
    <x v="1"/>
    <s v="pagado"/>
    <s v="pagado"/>
    <x v="0"/>
    <x v="0"/>
  </r>
  <r>
    <n v="3000000087"/>
    <d v="2026-01-20T00:00:00"/>
    <n v="15398065.869999999"/>
    <s v="Pulmajo S.R.L. CONCEPCION 14"/>
    <x v="1029"/>
    <n v="15398065.869999999"/>
    <x v="168"/>
    <x v="1"/>
    <s v="pagado"/>
    <s v="pagado"/>
    <x v="0"/>
    <x v="0"/>
  </r>
  <r>
    <n v="1200002351"/>
    <d v="2026-01-23T00:00:00"/>
    <n v="4432607.3"/>
    <s v="Cheque de terceros TUCUMAN"/>
    <x v="1030"/>
    <n v="4432607.3"/>
    <x v="151"/>
    <x v="1"/>
    <s v="pagado"/>
    <s v="pagado"/>
    <x v="0"/>
    <x v="0"/>
  </r>
  <r>
    <n v="3000000112"/>
    <d v="2026-01-27T00:00:00"/>
    <n v="20000000"/>
    <s v="MARIA FERNANDA SRL"/>
    <x v="1031"/>
    <n v="20000000"/>
    <x v="130"/>
    <x v="1"/>
    <s v="pagado"/>
    <s v="pagado"/>
    <x v="0"/>
    <x v="0"/>
  </r>
  <r>
    <n v="3000000112"/>
    <d v="2026-01-27T00:00:00"/>
    <n v="18478720.75"/>
    <s v="MARIA FERNANDA SRL"/>
    <x v="1032"/>
    <n v="18478720.75"/>
    <x v="163"/>
    <x v="1"/>
    <s v="pagado"/>
    <s v="pagado"/>
    <x v="0"/>
    <x v="0"/>
  </r>
  <r>
    <n v="3000000119"/>
    <d v="2026-01-27T00:00:00"/>
    <n v="10000000"/>
    <s v="AGROTRANSPORTE ALDAO S.A."/>
    <x v="1033"/>
    <n v="10000000"/>
    <x v="130"/>
    <x v="1"/>
    <s v="pagado"/>
    <s v="pagado"/>
    <x v="0"/>
    <x v="0"/>
  </r>
  <r>
    <n v="3000000119"/>
    <d v="2026-01-27T00:00:00"/>
    <n v="6817914.9800000004"/>
    <s v="AGROTRANSPORTE ALDAO S.A."/>
    <x v="1034"/>
    <n v="6817914.9800000004"/>
    <x v="163"/>
    <x v="1"/>
    <s v="pagado"/>
    <s v="pagado"/>
    <x v="0"/>
    <x v="0"/>
  </r>
  <r>
    <n v="3000000124"/>
    <d v="2026-01-27T00:00:00"/>
    <n v="15000000"/>
    <s v="TRANSPORTE BARBERAN HNOS SRL"/>
    <x v="1035"/>
    <n v="15000000"/>
    <x v="130"/>
    <x v="1"/>
    <s v="pagado"/>
    <s v="pagado"/>
    <x v="0"/>
    <x v="0"/>
  </r>
  <r>
    <n v="3000000124"/>
    <d v="2026-01-27T00:00:00"/>
    <n v="13473668.17"/>
    <s v="TRANSPORTE BARBERAN HNOS SRL"/>
    <x v="1036"/>
    <n v="13473668.17"/>
    <x v="163"/>
    <x v="1"/>
    <s v="pagado"/>
    <s v="pagado"/>
    <x v="0"/>
    <x v="0"/>
  </r>
  <r>
    <n v="3000000110"/>
    <d v="2026-01-27T00:00:00"/>
    <n v="15211936.24"/>
    <s v="Suc. de Ventimiglia Nelly  Irma"/>
    <x v="1037"/>
    <n v="15211936.24"/>
    <x v="130"/>
    <x v="1"/>
    <s v="pagado"/>
    <s v="pagado"/>
    <x v="0"/>
    <x v="0"/>
  </r>
  <r>
    <n v="3000000111"/>
    <d v="2026-01-27T00:00:00"/>
    <n v="2751100"/>
    <s v="FUNDACION ARGENINTA"/>
    <x v="1038"/>
    <n v="2751100"/>
    <x v="130"/>
    <x v="1"/>
    <s v="pagado"/>
    <s v="pagado"/>
    <x v="0"/>
    <x v="0"/>
  </r>
  <r>
    <n v="3000000113"/>
    <d v="2026-01-27T00:00:00"/>
    <n v="9442273.5399999991"/>
    <s v="AYALA WALTER DANIEL"/>
    <x v="1039"/>
    <n v="9442273.5399999991"/>
    <x v="130"/>
    <x v="1"/>
    <s v="pagado"/>
    <s v="pagado"/>
    <x v="0"/>
    <x v="0"/>
  </r>
  <r>
    <n v="3000000114"/>
    <d v="2026-01-27T00:00:00"/>
    <n v="4040144.98"/>
    <s v="KAPP ALEJANDRA MATILDE"/>
    <x v="1040"/>
    <n v="4040144.98"/>
    <x v="130"/>
    <x v="1"/>
    <s v="pagado"/>
    <s v="pagado"/>
    <x v="0"/>
    <x v="0"/>
  </r>
  <r>
    <n v="3000000115"/>
    <d v="2026-01-27T00:00:00"/>
    <n v="2392650.34"/>
    <s v="BOHL RENE"/>
    <x v="1041"/>
    <n v="2392650.34"/>
    <x v="130"/>
    <x v="1"/>
    <s v="pagado"/>
    <s v="pagado"/>
    <x v="0"/>
    <x v="0"/>
  </r>
  <r>
    <n v="3000000116"/>
    <d v="2026-01-27T00:00:00"/>
    <n v="3559796.7"/>
    <s v="BERNADAL SERGIO RODOLFO"/>
    <x v="1042"/>
    <n v="3559796.7"/>
    <x v="130"/>
    <x v="1"/>
    <s v="pagado"/>
    <s v="pagado"/>
    <x v="0"/>
    <x v="0"/>
  </r>
  <r>
    <n v="3000000117"/>
    <d v="2026-01-27T00:00:00"/>
    <n v="2321666.25"/>
    <s v="VENUTTI CESAR AGUSTIN ."/>
    <x v="1043"/>
    <n v="2321666.25"/>
    <x v="130"/>
    <x v="1"/>
    <s v="pagado"/>
    <s v="pagado"/>
    <x v="0"/>
    <x v="0"/>
  </r>
  <r>
    <n v="3000000118"/>
    <d v="2026-01-27T00:00:00"/>
    <n v="4942810.8600000003"/>
    <s v="JAVIER EDUARDO PRADO"/>
    <x v="1044"/>
    <n v="4942810.8600000003"/>
    <x v="130"/>
    <x v="1"/>
    <s v="pagado"/>
    <s v="pagado"/>
    <x v="0"/>
    <x v="0"/>
  </r>
  <r>
    <n v="3000000120"/>
    <d v="2026-01-27T00:00:00"/>
    <n v="7890673.6200000001"/>
    <s v="ANTONACCI LUIS GABRIEL"/>
    <x v="1045"/>
    <n v="7890673.6200000001"/>
    <x v="130"/>
    <x v="1"/>
    <s v="pagado"/>
    <s v="pagado"/>
    <x v="0"/>
    <x v="0"/>
  </r>
  <r>
    <n v="3000000121"/>
    <d v="2026-01-27T00:00:00"/>
    <n v="1964304.33"/>
    <s v="TRANS TRUCKS SRL"/>
    <x v="1046"/>
    <n v="1964304.33"/>
    <x v="130"/>
    <x v="1"/>
    <s v="pagado"/>
    <s v="pagado"/>
    <x v="0"/>
    <x v="0"/>
  </r>
  <r>
    <n v="3000000122"/>
    <d v="2026-01-27T00:00:00"/>
    <n v="1916336.22"/>
    <s v="WILLIAMS LOGISTICA SA"/>
    <x v="1047"/>
    <n v="1916336.22"/>
    <x v="130"/>
    <x v="1"/>
    <s v="pagado"/>
    <s v="pagado"/>
    <x v="0"/>
    <x v="0"/>
  </r>
  <r>
    <n v="3000000123"/>
    <d v="2026-01-27T00:00:00"/>
    <n v="5750565.1600000001"/>
    <s v="TRANSPORTE RAUL S.R.L"/>
    <x v="1048"/>
    <n v="5750565.1600000001"/>
    <x v="130"/>
    <x v="1"/>
    <s v="pagado"/>
    <s v="pagado"/>
    <x v="0"/>
    <x v="0"/>
  </r>
  <r>
    <n v="3000000125"/>
    <d v="2026-01-27T00:00:00"/>
    <n v="2374800.98"/>
    <s v="FLETES Y SERVICIOS PUJATO S.A"/>
    <x v="1049"/>
    <n v="2374800.98"/>
    <x v="130"/>
    <x v="1"/>
    <s v="pagado"/>
    <s v="pagado"/>
    <x v="0"/>
    <x v="0"/>
  </r>
  <r>
    <n v="3000000126"/>
    <d v="2026-01-27T00:00:00"/>
    <n v="4348143.24"/>
    <s v="ECONOMIC FUEL SRL"/>
    <x v="1050"/>
    <n v="4348143.24"/>
    <x v="130"/>
    <x v="1"/>
    <s v="pagado"/>
    <s v="pagado"/>
    <x v="0"/>
    <x v="0"/>
  </r>
  <r>
    <n v="3000000127"/>
    <d v="2026-01-27T00:00:00"/>
    <n v="2478343.7799999998"/>
    <s v="ALADIO SERGIO ANTONIO"/>
    <x v="1051"/>
    <n v="2478343.7799999998"/>
    <x v="130"/>
    <x v="1"/>
    <s v="pagado"/>
    <s v="pagado"/>
    <x v="0"/>
    <x v="0"/>
  </r>
  <r>
    <n v="3000000147"/>
    <d v="2026-02-03T00:00:00"/>
    <n v="11000000"/>
    <s v="Laborda Carlos SAN MIGUEL DE TUCUMAN 14"/>
    <x v="1052"/>
    <n v="11000000"/>
    <x v="169"/>
    <x v="1"/>
    <s v="pagado"/>
    <s v="pagado"/>
    <x v="0"/>
    <x v="0"/>
  </r>
  <r>
    <n v="3000000147"/>
    <d v="2026-02-03T00:00:00"/>
    <n v="11000000"/>
    <s v="Laborda Carlos SAN MIGUEL DE TUCUMAN 14"/>
    <x v="1053"/>
    <n v="11000000"/>
    <x v="169"/>
    <x v="1"/>
    <s v="pagado"/>
    <s v="pagado"/>
    <x v="0"/>
    <x v="0"/>
  </r>
  <r>
    <n v="3000000147"/>
    <d v="2026-02-03T00:00:00"/>
    <n v="11000000"/>
    <s v="Laborda Carlos SAN MIGUEL DE TUCUMAN 14"/>
    <x v="1054"/>
    <n v="11000000"/>
    <x v="170"/>
    <x v="1"/>
    <s v="pagado"/>
    <s v="pagado"/>
    <x v="0"/>
    <x v="0"/>
  </r>
  <r>
    <n v="3000000147"/>
    <d v="2026-02-03T00:00:00"/>
    <n v="11073173.4"/>
    <s v="Laborda Carlos SAN MIGUEL DE TUCUMAN 14"/>
    <x v="1055"/>
    <n v="11073173.4"/>
    <x v="170"/>
    <x v="1"/>
    <s v="pagado"/>
    <s v="pagado"/>
    <x v="0"/>
    <x v="0"/>
  </r>
  <r>
    <n v="3000000154"/>
    <d v="2026-02-03T00:00:00"/>
    <n v="10000000"/>
    <s v="Pulmajo S.R.L. CONCEPCION 14"/>
    <x v="1056"/>
    <n v="10000000"/>
    <x v="169"/>
    <x v="1"/>
    <s v="pagado"/>
    <s v="pagado"/>
    <x v="0"/>
    <x v="0"/>
  </r>
  <r>
    <n v="3000000154"/>
    <d v="2026-02-03T00:00:00"/>
    <n v="10000000"/>
    <s v="Pulmajo S.R.L. CONCEPCION 14"/>
    <x v="1057"/>
    <n v="10000000"/>
    <x v="169"/>
    <x v="1"/>
    <s v="pagado"/>
    <s v="pagado"/>
    <x v="0"/>
    <x v="0"/>
  </r>
  <r>
    <n v="3000000154"/>
    <d v="2026-02-03T00:00:00"/>
    <n v="10000000"/>
    <s v="Pulmajo S.R.L. CONCEPCION 14"/>
    <x v="1058"/>
    <n v="10000000"/>
    <x v="169"/>
    <x v="1"/>
    <s v="pagado"/>
    <s v="pagado"/>
    <x v="0"/>
    <x v="0"/>
  </r>
  <r>
    <n v="3000000154"/>
    <d v="2026-02-03T00:00:00"/>
    <n v="5000000"/>
    <s v="Pulmajo S.R.L. CONCEPCION 14"/>
    <x v="1059"/>
    <n v="5000000"/>
    <x v="170"/>
    <x v="1"/>
    <s v="pagado"/>
    <s v="pagado"/>
    <x v="0"/>
    <x v="0"/>
  </r>
  <r>
    <n v="3000000154"/>
    <d v="2026-02-03T00:00:00"/>
    <n v="5000000"/>
    <s v="Pulmajo S.R.L. CONCEPCION 14"/>
    <x v="1060"/>
    <n v="5000000"/>
    <x v="170"/>
    <x v="1"/>
    <s v="pagado"/>
    <s v="pagado"/>
    <x v="0"/>
    <x v="0"/>
  </r>
  <r>
    <n v="3000000154"/>
    <d v="2026-02-03T00:00:00"/>
    <n v="3000000"/>
    <s v="Pulmajo S.R.L. CONCEPCION 14"/>
    <x v="1061"/>
    <n v="3000000"/>
    <x v="170"/>
    <x v="1"/>
    <s v="pagado"/>
    <s v="pagado"/>
    <x v="0"/>
    <x v="0"/>
  </r>
  <r>
    <n v="3000000154"/>
    <d v="2026-02-03T00:00:00"/>
    <n v="3000000"/>
    <s v="Pulmajo S.R.L. CONCEPCION 14"/>
    <x v="1062"/>
    <n v="3000000"/>
    <x v="170"/>
    <x v="1"/>
    <s v="pagado"/>
    <s v="pagado"/>
    <x v="0"/>
    <x v="0"/>
  </r>
  <r>
    <n v="3000000154"/>
    <d v="2026-02-03T00:00:00"/>
    <n v="3459730.4"/>
    <s v="Pulmajo S.R.L. CONCEPCION 14"/>
    <x v="1063"/>
    <n v="3459730.4"/>
    <x v="170"/>
    <x v="1"/>
    <s v="pagado"/>
    <s v="pagado"/>
    <x v="0"/>
    <x v="0"/>
  </r>
  <r>
    <n v="3000000146"/>
    <d v="2026-02-03T00:00:00"/>
    <n v="10642233.449999999"/>
    <s v="Moraiz Pisarenko, Pedro I. SAN MIGUEL DE TUCUMAN 14"/>
    <x v="1064"/>
    <n v="10642233.449999999"/>
    <x v="169"/>
    <x v="1"/>
    <s v="pagado"/>
    <s v="pagado"/>
    <x v="0"/>
    <x v="0"/>
  </r>
  <r>
    <n v="3000000148"/>
    <d v="2026-02-03T00:00:00"/>
    <n v="13586447.9"/>
    <s v="Medina Lauro Jose Las Cejas 14"/>
    <x v="1065"/>
    <n v="13586447.9"/>
    <x v="170"/>
    <x v="1"/>
    <s v="pagado"/>
    <s v="pagado"/>
    <x v="0"/>
    <x v="0"/>
  </r>
  <r>
    <n v="3000000149"/>
    <d v="2026-02-03T00:00:00"/>
    <n v="28110285.800000001"/>
    <s v="LIZONDO OSCAR FABIAN METAN 09"/>
    <x v="1066"/>
    <n v="28110285.800000001"/>
    <x v="171"/>
    <x v="1"/>
    <s v="pagado"/>
    <s v="pagado"/>
    <x v="0"/>
    <x v="0"/>
  </r>
  <r>
    <n v="3000000150"/>
    <d v="2026-02-03T00:00:00"/>
    <n v="26281870.199999999"/>
    <s v="DON KOKO S.R.L CAMILO ALDAO 03"/>
    <x v="1067"/>
    <n v="26281870.199999999"/>
    <x v="171"/>
    <x v="1"/>
    <s v="pagado"/>
    <s v="pagado"/>
    <x v="0"/>
    <x v="0"/>
  </r>
  <r>
    <n v="3000000151"/>
    <d v="2026-02-03T00:00:00"/>
    <n v="14889062.4"/>
    <s v="Pulverizaciones Tuninetti S.R.Las Rosas 01"/>
    <x v="1068"/>
    <n v="14889062.4"/>
    <x v="170"/>
    <x v="1"/>
    <s v="pagado"/>
    <s v="pagado"/>
    <x v="0"/>
    <x v="0"/>
  </r>
  <r>
    <n v="3000000152"/>
    <d v="2026-02-03T00:00:00"/>
    <n v="14791343.4"/>
    <s v="SALTOS JOSUE GONZALO NUEVA ESPERANZA 13"/>
    <x v="1069"/>
    <n v="14791343.4"/>
    <x v="170"/>
    <x v="1"/>
    <s v="pagado"/>
    <s v="pagado"/>
    <x v="0"/>
    <x v="0"/>
  </r>
  <r>
    <n v="3000000153"/>
    <d v="2026-02-03T00:00:00"/>
    <n v="7085959.4000000004"/>
    <s v="ROMAN BARCELO Y JORGE CARRERASLAS LAJITAS 09"/>
    <x v="1070"/>
    <n v="7085959.4000000004"/>
    <x v="170"/>
    <x v="1"/>
    <s v="pagado"/>
    <s v="pagado"/>
    <x v="0"/>
    <x v="0"/>
  </r>
  <r>
    <n v="3000000155"/>
    <d v="2026-02-03T00:00:00"/>
    <n v="9609301.8200000003"/>
    <s v="ACOSTA EMILIA ROMINA JOAQUIN V GONZALEZ 09"/>
    <x v="1071"/>
    <n v="9609301.8200000003"/>
    <x v="169"/>
    <x v="1"/>
    <s v="pagado"/>
    <s v="pagado"/>
    <x v="0"/>
    <x v="0"/>
  </r>
  <r>
    <n v="3000000156"/>
    <d v="2026-02-03T00:00:00"/>
    <n v="12506622.779999999"/>
    <s v="SERVICOM S.R.L SAN MIGUEL DE TUCUMAN 14"/>
    <x v="1072"/>
    <n v="12506622.779999999"/>
    <x v="171"/>
    <x v="1"/>
    <s v="pagado"/>
    <s v="pagado"/>
    <x v="0"/>
    <x v="0"/>
  </r>
  <r>
    <n v="3000000157"/>
    <d v="2026-02-03T00:00:00"/>
    <n v="1923658.72"/>
    <s v="MAGLI FLORENCIA CAROLINA LAS TALITAS 14"/>
    <x v="1073"/>
    <n v="1923658.72"/>
    <x v="169"/>
    <x v="1"/>
    <s v="pagado"/>
    <s v="pagado"/>
    <x v="0"/>
    <x v="0"/>
  </r>
  <r>
    <n v="3000000158"/>
    <d v="2026-02-03T00:00:00"/>
    <n v="1931528.73"/>
    <s v="ENTREGAS SERDEN S.R.L SAN LORENZO 12"/>
    <x v="1074"/>
    <n v="1931528.73"/>
    <x v="169"/>
    <x v="1"/>
    <s v="pagado"/>
    <s v="pagado"/>
    <x v="0"/>
    <x v="0"/>
  </r>
  <r>
    <n v="3000000159"/>
    <d v="2026-02-03T00:00:00"/>
    <n v="8367460.4699999997"/>
    <s v="FLETES Y SERVICIOS PUJATO S.A PUJATO 12"/>
    <x v="1075"/>
    <n v="8367460.4699999997"/>
    <x v="170"/>
    <x v="1"/>
    <s v="pagado"/>
    <s v="pagado"/>
    <x v="0"/>
    <x v="0"/>
  </r>
  <r>
    <n v="3000000184"/>
    <d v="2026-02-10T00:00:00"/>
    <n v="9407167"/>
    <s v="Pulverizaciones Tuninetti S.R.Las Rosas 01"/>
    <x v="1076"/>
    <n v="9407167"/>
    <x v="172"/>
    <x v="1"/>
    <s v="pagado"/>
    <s v="pagado"/>
    <x v="0"/>
    <x v="0"/>
  </r>
  <r>
    <n v="3000000185"/>
    <d v="2026-02-10T00:00:00"/>
    <n v="3603557.4"/>
    <s v="IBAÑEZ MAXIMILIANO DAVID JUAN BAUTISTA ALBERDI 14"/>
    <x v="1077"/>
    <n v="3603557.4"/>
    <x v="173"/>
    <x v="1"/>
    <s v="pagado"/>
    <s v="pagado"/>
    <x v="0"/>
    <x v="0"/>
  </r>
  <r>
    <n v="3000000186"/>
    <d v="2026-02-10T00:00:00"/>
    <n v="5863484.4000000004"/>
    <s v="MARTO ALBERTO ANTONIO LA RAMADA DE ABAJO 14"/>
    <x v="1078"/>
    <n v="5863484.4000000004"/>
    <x v="173"/>
    <x v="1"/>
    <s v="pagado"/>
    <s v="pagado"/>
    <x v="0"/>
    <x v="0"/>
  </r>
  <r>
    <n v="3000000187"/>
    <d v="2026-02-10T00:00:00"/>
    <n v="15931309.16"/>
    <s v="SUAREZ GABRIEL SEBASTIAN SANTIAGO DEL ESTERO 13"/>
    <x v="1079"/>
    <n v="15931309.16"/>
    <x v="172"/>
    <x v="1"/>
    <s v="pagado"/>
    <s v="pagado"/>
    <x v="0"/>
    <x v="0"/>
  </r>
  <r>
    <n v="3000000188"/>
    <d v="2026-02-10T00:00:00"/>
    <n v="3287874.21"/>
    <s v="MOYANO SERGIO ESTEBAN BANDA DEL RIO SALI 14"/>
    <x v="1080"/>
    <n v="3287874.21"/>
    <x v="173"/>
    <x v="1"/>
    <s v="pagado"/>
    <s v="pagado"/>
    <x v="0"/>
    <x v="0"/>
  </r>
  <r>
    <n v="3000000176"/>
    <d v="2026-02-10T00:00:00"/>
    <n v="47910699"/>
    <s v="AYALA HERNAN OSVALDO SAN MIGUEL DE TUCUMAN 14"/>
    <x v="1081"/>
    <n v="47910699"/>
    <x v="172"/>
    <x v="1"/>
    <s v="pagado"/>
    <s v="pagado"/>
    <x v="0"/>
    <x v="0"/>
  </r>
  <r>
    <n v="3000000176"/>
    <d v="2026-02-10T00:00:00"/>
    <n v="509669.81"/>
    <s v="AYALA HERNAN OSVALDO SAN MIGUEL DE TUCUMAN 14"/>
    <x v="1082"/>
    <n v="509669.81"/>
    <x v="173"/>
    <x v="1"/>
    <s v="pagado"/>
    <s v="pagado"/>
    <x v="0"/>
    <x v="0"/>
  </r>
  <r>
    <n v="3000000177"/>
    <d v="2026-02-10T00:00:00"/>
    <n v="672767.27"/>
    <s v="GRUPO MARGEN DEL NOA SA YERBA BUENA 14"/>
    <x v="1083"/>
    <n v="672767.27"/>
    <x v="173"/>
    <x v="1"/>
    <s v="pagado"/>
    <s v="pagado"/>
    <x v="0"/>
    <x v="0"/>
  </r>
  <r>
    <n v="3000000178"/>
    <d v="2026-02-10T00:00:00"/>
    <n v="2551354.7999999998"/>
    <s v="DON KOKO S.R.L CAMILO ALDAO 03"/>
    <x v="1084"/>
    <n v="2551354.7999999998"/>
    <x v="173"/>
    <x v="1"/>
    <s v="pagado"/>
    <s v="pagado"/>
    <x v="0"/>
    <x v="0"/>
  </r>
  <r>
    <n v="3000000179"/>
    <d v="2026-02-10T00:00:00"/>
    <n v="1268765.8899999999"/>
    <s v="AYALA WALTER DANIEL ALDERETES 14"/>
    <x v="1085"/>
    <n v="1268765.8899999999"/>
    <x v="173"/>
    <x v="1"/>
    <s v="pagado"/>
    <s v="pagado"/>
    <x v="0"/>
    <x v="0"/>
  </r>
  <r>
    <n v="3000000189"/>
    <d v="2026-02-10T00:00:00"/>
    <n v="2150233.5499999998"/>
    <s v="MARIA FERNANDA SRL LA TRINIDAD 14"/>
    <x v="1086"/>
    <n v="2150233.5499999998"/>
    <x v="173"/>
    <x v="1"/>
    <s v="pagado"/>
    <s v="pagado"/>
    <x v="0"/>
    <x v="0"/>
  </r>
  <r>
    <n v="3000000190"/>
    <d v="2026-02-10T00:00:00"/>
    <n v="2531323.7400000002"/>
    <s v="TRANSPORTE BARBERAN HNOS SRL CHABAS 12"/>
    <x v="1087"/>
    <n v="2531323.7400000002"/>
    <x v="173"/>
    <x v="1"/>
    <s v="pagado"/>
    <s v="pagado"/>
    <x v="0"/>
    <x v="0"/>
  </r>
  <r>
    <n v="3000000191"/>
    <d v="2026-02-10T00:00:00"/>
    <n v="13554778.1"/>
    <s v="PETROANDINA S.R.L SALTA 09"/>
    <x v="1088"/>
    <n v="13554778.1"/>
    <x v="172"/>
    <x v="1"/>
    <s v="pagado"/>
    <s v="pagado"/>
    <x v="0"/>
    <x v="0"/>
  </r>
  <r>
    <n v="3000000181"/>
    <d v="2026-02-10T00:00:00"/>
    <n v="19373762.399999999"/>
    <s v="RODRIGUEZ NESTOR HORACIO YERBA BUENA 14"/>
    <x v="1089"/>
    <n v="19373762.399999999"/>
    <x v="172"/>
    <x v="1"/>
    <s v="pagado"/>
    <s v="pagado"/>
    <x v="0"/>
    <x v="0"/>
  </r>
  <r>
    <n v="3000000182"/>
    <d v="2026-02-10T00:00:00"/>
    <n v="7730178.5"/>
    <s v="Medina Lauro Jose Las Cejas 14"/>
    <x v="1090"/>
    <n v="7730178.5"/>
    <x v="172"/>
    <x v="1"/>
    <s v="pagado"/>
    <s v="pagado"/>
    <x v="0"/>
    <x v="0"/>
  </r>
  <r>
    <n v="3000000183"/>
    <d v="2026-02-10T00:00:00"/>
    <n v="12521883.4"/>
    <s v="Suc. de Ventimiglia Nelly IrmJesus Maria 03"/>
    <x v="1091"/>
    <n v="12521883.4"/>
    <x v="172"/>
    <x v="1"/>
    <s v="pagado"/>
    <s v="pagado"/>
    <x v="0"/>
    <x v="0"/>
  </r>
  <r>
    <n v="3000000213"/>
    <d v="2026-02-12T00:00:00"/>
    <n v="8357788.8700000001"/>
    <s v="MOYANO JULIO CESAR BANDA DEL RIO SALI 14"/>
    <x v="1092"/>
    <n v="8357788.8700000001"/>
    <x v="146"/>
    <x v="1"/>
    <s v="pagado"/>
    <s v="pagado"/>
    <x v="0"/>
    <x v="0"/>
  </r>
  <r>
    <n v="3000000214"/>
    <d v="2026-02-12T00:00:00"/>
    <n v="2510717.92"/>
    <s v="TRANSPORTE GLOBAL SAS SAN MIGUEL DE TUCUMAN 14"/>
    <x v="1093"/>
    <n v="2510717.92"/>
    <x v="172"/>
    <x v="1"/>
    <s v="pagado"/>
    <s v="pagado"/>
    <x v="0"/>
    <x v="0"/>
  </r>
  <r>
    <n v="3000000215"/>
    <d v="2026-02-12T00:00:00"/>
    <n v="7531817.9199999999"/>
    <s v="GOMEZ JOSE PATRICIO SAN MIGUEL DE TUCUMAN 14"/>
    <x v="1094"/>
    <n v="7531817.9199999999"/>
    <x v="146"/>
    <x v="1"/>
    <s v="pagado"/>
    <s v="pagado"/>
    <x v="0"/>
    <x v="0"/>
  </r>
  <r>
    <n v="3000000216"/>
    <d v="2026-02-12T00:00:00"/>
    <n v="11285687.92"/>
    <s v="JAVIER EDUARDO PRADO FLORIDA 13"/>
    <x v="1095"/>
    <n v="11285687.92"/>
    <x v="146"/>
    <x v="1"/>
    <s v="pagado"/>
    <s v="pagado"/>
    <x v="0"/>
    <x v="0"/>
  </r>
  <r>
    <n v="3000000218"/>
    <d v="2026-02-12T00:00:00"/>
    <n v="2333903.17"/>
    <s v="TOURNOUR ADRIAN LEONEL VILLA ELISA 05"/>
    <x v="1096"/>
    <n v="2333903.17"/>
    <x v="172"/>
    <x v="1"/>
    <s v="pagado"/>
    <s v="pagado"/>
    <x v="0"/>
    <x v="0"/>
  </r>
  <r>
    <n v="3000000221"/>
    <d v="2026-02-18T00:00:00"/>
    <n v="15958400"/>
    <s v="EDET S.A. SAN MIGUEL DE TUCUMAN 14"/>
    <x v="1097"/>
    <n v="15958400"/>
    <x v="173"/>
    <x v="1"/>
    <s v="pagado"/>
    <s v="pagado"/>
    <x v="0"/>
    <x v="0"/>
  </r>
  <r>
    <n v="3000000227"/>
    <d v="2026-02-18T00:00:00"/>
    <n v="5453317.1100000003"/>
    <s v="ILUZZI MIGUEL ANGEL CIUDAD AUTONOMA BUENOS AIRES 00"/>
    <x v="1098"/>
    <n v="5453317.1100000003"/>
    <x v="174"/>
    <x v="1"/>
    <s v="pagado"/>
    <s v="pagado"/>
    <x v="0"/>
    <x v="0"/>
  </r>
  <r>
    <n v="3000000228"/>
    <d v="2026-02-18T00:00:00"/>
    <n v="4907492.3"/>
    <s v="NAVYTRANS SA CAPITAL FEDERAL 00"/>
    <x v="1099"/>
    <n v="4907492.3"/>
    <x v="174"/>
    <x v="1"/>
    <s v="pagado"/>
    <s v="pagado"/>
    <x v="0"/>
    <x v="0"/>
  </r>
  <r>
    <n v="3000000229"/>
    <d v="2026-02-18T00:00:00"/>
    <n v="12558679.5"/>
    <s v="Suarez Elio Hernan Los altos 02"/>
    <x v="1100"/>
    <n v="12558679.5"/>
    <x v="174"/>
    <x v="1"/>
    <s v="pagado"/>
    <s v="pagado"/>
    <x v="0"/>
    <x v="0"/>
  </r>
  <r>
    <n v="3000000230"/>
    <d v="2026-02-18T00:00:00"/>
    <n v="6090000"/>
    <s v="SALTOS JOSUE GONZALO NUEVA ESPERANZA 13"/>
    <x v="1101"/>
    <n v="6090000"/>
    <x v="146"/>
    <x v="1"/>
    <s v="pagado"/>
    <s v="pagado"/>
    <x v="0"/>
    <x v="0"/>
  </r>
  <r>
    <n v="3000000231"/>
    <d v="2026-02-18T00:00:00"/>
    <n v="12614034.4"/>
    <s v="AGUERA CRISTIAN MARTIN CONCEPCION 14"/>
    <x v="1102"/>
    <n v="12614034.4"/>
    <x v="146"/>
    <x v="1"/>
    <s v="pagado"/>
    <s v="pagado"/>
    <x v="0"/>
    <x v="0"/>
  </r>
  <r>
    <n v="3000000232"/>
    <d v="2026-02-18T00:00:00"/>
    <n v="7230543.4000000004"/>
    <s v="LASTRINA CARMELO ALTO VERDE 14"/>
    <x v="1103"/>
    <n v="7230543.4000000004"/>
    <x v="174"/>
    <x v="1"/>
    <s v="pagado"/>
    <s v="pagado"/>
    <x v="0"/>
    <x v="0"/>
  </r>
  <r>
    <n v="3000001695"/>
    <d v="2026-02-18T00:00:00"/>
    <n v="5542675.0199999996"/>
    <s v="Medina Lauro Jose Las Cejas 14"/>
    <x v="1104"/>
    <n v="5542675.0199999996"/>
    <x v="146"/>
    <x v="1"/>
    <s v="pagado"/>
    <s v="pagado"/>
    <x v="0"/>
    <x v="0"/>
  </r>
  <r>
    <n v="3000000254"/>
    <d v="2026-02-23T00:00:00"/>
    <n v="9559194.0500000007"/>
    <s v="GOMEZ JESSICA NOELIA LAS TALITAS 14"/>
    <x v="1105"/>
    <n v="9559194.0500000007"/>
    <x v="175"/>
    <x v="1"/>
    <s v="pagado"/>
    <s v="pagado"/>
    <x v="0"/>
    <x v="0"/>
  </r>
  <r>
    <n v="3000000255"/>
    <d v="2026-02-23T00:00:00"/>
    <n v="6185979.0300000003"/>
    <s v="MOLINA JUAN F. Y MOLINA ROQUE Lastenia 14"/>
    <x v="1106"/>
    <n v="6185979.0300000003"/>
    <x v="175"/>
    <x v="1"/>
    <s v="pagado"/>
    <s v="pagado"/>
    <x v="0"/>
    <x v="0"/>
  </r>
  <r>
    <n v="3000000255"/>
    <d v="2026-02-23T00:00:00"/>
    <n v="7897178.8899999997"/>
    <s v="MOLINA JUAN F. Y MOLINA ROQUE Lastenia 14"/>
    <x v="1107"/>
    <n v="7897178.8899999997"/>
    <x v="176"/>
    <x v="1"/>
    <s v="pagado"/>
    <s v="pagado"/>
    <x v="0"/>
    <x v="0"/>
  </r>
  <r>
    <n v="3000000256"/>
    <d v="2026-02-23T00:00:00"/>
    <n v="24339630.539999999"/>
    <s v="PAIS WALTER LUIS SAN MIGUEL DE TUCUMAN 14"/>
    <x v="1108"/>
    <n v="24339630.539999999"/>
    <x v="176"/>
    <x v="1"/>
    <s v="pagado"/>
    <s v="pagado"/>
    <x v="0"/>
    <x v="0"/>
  </r>
  <r>
    <n v="3000000257"/>
    <d v="2026-02-23T00:00:00"/>
    <n v="20000000"/>
    <s v="AYALA HERNAN OSVALDO SAN MIGUEL DE TUCUMAN 14"/>
    <x v="1109"/>
    <n v="20000000"/>
    <x v="175"/>
    <x v="1"/>
    <s v="pagado"/>
    <s v="pagado"/>
    <x v="0"/>
    <x v="0"/>
  </r>
  <r>
    <n v="3000000257"/>
    <d v="2026-02-23T00:00:00"/>
    <n v="21726475.579999998"/>
    <s v="AYALA HERNAN OSVALDO SAN MIGUEL DE TUCUMAN 14"/>
    <x v="1110"/>
    <n v="21726475.579999998"/>
    <x v="176"/>
    <x v="1"/>
    <s v="pagado"/>
    <s v="pagado"/>
    <x v="0"/>
    <x v="0"/>
  </r>
  <r>
    <n v="3000000258"/>
    <d v="2026-02-23T00:00:00"/>
    <n v="4300000"/>
    <s v="FUNDACION INNOVA-T CIUDAD AUTONOMA DE BUENOS AIRES 01"/>
    <x v="1111"/>
    <n v="4300000"/>
    <x v="175"/>
    <x v="1"/>
    <s v="pagado"/>
    <s v="pagado"/>
    <x v="0"/>
    <x v="0"/>
  </r>
  <r>
    <n v="3000000259"/>
    <d v="2026-02-23T00:00:00"/>
    <n v="12225023.4"/>
    <s v="GOMEZ MANUEL ARCENIO METAN 09"/>
    <x v="1112"/>
    <n v="12225023.4"/>
    <x v="176"/>
    <x v="1"/>
    <s v="pagado"/>
    <s v="pagado"/>
    <x v="0"/>
    <x v="0"/>
  </r>
  <r>
    <n v="3000000260"/>
    <d v="2026-02-23T00:00:00"/>
    <n v="5364298.5"/>
    <s v="Medina Lauro Jose Las Cejas 14"/>
    <x v="1113"/>
    <n v="5364298.5"/>
    <x v="175"/>
    <x v="1"/>
    <s v="pagado"/>
    <s v="pagado"/>
    <x v="0"/>
    <x v="0"/>
  </r>
  <r>
    <n v="3000000261"/>
    <d v="2026-02-23T00:00:00"/>
    <n v="4653456.5"/>
    <s v="Pulverizaciones Tuninetti S.R.Las Rosas 01"/>
    <x v="1114"/>
    <n v="4653456.5"/>
    <x v="175"/>
    <x v="1"/>
    <s v="pagado"/>
    <s v="pagado"/>
    <x v="0"/>
    <x v="0"/>
  </r>
  <r>
    <n v="3000000262"/>
    <d v="2026-02-23T00:00:00"/>
    <n v="5000000"/>
    <s v="Pulmajo S.R.L. CONCEPCION 14"/>
    <x v="1115"/>
    <n v="5000000"/>
    <x v="175"/>
    <x v="1"/>
    <s v="pagado"/>
    <s v="pagado"/>
    <x v="0"/>
    <x v="0"/>
  </r>
  <r>
    <n v="3000000262"/>
    <d v="2026-02-23T00:00:00"/>
    <n v="5000000"/>
    <s v="Pulmajo S.R.L. CONCEPCION 14"/>
    <x v="1116"/>
    <n v="5000000"/>
    <x v="176"/>
    <x v="1"/>
    <s v="pagado"/>
    <s v="pagado"/>
    <x v="0"/>
    <x v="0"/>
  </r>
  <r>
    <n v="3000000262"/>
    <d v="2026-02-23T00:00:00"/>
    <n v="6894201.5"/>
    <s v="Pulmajo S.R.L. CONCEPCION 14"/>
    <x v="1117"/>
    <n v="6894201.5"/>
    <x v="177"/>
    <x v="1"/>
    <s v="pagado"/>
    <s v="pagado"/>
    <x v="0"/>
    <x v="0"/>
  </r>
  <r>
    <n v="3000000263"/>
    <d v="2026-02-23T00:00:00"/>
    <n v="18912411.870000001"/>
    <s v="ARPAFLU SRL CAPTAL FEDERAL 00"/>
    <x v="1118"/>
    <n v="18912411.870000001"/>
    <x v="177"/>
    <x v="1"/>
    <s v="pagado"/>
    <s v="pagado"/>
    <x v="0"/>
    <x v="0"/>
  </r>
  <r>
    <n v="1200000002"/>
    <d v="2026-02-24T00:00:00"/>
    <n v="3538847.92"/>
    <s v="Cheque de terceros TUCUMAN"/>
    <x v="1119"/>
    <n v="3538847.92"/>
    <x v="177"/>
    <x v="1"/>
    <s v="pagado"/>
    <s v="pagado"/>
    <x v="0"/>
    <x v="0"/>
  </r>
  <r>
    <n v="1200000002"/>
    <d v="2026-02-24T00:00:00"/>
    <n v="3573827.7"/>
    <s v="Cheque de terceros TUCUMAN"/>
    <x v="1120"/>
    <n v="3573827.7"/>
    <x v="177"/>
    <x v="1"/>
    <s v="pagado"/>
    <s v="pagado"/>
    <x v="0"/>
    <x v="0"/>
  </r>
  <r>
    <n v="1200000002"/>
    <d v="2026-02-24T00:00:00"/>
    <n v="21306087.300000001"/>
    <s v="Cheque de terceros TUCUMAN"/>
    <x v="1121"/>
    <n v="21306087.300000001"/>
    <x v="178"/>
    <x v="1"/>
    <s v="pagado"/>
    <s v="pagado"/>
    <x v="0"/>
    <x v="0"/>
  </r>
  <r>
    <n v="1200000002"/>
    <d v="2026-02-24T00:00:00"/>
    <n v="15098080.939999999"/>
    <s v="Cheque de terceros TUCUMAN"/>
    <x v="1122"/>
    <n v="15098080.939999999"/>
    <x v="178"/>
    <x v="1"/>
    <s v="pagado"/>
    <s v="pagado"/>
    <x v="0"/>
    <x v="0"/>
  </r>
  <r>
    <n v="1200000002"/>
    <d v="2026-02-24T00:00:00"/>
    <n v="26027334.530000001"/>
    <s v="Cheque de terceros TUCUMAN"/>
    <x v="1123"/>
    <n v="26027334.530000001"/>
    <x v="178"/>
    <x v="1"/>
    <s v="pagado"/>
    <s v="pagado"/>
    <x v="0"/>
    <x v="0"/>
  </r>
  <r>
    <n v="1200000002"/>
    <d v="2026-02-24T00:00:00"/>
    <n v="12309208.77"/>
    <s v="Cheque de terceros TUCUMAN"/>
    <x v="1124"/>
    <n v="12309208.77"/>
    <x v="178"/>
    <x v="1"/>
    <s v="pagado"/>
    <s v="pagado"/>
    <x v="0"/>
    <x v="0"/>
  </r>
  <r>
    <n v="1200000002"/>
    <d v="2026-02-24T00:00:00"/>
    <n v="28754292.609999999"/>
    <s v="Cheque de terceros TUCUMAN"/>
    <x v="1125"/>
    <n v="28754292.609999999"/>
    <x v="178"/>
    <x v="1"/>
    <s v="pagado"/>
    <s v="pagado"/>
    <x v="0"/>
    <x v="0"/>
  </r>
  <r>
    <n v="1200000002"/>
    <d v="2026-02-24T00:00:00"/>
    <n v="21242932.559999999"/>
    <s v="Cheque de terceros TUCUMAN"/>
    <x v="1126"/>
    <n v="21242932.559999999"/>
    <x v="178"/>
    <x v="1"/>
    <s v="pagado"/>
    <s v="pagado"/>
    <x v="0"/>
    <x v="0"/>
  </r>
  <r>
    <n v="1200000002"/>
    <d v="2026-02-24T00:00:00"/>
    <n v="18346186.690000001"/>
    <s v="Cheque de terceros TUCUMAN"/>
    <x v="1127"/>
    <n v="18346186.690000001"/>
    <x v="178"/>
    <x v="1"/>
    <s v="pagado"/>
    <s v="pagado"/>
    <x v="0"/>
    <x v="0"/>
  </r>
  <r>
    <n v="1200000002"/>
    <d v="2026-02-24T00:00:00"/>
    <n v="22363573"/>
    <s v="Cheque de terceros TUCUMAN"/>
    <x v="1128"/>
    <n v="22363573"/>
    <x v="178"/>
    <x v="1"/>
    <s v="pagado"/>
    <s v="pagado"/>
    <x v="0"/>
    <x v="0"/>
  </r>
  <r>
    <n v="3000000282"/>
    <d v="2026-02-25T00:00:00"/>
    <n v="1733718.71"/>
    <s v="AGROALAS SA Las Cejas 14"/>
    <x v="1129"/>
    <n v="1733718.71"/>
    <x v="175"/>
    <x v="1"/>
    <s v="pagado"/>
    <s v="pagado"/>
    <x v="0"/>
    <x v="0"/>
  </r>
  <r>
    <n v="3000000289"/>
    <d v="2026-02-26T00:00:00"/>
    <n v="28505707.989999998"/>
    <s v="TRANSPORTE BARBERAN HNOS SRL CHABAS 12"/>
    <x v="1130"/>
    <n v="28505707.989999998"/>
    <x v="179"/>
    <x v="1"/>
    <s v="pagado"/>
    <s v="pagado"/>
    <x v="0"/>
    <x v="0"/>
  </r>
  <r>
    <n v="3000000290"/>
    <d v="2026-02-26T00:00:00"/>
    <n v="10132835.619999999"/>
    <s v="ANTONACCI LUIS GABRIEL LA FLORIDA 14"/>
    <x v="1131"/>
    <n v="10132835.619999999"/>
    <x v="179"/>
    <x v="1"/>
    <s v="pagado"/>
    <s v="pagado"/>
    <x v="0"/>
    <x v="0"/>
  </r>
  <r>
    <n v="3000000291"/>
    <d v="2026-02-26T00:00:00"/>
    <n v="8983237.2899999991"/>
    <s v="LANGELLA JUAN RODOLFO ALDERETES 14"/>
    <x v="1132"/>
    <n v="8983237.2899999991"/>
    <x v="179"/>
    <x v="1"/>
    <s v="pagado"/>
    <s v="pagado"/>
    <x v="0"/>
    <x v="0"/>
  </r>
  <r>
    <n v="3000000292"/>
    <d v="2026-02-27T00:00:00"/>
    <n v="34521799.420000002"/>
    <s v="RODRIGUEZ NESTOR HORACIO YERBA BUENA 14"/>
    <x v="1133"/>
    <n v="34521799.420000002"/>
    <x v="179"/>
    <x v="1"/>
    <s v="pagado"/>
    <s v="pagado"/>
    <x v="0"/>
    <x v="0"/>
  </r>
  <r>
    <n v="3000000308"/>
    <d v="2026-03-03T00:00:00"/>
    <n v="4952303.4000000004"/>
    <s v="Suc. de Ventimiglia Nelly IrmJesus Maria 03"/>
    <x v="1134"/>
    <n v="4952303.4000000004"/>
    <x v="180"/>
    <x v="1"/>
    <s v="pagado"/>
    <s v="pagado"/>
    <x v="0"/>
    <x v="0"/>
  </r>
  <r>
    <n v="3000000309"/>
    <d v="2026-03-03T00:00:00"/>
    <n v="6441469.4000000004"/>
    <s v="Medina Lauro Jose Las Cejas 14"/>
    <x v="1135"/>
    <n v="6441469.4000000004"/>
    <x v="180"/>
    <x v="1"/>
    <s v="pagado"/>
    <s v="pagado"/>
    <x v="0"/>
    <x v="0"/>
  </r>
  <r>
    <n v="3000000310"/>
    <d v="2026-03-03T00:00:00"/>
    <n v="24362139.399999999"/>
    <s v="CARIGNANO RAUL JUAN YERBA BUENA 14"/>
    <x v="1136"/>
    <n v="24362139.399999999"/>
    <x v="180"/>
    <x v="1"/>
    <s v="pagado"/>
    <s v="pagado"/>
    <x v="0"/>
    <x v="0"/>
  </r>
  <r>
    <n v="3000000311"/>
    <d v="2026-03-03T00:00:00"/>
    <n v="8481160.9000000004"/>
    <s v="Pulverizaciones Tuninetti S.R.Las Rosas 01"/>
    <x v="1137"/>
    <n v="8481160.9000000004"/>
    <x v="180"/>
    <x v="1"/>
    <s v="pagado"/>
    <s v="pagado"/>
    <x v="0"/>
    <x v="0"/>
  </r>
  <r>
    <n v="3000000336"/>
    <d v="2026-03-09T00:00:00"/>
    <n v="1499280.78"/>
    <s v="ROMAN BARCELO Y JORGE CARRERASLAS LAJITAS 09"/>
    <x v="1138"/>
    <n v="1499280.78"/>
    <x v="181"/>
    <x v="1"/>
    <s v="pagado"/>
    <s v="pagado"/>
    <x v="0"/>
    <x v="0"/>
  </r>
  <r>
    <n v="3000000337"/>
    <d v="2026-03-09T00:00:00"/>
    <n v="10993371.48"/>
    <s v="AYALA WALTER DANIEL ALDERETES 14"/>
    <x v="1139"/>
    <n v="10993371.48"/>
    <x v="181"/>
    <x v="1"/>
    <s v="pagado"/>
    <s v="pagado"/>
    <x v="0"/>
    <x v="0"/>
  </r>
  <r>
    <n v="3000000338"/>
    <d v="2026-03-09T00:00:00"/>
    <n v="9202073.4000000004"/>
    <s v="MAZZA ERNESTO RODOLFO FAMAILLA - TUCUMAN 14"/>
    <x v="1140"/>
    <n v="9202073.4000000004"/>
    <x v="182"/>
    <x v="1"/>
    <s v="pagado"/>
    <s v="pagado"/>
    <x v="0"/>
    <x v="0"/>
  </r>
  <r>
    <n v="3000000339"/>
    <d v="2026-03-09T00:00:00"/>
    <n v="4003045.49"/>
    <s v="LIZONDO OSCAR FABIAN METAN 09"/>
    <x v="1141"/>
    <n v="4003045.49"/>
    <x v="182"/>
    <x v="1"/>
    <s v="pagado"/>
    <s v="pagado"/>
    <x v="0"/>
    <x v="0"/>
  </r>
  <r>
    <n v="3000000351"/>
    <d v="2026-03-12T00:00:00"/>
    <n v="88438.26"/>
    <s v="GRUPO MARGEN DEL NOA SA YERBA BUENA 14"/>
    <x v="1142"/>
    <n v="88438.26"/>
    <x v="182"/>
    <x v="1"/>
    <s v="pagado"/>
    <s v="pagado"/>
    <x v="0"/>
    <x v="0"/>
  </r>
  <r>
    <n v="3000000359"/>
    <d v="2026-03-16T00:00:00"/>
    <n v="17445110"/>
    <s v="EDET S.A. SAN MIGUEL DE TUCUMAN 14"/>
    <x v="1143"/>
    <n v="17445110"/>
    <x v="183"/>
    <x v="1"/>
    <s v="pagado"/>
    <s v="pagado"/>
    <x v="0"/>
    <x v="0"/>
  </r>
  <r>
    <n v="3000000361"/>
    <d v="2026-03-16T00:00:00"/>
    <n v="15990026.65"/>
    <s v="SUAREZ GABRIEL SEBASTIAN SANTIAGO DEL ESTERO 13"/>
    <x v="1144"/>
    <n v="15990026.65"/>
    <x v="184"/>
    <x v="1"/>
    <s v="pagado"/>
    <s v="pagado"/>
    <x v="0"/>
    <x v="0"/>
  </r>
  <r>
    <n v="3000000362"/>
    <d v="2026-03-16T00:00:00"/>
    <n v="18172637.100000001"/>
    <s v="MARTO ALBERTO ANTONIO LA RAMADA DE ABAJO 14"/>
    <x v="1145"/>
    <n v="18172637.100000001"/>
    <x v="184"/>
    <x v="1"/>
    <s v="pagado"/>
    <s v="pagado"/>
    <x v="0"/>
    <x v="0"/>
  </r>
  <r>
    <n v="3000000363"/>
    <d v="2026-03-16T00:00:00"/>
    <n v="18807493.140000001"/>
    <s v="TRANSPORTE BARBERAN HNOS SRL CHABAS 12"/>
    <x v="1146"/>
    <n v="18807493.140000001"/>
    <x v="184"/>
    <x v="1"/>
    <s v="pagado"/>
    <s v="pagado"/>
    <x v="0"/>
    <x v="0"/>
  </r>
  <r>
    <n v="3000000364"/>
    <d v="2026-03-16T00:00:00"/>
    <n v="4505254.78"/>
    <s v="MOLINA JUAN F. Y MOLINA ROQUE Lastenia 14"/>
    <x v="1147"/>
    <n v="4505254.78"/>
    <x v="184"/>
    <x v="1"/>
    <s v="pagado"/>
    <s v="pagado"/>
    <x v="0"/>
    <x v="0"/>
  </r>
  <r>
    <n v="3000000365"/>
    <d v="2026-03-16T00:00:00"/>
    <n v="6556879.9500000002"/>
    <s v="TRANSPORTE CLASON SRL ROSARIO 12"/>
    <x v="1148"/>
    <n v="6556879.9500000002"/>
    <x v="184"/>
    <x v="1"/>
    <s v="pagado"/>
    <s v="pagado"/>
    <x v="0"/>
    <x v="0"/>
  </r>
  <r>
    <n v="3000000366"/>
    <d v="2026-03-16T00:00:00"/>
    <n v="7301077.7199999997"/>
    <s v="PAIS WALTER LUIS SAN MIGUEL DE TUCUMAN 14"/>
    <x v="1149"/>
    <n v="7301077.7199999997"/>
    <x v="184"/>
    <x v="1"/>
    <s v="pagado"/>
    <s v="pagado"/>
    <x v="0"/>
    <x v="0"/>
  </r>
  <r>
    <n v="1200000395"/>
    <d v="2026-03-18T00:00:00"/>
    <n v="36759632.340000004"/>
    <s v="Cheque de terceros TUCUMAN"/>
    <x v="1150"/>
    <n v="36759632.340000004"/>
    <x v="185"/>
    <x v="1"/>
    <s v="pagado"/>
    <s v="pagado"/>
    <x v="0"/>
    <x v="0"/>
  </r>
  <r>
    <n v="3000000375"/>
    <d v="2026-03-18T00:00:00"/>
    <n v="782019.84"/>
    <s v="COSENTINO DROVETA AGUSTIN BANDA DEL RIO SALI 14"/>
    <x v="1151"/>
    <n v="782019.84"/>
    <x v="185"/>
    <x v="1"/>
    <s v="pagado"/>
    <s v="pagado"/>
    <x v="0"/>
    <x v="0"/>
  </r>
  <r>
    <n v="3000000379"/>
    <d v="2026-03-19T00:00:00"/>
    <n v="10179780"/>
    <s v="Suc. de Ventimiglia Nelly IrmJesus Maria 03"/>
    <x v="1152"/>
    <n v="10179780"/>
    <x v="185"/>
    <x v="1"/>
    <s v="pagado"/>
    <s v="pagado"/>
    <x v="0"/>
    <x v="0"/>
  </r>
  <r>
    <n v="3000000401"/>
    <d v="2026-03-25T00:00:00"/>
    <n v="25000000"/>
    <s v="CARIGNANO RAUL JUAN YERBA BUENA 14"/>
    <x v="1153"/>
    <n v="25000000"/>
    <x v="186"/>
    <x v="1"/>
    <s v="pagado"/>
    <s v="pagado"/>
    <x v="0"/>
    <x v="0"/>
  </r>
  <r>
    <n v="3000000401"/>
    <d v="2026-03-25T00:00:00"/>
    <n v="28832394"/>
    <s v="CARIGNANO RAUL JUAN YERBA BUENA 14"/>
    <x v="1154"/>
    <n v="28832394"/>
    <x v="187"/>
    <x v="1"/>
    <s v="pagado"/>
    <s v="pagado"/>
    <x v="0"/>
    <x v="0"/>
  </r>
  <r>
    <n v="3000000390"/>
    <d v="2026-03-25T00:00:00"/>
    <n v="10903534.35"/>
    <s v="SAN LORENZO CEREALES S.R.L SAN LORENZO 12"/>
    <x v="1155"/>
    <n v="10903534.35"/>
    <x v="187"/>
    <x v="1"/>
    <s v="pagado"/>
    <s v="pagado"/>
    <x v="0"/>
    <x v="0"/>
  </r>
  <r>
    <n v="3000000391"/>
    <d v="2026-03-25T00:00:00"/>
    <n v="4670665.7699999996"/>
    <s v="AYALA WALTER DANIEL ALDERETES 14"/>
    <x v="1156"/>
    <n v="4670665.7699999996"/>
    <x v="186"/>
    <x v="1"/>
    <s v="pagado"/>
    <s v="pagado"/>
    <x v="0"/>
    <x v="0"/>
  </r>
  <r>
    <n v="3000000392"/>
    <d v="2026-03-25T00:00:00"/>
    <n v="26716188.399999999"/>
    <s v="M.A.D Serv y mant eléctri SAN MIGUEL DE TUCUMAN 14"/>
    <x v="1157"/>
    <n v="26716188.399999999"/>
    <x v="187"/>
    <x v="1"/>
    <s v="pagado"/>
    <s v="pagado"/>
    <x v="0"/>
    <x v="0"/>
  </r>
  <r>
    <n v="3000000393"/>
    <d v="2026-03-25T00:00:00"/>
    <n v="18991343.399999999"/>
    <s v="SALTOS JOSUE GONZALO NUEVA ESPERANZA 13"/>
    <x v="1158"/>
    <n v="18991343.399999999"/>
    <x v="187"/>
    <x v="1"/>
    <s v="pagado"/>
    <s v="pagado"/>
    <x v="0"/>
    <x v="0"/>
  </r>
  <r>
    <n v="3000000394"/>
    <d v="2026-03-25T00:00:00"/>
    <n v="3940778.4"/>
    <s v="TRAPICHE SA BANDA DEL RIO SALI 14"/>
    <x v="1159"/>
    <n v="3940778.4"/>
    <x v="186"/>
    <x v="1"/>
    <s v="pagado"/>
    <s v="pagado"/>
    <x v="0"/>
    <x v="0"/>
  </r>
  <r>
    <n v="3000000395"/>
    <d v="2026-03-25T00:00:00"/>
    <n v="24563000"/>
    <s v="MAZZA ERNESTO RODOLFO FAMAILLA - TUCUMAN 14"/>
    <x v="1160"/>
    <n v="24563000"/>
    <x v="187"/>
    <x v="1"/>
    <s v="pagado"/>
    <s v="pagado"/>
    <x v="0"/>
    <x v="0"/>
  </r>
  <r>
    <n v="3000000396"/>
    <d v="2026-03-25T00:00:00"/>
    <n v="9145575"/>
    <s v="TRANSPORTE CLASON SRL ROSARIO 12"/>
    <x v="1161"/>
    <n v="9145575"/>
    <x v="186"/>
    <x v="1"/>
    <s v="pagado"/>
    <s v="pagado"/>
    <x v="0"/>
    <x v="0"/>
  </r>
  <r>
    <n v="3000000397"/>
    <d v="2026-03-25T00:00:00"/>
    <n v="5546690.1699999999"/>
    <s v="JAVIER EDUARDO PRADO FLORIDA 13"/>
    <x v="1162"/>
    <n v="5546690.1699999999"/>
    <x v="186"/>
    <x v="1"/>
    <s v="pagado"/>
    <s v="pagado"/>
    <x v="0"/>
    <x v="0"/>
  </r>
  <r>
    <n v="3000000398"/>
    <d v="2026-03-25T00:00:00"/>
    <n v="12714358.57"/>
    <s v="TRANSPORTE LAVENIA SAS LASTENIA 14"/>
    <x v="1163"/>
    <n v="12714358.57"/>
    <x v="187"/>
    <x v="1"/>
    <s v="pagado"/>
    <s v="pagado"/>
    <x v="0"/>
    <x v="0"/>
  </r>
  <r>
    <n v="3000000399"/>
    <d v="2026-03-25T00:00:00"/>
    <n v="25515660.5"/>
    <s v="Medina Lauro Jose Las Cejas 14"/>
    <x v="1164"/>
    <n v="25515660.5"/>
    <x v="187"/>
    <x v="1"/>
    <s v="pagado"/>
    <s v="pagado"/>
    <x v="0"/>
    <x v="0"/>
  </r>
  <r>
    <n v="3000000400"/>
    <d v="2026-03-25T00:00:00"/>
    <n v="18691063.899999999"/>
    <s v="Pulmajo S.R.L. CONCEPCION 14"/>
    <x v="1165"/>
    <n v="18691063.899999999"/>
    <x v="187"/>
    <x v="1"/>
    <s v="pagado"/>
    <s v="pagado"/>
    <x v="0"/>
    <x v="0"/>
  </r>
  <r>
    <n v="3000000402"/>
    <d v="2026-03-25T00:00:00"/>
    <n v="24560329.600000001"/>
    <s v="RODRIGUEZ NESTOR HORACIO YERBA BUENA 14"/>
    <x v="1166"/>
    <n v="24560329.600000001"/>
    <x v="187"/>
    <x v="1"/>
    <s v="pagado"/>
    <s v="pagado"/>
    <x v="0"/>
    <x v="0"/>
  </r>
  <r>
    <n v="3000000403"/>
    <d v="2026-03-25T00:00:00"/>
    <n v="7254347.0999999996"/>
    <s v="LIZONDO OSCAR FABIAN METAN 09"/>
    <x v="1167"/>
    <n v="7254347.0999999996"/>
    <x v="186"/>
    <x v="1"/>
    <s v="no pagado"/>
    <s v="fuera de fecha"/>
    <x v="0"/>
    <x v="0"/>
  </r>
  <r>
    <n v="3000000404"/>
    <d v="2026-03-25T00:00:00"/>
    <n v="18423701.949999999"/>
    <s v="ACOSTA EMILIA ROMINA JOAQUIN V GONZALEZ 09"/>
    <x v="1168"/>
    <n v="18423701.949999999"/>
    <x v="187"/>
    <x v="1"/>
    <s v="pagado"/>
    <s v="pagado"/>
    <x v="0"/>
    <x v="0"/>
  </r>
  <r>
    <n v="3000000434"/>
    <d v="2026-03-30T00:00:00"/>
    <n v="3487567.85"/>
    <s v="TRANSPORTE BARBERAN HNOS SRL CHABAS 12"/>
    <x v="1169"/>
    <n v="3487567.85"/>
    <x v="188"/>
    <x v="1"/>
    <s v="pagado"/>
    <s v="pagado"/>
    <x v="0"/>
    <x v="0"/>
  </r>
  <r>
    <n v="3000000435"/>
    <d v="2026-03-31T00:00:00"/>
    <n v="103101102"/>
    <s v="RIO CHICO SA CIUDADELA 01"/>
    <x v="1170"/>
    <n v="103101102"/>
    <x v="188"/>
    <x v="1"/>
    <s v="pagado"/>
    <s v="pagado"/>
    <x v="0"/>
    <x v="0"/>
  </r>
  <r>
    <n v="3000000435"/>
    <d v="2026-03-31T00:00:00"/>
    <n v="103101102"/>
    <s v="RIO CHICO SA CIUDADELA 01"/>
    <x v="1171"/>
    <n v="103101102"/>
    <x v="189"/>
    <x v="1"/>
    <s v="pagado"/>
    <s v="pagado"/>
    <x v="0"/>
    <x v="0"/>
  </r>
  <r>
    <n v="3000000007"/>
    <d v="2026-04-08T00:00:00"/>
    <n v="1318027.8999999999"/>
    <s v="Pulmajo S.R.L. CONCEPCION 14"/>
    <x v="1172"/>
    <n v="1318027.8999999999"/>
    <x v="190"/>
    <x v="1"/>
    <s v="pagado"/>
    <s v="pagado"/>
    <x v="0"/>
    <x v="0"/>
  </r>
  <r>
    <n v="1200000670"/>
    <d v="2026-04-08T00:00:00"/>
    <n v="59383219"/>
    <s v="Cheque de terceros TUCUMAN"/>
    <x v="1173"/>
    <n v="59383219"/>
    <x v="190"/>
    <x v="1"/>
    <s v="pagado"/>
    <s v="pagado"/>
    <x v="0"/>
    <x v="0"/>
  </r>
  <r>
    <n v="3000000451"/>
    <d v="2026-04-09T00:00:00"/>
    <n v="8694167.9199999999"/>
    <s v="TRANSPORTE BARBERAN HNOS SRL CHABAS 12"/>
    <x v="1174"/>
    <n v="8694167.9199999999"/>
    <x v="191"/>
    <x v="1"/>
    <s v="pagado"/>
    <s v="pagado"/>
    <x v="0"/>
    <x v="0"/>
  </r>
  <r>
    <n v="3000000452"/>
    <d v="2026-04-09T00:00:00"/>
    <n v="9472114.4199999999"/>
    <s v="PAIS WALTER LUIS SAN MIGUEL DE TUCUMAN 14"/>
    <x v="1175"/>
    <n v="9472114.4199999999"/>
    <x v="191"/>
    <x v="1"/>
    <s v="pagado"/>
    <s v="pagado"/>
    <x v="0"/>
    <x v="0"/>
  </r>
  <r>
    <n v="3000000453"/>
    <d v="2026-04-09T00:00:00"/>
    <n v="11118317.92"/>
    <s v="FLETES Y SERVICIOS PUJATO S.A PUJATO 12"/>
    <x v="1176"/>
    <n v="11118317.92"/>
    <x v="191"/>
    <x v="1"/>
    <s v="pagado"/>
    <s v="pagado"/>
    <x v="0"/>
    <x v="0"/>
  </r>
  <r>
    <n v="3000000454"/>
    <d v="2026-04-09T00:00:00"/>
    <n v="9468527.9199999999"/>
    <s v="TRANSPORTE LAVENIA SAS LASTENIA 14"/>
    <x v="1177"/>
    <n v="9468527.9199999999"/>
    <x v="191"/>
    <x v="1"/>
    <s v="pagado"/>
    <s v="pagado"/>
    <x v="0"/>
    <x v="0"/>
  </r>
  <r>
    <n v="3000000475"/>
    <d v="2026-04-13T00:00:00"/>
    <n v="8725117.3399999999"/>
    <s v="AGROGANADERA DEL NOA CEVIL POZO 14"/>
    <x v="1178"/>
    <n v="8725117.3399999999"/>
    <x v="192"/>
    <x v="1"/>
    <s v="pagado"/>
    <s v="pagado"/>
    <x v="0"/>
    <x v="0"/>
  </r>
  <r>
    <n v="3000000475"/>
    <d v="2026-04-13T00:00:00"/>
    <n v="2186958.2799999998"/>
    <s v="AGROGANADERA DEL NOA CEVIL POZO 14"/>
    <x v="1179"/>
    <n v="2186958.2799999998"/>
    <x v="192"/>
    <x v="1"/>
    <s v="pagado"/>
    <s v="pagado"/>
    <x v="0"/>
    <x v="0"/>
  </r>
  <r>
    <n v="3000000487"/>
    <d v="2026-04-14T00:00:00"/>
    <n v="5550156.4800000004"/>
    <s v="Suc. de Ventimiglia Nelly IrmJesus Maria 03"/>
    <x v="1180"/>
    <n v="5550156.4800000004"/>
    <x v="192"/>
    <x v="1"/>
    <s v="pagado"/>
    <s v="pagado"/>
    <x v="0"/>
    <x v="0"/>
  </r>
  <r>
    <n v="3000000488"/>
    <d v="2026-04-14T00:00:00"/>
    <n v="36141623.399999999"/>
    <s v="AYALA WALTER DANIEL ALDERETES 14"/>
    <x v="1181"/>
    <n v="36141623.399999999"/>
    <x v="192"/>
    <x v="1"/>
    <s v="pagado"/>
    <s v="pagado"/>
    <x v="0"/>
    <x v="0"/>
  </r>
  <r>
    <n v="3000000489"/>
    <d v="2026-04-14T00:00:00"/>
    <n v="36175327.399999999"/>
    <s v="CARIGNANO RAUL JUAN YERBA BUENA 14"/>
    <x v="1182"/>
    <n v="36175327.399999999"/>
    <x v="192"/>
    <x v="1"/>
    <s v="pagado"/>
    <s v="pagado"/>
    <x v="0"/>
    <x v="0"/>
  </r>
  <r>
    <n v="3000000490"/>
    <d v="2026-04-14T00:00:00"/>
    <n v="23947727.399999999"/>
    <s v="GRUPO MARGEN DEL NOA SA YERBA BUENA 14"/>
    <x v="1183"/>
    <n v="23947727.399999999"/>
    <x v="192"/>
    <x v="1"/>
    <s v="pagado"/>
    <s v="pagado"/>
    <x v="0"/>
    <x v="0"/>
  </r>
  <r>
    <n v="3000000491"/>
    <d v="2026-04-14T00:00:00"/>
    <n v="7274026.4699999997"/>
    <s v="Suarez Elio Hernan Los altos 02"/>
    <x v="1184"/>
    <n v="7274026.4699999997"/>
    <x v="192"/>
    <x v="1"/>
    <s v="pagado"/>
    <s v="pagado"/>
    <x v="0"/>
    <x v="0"/>
  </r>
  <r>
    <n v="3000000492"/>
    <d v="2026-04-14T00:00:00"/>
    <n v="6155999.8399999999"/>
    <s v="SANTOS JUAN ALBERTO SANTIAGO DEL ESTERO 13"/>
    <x v="1185"/>
    <n v="6155999.8399999999"/>
    <x v="192"/>
    <x v="1"/>
    <s v="pagado"/>
    <s v="pagado"/>
    <x v="0"/>
    <x v="0"/>
  </r>
  <r>
    <n v="3000000493"/>
    <d v="2026-04-14T00:00:00"/>
    <n v="5939616.8499999996"/>
    <s v="GUERRERO DANIEL MARCELO ALDERETES 14"/>
    <x v="1186"/>
    <n v="5939616.8499999996"/>
    <x v="192"/>
    <x v="1"/>
    <s v="pagado"/>
    <s v="pagado"/>
    <x v="0"/>
    <x v="0"/>
  </r>
  <r>
    <n v="3000000494"/>
    <d v="2026-04-14T00:00:00"/>
    <n v="10210542.4"/>
    <s v="Pulverizaciones Tuninetti S.R.Las Rosas 01"/>
    <x v="1187"/>
    <n v="10210542.4"/>
    <x v="192"/>
    <x v="1"/>
    <s v="pagado"/>
    <s v="pagado"/>
    <x v="0"/>
    <x v="0"/>
  </r>
  <r>
    <n v="3000000495"/>
    <d v="2026-04-14T00:00:00"/>
    <n v="17192470"/>
    <s v="EDET S.A. SAN MIGUEL DE TUCUMAN 14"/>
    <x v="1188"/>
    <n v="17192470"/>
    <x v="192"/>
    <x v="1"/>
    <s v="pagado"/>
    <s v="pagado"/>
    <x v="0"/>
    <x v="0"/>
  </r>
  <r>
    <n v="1200000671"/>
    <d v="2026-04-14T00:00:00"/>
    <n v="5551808.4400000004"/>
    <s v="Cheque de terceros TUCUMAN"/>
    <x v="1189"/>
    <n v="5551808.4400000004"/>
    <x v="192"/>
    <x v="1"/>
    <s v="pagado"/>
    <s v="pagado"/>
    <x v="0"/>
    <x v="0"/>
  </r>
  <r>
    <n v="1200000671"/>
    <d v="2026-04-14T00:00:00"/>
    <n v="35776848.380000003"/>
    <s v="Cheque de terceros TUCUMAN"/>
    <x v="1190"/>
    <n v="35776848.380000003"/>
    <x v="192"/>
    <x v="1"/>
    <s v="pagado"/>
    <s v="pagado"/>
    <x v="0"/>
    <x v="0"/>
  </r>
  <r>
    <n v="3000000510"/>
    <d v="2026-04-17T00:00:00"/>
    <n v="561372.24"/>
    <s v=". TUCUMAN"/>
    <x v="1191"/>
    <n v="561372.24"/>
    <x v="193"/>
    <x v="1"/>
    <s v="pagado"/>
    <s v="pagado"/>
    <x v="0"/>
    <x v="0"/>
  </r>
  <r>
    <n v="3000000511"/>
    <d v="2026-04-17T00:00:00"/>
    <n v="5399758.4199999999"/>
    <s v=". TUCUMAN"/>
    <x v="1192"/>
    <n v="5399758.4199999999"/>
    <x v="193"/>
    <x v="1"/>
    <s v="pagado"/>
    <s v="pagado"/>
    <x v="0"/>
    <x v="0"/>
  </r>
  <r>
    <n v="3000000519"/>
    <d v="2026-04-20T00:00:00"/>
    <n v="9542604.9800000004"/>
    <s v="AYALA WALTER DANIEL ALDERETES 14"/>
    <x v="1193"/>
    <n v="9542604.9800000004"/>
    <x v="194"/>
    <x v="1"/>
    <s v="pagado"/>
    <s v="pagado"/>
    <x v="0"/>
    <x v="0"/>
  </r>
  <r>
    <n v="3000000520"/>
    <d v="2026-04-20T00:00:00"/>
    <n v="8929576.6500000004"/>
    <s v="ALMIROTY E HIJOS SRL CABA 00"/>
    <x v="1194"/>
    <n v="8929576.6500000004"/>
    <x v="194"/>
    <x v="1"/>
    <s v="pagado"/>
    <s v="pagado"/>
    <x v="0"/>
    <x v="0"/>
  </r>
  <r>
    <n v="3000000521"/>
    <d v="2026-04-20T00:00:00"/>
    <n v="19514985.899999999"/>
    <s v="LOS LAURELES SERVICIOS AGRICOLSan Miguel De Tucuman 14"/>
    <x v="1195"/>
    <n v="19514985.899999999"/>
    <x v="194"/>
    <x v="1"/>
    <s v="pagado"/>
    <s v="pagado"/>
    <x v="0"/>
    <x v="0"/>
  </r>
  <r>
    <n v="3000000522"/>
    <d v="2026-04-20T00:00:00"/>
    <n v="6530503.4000000004"/>
    <s v="Medina Lauro Jose Las Cejas 14"/>
    <x v="1196"/>
    <n v="6530503.4000000004"/>
    <x v="194"/>
    <x v="1"/>
    <s v="pagado"/>
    <s v="pagado"/>
    <x v="0"/>
    <x v="0"/>
  </r>
  <r>
    <n v="3000000523"/>
    <d v="2026-04-20T00:00:00"/>
    <n v="9223368"/>
    <s v="Pulverizaciones Tuninetti S.R.Las Rosas 01"/>
    <x v="1197"/>
    <n v="9223368"/>
    <x v="194"/>
    <x v="1"/>
    <s v="pagado"/>
    <s v="pagado"/>
    <x v="0"/>
    <x v="0"/>
  </r>
  <r>
    <n v="3000000524"/>
    <d v="2026-04-20T00:00:00"/>
    <n v="6285659.9000000004"/>
    <s v="Pulmajo S.R.L. CONCEPCION 14"/>
    <x v="1198"/>
    <n v="6285659.9000000004"/>
    <x v="194"/>
    <x v="1"/>
    <s v="pagado"/>
    <s v="pagado"/>
    <x v="0"/>
    <x v="0"/>
  </r>
  <r>
    <n v="3000000525"/>
    <d v="2026-04-20T00:00:00"/>
    <n v="13655492.380000001"/>
    <s v="SANTOS JUAN ALBERTO SANTIAGO DEL ESTERO 13"/>
    <x v="1199"/>
    <n v="13655492.380000001"/>
    <x v="194"/>
    <x v="1"/>
    <s v="pagado"/>
    <s v="pagado"/>
    <x v="0"/>
    <x v="0"/>
  </r>
  <r>
    <n v="3000000526"/>
    <d v="2026-04-20T00:00:00"/>
    <n v="12146115.800000001"/>
    <s v="ACOSTA EMILIA ROMINA JOAQUIN V GONZALEZ 09"/>
    <x v="1200"/>
    <n v="12146115.800000001"/>
    <x v="194"/>
    <x v="1"/>
    <s v="pagado"/>
    <s v="pagado"/>
    <x v="0"/>
    <x v="0"/>
  </r>
  <r>
    <n v="1200000849"/>
    <d v="2026-04-22T00:00:00"/>
    <n v="25265784.289999999"/>
    <s v="Cheque de terceros TUCUMAN"/>
    <x v="1201"/>
    <n v="25265784.289999999"/>
    <x v="193"/>
    <x v="1"/>
    <s v="pagado"/>
    <s v="pagado"/>
    <x v="0"/>
    <x v="0"/>
  </r>
  <r>
    <n v="1200001122"/>
    <d v="2026-04-27T00:00:00"/>
    <n v="7425059.3200000003"/>
    <s v="Cheque de terceros TUCUMAN"/>
    <x v="1202"/>
    <n v="7425059.3200000003"/>
    <x v="195"/>
    <x v="1"/>
    <s v="pagado"/>
    <s v="pagado"/>
    <x v="0"/>
    <x v="0"/>
  </r>
  <r>
    <n v="1200001122"/>
    <d v="2026-04-27T00:00:00"/>
    <n v="9432485.7899999991"/>
    <s v="Cheque de terceros TUCUMAN"/>
    <x v="1203"/>
    <n v="9432485.7899999991"/>
    <x v="195"/>
    <x v="1"/>
    <s v="pagado"/>
    <s v="pagado"/>
    <x v="0"/>
    <x v="0"/>
  </r>
  <r>
    <n v="1200001122"/>
    <d v="2026-04-27T00:00:00"/>
    <n v="5265960.8"/>
    <s v="Cheque de terceros TUCUMAN"/>
    <x v="1204"/>
    <n v="5265960.8"/>
    <x v="195"/>
    <x v="1"/>
    <s v="pagado"/>
    <s v="pagado"/>
    <x v="0"/>
    <x v="0"/>
  </r>
  <r>
    <n v="3000000539"/>
    <d v="2026-04-27T00:00:00"/>
    <n v="10875733"/>
    <s v="GRUPO MARGEN DEL NOA SA YERBA BUENA 14"/>
    <x v="1205"/>
    <n v="10875733"/>
    <x v="195"/>
    <x v="1"/>
    <s v="pagado"/>
    <s v="pagado"/>
    <x v="0"/>
    <x v="0"/>
  </r>
  <r>
    <n v="3000000556"/>
    <d v="2026-04-27T00:00:00"/>
    <n v="3463900.79"/>
    <s v="TRANSPORTE BARBERAN HNOS SRL CHABAS 12"/>
    <x v="1206"/>
    <n v="3463900.79"/>
    <x v="195"/>
    <x v="1"/>
    <s v="pagado"/>
    <s v="pagado"/>
    <x v="0"/>
    <x v="0"/>
  </r>
  <r>
    <n v="3000000557"/>
    <d v="2026-04-27T00:00:00"/>
    <n v="9326088.1199999992"/>
    <s v="ILUZZI MIGUEL ANGEL CIUDAD AUTONOMA BUENOS AIRES 00"/>
    <x v="1207"/>
    <n v="9326088.1199999992"/>
    <x v="195"/>
    <x v="1"/>
    <s v="pagado"/>
    <s v="pagado"/>
    <x v="0"/>
    <x v="0"/>
  </r>
  <r>
    <n v="3000000558"/>
    <d v="2026-04-27T00:00:00"/>
    <n v="9301754"/>
    <s v="RODRIGUEZ NESTOR HORACIO YERBA BUENA 14"/>
    <x v="1208"/>
    <n v="9301754"/>
    <x v="195"/>
    <x v="1"/>
    <s v="pagado"/>
    <s v="pagado"/>
    <x v="0"/>
    <x v="0"/>
  </r>
  <r>
    <n v="3000000559"/>
    <d v="2026-04-27T00:00:00"/>
    <n v="5075501.34"/>
    <s v="CAMPOAGRO SRL YERBA BUENA 14"/>
    <x v="1209"/>
    <n v="5075501.34"/>
    <x v="195"/>
    <x v="1"/>
    <s v="pagado"/>
    <s v="pagado"/>
    <x v="0"/>
    <x v="0"/>
  </r>
  <r>
    <n v="3000000560"/>
    <d v="2026-04-27T00:00:00"/>
    <n v="10963120.4"/>
    <s v="ROMAN BARCELO Y JORGE CARRERASLAS LAJITAS 09"/>
    <x v="1210"/>
    <n v="10963120.4"/>
    <x v="195"/>
    <x v="1"/>
    <s v="pagado"/>
    <s v="pagado"/>
    <x v="0"/>
    <x v="0"/>
  </r>
  <r>
    <n v="3000000572"/>
    <d v="2026-04-30T00:00:00"/>
    <n v="5000000"/>
    <s v="AGROGANADERA DEL NOA CEVIL POZO 14"/>
    <x v="1211"/>
    <n v="5000000"/>
    <x v="196"/>
    <x v="1"/>
    <s v="pagado"/>
    <s v="pagado"/>
    <x v="0"/>
    <x v="0"/>
  </r>
  <r>
    <n v="3000000572"/>
    <d v="2026-04-30T00:00:00"/>
    <n v="5000000"/>
    <s v="AGROGANADERA DEL NOA CEVIL POZO 14"/>
    <x v="1212"/>
    <n v="5000000"/>
    <x v="196"/>
    <x v="1"/>
    <s v="pagado"/>
    <s v="pagado"/>
    <x v="0"/>
    <x v="0"/>
  </r>
  <r>
    <n v="3000000572"/>
    <d v="2026-04-30T00:00:00"/>
    <n v="5271843.6500000004"/>
    <s v="AGROGANADERA DEL NOA CEVIL POZO 14"/>
    <x v="1213"/>
    <n v="5271843.6500000004"/>
    <x v="196"/>
    <x v="1"/>
    <s v="pagado"/>
    <s v="pagado"/>
    <x v="0"/>
    <x v="0"/>
  </r>
  <r>
    <n v="3000000579"/>
    <d v="2026-05-04T00:00:00"/>
    <n v="18060803.399999999"/>
    <s v="DON KOKO S.R.L CAMILO ALDAO 03"/>
    <x v="1214"/>
    <n v="18060803.399999999"/>
    <x v="197"/>
    <x v="1"/>
    <s v="pagado"/>
    <s v="pagado"/>
    <x v="0"/>
    <x v="0"/>
  </r>
  <r>
    <n v="3000000580"/>
    <d v="2026-05-04T00:00:00"/>
    <n v="15017429.57"/>
    <s v="LUBRE S.R.L. LOS NOGALES 14"/>
    <x v="1215"/>
    <n v="15017429.57"/>
    <x v="197"/>
    <x v="1"/>
    <s v="pagado"/>
    <s v="pagado"/>
    <x v="0"/>
    <x v="0"/>
  </r>
  <r>
    <n v="3000000581"/>
    <d v="2026-05-04T00:00:00"/>
    <n v="24232803.399999999"/>
    <s v="GRUPO MARGEN DEL NOA SA YERBA BUENA 14"/>
    <x v="1216"/>
    <n v="24232803.399999999"/>
    <x v="197"/>
    <x v="1"/>
    <s v="pagado"/>
    <s v="pagado"/>
    <x v="0"/>
    <x v="0"/>
  </r>
  <r>
    <n v="3000000582"/>
    <d v="2026-05-04T00:00:00"/>
    <n v="40857330.399999999"/>
    <s v="Medina Lauro Jose Las Cejas 14"/>
    <x v="1217"/>
    <n v="40857330.399999999"/>
    <x v="197"/>
    <x v="1"/>
    <s v="pagado"/>
    <s v="pagado"/>
    <x v="0"/>
    <x v="0"/>
  </r>
  <r>
    <n v="3000000583"/>
    <d v="2026-05-04T00:00:00"/>
    <n v="6316267.4000000004"/>
    <s v="CARIGNANO RAUL JUAN YERBA BUENA 14"/>
    <x v="1218"/>
    <n v="6316267.4000000004"/>
    <x v="197"/>
    <x v="1"/>
    <s v="pagado"/>
    <s v="pagado"/>
    <x v="0"/>
    <x v="0"/>
  </r>
  <r>
    <n v="3000000584"/>
    <d v="2026-05-04T00:00:00"/>
    <n v="8875288.9900000002"/>
    <s v="ACOSTA EMILIA ROMINA JOAQUIN V GONZALEZ 09"/>
    <x v="1219"/>
    <n v="8875288.9900000002"/>
    <x v="197"/>
    <x v="1"/>
    <s v="pagado"/>
    <s v="pagado"/>
    <x v="0"/>
    <x v="0"/>
  </r>
  <r>
    <n v="3000000590"/>
    <d v="2026-05-05T00:00:00"/>
    <n v="30109014.800000001"/>
    <s v="TRANSPORTE BARBERAN HNOS SRL CHABAS 12"/>
    <x v="1220"/>
    <n v="30109014.800000001"/>
    <x v="197"/>
    <x v="1"/>
    <s v="pagado"/>
    <s v="pagado"/>
    <x v="0"/>
    <x v="0"/>
  </r>
  <r>
    <n v="3000000591"/>
    <d v="2026-05-05T00:00:00"/>
    <n v="23535376.43"/>
    <s v="LOGISTICA CENTRO S.R.L CORONDA 12"/>
    <x v="1221"/>
    <n v="23535376.43"/>
    <x v="197"/>
    <x v="1"/>
    <s v="pagado"/>
    <s v="pagado"/>
    <x v="0"/>
    <x v="0"/>
  </r>
  <r>
    <n v="3000000592"/>
    <d v="2026-05-05T00:00:00"/>
    <n v="4458306.43"/>
    <s v="JAVIER EDUARDO PRADO FLORIDA 13"/>
    <x v="1222"/>
    <n v="4458306.43"/>
    <x v="197"/>
    <x v="1"/>
    <s v="pagado"/>
    <s v="pagado"/>
    <x v="0"/>
    <x v="0"/>
  </r>
  <r>
    <n v="3000000593"/>
    <d v="2026-05-05T00:00:00"/>
    <n v="5550532.9400000004"/>
    <s v="FLETES Y SERVICIOS PUJATO S.A PUJATO 12"/>
    <x v="1223"/>
    <n v="5550532.9400000004"/>
    <x v="197"/>
    <x v="1"/>
    <s v="pagado"/>
    <s v="pagado"/>
    <x v="0"/>
    <x v="0"/>
  </r>
  <r>
    <n v="3000000607"/>
    <d v="2026-05-11T00:00:00"/>
    <n v="4647459.4400000004"/>
    <s v="AACREA BUENOS AIRES 01"/>
    <x v="1224"/>
    <n v="4647459.4400000004"/>
    <x v="198"/>
    <x v="1"/>
    <s v="pagado"/>
    <s v="pagado"/>
    <x v="0"/>
    <x v="0"/>
  </r>
  <r>
    <n v="3000000608"/>
    <d v="2026-05-11T00:00:00"/>
    <n v="25323832.899999999"/>
    <s v="ROMAN BARCELO Y JORGE CARRERASLAS LAJITAS 09"/>
    <x v="1225"/>
    <n v="25323832.899999999"/>
    <x v="198"/>
    <x v="1"/>
    <s v="pagado"/>
    <s v="pagado"/>
    <x v="0"/>
    <x v="0"/>
  </r>
  <r>
    <n v="3000000609"/>
    <d v="2026-05-11T00:00:00"/>
    <n v="6127444.5"/>
    <s v="LOS LAURELES SERVICIOS AGRICOLSan Miguel De Tucuman 14"/>
    <x v="1226"/>
    <n v="6127444.5"/>
    <x v="198"/>
    <x v="1"/>
    <s v="no pagado"/>
    <s v="fuera de fecha"/>
    <x v="0"/>
    <x v="0"/>
  </r>
  <r>
    <n v="3000000610"/>
    <d v="2026-05-11T00:00:00"/>
    <n v="4108613.36"/>
    <s v="VERON MARIANA BEATRIZ NUEVA ESPERANZA 13"/>
    <x v="1227"/>
    <n v="4108613.36"/>
    <x v="198"/>
    <x v="1"/>
    <s v="pagado"/>
    <s v="pagado"/>
    <x v="0"/>
    <x v="0"/>
  </r>
  <r>
    <n v="3000000611"/>
    <d v="2026-05-11T00:00:00"/>
    <n v="10515583.4"/>
    <s v="SALTOS JOSUE GONZALO NUEVA ESPERANZA 13"/>
    <x v="1228"/>
    <n v="10515583.4"/>
    <x v="198"/>
    <x v="1"/>
    <s v="pagado"/>
    <s v="pagado"/>
    <x v="0"/>
    <x v="0"/>
  </r>
  <r>
    <n v="3000000612"/>
    <d v="2026-05-11T00:00:00"/>
    <n v="24626487.789999999"/>
    <s v="THEAUX AGUSTIN LA COCHA 14"/>
    <x v="1229"/>
    <n v="24626487.789999999"/>
    <x v="198"/>
    <x v="1"/>
    <s v="pagado"/>
    <s v="pagado"/>
    <x v="0"/>
    <x v="0"/>
  </r>
  <r>
    <n v="3000000613"/>
    <d v="2026-05-11T00:00:00"/>
    <n v="6905805.8399999999"/>
    <s v="SANTOS JUAN ALBERTO SANTIAGO DEL ESTERO 13"/>
    <x v="1230"/>
    <n v="6905805.8399999999"/>
    <x v="198"/>
    <x v="1"/>
    <s v="pagado"/>
    <s v="pagado"/>
    <x v="0"/>
    <x v="0"/>
  </r>
  <r>
    <n v="3000000614"/>
    <d v="2026-05-11T00:00:00"/>
    <n v="10480658.4"/>
    <s v="SUAREZ GABRIEL SEBASTIAN SANTIAGO DEL ESTERO 13"/>
    <x v="1231"/>
    <n v="10480658.4"/>
    <x v="198"/>
    <x v="1"/>
    <s v="pagado"/>
    <s v="pagado"/>
    <x v="0"/>
    <x v="0"/>
  </r>
  <r>
    <n v="3000000615"/>
    <d v="2026-05-11T00:00:00"/>
    <n v="4954841.78"/>
    <s v="AYALA HERNAN OSVALDO SAN MIGUEL DE TUCUMAN 14"/>
    <x v="1232"/>
    <n v="4954841.78"/>
    <x v="198"/>
    <x v="1"/>
    <s v="pagado"/>
    <s v="pagado"/>
    <x v="0"/>
    <x v="0"/>
  </r>
  <r>
    <n v="3000000616"/>
    <d v="2026-05-12T00:00:00"/>
    <n v="17940355.829999998"/>
    <s v="SIGMA AGRO SA MERCEDES 01"/>
    <x v="1233"/>
    <n v="17940355.829999998"/>
    <x v="199"/>
    <x v="1"/>
    <s v="pagado"/>
    <s v="pagado"/>
    <x v="0"/>
    <x v="0"/>
  </r>
  <r>
    <n v="3000000403"/>
    <d v="2026-03-25T00:00:00"/>
    <n v="0"/>
    <s v="invalidado med.EOLIVERA -Vencimiento BCRA"/>
    <x v="1167"/>
    <n v="0"/>
    <x v="186"/>
    <x v="1"/>
    <s v="no pagado"/>
    <s v="fuera de fecha"/>
    <x v="0"/>
    <x v="0"/>
  </r>
  <r>
    <n v="3000000633"/>
    <d v="2026-05-13T00:00:00"/>
    <n v="18464270"/>
    <s v="EDET S.A. SAN MIGUEL DE TUCUMAN 14"/>
    <x v="1234"/>
    <n v="18464270"/>
    <x v="198"/>
    <x v="1"/>
    <s v="pagado"/>
    <s v="pagado"/>
    <x v="0"/>
    <x v="0"/>
  </r>
  <r>
    <n v="3000000403"/>
    <d v="2026-05-13T00:00:00"/>
    <n v="7254347.0999999996"/>
    <s v="LIZONDO OSCAR FABIAN METAN 09"/>
    <x v="1235"/>
    <n v="7254347.0999999996"/>
    <x v="200"/>
    <x v="1"/>
    <s v="pagado"/>
    <s v="pagado"/>
    <x v="0"/>
    <x v="0"/>
  </r>
  <r>
    <n v="3000000651"/>
    <d v="2026-05-19T00:00:00"/>
    <n v="8328689.8499999996"/>
    <s v="LOGISTICA CENTRO S.R.L CORONDA 12"/>
    <x v="1236"/>
    <n v="8328689.8499999996"/>
    <x v="201"/>
    <x v="1"/>
    <s v="no pagado"/>
    <s v="fuera de fecha"/>
    <x v="0"/>
    <x v="0"/>
  </r>
  <r>
    <n v="3000000652"/>
    <d v="2026-05-19T00:00:00"/>
    <n v="5502512.3200000003"/>
    <s v="TRANS TRUCKS SRL SOLDINI 12"/>
    <x v="1237"/>
    <n v="5502512.3200000003"/>
    <x v="201"/>
    <x v="1"/>
    <s v="no pagado"/>
    <s v="fuera de fecha"/>
    <x v="0"/>
    <x v="0"/>
  </r>
  <r>
    <n v="3000000686"/>
    <d v="2026-05-26T00:00:00"/>
    <n v="22000000"/>
    <s v="JAVIER EDUARDO PRADO FLORIDA 13"/>
    <x v="1238"/>
    <n v="22000000"/>
    <x v="202"/>
    <x v="1"/>
    <s v="pagado"/>
    <s v="pagado"/>
    <x v="0"/>
    <x v="0"/>
  </r>
  <r>
    <n v="3000000686"/>
    <d v="2026-05-26T00:00:00"/>
    <n v="22845348.390000001"/>
    <s v="JAVIER EDUARDO PRADO FLORIDA 13"/>
    <x v="1239"/>
    <n v="22845348.390000001"/>
    <x v="203"/>
    <x v="1"/>
    <s v="pagado"/>
    <s v="pagado"/>
    <x v="0"/>
    <x v="0"/>
  </r>
  <r>
    <n v="3000000688"/>
    <d v="2026-05-26T00:00:00"/>
    <n v="20000000"/>
    <s v="TRANSPORTE BARBERAN HNOS SRL CHABAS 12"/>
    <x v="1240"/>
    <n v="20000000"/>
    <x v="202"/>
    <x v="1"/>
    <s v="pagado"/>
    <s v="pagado"/>
    <x v="0"/>
    <x v="0"/>
  </r>
  <r>
    <n v="3000000688"/>
    <d v="2026-05-26T00:00:00"/>
    <n v="17568570.309999999"/>
    <s v="TRANSPORTE BARBERAN HNOS SRL CHABAS 12"/>
    <x v="1241"/>
    <n v="17568570.309999999"/>
    <x v="203"/>
    <x v="1"/>
    <s v="pagado"/>
    <s v="pagado"/>
    <x v="0"/>
    <x v="0"/>
  </r>
  <r>
    <n v="3000000679"/>
    <d v="2026-05-26T00:00:00"/>
    <n v="7999281.9299999997"/>
    <s v="MAGLI FLORENCIA CAROLINA LAS TALITAS 14"/>
    <x v="1242"/>
    <n v="7999281.9299999997"/>
    <x v="202"/>
    <x v="1"/>
    <s v="pagado"/>
    <s v="pagado"/>
    <x v="0"/>
    <x v="0"/>
  </r>
  <r>
    <n v="3000000680"/>
    <d v="2026-05-26T00:00:00"/>
    <n v="6231435.5999999996"/>
    <s v="LANGELLA JUAN RODOLFO ALDERETES 14"/>
    <x v="1243"/>
    <n v="6231435.5999999996"/>
    <x v="202"/>
    <x v="1"/>
    <s v="pagado"/>
    <s v="pagado"/>
    <x v="0"/>
    <x v="0"/>
  </r>
  <r>
    <n v="3000000681"/>
    <d v="2026-05-26T00:00:00"/>
    <n v="4206842.33"/>
    <s v="TRANSPORTE RAUL S.R.L SAN MIGUEL DE TUCUMAN 14"/>
    <x v="1244"/>
    <n v="4206842.33"/>
    <x v="202"/>
    <x v="1"/>
    <s v="pagado"/>
    <s v="pagado"/>
    <x v="0"/>
    <x v="0"/>
  </r>
  <r>
    <n v="3000000682"/>
    <d v="2026-05-26T00:00:00"/>
    <n v="15800091.18"/>
    <s v="BLEXA S. A. SALTA 09"/>
    <x v="1245"/>
    <n v="15800091.18"/>
    <x v="202"/>
    <x v="1"/>
    <s v="pagado"/>
    <s v="pagado"/>
    <x v="0"/>
    <x v="0"/>
  </r>
  <r>
    <n v="3000000683"/>
    <d v="2026-05-26T00:00:00"/>
    <n v="19170614.399999999"/>
    <s v="Pulmajo S.R.L. CONCEPCION 14"/>
    <x v="1246"/>
    <n v="19170614.399999999"/>
    <x v="202"/>
    <x v="1"/>
    <s v="pagado"/>
    <s v="pagado"/>
    <x v="0"/>
    <x v="0"/>
  </r>
  <r>
    <n v="3000000684"/>
    <d v="2026-05-26T00:00:00"/>
    <n v="21325187.800000001"/>
    <s v="RODRIGUEZ NESTOR HORACIO YERBA BUENA 14"/>
    <x v="1247"/>
    <n v="21325187.800000001"/>
    <x v="202"/>
    <x v="1"/>
    <s v="pagado"/>
    <s v="pagado"/>
    <x v="0"/>
    <x v="0"/>
  </r>
  <r>
    <n v="3000000685"/>
    <d v="2026-05-26T00:00:00"/>
    <n v="16986475"/>
    <s v="Suc. de Ventimiglia Nelly IrmJesus Maria 03"/>
    <x v="1248"/>
    <n v="16986475"/>
    <x v="202"/>
    <x v="1"/>
    <s v="pagado"/>
    <s v="pagado"/>
    <x v="0"/>
    <x v="0"/>
  </r>
  <r>
    <n v="3000000687"/>
    <d v="2026-05-26T00:00:00"/>
    <n v="13230926.49"/>
    <s v="GOMEZ JESSICA NOELIA LAS TALITAS 14"/>
    <x v="1249"/>
    <n v="13230926.49"/>
    <x v="202"/>
    <x v="1"/>
    <s v="pagado"/>
    <s v="pagado"/>
    <x v="0"/>
    <x v="0"/>
  </r>
  <r>
    <n v="3000000689"/>
    <d v="2026-05-26T00:00:00"/>
    <n v="7851768.5499999998"/>
    <s v="TRANSPORTE GLOBAL SAS SAN MIGUEL DE TUCUMAN 14"/>
    <x v="1250"/>
    <n v="7851768.5499999998"/>
    <x v="202"/>
    <x v="1"/>
    <s v="pagado"/>
    <s v="pagado"/>
    <x v="0"/>
    <x v="0"/>
  </r>
  <r>
    <n v="3000000690"/>
    <d v="2026-05-26T00:00:00"/>
    <n v="25082412.280000001"/>
    <s v="GUERRERO DANIEL MARCELO ALDERETES 14"/>
    <x v="1251"/>
    <n v="25082412.280000001"/>
    <x v="203"/>
    <x v="1"/>
    <s v="pagado"/>
    <s v="pagado"/>
    <x v="0"/>
    <x v="0"/>
  </r>
  <r>
    <n v="3000000691"/>
    <d v="2026-05-26T00:00:00"/>
    <n v="27931324.600000001"/>
    <s v="PAIS WALTER LUIS SAN MIGUEL DE TUCUMAN 14"/>
    <x v="1252"/>
    <n v="27931324.600000001"/>
    <x v="203"/>
    <x v="1"/>
    <s v="pagado"/>
    <s v="pagado"/>
    <x v="0"/>
    <x v="0"/>
  </r>
  <r>
    <n v="3000000708"/>
    <d v="2026-05-28T00:00:00"/>
    <n v="1729418.55"/>
    <s v="AGROGANADERA DEL NOA CEVIL POZO 14"/>
    <x v="1253"/>
    <n v="1729418.55"/>
    <x v="204"/>
    <x v="1"/>
    <s v="pagado"/>
    <s v="pagado"/>
    <x v="0"/>
    <x v="0"/>
  </r>
  <r>
    <n v="3000000714"/>
    <d v="2026-06-01T00:00:00"/>
    <n v="39510383.93"/>
    <s v="AYALA WALTER DANIEL ALDERETES 14"/>
    <x v="1254"/>
    <n v="39510383.93"/>
    <x v="205"/>
    <x v="1"/>
    <s v="pagado"/>
    <s v="pagado"/>
    <x v="0"/>
    <x v="0"/>
  </r>
  <r>
    <n v="3000000715"/>
    <d v="2026-06-01T00:00:00"/>
    <n v="11421078.9"/>
    <s v="LOS LAURELES SERVICIOS AGRICOLSan Miguel De Tucuman 14"/>
    <x v="1255"/>
    <n v="11421078.9"/>
    <x v="205"/>
    <x v="1"/>
    <s v="pagado"/>
    <s v="pagado"/>
    <x v="0"/>
    <x v="0"/>
  </r>
  <r>
    <n v="3000000716"/>
    <d v="2026-06-01T00:00:00"/>
    <n v="24707948.550000001"/>
    <s v="DON KOKO S.R.L CAMILO ALDAO 03"/>
    <x v="1256"/>
    <n v="24707948.550000001"/>
    <x v="205"/>
    <x v="1"/>
    <s v="pagado"/>
    <s v="pagado"/>
    <x v="0"/>
    <x v="0"/>
  </r>
  <r>
    <n v="3000000717"/>
    <d v="2026-06-01T00:00:00"/>
    <n v="16760426.4"/>
    <s v="Medina Lauro Jose Las Cejas 14"/>
    <x v="1257"/>
    <n v="16760426.4"/>
    <x v="205"/>
    <x v="1"/>
    <s v="pagado"/>
    <s v="pagado"/>
    <x v="0"/>
    <x v="0"/>
  </r>
  <r>
    <n v="3000000718"/>
    <d v="2026-06-01T00:00:00"/>
    <n v="5347592.75"/>
    <s v="TRT SA SANTA FE 12"/>
    <x v="1258"/>
    <n v="5347592.75"/>
    <x v="205"/>
    <x v="1"/>
    <s v="pagado"/>
    <s v="pagado"/>
    <x v="0"/>
    <x v="0"/>
  </r>
  <r>
    <n v="3000000719"/>
    <d v="2026-06-01T00:00:00"/>
    <n v="6045237.5800000001"/>
    <s v="TRANSPORTE Y LOG VIENTO NORTE LAS TALITAS 14"/>
    <x v="1259"/>
    <n v="6045237.5800000001"/>
    <x v="205"/>
    <x v="1"/>
    <s v="pagado"/>
    <s v="pagado"/>
    <x v="0"/>
    <x v="0"/>
  </r>
  <r>
    <n v="3000000720"/>
    <d v="2026-06-01T00:00:00"/>
    <n v="20749620.039999999"/>
    <s v="JAVIER EDUARDO PRADO FLORIDA 13"/>
    <x v="1260"/>
    <n v="20749620.039999999"/>
    <x v="205"/>
    <x v="1"/>
    <s v="pagado"/>
    <s v="pagado"/>
    <x v="0"/>
    <x v="0"/>
  </r>
  <r>
    <n v="3000000721"/>
    <d v="2026-06-01T00:00:00"/>
    <n v="47956213.560000002"/>
    <s v="DANIEL MARCELO GUERRERO ALDERETES 14"/>
    <x v="1261"/>
    <n v="47956213.560000002"/>
    <x v="205"/>
    <x v="1"/>
    <s v="pagado"/>
    <s v="pagado"/>
    <x v="0"/>
    <x v="0"/>
  </r>
  <r>
    <n v="3000000722"/>
    <d v="2026-06-01T00:00:00"/>
    <n v="27326253.989999998"/>
    <s v="GOMEZ JESSICA NOELIA LAS TALITAS 14"/>
    <x v="1262"/>
    <n v="27326253.989999998"/>
    <x v="205"/>
    <x v="1"/>
    <s v="pagado"/>
    <s v="pagado"/>
    <x v="0"/>
    <x v="0"/>
  </r>
  <r>
    <n v="3000000723"/>
    <d v="2026-06-02T00:00:00"/>
    <n v="26125000"/>
    <s v="GRUPO MARGEN DEL NOA SA YERBA BUENA 14"/>
    <x v="1263"/>
    <n v="26125000"/>
    <x v="205"/>
    <x v="1"/>
    <s v="pagado"/>
    <s v="pagado"/>
    <x v="0"/>
    <x v="0"/>
  </r>
  <r>
    <n v="3000000723"/>
    <d v="2026-06-02T00:00:00"/>
    <n v="26125000"/>
    <s v="GRUPO MARGEN DEL NOA SA YERBA BUENA 14"/>
    <x v="1264"/>
    <n v="26125000"/>
    <x v="205"/>
    <x v="1"/>
    <s v="pagado"/>
    <s v="pagado"/>
    <x v="0"/>
    <x v="0"/>
  </r>
  <r>
    <n v="3000000723"/>
    <d v="2026-06-02T00:00:00"/>
    <n v="26125000"/>
    <s v="GRUPO MARGEN DEL NOA SA YERBA BUENA 14"/>
    <x v="1265"/>
    <n v="26125000"/>
    <x v="205"/>
    <x v="1"/>
    <s v="pagado"/>
    <s v="pagado"/>
    <x v="0"/>
    <x v="0"/>
  </r>
  <r>
    <n v="3000000723"/>
    <d v="2026-06-02T00:00:00"/>
    <n v="26125000"/>
    <s v="GRUPO MARGEN DEL NOA SA YERBA BUENA 14"/>
    <x v="1266"/>
    <n v="26125000"/>
    <x v="205"/>
    <x v="1"/>
    <s v="pagado"/>
    <s v="pagado"/>
    <x v="0"/>
    <x v="0"/>
  </r>
  <r>
    <n v="3000000723"/>
    <d v="2026-06-02T00:00:00"/>
    <n v="26125000"/>
    <s v="GRUPO MARGEN DEL NOA SA YERBA BUENA 14"/>
    <x v="1267"/>
    <n v="26125000"/>
    <x v="205"/>
    <x v="1"/>
    <s v="pagado"/>
    <s v="pagado"/>
    <x v="0"/>
    <x v="0"/>
  </r>
  <r>
    <n v="3000000723"/>
    <d v="2026-06-02T00:00:00"/>
    <n v="26126343.399999999"/>
    <s v="GRUPO MARGEN DEL NOA SA YERBA BUENA 14"/>
    <x v="1268"/>
    <n v="26126343.399999999"/>
    <x v="205"/>
    <x v="1"/>
    <s v="pagado"/>
    <s v="pagado"/>
    <x v="0"/>
    <x v="0"/>
  </r>
  <r>
    <n v="3000000727"/>
    <d v="2026-06-03T00:00:00"/>
    <n v="13223336.6"/>
    <s v="SAN LORENZO CEREALES S.R.L SAN LORENZO 12"/>
    <x v="1269"/>
    <n v="13223336.6"/>
    <x v="206"/>
    <x v="1"/>
    <s v="pagado"/>
    <s v="pagado"/>
    <x v="0"/>
    <x v="0"/>
  </r>
  <r>
    <n v="3000000727"/>
    <d v="2026-06-03T00:00:00"/>
    <n v="10000000"/>
    <s v="SAN LORENZO CEREALES S.R.L SAN LORENZO 12"/>
    <x v="1270"/>
    <n v="10000000"/>
    <x v="207"/>
    <x v="1"/>
    <s v="pagado"/>
    <s v="pagado"/>
    <x v="0"/>
    <x v="0"/>
  </r>
  <r>
    <n v="3000000728"/>
    <d v="2026-06-03T00:00:00"/>
    <n v="18325012.579999998"/>
    <s v="MOLINA JUAN F. Y MOLINA ROQUE Lastenia 14"/>
    <x v="1271"/>
    <n v="18325012.579999998"/>
    <x v="206"/>
    <x v="1"/>
    <s v="pagado"/>
    <s v="pagado"/>
    <x v="0"/>
    <x v="0"/>
  </r>
  <r>
    <n v="3000000728"/>
    <d v="2026-06-03T00:00:00"/>
    <n v="10000000"/>
    <s v="MOLINA JUAN F. Y MOLINA ROQUE Lastenia 14"/>
    <x v="1272"/>
    <n v="10000000"/>
    <x v="207"/>
    <x v="1"/>
    <s v="pagado"/>
    <s v="pagado"/>
    <x v="0"/>
    <x v="0"/>
  </r>
  <r>
    <n v="3000000728"/>
    <d v="2026-06-03T00:00:00"/>
    <n v="10000000"/>
    <s v="MOLINA JUAN F. Y MOLINA ROQUE Lastenia 14"/>
    <x v="1273"/>
    <n v="10000000"/>
    <x v="207"/>
    <x v="1"/>
    <s v="pagado"/>
    <s v="pagado"/>
    <x v="0"/>
    <x v="0"/>
  </r>
  <r>
    <n v="3000000729"/>
    <d v="2026-06-03T00:00:00"/>
    <n v="8666567.9199999999"/>
    <s v="ARAGON CARLOS DANIEL LA BANDA 13"/>
    <x v="1274"/>
    <n v="8666567.9199999999"/>
    <x v="207"/>
    <x v="1"/>
    <s v="pagado"/>
    <s v="pagado"/>
    <x v="0"/>
    <x v="0"/>
  </r>
  <r>
    <n v="3000000730"/>
    <d v="2026-06-03T00:00:00"/>
    <n v="8848172.2400000002"/>
    <s v="RUIZ CRISTIAN ALEJANDRO . LA FLORIDA 14"/>
    <x v="1275"/>
    <n v="8848172.2400000002"/>
    <x v="207"/>
    <x v="1"/>
    <s v="pagado"/>
    <s v="pagado"/>
    <x v="0"/>
    <x v="0"/>
  </r>
  <r>
    <n v="3000000731"/>
    <d v="2026-06-03T00:00:00"/>
    <n v="8566961.3000000007"/>
    <s v="MEDINA DISTRIBUCIONES SAS TAFI VIEJO 14"/>
    <x v="1276"/>
    <n v="8566961.3000000007"/>
    <x v="207"/>
    <x v="1"/>
    <s v="pagado"/>
    <s v="pagado"/>
    <x v="0"/>
    <x v="0"/>
  </r>
  <r>
    <n v="3000000748"/>
    <d v="2026-06-09T00:00:00"/>
    <n v="386632.5"/>
    <s v="ALGOSERVICIOS SA CAPTAL FEDERAL 00"/>
    <x v="1277"/>
    <n v="386632.5"/>
    <x v="208"/>
    <x v="1"/>
    <s v="pagado"/>
    <s v="pagado"/>
    <x v="0"/>
    <x v="0"/>
  </r>
  <r>
    <n v="3000000750"/>
    <d v="2026-06-09T00:00:00"/>
    <n v="3930543.4"/>
    <s v="Pulmajo S.R.L. CONCEPCION 14"/>
    <x v="1278"/>
    <n v="3930543.4"/>
    <x v="209"/>
    <x v="1"/>
    <s v="pagado"/>
    <s v="pagado"/>
    <x v="0"/>
    <x v="0"/>
  </r>
  <r>
    <n v="3000000751"/>
    <d v="2026-06-09T00:00:00"/>
    <n v="4029520"/>
    <s v="Medina Lauro Jose Las Cejas 14"/>
    <x v="1279"/>
    <n v="4029520"/>
    <x v="209"/>
    <x v="1"/>
    <s v="pagado"/>
    <s v="pagado"/>
    <x v="0"/>
    <x v="0"/>
  </r>
  <r>
    <n v="3000000752"/>
    <d v="2026-06-09T00:00:00"/>
    <n v="7160429.4000000004"/>
    <s v="RODRIGUEZ NESTOR HORACIO YERBA BUENA 14"/>
    <x v="1280"/>
    <n v="7160429.4000000004"/>
    <x v="209"/>
    <x v="1"/>
    <s v="pagado"/>
    <s v="pagado"/>
    <x v="0"/>
    <x v="0"/>
  </r>
  <r>
    <n v="3000000753"/>
    <d v="2026-06-09T00:00:00"/>
    <n v="30975818.530000001"/>
    <s v="DON KOKO S.R.L CAMILO ALDAO 03"/>
    <x v="1281"/>
    <n v="30975818.530000001"/>
    <x v="209"/>
    <x v="1"/>
    <s v="pagado"/>
    <s v="pagado"/>
    <x v="0"/>
    <x v="0"/>
  </r>
  <r>
    <n v="3000000767"/>
    <d v="2026-06-11T00:00:00"/>
    <n v="6266927.9400000004"/>
    <s v="SAN LORENZO CEREALES S.R.L SAN LORENZO 12"/>
    <x v="1282"/>
    <n v="6266927.9400000004"/>
    <x v="210"/>
    <x v="1"/>
    <s v="pagado"/>
    <s v="pagado"/>
    <x v="0"/>
    <x v="0"/>
  </r>
  <r>
    <n v="3000000768"/>
    <d v="2026-06-11T00:00:00"/>
    <n v="22805764.469999999"/>
    <s v="JAVIER EDUARDO PRADO FLORIDA 13"/>
    <x v="1283"/>
    <n v="22805764.469999999"/>
    <x v="211"/>
    <x v="1"/>
    <s v="pagado"/>
    <s v="pagado"/>
    <x v="0"/>
    <x v="0"/>
  </r>
  <r>
    <n v="3000000769"/>
    <d v="2026-06-11T00:00:00"/>
    <n v="11180191.359999999"/>
    <s v="MAGLI FLORENCIA CAROLINA LAS TALITAS 14"/>
    <x v="1284"/>
    <n v="11180191.359999999"/>
    <x v="210"/>
    <x v="1"/>
    <s v="pagado"/>
    <s v="pagado"/>
    <x v="0"/>
    <x v="0"/>
  </r>
  <r>
    <n v="3000000770"/>
    <d v="2026-06-12T00:00:00"/>
    <n v="12469246.310000001"/>
    <s v="TRANSPORTE BARBERAN HNOS SRL CHABAS 12"/>
    <x v="1285"/>
    <n v="12469246.310000001"/>
    <x v="211"/>
    <x v="1"/>
    <s v="pagado"/>
    <s v="pagado"/>
    <x v="0"/>
    <x v="0"/>
  </r>
  <r>
    <n v="3000000771"/>
    <d v="2026-06-12T00:00:00"/>
    <n v="5559589.7300000004"/>
    <s v="RUIZ CRISTIAN ALEJANDRO . LA FLORIDA 14"/>
    <x v="1286"/>
    <n v="5559589.7300000004"/>
    <x v="210"/>
    <x v="1"/>
    <s v="pagado"/>
    <s v="pagado"/>
    <x v="0"/>
    <x v="0"/>
  </r>
  <r>
    <n v="3000000772"/>
    <d v="2026-06-12T00:00:00"/>
    <n v="14191958.359999999"/>
    <s v="ANTONACCI LUIS GABRIEL LA FLORIDA 14"/>
    <x v="1287"/>
    <n v="14191958.359999999"/>
    <x v="210"/>
    <x v="1"/>
    <s v="pagado"/>
    <s v="pagado"/>
    <x v="0"/>
    <x v="0"/>
  </r>
  <r>
    <n v="3000000784"/>
    <d v="2026-06-16T00:00:00"/>
    <n v="10897105"/>
    <s v="RASUK JORGE LUIS YERBA BUENA 14"/>
    <x v="1288"/>
    <n v="10897105"/>
    <x v="212"/>
    <x v="1"/>
    <s v="pagado"/>
    <s v="pagado"/>
    <x v="0"/>
    <x v="0"/>
  </r>
  <r>
    <n v="3000000785"/>
    <d v="2026-06-16T00:00:00"/>
    <n v="6774027.6399999997"/>
    <s v="BLEXA S. A. SALTA 09"/>
    <x v="1289"/>
    <n v="6774027.6399999997"/>
    <x v="212"/>
    <x v="1"/>
    <s v="pagado"/>
    <s v="pagado"/>
    <x v="0"/>
    <x v="0"/>
  </r>
  <r>
    <n v="3000000786"/>
    <d v="2026-06-16T00:00:00"/>
    <n v="11517045.15"/>
    <s v="ROMAN BARCELO Y JORGE CARRERASLAS LAJITAS 09"/>
    <x v="1290"/>
    <n v="11517045.15"/>
    <x v="212"/>
    <x v="1"/>
    <s v="pagado"/>
    <s v="pagado"/>
    <x v="0"/>
    <x v="0"/>
  </r>
  <r>
    <n v="3000000787"/>
    <d v="2026-06-16T00:00:00"/>
    <n v="11485588.4"/>
    <s v="M.A.D Serv y mant eléctri SAN MIGUEL DE TUCUMAN 14"/>
    <x v="1291"/>
    <n v="11485588.4"/>
    <x v="212"/>
    <x v="1"/>
    <s v="pagado"/>
    <s v="pagado"/>
    <x v="0"/>
    <x v="0"/>
  </r>
  <r>
    <n v="3000000788"/>
    <d v="2026-06-16T00:00:00"/>
    <n v="20517150.07"/>
    <s v="AYALA HERNAN OSVALDO SAN MIGUEL DE TUCUMAN 14"/>
    <x v="1292"/>
    <n v="20517150.07"/>
    <x v="212"/>
    <x v="1"/>
    <s v="pagado"/>
    <s v="pagado"/>
    <x v="0"/>
    <x v="0"/>
  </r>
  <r>
    <n v="3000000789"/>
    <d v="2026-06-16T00:00:00"/>
    <n v="25452864.899999999"/>
    <s v="GRUPO MARGEN DEL NOA SA YERBA BUENA 14"/>
    <x v="1293"/>
    <n v="25452864.899999999"/>
    <x v="212"/>
    <x v="1"/>
    <s v="pagado"/>
    <s v="pagado"/>
    <x v="0"/>
    <x v="0"/>
  </r>
  <r>
    <n v="3000000790"/>
    <d v="2026-06-16T00:00:00"/>
    <n v="8802519.6999999993"/>
    <s v="RODRIGUEZ NESTOR HORACIO YERBA BUENA 14"/>
    <x v="1294"/>
    <n v="8802519.6999999993"/>
    <x v="212"/>
    <x v="1"/>
    <s v="pagado"/>
    <s v="pagado"/>
    <x v="0"/>
    <x v="0"/>
  </r>
  <r>
    <n v="3000000791"/>
    <d v="2026-06-16T00:00:00"/>
    <n v="21621949.449999999"/>
    <s v="Medina Lauro Jose Las Cejas 14"/>
    <x v="1295"/>
    <n v="21621949.449999999"/>
    <x v="212"/>
    <x v="1"/>
    <s v="pagado"/>
    <s v="pagado"/>
    <x v="0"/>
    <x v="0"/>
  </r>
  <r>
    <n v="3000000793"/>
    <d v="2026-06-17T00:00:00"/>
    <n v="6035817.04"/>
    <s v="LANGELLA JUAN RODOLFO ALDERETES 14"/>
    <x v="1296"/>
    <n v="6035817.04"/>
    <x v="113"/>
    <x v="1"/>
    <s v="pagado"/>
    <s v="pagado"/>
    <x v="0"/>
    <x v="0"/>
  </r>
  <r>
    <n v="3000000794"/>
    <d v="2026-06-17T00:00:00"/>
    <n v="41101116.460000001"/>
    <s v="TRANSPORTE LUIS SANDOVAL S.A.SLOS VALLISTOS 14"/>
    <x v="1297"/>
    <n v="41101116.460000001"/>
    <x v="113"/>
    <x v="1"/>
    <s v="pagado"/>
    <s v="pagado"/>
    <x v="0"/>
    <x v="0"/>
  </r>
  <r>
    <n v="3000000795"/>
    <d v="2026-06-17T00:00:00"/>
    <n v="10343247.779999999"/>
    <s v="ABUT TRANSPORTES SA CENTENO 12"/>
    <x v="1298"/>
    <n v="10343247.779999999"/>
    <x v="113"/>
    <x v="1"/>
    <s v="pagado"/>
    <s v="pagado"/>
    <x v="0"/>
    <x v="0"/>
  </r>
  <r>
    <n v="3000000796"/>
    <d v="2026-06-17T00:00:00"/>
    <n v="11355557.26"/>
    <s v="LOGISTICA CENTRO S.R.L CORONDA 12"/>
    <x v="1299"/>
    <n v="11355557.26"/>
    <x v="113"/>
    <x v="1"/>
    <s v="pagado"/>
    <s v="pagado"/>
    <x v="0"/>
    <x v="0"/>
  </r>
  <r>
    <n v="3000000797"/>
    <d v="2026-06-17T00:00:00"/>
    <n v="37723375.840000004"/>
    <s v="DANIEL MARCELO GUERRERO ALDERETES 14"/>
    <x v="1300"/>
    <n v="37723375.840000004"/>
    <x v="113"/>
    <x v="1"/>
    <s v="pagado"/>
    <s v="pagado"/>
    <x v="0"/>
    <x v="0"/>
  </r>
  <r>
    <n v="3000000798"/>
    <d v="2026-06-17T00:00:00"/>
    <n v="7284326.3700000001"/>
    <s v="TRANSPORTE BARBERAN HNOS SRL CHABAS 12"/>
    <x v="1301"/>
    <n v="7284326.3700000001"/>
    <x v="113"/>
    <x v="1"/>
    <s v="pagado"/>
    <s v="pagado"/>
    <x v="0"/>
    <x v="0"/>
  </r>
  <r>
    <n v="3000000799"/>
    <d v="2026-06-17T00:00:00"/>
    <n v="14125784.199999999"/>
    <s v="MOYANO SERGIO ESTEBAN BANDA DEL RIO SALI 14"/>
    <x v="1302"/>
    <n v="14125784.199999999"/>
    <x v="113"/>
    <x v="1"/>
    <s v="pagado"/>
    <s v="pagado"/>
    <x v="0"/>
    <x v="0"/>
  </r>
  <r>
    <n v="3000000800"/>
    <d v="2026-06-17T00:00:00"/>
    <n v="8687299.3599999994"/>
    <s v="LOGISTICA DEL NORTE S.R.L. SAN MIGUEL DE TUCUMAN 14"/>
    <x v="1303"/>
    <n v="8687299.3599999994"/>
    <x v="113"/>
    <x v="1"/>
    <s v="pagado"/>
    <s v="pagado"/>
    <x v="0"/>
    <x v="0"/>
  </r>
  <r>
    <n v="3000000824"/>
    <d v="2026-06-22T00:00:00"/>
    <n v="14822176.32"/>
    <s v="LOS LAURELES SERVICIOS AGRICOLSan Miguel De Tucuman 14"/>
    <x v="1304"/>
    <n v="14822176.32"/>
    <x v="213"/>
    <x v="1"/>
    <s v="pagado"/>
    <s v="pagado"/>
    <x v="0"/>
    <x v="0"/>
  </r>
  <r>
    <n v="3000000825"/>
    <d v="2026-06-22T00:00:00"/>
    <n v="5539094.4299999997"/>
    <s v="GARCIA JORGE LUIS METAN 09"/>
    <x v="1305"/>
    <n v="5539094.4299999997"/>
    <x v="213"/>
    <x v="1"/>
    <s v="pagado"/>
    <s v="pagado"/>
    <x v="0"/>
    <x v="0"/>
  </r>
  <r>
    <n v="3000000826"/>
    <d v="2026-06-22T00:00:00"/>
    <n v="9873160"/>
    <s v="Pulmajo S.R.L. CONCEPCION 14"/>
    <x v="1306"/>
    <n v="9873160"/>
    <x v="213"/>
    <x v="1"/>
    <s v="pagado"/>
    <s v="pagado"/>
    <x v="0"/>
    <x v="0"/>
  </r>
  <r>
    <n v="3000000827"/>
    <d v="2026-06-22T00:00:00"/>
    <n v="9808121.3300000001"/>
    <s v="AYALA WALTER DANIEL ALDERETES 14"/>
    <x v="1307"/>
    <n v="9808121.3300000001"/>
    <x v="213"/>
    <x v="1"/>
    <s v="pagado"/>
    <s v="pagado"/>
    <x v="0"/>
    <x v="0"/>
  </r>
  <r>
    <n v="3000000828"/>
    <d v="2026-06-22T00:00:00"/>
    <n v="2097127.05"/>
    <s v="BLEXA S. A. SALTA 09"/>
    <x v="1308"/>
    <n v="2097127.05"/>
    <x v="213"/>
    <x v="1"/>
    <s v="pagado"/>
    <s v="pagado"/>
    <x v="0"/>
    <x v="0"/>
  </r>
  <r>
    <n v="3000000836"/>
    <d v="2026-06-23T00:00:00"/>
    <n v="3385381.52"/>
    <s v="CITRUSVIL S.A. CEVIL POZO 14"/>
    <x v="1309"/>
    <n v="3385381.52"/>
    <x v="214"/>
    <x v="1"/>
    <s v="pagado"/>
    <s v="pagado"/>
    <x v="0"/>
    <x v="0"/>
  </r>
  <r>
    <n v="3000000836"/>
    <d v="2026-06-23T00:00:00"/>
    <n v="3077021.59"/>
    <s v="CITRUSVIL S.A. CEVIL POZO 14"/>
    <x v="1310"/>
    <n v="3077021.59"/>
    <x v="214"/>
    <x v="1"/>
    <s v="pagado"/>
    <s v="pagado"/>
    <x v="0"/>
    <x v="0"/>
  </r>
  <r>
    <n v="3000000837"/>
    <d v="2026-06-23T00:00:00"/>
    <n v="22174245.18"/>
    <s v="AGROGANADERA DEL NOA CEVIL POZO 14"/>
    <x v="1311"/>
    <n v="22174245.18"/>
    <x v="214"/>
    <x v="1"/>
    <s v="pagado"/>
    <s v="pagado"/>
    <x v="0"/>
    <x v="0"/>
  </r>
  <r>
    <n v="3000000842"/>
    <d v="2026-06-24T00:00:00"/>
    <n v="1805517.4"/>
    <s v="Consorcio de Propietarios SPCLLules 14"/>
    <x v="1312"/>
    <n v="1805517.4"/>
    <x v="96"/>
    <x v="1"/>
    <s v="pagado"/>
    <s v="pagado"/>
    <x v="0"/>
    <x v="0"/>
  </r>
  <r>
    <n v="3000000842"/>
    <d v="2026-06-24T00:00:00"/>
    <n v="15829312.57"/>
    <s v="Consorcio de Propietarios SPCLLules 14"/>
    <x v="1313"/>
    <n v="15829312.57"/>
    <x v="96"/>
    <x v="1"/>
    <s v="pagado"/>
    <s v="pagado"/>
    <x v="0"/>
    <x v="0"/>
  </r>
  <r>
    <n v="3000000859"/>
    <d v="2026-06-29T00:00:00"/>
    <n v="7812295"/>
    <s v="M.A.D Serv y mant eléctri SAN MIGUEL DE TUCUMAN 14"/>
    <x v="1314"/>
    <n v="7812295"/>
    <x v="215"/>
    <x v="1"/>
    <s v="pagado"/>
    <s v="pagado"/>
    <x v="0"/>
    <x v="0"/>
  </r>
  <r>
    <n v="3000000860"/>
    <d v="2026-06-29T00:00:00"/>
    <n v="10861100.939999999"/>
    <s v="JAVIER EDUARDO FLORIDA 13"/>
    <x v="1315"/>
    <n v="10861100.939999999"/>
    <x v="215"/>
    <x v="1"/>
    <s v="pagado"/>
    <s v="pagado"/>
    <x v="0"/>
    <x v="0"/>
  </r>
  <r>
    <n v="3000000861"/>
    <d v="2026-06-29T00:00:00"/>
    <n v="7269071.96"/>
    <s v="AGROTRANSPORTE ALDAO S.A. CAMILO ALDAO 03"/>
    <x v="1316"/>
    <n v="7269071.96"/>
    <x v="215"/>
    <x v="1"/>
    <s v="pagado"/>
    <s v="pagado"/>
    <x v="0"/>
    <x v="0"/>
  </r>
  <r>
    <n v="3000000862"/>
    <d v="2026-06-29T00:00:00"/>
    <n v="7771500"/>
    <s v="ARAGON CARLOS DANIEL LA BANDA 13"/>
    <x v="1317"/>
    <n v="7771500"/>
    <x v="215"/>
    <x v="1"/>
    <s v="pagado"/>
    <s v="pagado"/>
    <x v="0"/>
    <x v="0"/>
  </r>
  <r>
    <n v="3000000863"/>
    <d v="2026-06-29T00:00:00"/>
    <n v="20747224.84"/>
    <s v="PAIS WALTER LUIS SAN MIGUEL DE TUCUMAN 14"/>
    <x v="1318"/>
    <n v="20747224.84"/>
    <x v="215"/>
    <x v="1"/>
    <s v="pagado"/>
    <s v="pagado"/>
    <x v="0"/>
    <x v="0"/>
  </r>
  <r>
    <n v="3000000864"/>
    <d v="2026-06-29T00:00:00"/>
    <n v="11348690.77"/>
    <s v="MOYANO JULIO CESAR BANDA DEL RIO SALI 14"/>
    <x v="1319"/>
    <n v="11348690.77"/>
    <x v="215"/>
    <x v="1"/>
    <s v="pagado"/>
    <s v="pagado"/>
    <x v="0"/>
    <x v="0"/>
  </r>
  <r>
    <n v="3000000865"/>
    <d v="2026-06-29T00:00:00"/>
    <n v="8193693.7199999997"/>
    <s v="ECONOMIC FUEL SRL JUJUY 08"/>
    <x v="1320"/>
    <n v="8193693.7199999997"/>
    <x v="215"/>
    <x v="1"/>
    <s v="pagado"/>
    <s v="pagado"/>
    <x v="0"/>
    <x v="0"/>
  </r>
  <r>
    <n v="3000000866"/>
    <d v="2026-06-29T00:00:00"/>
    <n v="6782084.4500000002"/>
    <s v="ADVANTA SEMILLAS SAIC JUNIN 01"/>
    <x v="1321"/>
    <n v="6782084.4500000002"/>
    <x v="215"/>
    <x v="1"/>
    <s v="pagado"/>
    <s v="pagado"/>
    <x v="0"/>
    <x v="0"/>
  </r>
  <r>
    <n v="3000000867"/>
    <d v="2026-06-29T00:00:00"/>
    <n v="9006315.8900000006"/>
    <s v="LASTRINA CARMELO ALTO VERDE 14"/>
    <x v="1322"/>
    <n v="9006315.8900000006"/>
    <x v="215"/>
    <x v="1"/>
    <s v="pagado"/>
    <s v="pagado"/>
    <x v="0"/>
    <x v="0"/>
  </r>
  <r>
    <n v="3000000868"/>
    <d v="2026-06-29T00:00:00"/>
    <n v="9031874.2599999998"/>
    <s v="AGUERA CRISTIAN MARTIN CONCEPCION 14"/>
    <x v="1323"/>
    <n v="9031874.2599999998"/>
    <x v="215"/>
    <x v="1"/>
    <s v="pagado"/>
    <s v="pagado"/>
    <x v="0"/>
    <x v="0"/>
  </r>
  <r>
    <n v="3000000875"/>
    <d v="2026-07-01T00:00:00"/>
    <n v="7897880.0199999996"/>
    <s v="BUSTOS CESAR ANIBAL BANDAL DE RIO SALI 14"/>
    <x v="1324"/>
    <n v="7897880.0199999996"/>
    <x v="216"/>
    <x v="1"/>
    <s v="pagado"/>
    <s v="pagado"/>
    <x v="0"/>
    <x v="0"/>
  </r>
  <r>
    <n v="3000000876"/>
    <d v="2026-07-01T00:00:00"/>
    <n v="13435725.32"/>
    <s v="LOGISTICA CENTRO S.R.L CORONDA 12"/>
    <x v="1325"/>
    <n v="13435725.32"/>
    <x v="216"/>
    <x v="1"/>
    <s v="pagado"/>
    <s v="pagado"/>
    <x v="0"/>
    <x v="0"/>
  </r>
  <r>
    <n v="3000000877"/>
    <d v="2026-07-01T00:00:00"/>
    <n v="14261542.75"/>
    <s v="DANIEL MARCELO GUERRERO ALDERETES 14"/>
    <x v="1326"/>
    <n v="14261542.75"/>
    <x v="216"/>
    <x v="1"/>
    <s v="pagado"/>
    <s v="pagado"/>
    <x v="0"/>
    <x v="0"/>
  </r>
  <r>
    <n v="3000000878"/>
    <d v="2026-07-01T00:00:00"/>
    <n v="11987886.460000001"/>
    <s v="ANTONACCI LUIS GABRIEL LA FLORIDA 14"/>
    <x v="1327"/>
    <n v="11987886.460000001"/>
    <x v="216"/>
    <x v="1"/>
    <s v="pagado"/>
    <s v="pagado"/>
    <x v="0"/>
    <x v="0"/>
  </r>
  <r>
    <n v="3000000879"/>
    <d v="2026-07-01T00:00:00"/>
    <n v="16382120.58"/>
    <s v="TRANSPORTE BARBERAN HNOS SRL CHABAS 12"/>
    <x v="1328"/>
    <n v="16382120.58"/>
    <x v="216"/>
    <x v="1"/>
    <s v="pagado"/>
    <s v="pagado"/>
    <x v="0"/>
    <x v="0"/>
  </r>
  <r>
    <n v="3000000880"/>
    <d v="2026-07-01T00:00:00"/>
    <n v="19203466.359999999"/>
    <s v="TRANSPORTE LUIS SANDOVAL S.A.SLOS VALLISTOS 14"/>
    <x v="1329"/>
    <n v="19203466.359999999"/>
    <x v="216"/>
    <x v="1"/>
    <s v="pagado"/>
    <s v="pagado"/>
    <x v="0"/>
    <x v="0"/>
  </r>
  <r>
    <n v="3000000905"/>
    <d v="2026-07-06T00:00:00"/>
    <n v="30141525.699999999"/>
    <s v="LASTRINA CARMELO ALTO VERDE 14"/>
    <x v="1330"/>
    <n v="30141525.699999999"/>
    <x v="217"/>
    <x v="1"/>
    <s v="pagado"/>
    <s v="pagado"/>
    <x v="0"/>
    <x v="0"/>
  </r>
  <r>
    <n v="3000000906"/>
    <d v="2026-07-06T00:00:00"/>
    <n v="15720081.48"/>
    <s v="AYALA HERNAN OSVALDO SAN MIGUEL DE TUCUMAN 14"/>
    <x v="1331"/>
    <n v="15720081.48"/>
    <x v="217"/>
    <x v="1"/>
    <s v="pagado"/>
    <s v="pagado"/>
    <x v="0"/>
    <x v="0"/>
  </r>
  <r>
    <n v="3000000907"/>
    <d v="2026-07-06T00:00:00"/>
    <n v="5805977.9299999997"/>
    <s v="COMBUSTIBLES DEL NORTE S.A. LAS LAJITAS 09"/>
    <x v="1332"/>
    <n v="5805977.9299999997"/>
    <x v="217"/>
    <x v="1"/>
    <s v="pagado"/>
    <s v="pagado"/>
    <x v="0"/>
    <x v="0"/>
  </r>
  <r>
    <n v="3000000908"/>
    <d v="2026-07-06T00:00:00"/>
    <n v="13423667.92"/>
    <s v="ARAGON CARLOS DANIEL LA BANDA 13"/>
    <x v="1333"/>
    <n v="13423667.92"/>
    <x v="217"/>
    <x v="1"/>
    <s v="pagado"/>
    <s v="pagado"/>
    <x v="0"/>
    <x v="0"/>
  </r>
  <r>
    <n v="3000000909"/>
    <d v="2026-07-06T00:00:00"/>
    <n v="5858098.1500000004"/>
    <s v="Laborda Carlos SAN MIGUEL DE TUCUMAN 14"/>
    <x v="1334"/>
    <n v="5858098.1500000004"/>
    <x v="217"/>
    <x v="1"/>
    <s v="pagado"/>
    <s v="pagado"/>
    <x v="0"/>
    <x v="0"/>
  </r>
  <r>
    <n v="3000000910"/>
    <d v="2026-07-06T00:00:00"/>
    <n v="10319600.529999999"/>
    <s v="AYALA WALTER DANIEL ALDERETES 14"/>
    <x v="1335"/>
    <n v="10319600.529999999"/>
    <x v="217"/>
    <x v="1"/>
    <s v="pagado"/>
    <s v="pagado"/>
    <x v="0"/>
    <x v="0"/>
  </r>
  <r>
    <n v="3000000911"/>
    <d v="2026-07-06T00:00:00"/>
    <n v="23154483.899999999"/>
    <s v="ROMAN BARCELO Y JORGE CARRERASLAS LAJITAS 09"/>
    <x v="1336"/>
    <n v="23154483.899999999"/>
    <x v="217"/>
    <x v="1"/>
    <s v="pagado"/>
    <s v="pagado"/>
    <x v="0"/>
    <x v="0"/>
  </r>
  <r>
    <n v="3000000912"/>
    <d v="2026-07-06T00:00:00"/>
    <n v="10485049.050000001"/>
    <s v="MARIA FERNANDA SRL LA TRINIDAD 14"/>
    <x v="1337"/>
    <n v="10485049.050000001"/>
    <x v="217"/>
    <x v="1"/>
    <s v="pagado"/>
    <s v="pagado"/>
    <x v="0"/>
    <x v="0"/>
  </r>
  <r>
    <n v="3000000929"/>
    <d v="2026-07-13T00:00:00"/>
    <n v="10981812.15"/>
    <s v="RASUK JORGE LUIS YERBA BUENA 14"/>
    <x v="1338"/>
    <n v="10981812.15"/>
    <x v="218"/>
    <x v="1"/>
    <s v="pagado"/>
    <s v="pagado"/>
    <x v="0"/>
    <x v="0"/>
  </r>
  <r>
    <n v="3000000930"/>
    <d v="2026-07-13T00:00:00"/>
    <n v="9825984.3399999999"/>
    <s v="AGUERA CRISTIAN MARTIN CONCEPCION 14"/>
    <x v="1339"/>
    <n v="9825984.3399999999"/>
    <x v="218"/>
    <x v="1"/>
    <s v="pagado"/>
    <s v="pagado"/>
    <x v="0"/>
    <x v="0"/>
  </r>
  <r>
    <n v="3000000931"/>
    <d v="2026-07-14T00:00:00"/>
    <n v="30000000"/>
    <s v="CERGEN SRL CAPITAL FEDERAL 00"/>
    <x v="1340"/>
    <n v="30000000"/>
    <x v="219"/>
    <x v="1"/>
    <s v="pagado"/>
    <s v="pagado"/>
    <x v="0"/>
    <x v="0"/>
  </r>
  <r>
    <n v="3000000931"/>
    <d v="2026-07-14T00:00:00"/>
    <n v="30262600"/>
    <s v="CERGEN SRL CAPITAL FEDERAL 00"/>
    <x v="1341"/>
    <n v="30262600"/>
    <x v="220"/>
    <x v="1"/>
    <s v="pagado"/>
    <s v="pagado"/>
    <x v="0"/>
    <x v="0"/>
  </r>
  <r>
    <n v="3000000945"/>
    <d v="2026-07-15T00:00:00"/>
    <n v="8371185.4900000002"/>
    <s v="PAIS WALTER LUIS SAN MIGUEL DE TUCUMAN 14"/>
    <x v="1342"/>
    <n v="8371185.4900000002"/>
    <x v="218"/>
    <x v="1"/>
    <s v="pagado"/>
    <s v="pagado"/>
    <x v="0"/>
    <x v="0"/>
  </r>
  <r>
    <n v="3000000960"/>
    <d v="2026-07-20T00:00:00"/>
    <n v="8579684.5299999993"/>
    <s v="MOYANO SERGIO ESTEBAN BANDA DEL RIO SALI 14"/>
    <x v="1343"/>
    <n v="8579684.5299999993"/>
    <x v="221"/>
    <x v="1"/>
    <s v="pagado"/>
    <s v="pagado"/>
    <x v="0"/>
    <x v="0"/>
  </r>
  <r>
    <n v="3000000961"/>
    <d v="2026-07-20T00:00:00"/>
    <n v="6423589.4199999999"/>
    <s v="AGROTRANSPORTE ALDAO S.A. CAMILO ALDAO 03"/>
    <x v="1344"/>
    <n v="6423589.4199999999"/>
    <x v="221"/>
    <x v="1"/>
    <s v="pagado"/>
    <s v="pagado"/>
    <x v="0"/>
    <x v="0"/>
  </r>
  <r>
    <n v="3000000962"/>
    <d v="2026-07-20T00:00:00"/>
    <n v="22608000"/>
    <s v="ARAGON CARLOS DANIEL LA BANDA 13"/>
    <x v="1345"/>
    <n v="22608000"/>
    <x v="221"/>
    <x v="1"/>
    <s v="pagado"/>
    <s v="pagado"/>
    <x v="0"/>
    <x v="0"/>
  </r>
  <r>
    <n v="3000000963"/>
    <d v="2026-07-20T00:00:00"/>
    <n v="10141885.949999999"/>
    <s v="TRANSPORTE BARBERAN HNOS SRL CHABAS 12"/>
    <x v="1346"/>
    <n v="10141885.949999999"/>
    <x v="221"/>
    <x v="1"/>
    <s v="pagado"/>
    <s v="pagado"/>
    <x v="0"/>
    <x v="0"/>
  </r>
  <r>
    <n v="3000000964"/>
    <d v="2026-07-20T00:00:00"/>
    <n v="7630354.5099999998"/>
    <s v="ANTONACCI LUIS GABRIEL LA FLORIDA 14"/>
    <x v="1347"/>
    <n v="7630354.5099999998"/>
    <x v="221"/>
    <x v="1"/>
    <s v="pagado"/>
    <s v="pagado"/>
    <x v="0"/>
    <x v="0"/>
  </r>
  <r>
    <n v="3000000965"/>
    <d v="2026-07-20T00:00:00"/>
    <n v="20509347.620000001"/>
    <s v="FLETES Y SERVICIOS PUJATO S.A PUJATO 12"/>
    <x v="1348"/>
    <n v="20509347.620000001"/>
    <x v="221"/>
    <x v="1"/>
    <s v="pagado"/>
    <s v="pagado"/>
    <x v="0"/>
    <x v="0"/>
  </r>
  <r>
    <n v="3000000966"/>
    <d v="2026-07-20T00:00:00"/>
    <n v="11830993.4"/>
    <s v="GEOTECNOLOGIA S.R.L SAN MIGUEL DE TUCUMAN 14"/>
    <x v="1349"/>
    <n v="11830993.4"/>
    <x v="221"/>
    <x v="1"/>
    <s v="pagado"/>
    <s v="pagado"/>
    <x v="0"/>
    <x v="0"/>
  </r>
  <r>
    <n v="3000000967"/>
    <d v="2026-07-20T00:00:00"/>
    <n v="5802305.3799999999"/>
    <s v="COMBUSTIBLES DEL NORTE S.A. LAS LAJITAS 09"/>
    <x v="1350"/>
    <n v="5802305.3799999999"/>
    <x v="221"/>
    <x v="1"/>
    <s v="pagado"/>
    <s v="pagado"/>
    <x v="0"/>
    <x v="0"/>
  </r>
  <r>
    <n v="3000000968"/>
    <d v="2026-07-20T00:00:00"/>
    <n v="6200993.4000000004"/>
    <s v="M.A.D Serv y mant eléctri SAN MIGUEL DE TUCUMAN 14"/>
    <x v="1351"/>
    <n v="6200993.4000000004"/>
    <x v="221"/>
    <x v="1"/>
    <s v="pagado"/>
    <s v="pagado"/>
    <x v="0"/>
    <x v="0"/>
  </r>
  <r>
    <n v="3000000969"/>
    <d v="2026-07-20T00:00:00"/>
    <n v="11050117.720000001"/>
    <s v="Medina Lauro Jose Las Cejas 14"/>
    <x v="1352"/>
    <n v="11050117.720000001"/>
    <x v="221"/>
    <x v="1"/>
    <s v="pagado"/>
    <s v="pagado"/>
    <x v="0"/>
    <x v="0"/>
  </r>
  <r>
    <n v="3000000992"/>
    <d v="2026-07-22T00:00:00"/>
    <n v="3160406.72"/>
    <s v="BUSTOS EXEQUIEL ANTONIO BANDA DEL RIO SALI 14"/>
    <x v="1353"/>
    <n v="3160406.72"/>
    <x v="221"/>
    <x v="1"/>
    <s v="pagado"/>
    <s v="pagado"/>
    <x v="0"/>
    <x v="0"/>
  </r>
  <r>
    <n v="3000000994"/>
    <d v="2026-07-23T00:00:00"/>
    <n v="470000000"/>
    <s v="PROFERTIL S.A. Bahia Blanca 01"/>
    <x v="1354"/>
    <n v="470000000"/>
    <x v="222"/>
    <x v="1"/>
    <s v="pagado"/>
    <s v="pagado"/>
    <x v="0"/>
    <x v="0"/>
  </r>
  <r>
    <n v="3000000994"/>
    <d v="2026-07-23T00:00:00"/>
    <n v="468216094.19999999"/>
    <s v="PROFERTIL S.A. Bahia Blanca 01"/>
    <x v="1355"/>
    <n v="468216094.19999999"/>
    <x v="223"/>
    <x v="1"/>
    <s v="pagado"/>
    <s v="pagado"/>
    <x v="0"/>
    <x v="0"/>
  </r>
  <r>
    <n v="3000001005"/>
    <d v="2026-07-27T00:00:00"/>
    <n v="26777571.600000001"/>
    <s v="LASTRINA CARMELO ALTO VERDE 14"/>
    <x v="1356"/>
    <n v="26777571.600000001"/>
    <x v="224"/>
    <x v="1"/>
    <s v="pagado"/>
    <s v="pagado"/>
    <x v="0"/>
    <x v="0"/>
  </r>
  <r>
    <n v="3000001006"/>
    <d v="2026-07-27T00:00:00"/>
    <n v="23348431.379999999"/>
    <s v="Medina Lauro Jose Las Cejas 14"/>
    <x v="1357"/>
    <n v="23348431.379999999"/>
    <x v="224"/>
    <x v="1"/>
    <s v="pagado"/>
    <s v="pagado"/>
    <x v="0"/>
    <x v="0"/>
  </r>
  <r>
    <n v="3000001032"/>
    <d v="2026-07-29T00:00:00"/>
    <n v="10000000"/>
    <s v="CITRUSVIL S.A. CEVIL POZO 14"/>
    <x v="1358"/>
    <n v="10000000"/>
    <x v="225"/>
    <x v="1"/>
    <s v="pagado"/>
    <s v="pagado"/>
    <x v="0"/>
    <x v="0"/>
  </r>
  <r>
    <n v="3000001032"/>
    <d v="2026-07-29T00:00:00"/>
    <n v="10000000"/>
    <s v="CITRUSVIL S.A. CEVIL POZO 14"/>
    <x v="1359"/>
    <n v="10000000"/>
    <x v="225"/>
    <x v="1"/>
    <s v="pagado"/>
    <s v="pagado"/>
    <x v="0"/>
    <x v="0"/>
  </r>
  <r>
    <n v="3000001032"/>
    <d v="2026-07-29T00:00:00"/>
    <n v="10000000"/>
    <s v="CITRUSVIL S.A. CEVIL POZO 14"/>
    <x v="1360"/>
    <n v="10000000"/>
    <x v="225"/>
    <x v="1"/>
    <s v="pagado"/>
    <s v="pagado"/>
    <x v="0"/>
    <x v="0"/>
  </r>
  <r>
    <n v="3000001032"/>
    <d v="2026-07-29T00:00:00"/>
    <n v="9744627.7200000007"/>
    <s v="CITRUSVIL S.A. CEVIL POZO 14"/>
    <x v="1361"/>
    <n v="9744627.7200000007"/>
    <x v="225"/>
    <x v="1"/>
    <s v="pagado"/>
    <s v="pagado"/>
    <x v="0"/>
    <x v="0"/>
  </r>
  <r>
    <n v="3000001023"/>
    <d v="2026-07-29T00:00:00"/>
    <n v="5720868.3700000001"/>
    <s v="LOGISTICA CENTRO S.R.L CORONDA 12"/>
    <x v="1362"/>
    <n v="5720868.3700000001"/>
    <x v="226"/>
    <x v="1"/>
    <s v="pagado"/>
    <s v="pagado"/>
    <x v="0"/>
    <x v="0"/>
  </r>
  <r>
    <n v="3000001024"/>
    <d v="2026-07-29T00:00:00"/>
    <n v="5670205.5499999998"/>
    <s v="FLETES Y SERVICIOS PUJATO S.A PUJATO 12"/>
    <x v="1363"/>
    <n v="5670205.5499999998"/>
    <x v="226"/>
    <x v="1"/>
    <s v="pagado"/>
    <s v="pagado"/>
    <x v="0"/>
    <x v="0"/>
  </r>
  <r>
    <n v="3000001025"/>
    <d v="2026-07-29T00:00:00"/>
    <n v="15126590.32"/>
    <s v="BERNADAL SERGIO RODOLFO BANDA DEL RIO SALI- TUCUMAN 14"/>
    <x v="1364"/>
    <n v="15126590.32"/>
    <x v="226"/>
    <x v="1"/>
    <s v="pagado"/>
    <s v="pagado"/>
    <x v="0"/>
    <x v="0"/>
  </r>
  <r>
    <n v="3000001026"/>
    <d v="2026-07-29T00:00:00"/>
    <n v="13223837.07"/>
    <s v="GOMEZ JESSICA NOELIA LAS TALITAS 14"/>
    <x v="1365"/>
    <n v="13223837.07"/>
    <x v="226"/>
    <x v="1"/>
    <s v="pagado"/>
    <s v="pagado"/>
    <x v="0"/>
    <x v="0"/>
  </r>
  <r>
    <n v="3000001027"/>
    <d v="2026-07-29T00:00:00"/>
    <n v="17022511.420000002"/>
    <s v="LOGISTICA DEL NORTE S.R.L. SAN MIGUEL DE TUCUMAN 14"/>
    <x v="1366"/>
    <n v="17022511.420000002"/>
    <x v="226"/>
    <x v="1"/>
    <s v="pagado"/>
    <s v="pagado"/>
    <x v="0"/>
    <x v="0"/>
  </r>
  <r>
    <n v="3000001028"/>
    <d v="2026-07-29T00:00:00"/>
    <n v="7294060.7199999997"/>
    <s v="ARAGON CARLOS DANIEL LA BANDA 13"/>
    <x v="1367"/>
    <n v="7294060.7199999997"/>
    <x v="226"/>
    <x v="1"/>
    <s v="pagado"/>
    <s v="pagado"/>
    <x v="0"/>
    <x v="0"/>
  </r>
  <r>
    <n v="3000001029"/>
    <d v="2026-07-29T00:00:00"/>
    <n v="7595580.4800000004"/>
    <s v="RAMIREZ CECILIA LORENA LAS LAJITAS 09"/>
    <x v="1368"/>
    <n v="7595580.4800000004"/>
    <x v="226"/>
    <x v="1"/>
    <s v="pagado"/>
    <s v="pagado"/>
    <x v="0"/>
    <x v="0"/>
  </r>
  <r>
    <n v="3000001030"/>
    <d v="2026-07-29T00:00:00"/>
    <n v="792616.06"/>
    <s v="ANTONACCI LUIS GABRIEL LA FLORIDA 14"/>
    <x v="1369"/>
    <n v="792616.06"/>
    <x v="226"/>
    <x v="1"/>
    <s v="pagado"/>
    <s v="pagado"/>
    <x v="0"/>
    <x v="0"/>
  </r>
  <r>
    <n v="3000001031"/>
    <d v="2026-07-29T00:00:00"/>
    <n v="23411119.449999999"/>
    <s v="TRANSPORTE BARBERAN HNOS SRL CHABAS 12"/>
    <x v="1370"/>
    <n v="23411119.449999999"/>
    <x v="226"/>
    <x v="1"/>
    <s v="pagado"/>
    <s v="pagado"/>
    <x v="0"/>
    <x v="0"/>
  </r>
  <r>
    <n v="3000001043"/>
    <d v="2026-08-03T00:00:00"/>
    <n v="6956819.2800000003"/>
    <s v="Establecimiento Minero Sofia SElena 03"/>
    <x v="1371"/>
    <n v="6956819.2800000003"/>
    <x v="227"/>
    <x v="1"/>
    <s v="pagado"/>
    <s v="pagado"/>
    <x v="0"/>
    <x v="0"/>
  </r>
  <r>
    <n v="3000001044"/>
    <d v="2026-08-03T00:00:00"/>
    <n v="7547084.4000000004"/>
    <s v="ROMAN BARCELO Y JORGE CARRERASLAS LAJITAS 09"/>
    <x v="1372"/>
    <n v="7547084.4000000004"/>
    <x v="227"/>
    <x v="1"/>
    <s v="pagado"/>
    <s v="pagado"/>
    <x v="0"/>
    <x v="0"/>
  </r>
  <r>
    <n v="3000001045"/>
    <d v="2026-08-03T00:00:00"/>
    <n v="45921778.399999999"/>
    <s v="Medina Lauro Jose Las Cejas 14"/>
    <x v="1373"/>
    <n v="45921778.399999999"/>
    <x v="227"/>
    <x v="1"/>
    <s v="pagado"/>
    <s v="pagado"/>
    <x v="0"/>
    <x v="0"/>
  </r>
  <r>
    <n v="3000001046"/>
    <d v="2026-08-03T00:00:00"/>
    <n v="10167538.4"/>
    <s v="AYALA HERNAN OSVALDO SAN MIGUEL DE TUCUMAN 14"/>
    <x v="1374"/>
    <n v="10167538.4"/>
    <x v="227"/>
    <x v="1"/>
    <s v="pagado"/>
    <s v="pagado"/>
    <x v="0"/>
    <x v="0"/>
  </r>
  <r>
    <n v="1200001909"/>
    <d v="2026-08-03T00:00:00"/>
    <n v="600002.55000000005"/>
    <s v=". TUCUMAN"/>
    <x v="1375"/>
    <n v="600002.55000000005"/>
    <x v="226"/>
    <x v="1"/>
    <s v="pagado"/>
    <s v="pagado"/>
    <x v="0"/>
    <x v="0"/>
  </r>
  <r>
    <n v="3000001064"/>
    <d v="2026-08-05T00:00:00"/>
    <n v="5733803.6500000004"/>
    <s v="LENARDUZZI DIEGO LEONARDO SAN JUSTO 12"/>
    <x v="1376"/>
    <n v="5733803.6500000004"/>
    <x v="228"/>
    <x v="1"/>
    <s v="pagado"/>
    <s v="pagado"/>
    <x v="0"/>
    <x v="0"/>
  </r>
  <r>
    <n v="3000001065"/>
    <d v="2026-08-05T00:00:00"/>
    <n v="17772649.149999999"/>
    <s v="TRANSPORTE LUIS SANDOVAL S.A.SLOS VALLISTOS 14"/>
    <x v="1377"/>
    <n v="17772649.149999999"/>
    <x v="228"/>
    <x v="1"/>
    <s v="pagado"/>
    <s v="pagado"/>
    <x v="0"/>
    <x v="0"/>
  </r>
  <r>
    <n v="3000001066"/>
    <d v="2026-08-05T00:00:00"/>
    <n v="9539475.5399999991"/>
    <s v="EDUARDO SAN ROMAN TUCUMN 14"/>
    <x v="1378"/>
    <n v="9539475.5399999991"/>
    <x v="228"/>
    <x v="1"/>
    <s v="pagado"/>
    <s v="pagado"/>
    <x v="0"/>
    <x v="0"/>
  </r>
  <r>
    <n v="3000001067"/>
    <d v="2026-08-05T00:00:00"/>
    <n v="8291483.7599999998"/>
    <s v="JAVIER EDUARDO PRADO FLORIDA 13"/>
    <x v="1379"/>
    <n v="8291483.7599999998"/>
    <x v="228"/>
    <x v="1"/>
    <s v="pagado"/>
    <s v="pagado"/>
    <x v="0"/>
    <x v="0"/>
  </r>
  <r>
    <n v="3000001068"/>
    <d v="2026-08-05T00:00:00"/>
    <n v="3757704"/>
    <s v="CASAS GERMAN DAVID YERBA BENA 14"/>
    <x v="1380"/>
    <n v="3757704"/>
    <x v="228"/>
    <x v="1"/>
    <s v="pagado"/>
    <s v="pagado"/>
    <x v="0"/>
    <x v="0"/>
  </r>
  <r>
    <n v="3000001069"/>
    <d v="2026-08-05T00:00:00"/>
    <n v="7471579.0899999999"/>
    <s v="TRANSPORTE RAUL S.R.L SAN MIGUEL DE TUCUMAN 14"/>
    <x v="1381"/>
    <n v="7471579.0899999999"/>
    <x v="228"/>
    <x v="1"/>
    <s v="pagado"/>
    <s v="pagado"/>
    <x v="0"/>
    <x v="0"/>
  </r>
  <r>
    <n v="3000001088"/>
    <d v="2026-08-10T00:00:00"/>
    <n v="4730418.83"/>
    <s v="AYALA WALTER DANIEL ALDERETES 14"/>
    <x v="1382"/>
    <n v="4730418.83"/>
    <x v="229"/>
    <x v="1"/>
    <s v="pagado"/>
    <s v="pagado"/>
    <x v="0"/>
    <x v="0"/>
  </r>
  <r>
    <n v="3000001089"/>
    <d v="2026-08-10T00:00:00"/>
    <n v="24462703.399999999"/>
    <s v="Pulmajo S.R.L. CONCEPCION 14"/>
    <x v="1383"/>
    <n v="24462703.399999999"/>
    <x v="112"/>
    <x v="1"/>
    <s v="no pagado"/>
    <s v="en periodo de pago"/>
    <x v="1"/>
    <x v="0"/>
  </r>
  <r>
    <n v="3000001090"/>
    <d v="2026-08-10T00:00:00"/>
    <n v="6068600.8799999999"/>
    <s v="Medina Lauro Jose Las Cejas 14"/>
    <x v="1384"/>
    <n v="6068600.8799999999"/>
    <x v="112"/>
    <x v="1"/>
    <s v="pagado"/>
    <s v="pagado"/>
    <x v="0"/>
    <x v="0"/>
  </r>
  <r>
    <n v="3000001091"/>
    <d v="2026-08-10T00:00:00"/>
    <n v="1945285.65"/>
    <s v="RODRIGUEZ NESTOR HORACIO YERBA BUENA 14"/>
    <x v="1385"/>
    <n v="1945285.65"/>
    <x v="112"/>
    <x v="1"/>
    <s v="pagado"/>
    <s v="pagado"/>
    <x v="0"/>
    <x v="0"/>
  </r>
  <r>
    <n v="3000001092"/>
    <d v="2026-08-10T00:00:00"/>
    <n v="6995139.4100000001"/>
    <s v="LIZONDO OSCAR FABIAN METAN 09"/>
    <x v="1386"/>
    <n v="6995139.4100000001"/>
    <x v="112"/>
    <x v="1"/>
    <s v="pagado"/>
    <s v="pagado"/>
    <x v="0"/>
    <x v="0"/>
  </r>
  <r>
    <n v="3000001093"/>
    <d v="2026-08-11T00:00:00"/>
    <n v="14076451.49"/>
    <s v="RAMIREZ CECILIA LORENA LAS LAJITAS 09"/>
    <x v="1387"/>
    <n v="14076451.49"/>
    <x v="112"/>
    <x v="1"/>
    <s v="pagado"/>
    <s v="pagado"/>
    <x v="0"/>
    <x v="0"/>
  </r>
  <r>
    <n v="3000001094"/>
    <d v="2026-08-11T00:00:00"/>
    <n v="19033404.379999999"/>
    <s v="LOGISTICA CENTRO S.R.L CORONDA 12"/>
    <x v="1388"/>
    <n v="19033404.379999999"/>
    <x v="112"/>
    <x v="1"/>
    <s v="pagado"/>
    <s v="pagado"/>
    <x v="0"/>
    <x v="0"/>
  </r>
  <r>
    <n v="3000001095"/>
    <d v="2026-08-11T00:00:00"/>
    <n v="14938322.109999999"/>
    <s v="OLIVA DANIEL DAVID PICHANAL 09"/>
    <x v="1389"/>
    <n v="14938322.109999999"/>
    <x v="112"/>
    <x v="1"/>
    <s v="pagado"/>
    <s v="pagado"/>
    <x v="0"/>
    <x v="0"/>
  </r>
  <r>
    <n v="1200002000"/>
    <d v="2026-08-12T00:00:00"/>
    <n v="961845.52"/>
    <s v="Cheque de terceros TUCUMAN"/>
    <x v="1390"/>
    <n v="961845.52"/>
    <x v="230"/>
    <x v="1"/>
    <s v="pagado"/>
    <s v="pagado"/>
    <x v="0"/>
    <x v="0"/>
  </r>
  <r>
    <n v="1200002000"/>
    <d v="2026-08-12T00:00:00"/>
    <n v="1005454.13"/>
    <s v="Cheque de terceros TUCUMAN"/>
    <x v="1391"/>
    <n v="1005454.13"/>
    <x v="230"/>
    <x v="1"/>
    <s v="pagado"/>
    <s v="pagado"/>
    <x v="0"/>
    <x v="0"/>
  </r>
  <r>
    <n v="1200002000"/>
    <d v="2026-08-12T00:00:00"/>
    <n v="986143.72"/>
    <s v="Cheque de terceros TUCUMAN"/>
    <x v="1392"/>
    <n v="986143.72"/>
    <x v="230"/>
    <x v="1"/>
    <s v="pagado"/>
    <s v="pagado"/>
    <x v="0"/>
    <x v="0"/>
  </r>
  <r>
    <n v="1200002000"/>
    <d v="2026-08-12T00:00:00"/>
    <n v="2517703.4"/>
    <s v="Cheque de terceros TUCUMAN"/>
    <x v="1393"/>
    <n v="2517703.4"/>
    <x v="230"/>
    <x v="1"/>
    <s v="pagado"/>
    <s v="pagado"/>
    <x v="0"/>
    <x v="0"/>
  </r>
  <r>
    <n v="1200002000"/>
    <d v="2026-08-12T00:00:00"/>
    <n v="1700000"/>
    <s v="Cheque de terceros TUCUMAN"/>
    <x v="1394"/>
    <n v="1700000"/>
    <x v="230"/>
    <x v="1"/>
    <s v="pagado"/>
    <s v="pagado"/>
    <x v="0"/>
    <x v="0"/>
  </r>
  <r>
    <n v="1200002000"/>
    <d v="2026-08-12T00:00:00"/>
    <n v="1454760.61"/>
    <s v="Cheque de terceros TUCUMAN"/>
    <x v="1395"/>
    <n v="1454760.61"/>
    <x v="230"/>
    <x v="1"/>
    <s v="pagado"/>
    <s v="pagado"/>
    <x v="0"/>
    <x v="0"/>
  </r>
  <r>
    <n v="1200002000"/>
    <d v="2026-08-12T00:00:00"/>
    <n v="2128465.09"/>
    <s v="Cheque de terceros TUCUMAN"/>
    <x v="1396"/>
    <n v="2128465.09"/>
    <x v="230"/>
    <x v="1"/>
    <s v="pagado"/>
    <s v="pagado"/>
    <x v="0"/>
    <x v="0"/>
  </r>
  <r>
    <n v="1200002000"/>
    <d v="2026-08-12T00:00:00"/>
    <n v="2307494.96"/>
    <s v="Cheque de terceros TUCUMAN"/>
    <x v="1397"/>
    <n v="2307494.96"/>
    <x v="230"/>
    <x v="1"/>
    <s v="pagado"/>
    <s v="pagado"/>
    <x v="0"/>
    <x v="0"/>
  </r>
  <r>
    <n v="1200002000"/>
    <d v="2026-08-12T00:00:00"/>
    <n v="2199922.09"/>
    <s v="Cheque de terceros TUCUMAN"/>
    <x v="1398"/>
    <n v="2199922.09"/>
    <x v="230"/>
    <x v="1"/>
    <s v="pagado"/>
    <s v="pagado"/>
    <x v="0"/>
    <x v="0"/>
  </r>
  <r>
    <n v="1200002000"/>
    <d v="2026-08-12T00:00:00"/>
    <n v="1798877.51"/>
    <s v="Cheque de terceros TUCUMAN"/>
    <x v="1399"/>
    <n v="1798877.51"/>
    <x v="230"/>
    <x v="1"/>
    <s v="pagado"/>
    <s v="pagado"/>
    <x v="0"/>
    <x v="0"/>
  </r>
  <r>
    <n v="1200002000"/>
    <d v="2026-08-12T00:00:00"/>
    <n v="27642343.399999999"/>
    <s v="Cheque de terceros TUCUMAN"/>
    <x v="1400"/>
    <n v="27642343.399999999"/>
    <x v="230"/>
    <x v="1"/>
    <s v="pagado"/>
    <s v="pagado"/>
    <x v="0"/>
    <x v="0"/>
  </r>
  <r>
    <n v="1200002000"/>
    <d v="2026-08-12T00:00:00"/>
    <n v="5085818.84"/>
    <s v="Cheque de terceros TUCUMAN"/>
    <x v="1401"/>
    <n v="5085818.84"/>
    <x v="230"/>
    <x v="1"/>
    <s v="pagado"/>
    <s v="pagado"/>
    <x v="0"/>
    <x v="0"/>
  </r>
  <r>
    <n v="1200002000"/>
    <d v="2026-08-12T00:00:00"/>
    <n v="4094806.23"/>
    <s v="Cheque de terceros TUCUMAN"/>
    <x v="1402"/>
    <n v="4094806.23"/>
    <x v="230"/>
    <x v="1"/>
    <s v="pagado"/>
    <s v="pagado"/>
    <x v="0"/>
    <x v="0"/>
  </r>
  <r>
    <n v="1200002000"/>
    <d v="2026-08-12T00:00:00"/>
    <n v="20231172.510000002"/>
    <s v="Cheque de terceros TUCUMAN"/>
    <x v="1403"/>
    <n v="20231172.510000002"/>
    <x v="230"/>
    <x v="1"/>
    <s v="pagado"/>
    <s v="pagado"/>
    <x v="0"/>
    <x v="0"/>
  </r>
  <r>
    <n v="1200002000"/>
    <d v="2026-08-12T00:00:00"/>
    <n v="4908915.92"/>
    <s v="Cheque de terceros TUCUMAN"/>
    <x v="1404"/>
    <n v="4908915.92"/>
    <x v="230"/>
    <x v="1"/>
    <s v="pagado"/>
    <s v="pagado"/>
    <x v="0"/>
    <x v="0"/>
  </r>
  <r>
    <n v="1200002000"/>
    <d v="2026-08-12T00:00:00"/>
    <n v="11198543.4"/>
    <s v="Cheque de terceros TUCUMAN"/>
    <x v="1405"/>
    <n v="11198543.4"/>
    <x v="230"/>
    <x v="1"/>
    <s v="pagado"/>
    <s v="pagado"/>
    <x v="0"/>
    <x v="0"/>
  </r>
  <r>
    <n v="1200002000"/>
    <d v="2026-08-12T00:00:00"/>
    <n v="13217657.550000001"/>
    <s v="Cheque de terceros TUCUMAN"/>
    <x v="1406"/>
    <n v="13217657.550000001"/>
    <x v="230"/>
    <x v="1"/>
    <s v="pagado"/>
    <s v="pagado"/>
    <x v="0"/>
    <x v="0"/>
  </r>
  <r>
    <n v="1200002000"/>
    <d v="2026-08-12T00:00:00"/>
    <n v="15651790"/>
    <s v="Cheque de terceros TUCUMAN"/>
    <x v="1407"/>
    <n v="15651790"/>
    <x v="230"/>
    <x v="1"/>
    <s v="pagado"/>
    <s v="pagado"/>
    <x v="0"/>
    <x v="0"/>
  </r>
  <r>
    <n v="1200002000"/>
    <d v="2026-08-12T00:00:00"/>
    <n v="27154458.43"/>
    <s v="Cheque de terceros TUCUMAN"/>
    <x v="1408"/>
    <n v="27154458.43"/>
    <x v="230"/>
    <x v="1"/>
    <s v="pagado"/>
    <s v="pagado"/>
    <x v="0"/>
    <x v="0"/>
  </r>
  <r>
    <n v="1200002000"/>
    <d v="2026-08-12T00:00:00"/>
    <n v="9061038.2300000004"/>
    <s v="Cheque de terceros TUCUMAN"/>
    <x v="1409"/>
    <n v="9061038.2300000004"/>
    <x v="230"/>
    <x v="1"/>
    <s v="pagado"/>
    <s v="pagado"/>
    <x v="0"/>
    <x v="0"/>
  </r>
  <r>
    <n v="1200002000"/>
    <d v="2026-08-12T00:00:00"/>
    <n v="29610909.670000002"/>
    <s v="Cheque de terceros TUCUMAN"/>
    <x v="1410"/>
    <n v="29610909.670000002"/>
    <x v="230"/>
    <x v="1"/>
    <s v="pagado"/>
    <s v="pagado"/>
    <x v="0"/>
    <x v="0"/>
  </r>
  <r>
    <n v="1200002000"/>
    <d v="2026-08-12T00:00:00"/>
    <n v="3504787.91"/>
    <s v="Cheque de terceros TUCUMAN"/>
    <x v="1411"/>
    <n v="3504787.91"/>
    <x v="230"/>
    <x v="1"/>
    <s v="pagado"/>
    <s v="pagado"/>
    <x v="0"/>
    <x v="0"/>
  </r>
  <r>
    <n v="1200002000"/>
    <d v="2026-08-12T00:00:00"/>
    <n v="17057543.399999999"/>
    <s v="Cheque de terceros TUCUMAN"/>
    <x v="1412"/>
    <n v="17057543.399999999"/>
    <x v="230"/>
    <x v="1"/>
    <s v="pagado"/>
    <s v="pagado"/>
    <x v="0"/>
    <x v="0"/>
  </r>
  <r>
    <n v="1200002001"/>
    <d v="2026-08-12T00:00:00"/>
    <n v="4380397.5199999996"/>
    <s v="Cheque de terceros TUCUMAN"/>
    <x v="1413"/>
    <n v="4380397.5199999996"/>
    <x v="230"/>
    <x v="1"/>
    <s v="pagado"/>
    <s v="pagado"/>
    <x v="0"/>
    <x v="0"/>
  </r>
  <r>
    <n v="1200002001"/>
    <d v="2026-08-12T00:00:00"/>
    <n v="28482262.600000001"/>
    <s v="Cheque de terceros TUCUMAN"/>
    <x v="1414"/>
    <n v="28482262.600000001"/>
    <x v="230"/>
    <x v="1"/>
    <s v="pagado"/>
    <s v="pagado"/>
    <x v="0"/>
    <x v="0"/>
  </r>
  <r>
    <n v="1200002001"/>
    <d v="2026-08-12T00:00:00"/>
    <n v="1522501.04"/>
    <s v="Cheque de terceros TUCUMAN"/>
    <x v="1415"/>
    <n v="1522501.04"/>
    <x v="230"/>
    <x v="1"/>
    <s v="pagado"/>
    <s v="pagado"/>
    <x v="0"/>
    <x v="0"/>
  </r>
  <r>
    <n v="1200002005"/>
    <d v="2026-08-19T00:00:00"/>
    <n v="4285746.5999999996"/>
    <s v="Cheque de terceros TUCUMAN"/>
    <x v="1416"/>
    <n v="4285746.5999999996"/>
    <x v="231"/>
    <x v="1"/>
    <s v="pagado"/>
    <s v="pagado"/>
    <x v="0"/>
    <x v="0"/>
  </r>
  <r>
    <n v="1200002005"/>
    <d v="2026-08-19T00:00:00"/>
    <n v="3639813.28"/>
    <s v="Cheque de terceros TUCUMAN"/>
    <x v="1417"/>
    <n v="3639813.28"/>
    <x v="231"/>
    <x v="1"/>
    <s v="pagado"/>
    <s v="pagado"/>
    <x v="0"/>
    <x v="0"/>
  </r>
  <r>
    <n v="1200002005"/>
    <d v="2026-08-19T00:00:00"/>
    <n v="13415875.960000001"/>
    <s v="Cheque de terceros TUCUMAN"/>
    <x v="1418"/>
    <n v="13415875.960000001"/>
    <x v="231"/>
    <x v="1"/>
    <s v="pagado"/>
    <s v="pagado"/>
    <x v="0"/>
    <x v="0"/>
  </r>
  <r>
    <n v="1200002005"/>
    <d v="2026-08-19T00:00:00"/>
    <n v="11901343.4"/>
    <s v="Cheque de terceros TUCUMAN"/>
    <x v="1419"/>
    <n v="11901343.4"/>
    <x v="231"/>
    <x v="1"/>
    <s v="pagado"/>
    <s v="pagado"/>
    <x v="0"/>
    <x v="0"/>
  </r>
  <r>
    <n v="1200002005"/>
    <d v="2026-08-19T00:00:00"/>
    <n v="21703321.93"/>
    <s v="Cheque de terceros TUCUMAN"/>
    <x v="1420"/>
    <n v="21703321.93"/>
    <x v="231"/>
    <x v="1"/>
    <s v="pagado"/>
    <s v="pagado"/>
    <x v="0"/>
    <x v="0"/>
  </r>
  <r>
    <n v="1200002005"/>
    <d v="2026-08-19T00:00:00"/>
    <n v="9122652.75"/>
    <s v="Cheque de terceros TUCUMAN"/>
    <x v="1421"/>
    <n v="9122652.75"/>
    <x v="231"/>
    <x v="1"/>
    <s v="pagado"/>
    <s v="pagado"/>
    <x v="0"/>
    <x v="0"/>
  </r>
  <r>
    <n v="1200002005"/>
    <d v="2026-08-19T00:00:00"/>
    <n v="6740095.9500000002"/>
    <s v="Cheque de terceros TUCUMAN"/>
    <x v="1422"/>
    <n v="6740095.9500000002"/>
    <x v="231"/>
    <x v="1"/>
    <s v="pagado"/>
    <s v="pagado"/>
    <x v="0"/>
    <x v="0"/>
  </r>
  <r>
    <n v="1200002005"/>
    <d v="2026-08-19T00:00:00"/>
    <n v="8269643.5499999998"/>
    <s v="Cheque de terceros TUCUMAN"/>
    <x v="1423"/>
    <n v="8269643.5499999998"/>
    <x v="231"/>
    <x v="1"/>
    <s v="pagado"/>
    <s v="pagado"/>
    <x v="0"/>
    <x v="0"/>
  </r>
  <r>
    <n v="1200002005"/>
    <d v="2026-08-19T00:00:00"/>
    <n v="8145986.96"/>
    <s v="Cheque de terceros TUCUMAN"/>
    <x v="1424"/>
    <n v="8145986.96"/>
    <x v="231"/>
    <x v="1"/>
    <s v="pagado"/>
    <s v="pagado"/>
    <x v="0"/>
    <x v="0"/>
  </r>
  <r>
    <n v="3000001131"/>
    <d v="2026-08-19T00:00:00"/>
    <n v="3901560.17"/>
    <s v=". TUCUMAN"/>
    <x v="1425"/>
    <n v="3901560.17"/>
    <x v="232"/>
    <x v="1"/>
    <s v="pagado"/>
    <s v="pagado"/>
    <x v="0"/>
    <x v="0"/>
  </r>
  <r>
    <n v="3000001132"/>
    <d v="2026-08-19T00:00:00"/>
    <n v="6614654.2300000004"/>
    <s v="Establecimiento Minero Sofia SElena 03"/>
    <x v="1426"/>
    <n v="6614654.2300000004"/>
    <x v="220"/>
    <x v="1"/>
    <s v="pagado"/>
    <s v="pagado"/>
    <x v="0"/>
    <x v="0"/>
  </r>
  <r>
    <n v="3000001133"/>
    <d v="2026-08-19T00:00:00"/>
    <n v="32516843.399999999"/>
    <s v="La Cosecha S.R.L. Las Parejas 12"/>
    <x v="1427"/>
    <n v="32516843.399999999"/>
    <x v="220"/>
    <x v="1"/>
    <s v="pagado"/>
    <s v="pagado"/>
    <x v="0"/>
    <x v="0"/>
  </r>
  <r>
    <n v="3000001134"/>
    <d v="2026-08-19T00:00:00"/>
    <n v="16771441.75"/>
    <s v="ROMAN BARCELO Y JORGE CARRERASLAS LAJITAS 09"/>
    <x v="1428"/>
    <n v="16771441.75"/>
    <x v="220"/>
    <x v="1"/>
    <s v="pagado"/>
    <s v="pagado"/>
    <x v="0"/>
    <x v="0"/>
  </r>
  <r>
    <n v="3000001135"/>
    <d v="2026-08-19T00:00:00"/>
    <n v="26695988"/>
    <s v="Medina Lauro Jose Las Cejas 14"/>
    <x v="1429"/>
    <n v="26695988"/>
    <x v="220"/>
    <x v="1"/>
    <s v="pagado"/>
    <s v="pagado"/>
    <x v="0"/>
    <x v="0"/>
  </r>
  <r>
    <n v="3000001136"/>
    <d v="2026-08-19T00:00:00"/>
    <n v="5355577.2699999996"/>
    <s v="GARCIA JORGE LUIS METAN 09"/>
    <x v="1430"/>
    <n v="5355577.2699999996"/>
    <x v="220"/>
    <x v="1"/>
    <s v="pagado"/>
    <s v="pagado"/>
    <x v="0"/>
    <x v="0"/>
  </r>
  <r>
    <n v="3000001137"/>
    <d v="2026-08-19T00:00:00"/>
    <n v="10153294.92"/>
    <s v="SERRANO GUERRERO GERARDO FRANCSAN MIGUEL DE TUCUMAN 14"/>
    <x v="1431"/>
    <n v="10153294.92"/>
    <x v="220"/>
    <x v="1"/>
    <s v="pagado"/>
    <s v="pagado"/>
    <x v="0"/>
    <x v="0"/>
  </r>
  <r>
    <n v="3000001138"/>
    <d v="2026-08-19T00:00:00"/>
    <n v="13320893.58"/>
    <s v="TRANSPORTE LUIS SANDOVAL S.A.SLOS VALLISTOS 14"/>
    <x v="1432"/>
    <n v="13320893.58"/>
    <x v="220"/>
    <x v="1"/>
    <s v="pagado"/>
    <s v="pagado"/>
    <x v="0"/>
    <x v="0"/>
  </r>
  <r>
    <n v="3000001139"/>
    <d v="2026-08-19T00:00:00"/>
    <n v="8475041.1199999992"/>
    <s v="BERNADAL SERGIO RODOLFO BANDA DEL RIO SALI- TUCUMAN 14"/>
    <x v="1433"/>
    <n v="8475041.1199999992"/>
    <x v="220"/>
    <x v="1"/>
    <s v="pagado"/>
    <s v="pagado"/>
    <x v="0"/>
    <x v="0"/>
  </r>
  <r>
    <n v="3000001140"/>
    <d v="2026-08-19T00:00:00"/>
    <n v="13387257.369999999"/>
    <s v="WILLIAMS LOGISTICA SA CIUDAD AUTONOMA BUENOS AIRES 00"/>
    <x v="1434"/>
    <n v="13387257.369999999"/>
    <x v="220"/>
    <x v="1"/>
    <s v="pagado"/>
    <s v="pagado"/>
    <x v="0"/>
    <x v="0"/>
  </r>
  <r>
    <n v="3000001141"/>
    <d v="2026-08-19T00:00:00"/>
    <n v="25651738.300000001"/>
    <s v="JAVIER EDUARDO PRADO FLORIDA 13"/>
    <x v="1435"/>
    <n v="25651738.300000001"/>
    <x v="220"/>
    <x v="1"/>
    <s v="pagado"/>
    <s v="pagado"/>
    <x v="0"/>
    <x v="0"/>
  </r>
  <r>
    <n v="3000001165"/>
    <d v="2026-08-24T00:00:00"/>
    <n v="39119079.82"/>
    <s v="MOYANO SERGIO ESTEBAN BANDA DEL RIO SALI 14"/>
    <x v="1436"/>
    <n v="39119079.82"/>
    <x v="220"/>
    <x v="1"/>
    <s v="pagado"/>
    <s v="pagado"/>
    <x v="0"/>
    <x v="0"/>
  </r>
  <r>
    <n v="3000001166"/>
    <d v="2026-08-24T00:00:00"/>
    <n v="5112382.3499999996"/>
    <s v="RODRIGUEZ NESTOR HORACIO YERBA BUENA 14"/>
    <x v="1437"/>
    <n v="5112382.3499999996"/>
    <x v="233"/>
    <x v="1"/>
    <s v="pagado"/>
    <s v="pagado"/>
    <x v="0"/>
    <x v="0"/>
  </r>
  <r>
    <n v="3000001167"/>
    <d v="2026-08-24T00:00:00"/>
    <n v="13745643.689999999"/>
    <s v="TRANSPORTE CLASON SRL ROSARIO 12"/>
    <x v="1438"/>
    <n v="13745643.689999999"/>
    <x v="233"/>
    <x v="1"/>
    <s v="pagado"/>
    <s v="pagado"/>
    <x v="0"/>
    <x v="0"/>
  </r>
  <r>
    <n v="3000001168"/>
    <d v="2026-08-24T00:00:00"/>
    <n v="23961670.82"/>
    <s v="TRANSPORTE BARBERAN HNOS SRL CHABAS 12"/>
    <x v="1439"/>
    <n v="23961670.82"/>
    <x v="233"/>
    <x v="1"/>
    <s v="pagado"/>
    <s v="pagado"/>
    <x v="0"/>
    <x v="0"/>
  </r>
  <r>
    <n v="3000001169"/>
    <d v="2026-08-24T00:00:00"/>
    <n v="16518800.85"/>
    <s v="GOMEZ JESSICA NOELIA LAS TALITAS 14"/>
    <x v="1440"/>
    <n v="16518800.85"/>
    <x v="233"/>
    <x v="1"/>
    <s v="pagado"/>
    <s v="pagado"/>
    <x v="0"/>
    <x v="0"/>
  </r>
  <r>
    <n v="3000001170"/>
    <d v="2026-08-24T00:00:00"/>
    <n v="7201730.7199999997"/>
    <s v="LOGISTICA DEL NORTE S.R.L. SAN MIGUEL DE TUCUMAN 14"/>
    <x v="1441"/>
    <n v="7201730.7199999997"/>
    <x v="233"/>
    <x v="1"/>
    <s v="pagado"/>
    <s v="pagado"/>
    <x v="0"/>
    <x v="0"/>
  </r>
  <r>
    <n v="3000001171"/>
    <d v="2026-08-24T00:00:00"/>
    <n v="15852618.869999999"/>
    <s v="TRANSPORTE Y LOG VIENTO NORTE LAS TALITAS 14"/>
    <x v="1442"/>
    <n v="15852618.869999999"/>
    <x v="233"/>
    <x v="1"/>
    <s v="pagado"/>
    <s v="pagado"/>
    <x v="0"/>
    <x v="0"/>
  </r>
  <r>
    <n v="3000001172"/>
    <d v="2026-08-24T00:00:00"/>
    <n v="21422548.719999999"/>
    <s v="BUENA RUTA SA YERBA BUENA 14"/>
    <x v="1443"/>
    <n v="21422548.719999999"/>
    <x v="233"/>
    <x v="1"/>
    <s v="pagado"/>
    <s v="pagado"/>
    <x v="0"/>
    <x v="0"/>
  </r>
  <r>
    <n v="3000001173"/>
    <d v="2026-08-24T00:00:00"/>
    <n v="19715626.260000002"/>
    <s v="TRANSPORTE RAUL S.R.L SAN MIGUEL DE TUCUMAN 14"/>
    <x v="1444"/>
    <n v="19715626.260000002"/>
    <x v="233"/>
    <x v="1"/>
    <s v="pagado"/>
    <s v="pagado"/>
    <x v="0"/>
    <x v="0"/>
  </r>
  <r>
    <n v="3000001174"/>
    <d v="2026-08-24T00:00:00"/>
    <n v="8602316.4399999995"/>
    <s v="MOYANO JULIO CESAR BANDA DEL RIO SALI 14"/>
    <x v="1445"/>
    <n v="8602316.4399999995"/>
    <x v="233"/>
    <x v="1"/>
    <s v="pagado"/>
    <s v="pagado"/>
    <x v="0"/>
    <x v="0"/>
  </r>
  <r>
    <n v="3000001175"/>
    <d v="2026-08-24T00:00:00"/>
    <n v="23213701.489999998"/>
    <s v="COMBUSTIBLES DEL NORTE S.A. LAS LAJITAS 09"/>
    <x v="1446"/>
    <n v="23213701.489999998"/>
    <x v="233"/>
    <x v="1"/>
    <s v="pagado"/>
    <s v="pagado"/>
    <x v="0"/>
    <x v="0"/>
  </r>
  <r>
    <n v="3000001176"/>
    <d v="2026-08-24T00:00:00"/>
    <n v="12117029.67"/>
    <s v="AGROQUIMICA ALBERDI S.R.L. CONCEPCION 14"/>
    <x v="1447"/>
    <n v="12117029.67"/>
    <x v="233"/>
    <x v="1"/>
    <s v="pagado"/>
    <s v="pagado"/>
    <x v="0"/>
    <x v="0"/>
  </r>
  <r>
    <n v="3000001177"/>
    <d v="2026-08-24T00:00:00"/>
    <n v="5434059.75"/>
    <s v="Pulverizaciones Tuninetti S.R.Las Rosas 01"/>
    <x v="1448"/>
    <n v="5434059.75"/>
    <x v="233"/>
    <x v="1"/>
    <s v="pagado"/>
    <s v="pagado"/>
    <x v="0"/>
    <x v="0"/>
  </r>
  <r>
    <n v="3000001178"/>
    <d v="2026-08-24T00:00:00"/>
    <n v="21597500"/>
    <s v="La Cosecha S.R.L. Las Parejas 12"/>
    <x v="1449"/>
    <n v="21597500"/>
    <x v="233"/>
    <x v="1"/>
    <s v="pagado"/>
    <s v="pagado"/>
    <x v="0"/>
    <x v="0"/>
  </r>
  <r>
    <n v="3000001179"/>
    <d v="2026-08-24T00:00:00"/>
    <n v="17915480"/>
    <s v="Pulmajo S.R.L. CONCEPCION 14"/>
    <x v="1450"/>
    <n v="17915480"/>
    <x v="233"/>
    <x v="1"/>
    <s v="pagado"/>
    <s v="pagado"/>
    <x v="0"/>
    <x v="0"/>
  </r>
  <r>
    <n v="3000001180"/>
    <d v="2026-08-24T00:00:00"/>
    <n v="15403763.08"/>
    <s v="AYALA HERNAN OSVALDO SAN MIGUEL DE TUCUMAN 14"/>
    <x v="1451"/>
    <n v="15403763.08"/>
    <x v="233"/>
    <x v="1"/>
    <s v="no pagado"/>
    <s v="en periodo de pago"/>
    <x v="1"/>
    <x v="0"/>
  </r>
  <r>
    <n v="3000001181"/>
    <d v="2026-08-24T00:00:00"/>
    <n v="4239167.92"/>
    <s v="ARAGON CARLOS DANIEL LA BANDA 13"/>
    <x v="1452"/>
    <n v="4239167.92"/>
    <x v="233"/>
    <x v="1"/>
    <s v="pagado"/>
    <s v="pagado"/>
    <x v="0"/>
    <x v="0"/>
  </r>
  <r>
    <n v="3000001182"/>
    <d v="2026-08-24T00:00:00"/>
    <n v="1896020.5"/>
    <s v="EDUARDO SAN ROMAN TUCUMN 14"/>
    <x v="1453"/>
    <n v="1896020.5"/>
    <x v="233"/>
    <x v="1"/>
    <s v="pagado"/>
    <s v="pagado"/>
    <x v="0"/>
    <x v="0"/>
  </r>
  <r>
    <n v="3000001183"/>
    <d v="2026-08-24T00:00:00"/>
    <n v="5268011"/>
    <s v="DANIEL MARCELO GUERRERO ALDERETES 14"/>
    <x v="1454"/>
    <n v="5268011"/>
    <x v="233"/>
    <x v="1"/>
    <s v="pagado"/>
    <s v="pagado"/>
    <x v="0"/>
    <x v="0"/>
  </r>
  <r>
    <n v="3000001193"/>
    <d v="2026-08-25T00:00:00"/>
    <n v="9622132.0299999993"/>
    <s v="Agro Yutuyaco S.R.L. Laferrere 01"/>
    <x v="1455"/>
    <n v="9622132.0299999993"/>
    <x v="234"/>
    <x v="1"/>
    <s v="pagado"/>
    <s v="pagado"/>
    <x v="0"/>
    <x v="0"/>
  </r>
  <r>
    <n v="3000001194"/>
    <d v="2026-08-25T00:00:00"/>
    <n v="7168098.4500000002"/>
    <s v="JAVIER EDUARDO PRADO FLORIDA 13"/>
    <x v="1456"/>
    <n v="7168098.4500000002"/>
    <x v="234"/>
    <x v="1"/>
    <s v="pagado"/>
    <s v="pagado"/>
    <x v="0"/>
    <x v="0"/>
  </r>
  <r>
    <n v="3000001195"/>
    <d v="2026-08-25T00:00:00"/>
    <n v="12445216.41"/>
    <s v="ANTONACCI LUIS GABRIEL LA FLORIDA 14"/>
    <x v="1457"/>
    <n v="12445216.41"/>
    <x v="234"/>
    <x v="1"/>
    <s v="pagado"/>
    <s v="pagado"/>
    <x v="0"/>
    <x v="0"/>
  </r>
  <r>
    <n v="3000001212"/>
    <d v="2026-08-31T00:00:00"/>
    <n v="44935981.170000002"/>
    <s v="LOGISTICA CENTRO S.R.L CORONDA 12"/>
    <x v="1458"/>
    <n v="44935981.170000002"/>
    <x v="235"/>
    <x v="1"/>
    <s v="no pagado"/>
    <s v="en periodo de pago"/>
    <x v="1"/>
    <x v="0"/>
  </r>
  <r>
    <n v="3000001213"/>
    <d v="2026-08-31T00:00:00"/>
    <n v="6617092.5"/>
    <s v="WILLIAMS LOGISTICA SA CIUDAD AUTONOMA BUENOS AIRES 00"/>
    <x v="1459"/>
    <n v="6617092.5"/>
    <x v="235"/>
    <x v="1"/>
    <s v="no pagado"/>
    <s v="en periodo de pago"/>
    <x v="1"/>
    <x v="0"/>
  </r>
  <r>
    <n v="3000001214"/>
    <d v="2026-08-31T00:00:00"/>
    <n v="9242374.6300000008"/>
    <s v="DANIEL MARCELO GUERRERO ALDERETES 14"/>
    <x v="1460"/>
    <n v="9242374.6300000008"/>
    <x v="235"/>
    <x v="1"/>
    <s v="no pagado"/>
    <s v="en periodo de pago"/>
    <x v="1"/>
    <x v="0"/>
  </r>
  <r>
    <n v="3000001215"/>
    <d v="2026-08-31T00:00:00"/>
    <n v="6838598.46"/>
    <s v="TRANSPORTE LUIS SANDOVAL S.A.SLOS VALLISTOS 14"/>
    <x v="1461"/>
    <n v="6838598.46"/>
    <x v="235"/>
    <x v="1"/>
    <s v="no pagado"/>
    <s v="en periodo de pago"/>
    <x v="1"/>
    <x v="0"/>
  </r>
  <r>
    <n v="3000001216"/>
    <d v="2026-08-31T00:00:00"/>
    <n v="11569820.039999999"/>
    <s v="RAMIREZ CECILIA LORENA LAS LAJITAS 09"/>
    <x v="1462"/>
    <n v="11569820.039999999"/>
    <x v="235"/>
    <x v="1"/>
    <s v="no pagado"/>
    <s v="en periodo de pago"/>
    <x v="1"/>
    <x v="0"/>
  </r>
  <r>
    <n v="3000001217"/>
    <d v="2026-08-31T00:00:00"/>
    <n v="12163459.77"/>
    <s v="GARCIA JORGE LUIS METAN 09"/>
    <x v="1463"/>
    <n v="12163459.77"/>
    <x v="235"/>
    <x v="1"/>
    <s v="no pagado"/>
    <s v="en periodo de pago"/>
    <x v="1"/>
    <x v="0"/>
  </r>
  <r>
    <n v="3000001228"/>
    <d v="2026-09-02T00:00:00"/>
    <n v="6682500.8799999999"/>
    <s v=". TUCUMAN"/>
    <x v="1464"/>
    <n v="6682500.8799999999"/>
    <x v="235"/>
    <x v="1"/>
    <s v="pagado"/>
    <s v="pagado"/>
    <x v="0"/>
    <x v="0"/>
  </r>
  <r>
    <n v="3000001229"/>
    <d v="2026-09-02T00:00:00"/>
    <n v="14441329.720000001"/>
    <s v="TRANSPORTE Y LOG VIENTO NORTE LAS TALITAS 14"/>
    <x v="1465"/>
    <n v="14441329.720000001"/>
    <x v="236"/>
    <x v="1"/>
    <s v="no pagado"/>
    <s v="en periodo de pago"/>
    <x v="2"/>
    <x v="1"/>
  </r>
  <r>
    <n v="3000001230"/>
    <d v="2026-09-02T00:00:00"/>
    <n v="9377491.0399999991"/>
    <s v="Paz Pablo Jose SAN MIGUEL DE TUCUMAN 14"/>
    <x v="1466"/>
    <n v="9377491.0399999991"/>
    <x v="236"/>
    <x v="1"/>
    <s v="no pagado"/>
    <s v="en periodo de pago"/>
    <x v="2"/>
    <x v="1"/>
  </r>
  <r>
    <n v="3000001231"/>
    <d v="2026-09-02T00:00:00"/>
    <n v="8437567.5600000005"/>
    <s v="SAN LORENZO CEREALES S.R.L SAN LORENZO 12"/>
    <x v="1467"/>
    <n v="8437567.5600000005"/>
    <x v="236"/>
    <x v="1"/>
    <s v="no pagado"/>
    <s v="en periodo de pago"/>
    <x v="2"/>
    <x v="1"/>
  </r>
  <r>
    <n v="3000001232"/>
    <d v="2026-09-02T00:00:00"/>
    <n v="22752607.420000002"/>
    <s v="TRANSPORTE BARBERAN HNOS SRL CHABAS 12"/>
    <x v="1468"/>
    <n v="22752607.420000002"/>
    <x v="236"/>
    <x v="1"/>
    <s v="no pagado"/>
    <s v="en periodo de pago"/>
    <x v="2"/>
    <x v="1"/>
  </r>
  <r>
    <n v="3000001233"/>
    <d v="2026-09-02T00:00:00"/>
    <n v="8576316.9199999999"/>
    <s v="SERRANO GUERRERO GERARDO FRANCSAN MIGUEL DE TUCUMAN 14"/>
    <x v="1469"/>
    <n v="8576316.9199999999"/>
    <x v="236"/>
    <x v="1"/>
    <s v="no pagado"/>
    <s v="en periodo de pago"/>
    <x v="2"/>
    <x v="1"/>
  </r>
  <r>
    <n v="3000001234"/>
    <d v="2026-09-02T00:00:00"/>
    <n v="9846655.1999999993"/>
    <s v="CASAS GERMAN DAVID YERBA BENA 14"/>
    <x v="1470"/>
    <n v="9846655.1999999993"/>
    <x v="236"/>
    <x v="1"/>
    <s v="no pagado"/>
    <s v="en periodo de pago"/>
    <x v="2"/>
    <x v="1"/>
  </r>
  <r>
    <n v="3000001235"/>
    <d v="2026-09-02T00:00:00"/>
    <n v="5962450.4199999999"/>
    <s v="ALBORNOZ RODRIGO EZEQUIEL - PAMPA MAYO 14"/>
    <x v="1471"/>
    <n v="5962450.4199999999"/>
    <x v="236"/>
    <x v="1"/>
    <s v="no pagado"/>
    <s v="en periodo de pago"/>
    <x v="2"/>
    <x v="1"/>
  </r>
  <r>
    <n v="3000001236"/>
    <d v="2026-09-02T00:00:00"/>
    <n v="7573756.0599999996"/>
    <s v="ANTONACCI LUIS GABRIEL LA FLORIDA 14"/>
    <x v="1472"/>
    <n v="7573756.0599999996"/>
    <x v="236"/>
    <x v="1"/>
    <s v="no pagado"/>
    <s v="en periodo de pago"/>
    <x v="2"/>
    <x v="1"/>
  </r>
  <r>
    <n v="3000001237"/>
    <d v="2026-09-02T00:00:00"/>
    <n v="44769025.859999999"/>
    <s v="GOMEZ JESSICA NOELIA LAS TALITAS 14"/>
    <x v="1473"/>
    <n v="44769025.859999999"/>
    <x v="236"/>
    <x v="1"/>
    <s v="no pagado"/>
    <s v="en periodo de pago"/>
    <x v="2"/>
    <x v="1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s v="no pagado"/>
    <s v="fuera de fecha"/>
    <x v="0"/>
    <x v="0"/>
  </r>
  <r>
    <m/>
    <m/>
    <m/>
    <m/>
    <x v="1474"/>
    <m/>
    <x v="237"/>
    <x v="2"/>
    <m/>
    <m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3">
  <r>
    <n v="3000000005"/>
    <d v="2025-01-03T00:00:00"/>
    <n v="1996725.84"/>
    <s v="ASOC.ARG.PROT.OBTENCIONES VEGECIUDAD AUTONOMA DE BUENOS AIRES 01"/>
    <x v="0"/>
    <n v="1996725.84"/>
    <x v="0"/>
    <x v="0"/>
    <s v="pagado"/>
    <s v="pagado"/>
    <s v="excluir"/>
    <s v="no semana"/>
    <x v="0"/>
  </r>
  <r>
    <n v="3000000006"/>
    <d v="2025-01-03T00:00:00"/>
    <n v="3586921.37"/>
    <s v="YUNGAS AGROINSUMOS S.A YERBA BUENA 14"/>
    <x v="1"/>
    <n v="3586921.37"/>
    <x v="0"/>
    <x v="0"/>
    <s v="pagado"/>
    <s v="pagado"/>
    <s v="excluir"/>
    <s v="no semana"/>
    <x v="0"/>
  </r>
  <r>
    <n v="3000000034"/>
    <d v="2025-01-08T00:00:00"/>
    <n v="2000000"/>
    <s v="Pulmajo S.R.L. CONCEPCION 14"/>
    <x v="2"/>
    <n v="2000000"/>
    <x v="1"/>
    <x v="0"/>
    <s v="pagado"/>
    <s v="pagado"/>
    <s v="excluir"/>
    <s v="no semana"/>
    <x v="0"/>
  </r>
  <r>
    <n v="3000000034"/>
    <d v="2025-01-08T00:00:00"/>
    <n v="2000000"/>
    <s v="Pulmajo S.R.L. CONCEPCION 14"/>
    <x v="3"/>
    <n v="2000000"/>
    <x v="1"/>
    <x v="0"/>
    <s v="pagado"/>
    <s v="pagado"/>
    <s v="excluir"/>
    <s v="no semana"/>
    <x v="0"/>
  </r>
  <r>
    <n v="3000000034"/>
    <d v="2025-01-08T00:00:00"/>
    <n v="2000000"/>
    <s v="Pulmajo S.R.L. CONCEPCION 14"/>
    <x v="4"/>
    <n v="2000000"/>
    <x v="1"/>
    <x v="0"/>
    <s v="pagado"/>
    <s v="pagado"/>
    <s v="excluir"/>
    <s v="no semana"/>
    <x v="0"/>
  </r>
  <r>
    <n v="3000000034"/>
    <d v="2025-01-08T00:00:00"/>
    <n v="3000000"/>
    <s v="Pulmajo S.R.L. CONCEPCION 14"/>
    <x v="5"/>
    <n v="3000000"/>
    <x v="1"/>
    <x v="0"/>
    <s v="pagado"/>
    <s v="pagado"/>
    <s v="excluir"/>
    <s v="no semana"/>
    <x v="0"/>
  </r>
  <r>
    <n v="3000000034"/>
    <d v="2025-01-08T00:00:00"/>
    <n v="3000000"/>
    <s v="Pulmajo S.R.L. CONCEPCION 14"/>
    <x v="6"/>
    <n v="3000000"/>
    <x v="1"/>
    <x v="0"/>
    <s v="pagado"/>
    <s v="pagado"/>
    <s v="excluir"/>
    <s v="no semana"/>
    <x v="0"/>
  </r>
  <r>
    <n v="3000000034"/>
    <d v="2025-01-08T00:00:00"/>
    <n v="3000000"/>
    <s v="Pulmajo S.R.L. CONCEPCION 14"/>
    <x v="7"/>
    <n v="3000000"/>
    <x v="1"/>
    <x v="0"/>
    <s v="pagado"/>
    <s v="pagado"/>
    <s v="excluir"/>
    <s v="no semana"/>
    <x v="0"/>
  </r>
  <r>
    <n v="3000000034"/>
    <d v="2025-01-08T00:00:00"/>
    <n v="3846551.55"/>
    <s v="Pulmajo S.R.L. CONCEPCION 14"/>
    <x v="8"/>
    <n v="3846551.55"/>
    <x v="2"/>
    <x v="0"/>
    <s v="pagado"/>
    <s v="pagado"/>
    <s v="excluir"/>
    <s v="no semana"/>
    <x v="0"/>
  </r>
  <r>
    <n v="3000000034"/>
    <d v="2025-01-08T00:00:00"/>
    <n v="5000000"/>
    <s v="Pulmajo S.R.L. CONCEPCION 14"/>
    <x v="9"/>
    <n v="5000000"/>
    <x v="2"/>
    <x v="0"/>
    <s v="pagado"/>
    <s v="pagado"/>
    <s v="excluir"/>
    <s v="no semana"/>
    <x v="0"/>
  </r>
  <r>
    <n v="3000000034"/>
    <d v="2025-01-08T00:00:00"/>
    <n v="5000000"/>
    <s v="Pulmajo S.R.L. CONCEPCION 14"/>
    <x v="10"/>
    <n v="5000000"/>
    <x v="2"/>
    <x v="0"/>
    <s v="pagado"/>
    <s v="pagado"/>
    <s v="excluir"/>
    <s v="no semana"/>
    <x v="0"/>
  </r>
  <r>
    <n v="3000000030"/>
    <d v="2025-01-08T00:00:00"/>
    <n v="5005406.93"/>
    <s v="MOYANO JULIO CESAR BANDA DEL RIO SALI 14"/>
    <x v="11"/>
    <n v="5005406.93"/>
    <x v="1"/>
    <x v="1"/>
    <s v="pagado"/>
    <s v="pagado"/>
    <s v="excluir"/>
    <s v="no semana"/>
    <x v="0"/>
  </r>
  <r>
    <n v="3000000031"/>
    <d v="2025-01-08T00:00:00"/>
    <n v="2452021.27"/>
    <s v="LANGELLA JUAN RODOLFO ALDERETES 14"/>
    <x v="12"/>
    <n v="2452021.27"/>
    <x v="1"/>
    <x v="1"/>
    <s v="pagado"/>
    <s v="pagado"/>
    <s v="excluir"/>
    <s v="no semana"/>
    <x v="0"/>
  </r>
  <r>
    <n v="3000000032"/>
    <d v="2025-01-08T00:00:00"/>
    <n v="5036570.32"/>
    <s v="CAMPOSTRINI S R L VILLAGUAY 05"/>
    <x v="13"/>
    <n v="5036570.32"/>
    <x v="1"/>
    <x v="1"/>
    <s v="pagado"/>
    <s v="pagado"/>
    <s v="excluir"/>
    <s v="no semana"/>
    <x v="0"/>
  </r>
  <r>
    <n v="3000000033"/>
    <d v="2025-01-08T00:00:00"/>
    <n v="3151742.92"/>
    <s v="TRANSPORTE BARBERAN HNOS SRL CHABAS 12"/>
    <x v="14"/>
    <n v="3151742.92"/>
    <x v="1"/>
    <x v="1"/>
    <s v="pagado"/>
    <s v="pagado"/>
    <s v="excluir"/>
    <s v="no semana"/>
    <x v="0"/>
  </r>
  <r>
    <n v="3000000037"/>
    <d v="2025-01-09T00:00:00"/>
    <n v="13000000"/>
    <s v="TRANSPORTE Y LOGISTICA DEL ESTLAS CEJAS 14"/>
    <x v="15"/>
    <n v="13000000"/>
    <x v="3"/>
    <x v="1"/>
    <s v="pagado"/>
    <s v="pagado"/>
    <s v="excluir"/>
    <s v="no semana"/>
    <x v="0"/>
  </r>
  <r>
    <n v="3000000037"/>
    <d v="2025-01-09T00:00:00"/>
    <n v="10991765.83"/>
    <s v="TRANSPORTE Y LOGISTICA DEL ESTLAS CEJAS 14"/>
    <x v="16"/>
    <n v="10991765.83"/>
    <x v="4"/>
    <x v="1"/>
    <s v="pagado"/>
    <s v="pagado"/>
    <s v="excluir"/>
    <s v="no semana"/>
    <x v="0"/>
  </r>
  <r>
    <n v="3000000038"/>
    <d v="2025-01-09T00:00:00"/>
    <n v="11000000"/>
    <s v="LOGISTICA CENTRO S.R.L CORONDA 12"/>
    <x v="17"/>
    <n v="11000000"/>
    <x v="3"/>
    <x v="1"/>
    <s v="pagado"/>
    <s v="pagado"/>
    <s v="excluir"/>
    <s v="no semana"/>
    <x v="0"/>
  </r>
  <r>
    <n v="3000000038"/>
    <d v="2025-01-09T00:00:00"/>
    <n v="10929172.970000001"/>
    <s v="LOGISTICA CENTRO S.R.L CORONDA 12"/>
    <x v="18"/>
    <n v="10929172.970000001"/>
    <x v="4"/>
    <x v="1"/>
    <s v="pagado"/>
    <s v="pagado"/>
    <s v="excluir"/>
    <s v="no semana"/>
    <x v="0"/>
  </r>
  <r>
    <n v="3000000042"/>
    <d v="2025-01-09T00:00:00"/>
    <n v="10000000"/>
    <s v="PRADO JAVIER EDUARDO - FLORIDA 13"/>
    <x v="19"/>
    <n v="10000000"/>
    <x v="3"/>
    <x v="1"/>
    <s v="pagado"/>
    <s v="pagado"/>
    <s v="excluir"/>
    <s v="no semana"/>
    <x v="0"/>
  </r>
  <r>
    <n v="3000000042"/>
    <d v="2025-01-09T00:00:00"/>
    <n v="10139779.18"/>
    <s v="PRADO JAVIER EDUARDO - FLORIDA 13"/>
    <x v="20"/>
    <n v="10139779.18"/>
    <x v="4"/>
    <x v="1"/>
    <s v="pagado"/>
    <s v="pagado"/>
    <s v="excluir"/>
    <s v="no semana"/>
    <x v="0"/>
  </r>
  <r>
    <n v="3000000036"/>
    <d v="2025-01-09T00:00:00"/>
    <n v="7098663.9100000001"/>
    <s v="PAIS WALTER LUIS SAN MIGUEL DE TUCUMAN 14"/>
    <x v="21"/>
    <n v="7098663.9100000001"/>
    <x v="3"/>
    <x v="1"/>
    <s v="pagado"/>
    <s v="pagado"/>
    <s v="excluir"/>
    <s v="no semana"/>
    <x v="0"/>
  </r>
  <r>
    <n v="3000000039"/>
    <d v="2025-01-09T00:00:00"/>
    <n v="4483078.24"/>
    <s v="TRANSPORTE PRINCE SRL ROSARIO NORTE 12"/>
    <x v="22"/>
    <n v="4483078.24"/>
    <x v="3"/>
    <x v="1"/>
    <s v="pagado"/>
    <s v="pagado"/>
    <s v="excluir"/>
    <s v="no semana"/>
    <x v="0"/>
  </r>
  <r>
    <n v="3000000040"/>
    <d v="2025-01-09T00:00:00"/>
    <n v="4488596.37"/>
    <s v="TRANSPORTE QUERANDIES SRL SANTA FE 12"/>
    <x v="23"/>
    <n v="4488596.37"/>
    <x v="3"/>
    <x v="1"/>
    <s v="pagado"/>
    <s v="pagado"/>
    <s v="excluir"/>
    <s v="no semana"/>
    <x v="0"/>
  </r>
  <r>
    <n v="3000000041"/>
    <d v="2025-01-09T00:00:00"/>
    <n v="7956945.7800000003"/>
    <s v="TRANS TRUCKS SRL SOLDINI 12"/>
    <x v="24"/>
    <n v="7956945.7800000003"/>
    <x v="3"/>
    <x v="1"/>
    <s v="pagado"/>
    <s v="pagado"/>
    <s v="excluir"/>
    <s v="no semana"/>
    <x v="0"/>
  </r>
  <r>
    <n v="3000000044"/>
    <d v="2025-01-10T00:00:00"/>
    <n v="34636482.159999996"/>
    <s v="Monsanto Argentina SRL CAPITAL FEDERAL 00"/>
    <x v="25"/>
    <n v="34636482.159999996"/>
    <x v="1"/>
    <x v="0"/>
    <s v="pagado"/>
    <s v="pagado"/>
    <s v="excluir"/>
    <s v="no semana"/>
    <x v="0"/>
  </r>
  <r>
    <n v="3000000063"/>
    <d v="2025-01-15T00:00:00"/>
    <n v="6992278.7800000003"/>
    <s v="MOLINA JUAN F. Y MOLINA ROQUE Lastenia 14"/>
    <x v="26"/>
    <n v="6992278.7800000003"/>
    <x v="5"/>
    <x v="0"/>
    <s v="pagado"/>
    <s v="pagado"/>
    <s v="excluir"/>
    <s v="no semana"/>
    <x v="0"/>
  </r>
  <r>
    <n v="3000000064"/>
    <d v="2025-01-15T00:00:00"/>
    <n v="5084776.4000000004"/>
    <s v="MARTO ALBERTO ANTONIO LA RAMADA DE ABAJO 14"/>
    <x v="27"/>
    <n v="5084776.4000000004"/>
    <x v="5"/>
    <x v="0"/>
    <s v="pagado"/>
    <s v="pagado"/>
    <s v="excluir"/>
    <s v="no semana"/>
    <x v="0"/>
  </r>
  <r>
    <n v="3000001431"/>
    <d v="2025-01-15T00:00:00"/>
    <n v="12595484.16"/>
    <s v="AYALA HERNAN OSVALDO SAN MIGUEL DE TUCUMAN 14"/>
    <x v="28"/>
    <n v="12595484.16"/>
    <x v="5"/>
    <x v="0"/>
    <s v="pagado"/>
    <s v="pagado"/>
    <s v="excluir"/>
    <s v="no semana"/>
    <x v="0"/>
  </r>
  <r>
    <n v="3000000059"/>
    <d v="2025-01-15T00:00:00"/>
    <n v="12000000"/>
    <s v="AYALA WALTER DANIEL ALDERETES 14"/>
    <x v="29"/>
    <n v="12000000"/>
    <x v="5"/>
    <x v="0"/>
    <s v="pagado"/>
    <s v="pagado"/>
    <s v="excluir"/>
    <s v="no semana"/>
    <x v="0"/>
  </r>
  <r>
    <n v="3000000059"/>
    <d v="2025-01-15T00:00:00"/>
    <n v="11246166.65"/>
    <s v="AYALA WALTER DANIEL ALDERETES 14"/>
    <x v="30"/>
    <n v="11246166.65"/>
    <x v="6"/>
    <x v="0"/>
    <s v="pagado"/>
    <s v="pagado"/>
    <s v="excluir"/>
    <s v="no semana"/>
    <x v="0"/>
  </r>
  <r>
    <n v="3000000061"/>
    <d v="2025-01-15T00:00:00"/>
    <n v="10000000"/>
    <s v="Pulverizaciones Tuninetti S.R.Las Rosas 01"/>
    <x v="31"/>
    <n v="10000000"/>
    <x v="5"/>
    <x v="0"/>
    <s v="pagado"/>
    <s v="pagado"/>
    <s v="excluir"/>
    <s v="no semana"/>
    <x v="0"/>
  </r>
  <r>
    <n v="3000000061"/>
    <d v="2025-01-15T00:00:00"/>
    <n v="9009501.8000000007"/>
    <s v="Pulverizaciones Tuninetti S.R.Las Rosas 01"/>
    <x v="32"/>
    <n v="9009501.8000000007"/>
    <x v="6"/>
    <x v="0"/>
    <s v="pagado"/>
    <s v="pagado"/>
    <s v="excluir"/>
    <s v="no semana"/>
    <x v="0"/>
  </r>
  <r>
    <n v="3000000062"/>
    <d v="2025-01-15T00:00:00"/>
    <n v="7000000"/>
    <s v="LIZONDO OSCAR FABIAN METAN 09"/>
    <x v="33"/>
    <n v="7000000"/>
    <x v="5"/>
    <x v="0"/>
    <s v="pagado"/>
    <s v="pagado"/>
    <s v="excluir"/>
    <s v="no semana"/>
    <x v="0"/>
  </r>
  <r>
    <n v="3000000062"/>
    <d v="2025-01-15T00:00:00"/>
    <n v="7648843.4000000004"/>
    <s v="LIZONDO OSCAR FABIAN METAN 09"/>
    <x v="34"/>
    <n v="7648843.4000000004"/>
    <x v="6"/>
    <x v="0"/>
    <s v="pagado"/>
    <s v="pagado"/>
    <s v="excluir"/>
    <s v="no semana"/>
    <x v="0"/>
  </r>
  <r>
    <n v="3000000052"/>
    <d v="2025-01-15T00:00:00"/>
    <n v="192107.1"/>
    <s v="VERON,MARIANA BEATRIZ NUEVA ESPERANZA 13"/>
    <x v="35"/>
    <n v="192107.1"/>
    <x v="3"/>
    <x v="0"/>
    <s v="pagado"/>
    <s v="pagado"/>
    <s v="excluir"/>
    <s v="no semana"/>
    <x v="0"/>
  </r>
  <r>
    <n v="3000000053"/>
    <d v="2025-01-15T00:00:00"/>
    <n v="458773.42"/>
    <s v="Medina Lauro Jose Las Cejas 14"/>
    <x v="36"/>
    <n v="458773.42"/>
    <x v="3"/>
    <x v="0"/>
    <s v="pagado"/>
    <s v="pagado"/>
    <s v="excluir"/>
    <s v="no semana"/>
    <x v="0"/>
  </r>
  <r>
    <n v="3000000060"/>
    <d v="2025-01-15T00:00:00"/>
    <n v="12799179.15"/>
    <s v="SUAREZ GABRIEL SEBASTIAN SANTIAGO DEL ESTERO 13"/>
    <x v="37"/>
    <n v="12799179.15"/>
    <x v="5"/>
    <x v="0"/>
    <s v="pagado"/>
    <s v="pagado"/>
    <s v="excluir"/>
    <s v="no semana"/>
    <x v="0"/>
  </r>
  <r>
    <n v="1200000001"/>
    <d v="2025-01-17T00:00:00"/>
    <n v="13410435.199999999"/>
    <s v="Cheque de terceros tucumán"/>
    <x v="38"/>
    <n v="13410435.199999999"/>
    <x v="7"/>
    <x v="0"/>
    <s v="pagado"/>
    <s v="pagado"/>
    <s v="excluir"/>
    <s v="no semana"/>
    <x v="0"/>
  </r>
  <r>
    <n v="3000000086"/>
    <d v="2025-01-17T00:00:00"/>
    <n v="11200155.33"/>
    <s v="MALATINI SRL GRAL DEHEZA 03"/>
    <x v="39"/>
    <n v="11200155.33"/>
    <x v="5"/>
    <x v="0"/>
    <s v="pagado"/>
    <s v="pagado"/>
    <s v="excluir"/>
    <s v="no semana"/>
    <x v="0"/>
  </r>
  <r>
    <n v="3000000093"/>
    <d v="2025-01-21T00:00:00"/>
    <n v="3366630.7"/>
    <s v="RODRIGUEZ NESTOR HORACIO YERBA BUENA 14"/>
    <x v="40"/>
    <n v="3366630.7"/>
    <x v="8"/>
    <x v="0"/>
    <s v="pagado"/>
    <s v="pagado"/>
    <s v="excluir"/>
    <s v="no semana"/>
    <x v="0"/>
  </r>
  <r>
    <n v="3000000094"/>
    <d v="2025-01-21T00:00:00"/>
    <n v="4709104.5"/>
    <s v="GRUPO MARGEN DEL NOA SA YERBA BUENA 14"/>
    <x v="41"/>
    <n v="4709104.5"/>
    <x v="8"/>
    <x v="0"/>
    <s v="pagado"/>
    <s v="pagado"/>
    <s v="excluir"/>
    <s v="no semana"/>
    <x v="0"/>
  </r>
  <r>
    <n v="3000000095"/>
    <d v="2025-01-22T00:00:00"/>
    <n v="28667147.739999998"/>
    <s v="ESTANCIA EL AZUL S.A SAN MIGUEL DE TUCUMAN 14"/>
    <x v="42"/>
    <n v="28667147.739999998"/>
    <x v="9"/>
    <x v="0"/>
    <s v="pagado"/>
    <s v="pagado"/>
    <s v="excluir"/>
    <s v="no semana"/>
    <x v="0"/>
  </r>
  <r>
    <n v="3000000099"/>
    <d v="2025-01-22T00:00:00"/>
    <n v="8807343.4000000004"/>
    <s v="GOMEZ MANUEL ARCENIO METAN 09"/>
    <x v="43"/>
    <n v="8807343.4000000004"/>
    <x v="10"/>
    <x v="0"/>
    <s v="pagado"/>
    <s v="pagado"/>
    <s v="excluir"/>
    <s v="no semana"/>
    <x v="0"/>
  </r>
  <r>
    <n v="3000000100"/>
    <d v="2025-01-22T00:00:00"/>
    <n v="11658151.119999999"/>
    <s v="AYALA HERNAN OSVALDO SAN MIGUEL DE TUCUMAN 14"/>
    <x v="44"/>
    <n v="11658151.119999999"/>
    <x v="10"/>
    <x v="0"/>
    <s v="pagado"/>
    <s v="pagado"/>
    <s v="excluir"/>
    <s v="no semana"/>
    <x v="0"/>
  </r>
  <r>
    <n v="3000000100"/>
    <d v="2025-01-22T00:00:00"/>
    <n v="4000060.08"/>
    <s v="AYALA HERNAN OSVALDO SAN MIGUEL DE TUCUMAN 14"/>
    <x v="45"/>
    <n v="4000060.08"/>
    <x v="10"/>
    <x v="0"/>
    <s v="pagado"/>
    <s v="pagado"/>
    <s v="excluir"/>
    <s v="no semana"/>
    <x v="0"/>
  </r>
  <r>
    <n v="3000000101"/>
    <d v="2025-01-22T00:00:00"/>
    <n v="16000000"/>
    <s v="Medina Lauro Jose Las Cejas 14"/>
    <x v="46"/>
    <n v="16000000"/>
    <x v="10"/>
    <x v="0"/>
    <s v="pagado"/>
    <s v="pagado"/>
    <s v="excluir"/>
    <s v="no semana"/>
    <x v="0"/>
  </r>
  <r>
    <n v="3000000101"/>
    <d v="2025-01-22T00:00:00"/>
    <n v="15648232.550000001"/>
    <s v="Medina Lauro Jose Las Cejas 14"/>
    <x v="47"/>
    <n v="15648232.550000001"/>
    <x v="9"/>
    <x v="0"/>
    <s v="pagado"/>
    <s v="pagado"/>
    <s v="excluir"/>
    <s v="no semana"/>
    <x v="0"/>
  </r>
  <r>
    <n v="3000000102"/>
    <d v="2025-01-22T00:00:00"/>
    <n v="4066706"/>
    <s v="SAN LORENZO CEREALES S.R.L SAN LORENZO 12"/>
    <x v="48"/>
    <n v="4066706"/>
    <x v="10"/>
    <x v="0"/>
    <s v="pagado"/>
    <s v="pagado"/>
    <s v="excluir"/>
    <s v="no semana"/>
    <x v="0"/>
  </r>
  <r>
    <n v="3000000103"/>
    <d v="2025-01-22T00:00:00"/>
    <n v="2906983.8"/>
    <s v="TRANS TRUCKS SRL SOLDINI 12"/>
    <x v="49"/>
    <n v="2906983.8"/>
    <x v="10"/>
    <x v="0"/>
    <s v="pagado"/>
    <s v="pagado"/>
    <s v="excluir"/>
    <s v="no semana"/>
    <x v="0"/>
  </r>
  <r>
    <n v="3000000104"/>
    <d v="2025-01-22T00:00:00"/>
    <n v="6137336.0999999996"/>
    <s v="LOGISTICA CENTRO S.R.L CORONDA 12"/>
    <x v="50"/>
    <n v="6137336.0999999996"/>
    <x v="10"/>
    <x v="0"/>
    <s v="pagado"/>
    <s v="pagado"/>
    <s v="excluir"/>
    <s v="no semana"/>
    <x v="0"/>
  </r>
  <r>
    <n v="3000000105"/>
    <d v="2025-01-22T00:00:00"/>
    <n v="100000"/>
    <s v="Laborda Carlos SAN MIGUEL DE TUCUMAN 14"/>
    <x v="51"/>
    <n v="100000"/>
    <x v="8"/>
    <x v="0"/>
    <s v="pagado"/>
    <s v="pagado"/>
    <s v="excluir"/>
    <s v="no semana"/>
    <x v="0"/>
  </r>
  <r>
    <n v="3000000105"/>
    <d v="2025-01-22T00:00:00"/>
    <n v="100000"/>
    <s v="Laborda Carlos SAN MIGUEL DE TUCUMAN 14"/>
    <x v="52"/>
    <n v="100000"/>
    <x v="8"/>
    <x v="0"/>
    <s v="pagado"/>
    <s v="pagado"/>
    <s v="excluir"/>
    <s v="no semana"/>
    <x v="0"/>
  </r>
  <r>
    <n v="3000000105"/>
    <d v="2025-01-22T00:00:00"/>
    <n v="100000"/>
    <s v="Laborda Carlos SAN MIGUEL DE TUCUMAN 14"/>
    <x v="53"/>
    <n v="100000"/>
    <x v="8"/>
    <x v="0"/>
    <s v="pagado"/>
    <s v="pagado"/>
    <s v="excluir"/>
    <s v="no semana"/>
    <x v="0"/>
  </r>
  <r>
    <n v="3000000105"/>
    <d v="2025-01-22T00:00:00"/>
    <n v="100000"/>
    <s v="Laborda Carlos SAN MIGUEL DE TUCUMAN 14"/>
    <x v="54"/>
    <n v="100000"/>
    <x v="8"/>
    <x v="0"/>
    <s v="pagado"/>
    <s v="pagado"/>
    <s v="excluir"/>
    <s v="no semana"/>
    <x v="0"/>
  </r>
  <r>
    <n v="3000000105"/>
    <d v="2025-01-22T00:00:00"/>
    <n v="300000"/>
    <s v="Laborda Carlos SAN MIGUEL DE TUCUMAN 14"/>
    <x v="55"/>
    <n v="300000"/>
    <x v="8"/>
    <x v="0"/>
    <s v="pagado"/>
    <s v="pagado"/>
    <s v="excluir"/>
    <s v="no semana"/>
    <x v="0"/>
  </r>
  <r>
    <n v="3000000105"/>
    <d v="2025-01-22T00:00:00"/>
    <n v="300000"/>
    <s v="Laborda Carlos SAN MIGUEL DE TUCUMAN 14"/>
    <x v="56"/>
    <n v="300000"/>
    <x v="8"/>
    <x v="0"/>
    <s v="pagado"/>
    <s v="pagado"/>
    <s v="excluir"/>
    <s v="no semana"/>
    <x v="0"/>
  </r>
  <r>
    <n v="3000000105"/>
    <d v="2025-01-22T00:00:00"/>
    <n v="300000"/>
    <s v="Laborda Carlos SAN MIGUEL DE TUCUMAN 14"/>
    <x v="57"/>
    <n v="300000"/>
    <x v="8"/>
    <x v="0"/>
    <s v="pagado"/>
    <s v="pagado"/>
    <s v="excluir"/>
    <s v="no semana"/>
    <x v="0"/>
  </r>
  <r>
    <n v="3000000105"/>
    <d v="2025-01-22T00:00:00"/>
    <n v="300000"/>
    <s v="Laborda Carlos SAN MIGUEL DE TUCUMAN 14"/>
    <x v="58"/>
    <n v="300000"/>
    <x v="8"/>
    <x v="0"/>
    <s v="pagado"/>
    <s v="pagado"/>
    <s v="excluir"/>
    <s v="no semana"/>
    <x v="0"/>
  </r>
  <r>
    <n v="3000000105"/>
    <d v="2025-01-22T00:00:00"/>
    <n v="500000"/>
    <s v="Laborda Carlos SAN MIGUEL DE TUCUMAN 14"/>
    <x v="59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0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1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2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3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4"/>
    <n v="500000"/>
    <x v="10"/>
    <x v="0"/>
    <s v="pagado"/>
    <s v="pagado"/>
    <s v="excluir"/>
    <s v="no semana"/>
    <x v="0"/>
  </r>
  <r>
    <n v="3000000105"/>
    <d v="2025-01-22T00:00:00"/>
    <n v="500000"/>
    <s v="Laborda Carlos SAN MIGUEL DE TUCUMAN 14"/>
    <x v="65"/>
    <n v="500000"/>
    <x v="10"/>
    <x v="0"/>
    <s v="pagado"/>
    <s v="pagado"/>
    <s v="excluir"/>
    <s v="no semana"/>
    <x v="0"/>
  </r>
  <r>
    <n v="3000000105"/>
    <d v="2025-01-22T00:00:00"/>
    <n v="1200000"/>
    <s v="Laborda Carlos SAN MIGUEL DE TUCUMAN 14"/>
    <x v="66"/>
    <n v="1200000"/>
    <x v="9"/>
    <x v="0"/>
    <s v="pagado"/>
    <s v="pagado"/>
    <s v="excluir"/>
    <s v="no semana"/>
    <x v="0"/>
  </r>
  <r>
    <n v="3000000105"/>
    <d v="2025-01-22T00:00:00"/>
    <n v="30000000"/>
    <s v="Laborda Carlos SAN MIGUEL DE TUCUMAN 14"/>
    <x v="67"/>
    <n v="30000000"/>
    <x v="9"/>
    <x v="0"/>
    <s v="pagado"/>
    <s v="pagado"/>
    <s v="excluir"/>
    <s v="no semana"/>
    <x v="0"/>
  </r>
  <r>
    <n v="3000000105"/>
    <d v="2025-01-22T00:00:00"/>
    <n v="3000000"/>
    <s v="Laborda Carlos SAN MIGUEL DE TUCUMAN 14"/>
    <x v="68"/>
    <n v="3000000"/>
    <x v="9"/>
    <x v="0"/>
    <s v="pagado"/>
    <s v="pagado"/>
    <s v="excluir"/>
    <s v="no semana"/>
    <x v="0"/>
  </r>
  <r>
    <n v="3000000105"/>
    <d v="2025-01-22T00:00:00"/>
    <n v="3169268.9"/>
    <s v="Laborda Carlos SAN MIGUEL DE TUCUMAN 14"/>
    <x v="69"/>
    <n v="3169268.9"/>
    <x v="9"/>
    <x v="0"/>
    <s v="pagado"/>
    <s v="pagado"/>
    <s v="excluir"/>
    <s v="no semana"/>
    <x v="0"/>
  </r>
  <r>
    <n v="3000000121"/>
    <d v="2025-01-23T00:00:00"/>
    <n v="1000000"/>
    <s v="Pulmajo S.R.L. CONCEPCION 14"/>
    <x v="70"/>
    <n v="1000000"/>
    <x v="8"/>
    <x v="0"/>
    <s v="pagado"/>
    <s v="pagado"/>
    <s v="excluir"/>
    <s v="no semana"/>
    <x v="0"/>
  </r>
  <r>
    <n v="3000000121"/>
    <d v="2025-01-23T00:00:00"/>
    <n v="1000000"/>
    <s v="Pulmajo S.R.L. CONCEPCION 14"/>
    <x v="71"/>
    <n v="1000000"/>
    <x v="8"/>
    <x v="0"/>
    <s v="pagado"/>
    <s v="pagado"/>
    <s v="excluir"/>
    <s v="no semana"/>
    <x v="0"/>
  </r>
  <r>
    <n v="3000000121"/>
    <d v="2025-01-23T00:00:00"/>
    <n v="2000000"/>
    <s v="Pulmajo S.R.L. CONCEPCION 14"/>
    <x v="72"/>
    <n v="2000000"/>
    <x v="8"/>
    <x v="0"/>
    <s v="pagado"/>
    <s v="pagado"/>
    <s v="excluir"/>
    <s v="no semana"/>
    <x v="0"/>
  </r>
  <r>
    <n v="3000000121"/>
    <d v="2025-01-23T00:00:00"/>
    <n v="2000000"/>
    <s v="Pulmajo S.R.L. CONCEPCION 14"/>
    <x v="73"/>
    <n v="2000000"/>
    <x v="8"/>
    <x v="0"/>
    <s v="pagado"/>
    <s v="pagado"/>
    <s v="excluir"/>
    <s v="no semana"/>
    <x v="0"/>
  </r>
  <r>
    <n v="3000000121"/>
    <d v="2025-01-23T00:00:00"/>
    <n v="3000000"/>
    <s v="Pulmajo S.R.L. CONCEPCION 14"/>
    <x v="74"/>
    <n v="3000000"/>
    <x v="8"/>
    <x v="0"/>
    <s v="pagado"/>
    <s v="pagado"/>
    <s v="excluir"/>
    <s v="no semana"/>
    <x v="0"/>
  </r>
  <r>
    <n v="3000000121"/>
    <d v="2025-01-23T00:00:00"/>
    <n v="3000000"/>
    <s v="Pulmajo S.R.L. CONCEPCION 14"/>
    <x v="75"/>
    <n v="3000000"/>
    <x v="8"/>
    <x v="0"/>
    <s v="pagado"/>
    <s v="pagado"/>
    <s v="excluir"/>
    <s v="no semana"/>
    <x v="0"/>
  </r>
  <r>
    <n v="3000000121"/>
    <d v="2025-01-23T00:00:00"/>
    <n v="5000000"/>
    <s v="Pulmajo S.R.L. CONCEPCION 14"/>
    <x v="76"/>
    <n v="5000000"/>
    <x v="10"/>
    <x v="0"/>
    <s v="pagado"/>
    <s v="pagado"/>
    <s v="excluir"/>
    <s v="no semana"/>
    <x v="0"/>
  </r>
  <r>
    <n v="3000000121"/>
    <d v="2025-01-23T00:00:00"/>
    <n v="5000000"/>
    <s v="Pulmajo S.R.L. CONCEPCION 14"/>
    <x v="77"/>
    <n v="5000000"/>
    <x v="10"/>
    <x v="0"/>
    <s v="pagado"/>
    <s v="pagado"/>
    <s v="excluir"/>
    <s v="no semana"/>
    <x v="0"/>
  </r>
  <r>
    <n v="3000000121"/>
    <d v="2025-01-23T00:00:00"/>
    <n v="5000000"/>
    <s v="Pulmajo S.R.L. CONCEPCION 14"/>
    <x v="78"/>
    <n v="5000000"/>
    <x v="10"/>
    <x v="0"/>
    <s v="pagado"/>
    <s v="pagado"/>
    <s v="excluir"/>
    <s v="no semana"/>
    <x v="0"/>
  </r>
  <r>
    <n v="3000000121"/>
    <d v="2025-01-23T00:00:00"/>
    <n v="5000000"/>
    <s v="Pulmajo S.R.L. CONCEPCION 14"/>
    <x v="79"/>
    <n v="5000000"/>
    <x v="10"/>
    <x v="0"/>
    <s v="pagado"/>
    <s v="pagado"/>
    <s v="excluir"/>
    <s v="no semana"/>
    <x v="0"/>
  </r>
  <r>
    <n v="3000000121"/>
    <d v="2025-01-23T00:00:00"/>
    <n v="5000000"/>
    <s v="Pulmajo S.R.L. CONCEPCION 14"/>
    <x v="80"/>
    <n v="5000000"/>
    <x v="10"/>
    <x v="0"/>
    <s v="pagado"/>
    <s v="pagado"/>
    <s v="excluir"/>
    <s v="no semana"/>
    <x v="0"/>
  </r>
  <r>
    <n v="3000000121"/>
    <d v="2025-01-23T00:00:00"/>
    <n v="5000000"/>
    <s v="Pulmajo S.R.L. CONCEPCION 14"/>
    <x v="81"/>
    <n v="5000000"/>
    <x v="9"/>
    <x v="0"/>
    <s v="pagado"/>
    <s v="pagado"/>
    <s v="excluir"/>
    <s v="no semana"/>
    <x v="0"/>
  </r>
  <r>
    <n v="3000000121"/>
    <d v="2025-01-23T00:00:00"/>
    <n v="5000000"/>
    <s v="Pulmajo S.R.L. CONCEPCION 14"/>
    <x v="82"/>
    <n v="5000000"/>
    <x v="9"/>
    <x v="0"/>
    <s v="pagado"/>
    <s v="pagado"/>
    <s v="excluir"/>
    <s v="no semana"/>
    <x v="0"/>
  </r>
  <r>
    <n v="3000000121"/>
    <d v="2025-01-23T00:00:00"/>
    <n v="5000000"/>
    <s v="Pulmajo S.R.L. CONCEPCION 14"/>
    <x v="83"/>
    <n v="5000000"/>
    <x v="9"/>
    <x v="0"/>
    <s v="pagado"/>
    <s v="pagado"/>
    <s v="excluir"/>
    <s v="no semana"/>
    <x v="0"/>
  </r>
  <r>
    <n v="3000000121"/>
    <d v="2025-01-23T00:00:00"/>
    <n v="5000000"/>
    <s v="Pulmajo S.R.L. CONCEPCION 14"/>
    <x v="84"/>
    <n v="5000000"/>
    <x v="9"/>
    <x v="0"/>
    <s v="pagado"/>
    <s v="pagado"/>
    <s v="excluir"/>
    <s v="no semana"/>
    <x v="0"/>
  </r>
  <r>
    <n v="3000000121"/>
    <d v="2025-01-23T00:00:00"/>
    <n v="5897766.25"/>
    <s v="Pulmajo S.R.L. CONCEPCION 14"/>
    <x v="85"/>
    <n v="5897766.25"/>
    <x v="9"/>
    <x v="0"/>
    <s v="pagado"/>
    <s v="pagado"/>
    <s v="excluir"/>
    <s v="no semana"/>
    <x v="0"/>
  </r>
  <r>
    <n v="3000000137"/>
    <d v="2025-01-28T00:00:00"/>
    <n v="10000000"/>
    <s v="Pulverizaciones Tuninetti S.R.Las Rosas 01"/>
    <x v="86"/>
    <n v="10000000"/>
    <x v="11"/>
    <x v="0"/>
    <s v="pagado"/>
    <s v="pagado"/>
    <s v="excluir"/>
    <s v="no semana"/>
    <x v="0"/>
  </r>
  <r>
    <n v="3000000137"/>
    <d v="2025-01-28T00:00:00"/>
    <n v="10058167.15"/>
    <s v="Pulverizaciones Tuninetti S.R.Las Rosas 01"/>
    <x v="87"/>
    <n v="10058167.15"/>
    <x v="12"/>
    <x v="0"/>
    <s v="pagado"/>
    <s v="pagado"/>
    <s v="excluir"/>
    <s v="no semana"/>
    <x v="0"/>
  </r>
  <r>
    <n v="3000000139"/>
    <d v="2025-01-28T00:00:00"/>
    <n v="10000000"/>
    <s v="MARIA FERNANDA SRL LA TRINIDAD 14"/>
    <x v="88"/>
    <n v="10000000"/>
    <x v="11"/>
    <x v="0"/>
    <s v="pagado"/>
    <s v="pagado"/>
    <s v="excluir"/>
    <s v="no semana"/>
    <x v="0"/>
  </r>
  <r>
    <n v="3000000139"/>
    <d v="2025-01-28T00:00:00"/>
    <n v="10351673.4"/>
    <s v="MARIA FERNANDA SRL LA TRINIDAD 14"/>
    <x v="89"/>
    <n v="10351673.4"/>
    <x v="12"/>
    <x v="0"/>
    <s v="pagado"/>
    <s v="pagado"/>
    <s v="excluir"/>
    <s v="no semana"/>
    <x v="0"/>
  </r>
  <r>
    <n v="3000000136"/>
    <d v="2025-01-28T00:00:00"/>
    <n v="12503219.4"/>
    <s v="AYALA HERNAN OSVALDO SAN MIGUEL DE TUCUMAN 14"/>
    <x v="90"/>
    <n v="12503219.4"/>
    <x v="11"/>
    <x v="0"/>
    <s v="pagado"/>
    <s v="pagado"/>
    <s v="excluir"/>
    <s v="no semana"/>
    <x v="0"/>
  </r>
  <r>
    <n v="3000000138"/>
    <d v="2025-01-28T00:00:00"/>
    <n v="6705396.2999999998"/>
    <s v="IBAÑEZ MAXIMILIANO DAVID JUAN BAUTISTA ALBERDI 14"/>
    <x v="91"/>
    <n v="6705396.2999999998"/>
    <x v="11"/>
    <x v="0"/>
    <s v="pagado"/>
    <s v="pagado"/>
    <s v="excluir"/>
    <s v="no semana"/>
    <x v="0"/>
  </r>
  <r>
    <n v="3000000140"/>
    <d v="2025-01-28T00:00:00"/>
    <n v="7096905.2999999998"/>
    <s v="PETROANDINA S.R.L SALTA 09"/>
    <x v="92"/>
    <n v="7096905.2999999998"/>
    <x v="11"/>
    <x v="0"/>
    <s v="pagado"/>
    <s v="pagado"/>
    <s v="excluir"/>
    <s v="no semana"/>
    <x v="0"/>
  </r>
  <r>
    <n v="3000000141"/>
    <d v="2025-01-28T00:00:00"/>
    <n v="7715669.8200000003"/>
    <s v="SERVICOM S.R.L SAN MIGUEL DE TUCUMAN 14"/>
    <x v="93"/>
    <n v="7715669.8200000003"/>
    <x v="11"/>
    <x v="0"/>
    <s v="pagado"/>
    <s v="pagado"/>
    <s v="excluir"/>
    <s v="no semana"/>
    <x v="0"/>
  </r>
  <r>
    <n v="3000000144"/>
    <d v="2025-01-29T00:00:00"/>
    <n v="12333090"/>
    <s v="EDET S.A. SAN MIGUEL DE TUCUMAN 14"/>
    <x v="94"/>
    <n v="12333090"/>
    <x v="13"/>
    <x v="0"/>
    <s v="pagado"/>
    <s v="pagado"/>
    <s v="excluir"/>
    <s v="no semana"/>
    <x v="0"/>
  </r>
  <r>
    <n v="3000000151"/>
    <d v="2025-01-30T00:00:00"/>
    <n v="447098.88"/>
    <s v="Ventimiglia Nelly Irma Jesus Maria 03"/>
    <x v="95"/>
    <n v="447098.88"/>
    <x v="11"/>
    <x v="0"/>
    <s v="pagado"/>
    <s v="pagado"/>
    <s v="excluir"/>
    <s v="no semana"/>
    <x v="0"/>
  </r>
  <r>
    <n v="3000000152"/>
    <d v="2025-01-30T00:00:00"/>
    <n v="670237.47"/>
    <s v="RODRIGUEZ NESTOR HORACIO YERBA BUENA 14"/>
    <x v="96"/>
    <n v="670237.47"/>
    <x v="11"/>
    <x v="0"/>
    <s v="pagado"/>
    <s v="pagado"/>
    <s v="excluir"/>
    <s v="no semana"/>
    <x v="0"/>
  </r>
  <r>
    <n v="3000000162"/>
    <d v="2025-01-31T00:00:00"/>
    <n v="11090156.210000001"/>
    <s v="SAN LORENZO CEREALES S.R.L SAN LORENZO 12"/>
    <x v="97"/>
    <n v="11090156.210000001"/>
    <x v="14"/>
    <x v="0"/>
    <s v="pagado"/>
    <s v="pagado"/>
    <s v="excluir"/>
    <s v="no semana"/>
    <x v="0"/>
  </r>
  <r>
    <n v="3000000163"/>
    <d v="2025-01-31T00:00:00"/>
    <n v="16676986.76"/>
    <s v="JAVIER EDUARDO PRADO FLORIDA 13"/>
    <x v="98"/>
    <n v="16676986.76"/>
    <x v="14"/>
    <x v="0"/>
    <s v="pagado"/>
    <s v="pagado"/>
    <s v="excluir"/>
    <s v="no semana"/>
    <x v="0"/>
  </r>
  <r>
    <n v="3000000176"/>
    <d v="2025-02-04T00:00:00"/>
    <n v="1000000"/>
    <s v="Pulmajo S.R.L. CONCEPCION 14"/>
    <x v="99"/>
    <n v="1000000"/>
    <x v="15"/>
    <x v="0"/>
    <s v="pagado"/>
    <s v="pagado"/>
    <s v="excluir"/>
    <s v="no semana"/>
    <x v="0"/>
  </r>
  <r>
    <n v="3000000176"/>
    <d v="2025-02-04T00:00:00"/>
    <n v="1000000"/>
    <s v="Pulmajo S.R.L. CONCEPCION 14"/>
    <x v="100"/>
    <n v="1000000"/>
    <x v="15"/>
    <x v="0"/>
    <s v="pagado"/>
    <s v="pagado"/>
    <s v="excluir"/>
    <s v="no semana"/>
    <x v="0"/>
  </r>
  <r>
    <n v="3000000176"/>
    <d v="2025-02-04T00:00:00"/>
    <n v="2000000"/>
    <s v="Pulmajo S.R.L. CONCEPCION 14"/>
    <x v="101"/>
    <n v="2000000"/>
    <x v="15"/>
    <x v="0"/>
    <s v="pagado"/>
    <s v="pagado"/>
    <s v="excluir"/>
    <s v="no semana"/>
    <x v="0"/>
  </r>
  <r>
    <n v="3000000176"/>
    <d v="2025-02-04T00:00:00"/>
    <n v="2000000"/>
    <s v="Pulmajo S.R.L. CONCEPCION 14"/>
    <x v="102"/>
    <n v="2000000"/>
    <x v="15"/>
    <x v="0"/>
    <s v="pagado"/>
    <s v="pagado"/>
    <s v="excluir"/>
    <s v="no semana"/>
    <x v="0"/>
  </r>
  <r>
    <n v="3000000176"/>
    <d v="2025-02-04T00:00:00"/>
    <n v="5000000"/>
    <s v="Pulmajo S.R.L. CONCEPCION 14"/>
    <x v="103"/>
    <n v="5000000"/>
    <x v="16"/>
    <x v="0"/>
    <s v="pagado"/>
    <s v="pagado"/>
    <s v="excluir"/>
    <s v="no semana"/>
    <x v="0"/>
  </r>
  <r>
    <n v="3000000176"/>
    <d v="2025-02-04T00:00:00"/>
    <n v="5000000"/>
    <s v="Pulmajo S.R.L. CONCEPCION 14"/>
    <x v="104"/>
    <n v="5000000"/>
    <x v="16"/>
    <x v="0"/>
    <s v="pagado"/>
    <s v="pagado"/>
    <s v="excluir"/>
    <s v="no semana"/>
    <x v="0"/>
  </r>
  <r>
    <n v="3000000176"/>
    <d v="2025-02-04T00:00:00"/>
    <n v="5000000"/>
    <s v="Pulmajo S.R.L. CONCEPCION 14"/>
    <x v="105"/>
    <n v="5000000"/>
    <x v="16"/>
    <x v="0"/>
    <s v="pagado"/>
    <s v="pagado"/>
    <s v="excluir"/>
    <s v="no semana"/>
    <x v="0"/>
  </r>
  <r>
    <n v="3000000176"/>
    <d v="2025-02-04T00:00:00"/>
    <n v="112652.85"/>
    <s v="Pulmajo S.R.L. CONCEPCION 14"/>
    <x v="106"/>
    <n v="112652.85"/>
    <x v="16"/>
    <x v="0"/>
    <s v="no pagado"/>
    <s v="fuera de fecha"/>
    <s v="excluir"/>
    <s v="no semana"/>
    <x v="0"/>
  </r>
  <r>
    <n v="3000000182"/>
    <d v="2025-02-05T00:00:00"/>
    <n v="7560293.4000000004"/>
    <s v="LOS LAURELES SERVICIOS AGRICOLSan Miguel De Tucuman 14"/>
    <x v="107"/>
    <n v="7560293.4000000004"/>
    <x v="16"/>
    <x v="1"/>
    <s v="pagado"/>
    <s v="pagado"/>
    <s v="excluir"/>
    <s v="no semana"/>
    <x v="0"/>
  </r>
  <r>
    <n v="3000000183"/>
    <d v="2025-02-05T00:00:00"/>
    <n v="12297143.4"/>
    <s v="CARIGNANO RAUL JUAN YERBA BUENA 14"/>
    <x v="108"/>
    <n v="12297143.4"/>
    <x v="16"/>
    <x v="1"/>
    <s v="pagado"/>
    <s v="pagado"/>
    <s v="excluir"/>
    <s v="no semana"/>
    <x v="0"/>
  </r>
  <r>
    <n v="3000000184"/>
    <d v="2025-02-05T00:00:00"/>
    <n v="5724935.4000000004"/>
    <s v="EL CERRITO SRL CERRILLOS 09"/>
    <x v="109"/>
    <n v="5724935.4000000004"/>
    <x v="16"/>
    <x v="1"/>
    <s v="pagado"/>
    <s v="pagado"/>
    <s v="excluir"/>
    <s v="no semana"/>
    <x v="0"/>
  </r>
  <r>
    <n v="3000000185"/>
    <d v="2025-02-05T00:00:00"/>
    <n v="11745311.539999999"/>
    <s v="BUSTOS EXEQUIEL ANTONIO BANDA DEL RIO SALI 14"/>
    <x v="110"/>
    <n v="11745311.539999999"/>
    <x v="17"/>
    <x v="1"/>
    <s v="pagado"/>
    <s v="pagado"/>
    <s v="excluir"/>
    <s v="no semana"/>
    <x v="0"/>
  </r>
  <r>
    <n v="3000000186"/>
    <d v="2025-02-05T00:00:00"/>
    <n v="8495499.3399999999"/>
    <s v="AGROTRANSPORTE ALDAO S.A. CAMILO ALDAO 03"/>
    <x v="111"/>
    <n v="8495499.3399999999"/>
    <x v="17"/>
    <x v="1"/>
    <s v="pagado"/>
    <s v="pagado"/>
    <s v="excluir"/>
    <s v="no semana"/>
    <x v="0"/>
  </r>
  <r>
    <n v="3000000187"/>
    <d v="2025-02-05T00:00:00"/>
    <n v="1569578.57"/>
    <s v="CAMPOSTRINI S R L VILLAGUAY 05"/>
    <x v="112"/>
    <n v="1569578.57"/>
    <x v="16"/>
    <x v="1"/>
    <s v="pagado"/>
    <s v="pagado"/>
    <s v="excluir"/>
    <s v="no semana"/>
    <x v="0"/>
  </r>
  <r>
    <n v="3000000188"/>
    <d v="2025-02-05T00:00:00"/>
    <n v="15715717.939999999"/>
    <s v="LAVENIA VITO CARMELO LASTENIA 14"/>
    <x v="113"/>
    <n v="15715717.939999999"/>
    <x v="17"/>
    <x v="1"/>
    <s v="pagado"/>
    <s v="pagado"/>
    <s v="excluir"/>
    <s v="no semana"/>
    <x v="0"/>
  </r>
  <r>
    <n v="3000000189"/>
    <d v="2025-02-05T00:00:00"/>
    <n v="4418438.22"/>
    <s v="TRANS TRUCKS SRL SOLDINI 12"/>
    <x v="114"/>
    <n v="4418438.22"/>
    <x v="16"/>
    <x v="1"/>
    <s v="pagado"/>
    <s v="pagado"/>
    <s v="excluir"/>
    <s v="no semana"/>
    <x v="0"/>
  </r>
  <r>
    <n v="3000000190"/>
    <d v="2025-02-05T00:00:00"/>
    <n v="9950269.6699999999"/>
    <s v="TRANSPORTE Y LOGISTICA DEL ESTLAS CEJAS 14"/>
    <x v="115"/>
    <n v="9950269.6699999999"/>
    <x v="16"/>
    <x v="1"/>
    <s v="pagado"/>
    <s v="pagado"/>
    <s v="excluir"/>
    <s v="no semana"/>
    <x v="0"/>
  </r>
  <r>
    <n v="3000000191"/>
    <d v="2025-02-05T00:00:00"/>
    <n v="5148588.67"/>
    <s v="MOYANO JULIO CESAR BANDA DEL RIO SALI 14"/>
    <x v="116"/>
    <n v="5148588.67"/>
    <x v="16"/>
    <x v="1"/>
    <s v="pagado"/>
    <s v="pagado"/>
    <s v="excluir"/>
    <s v="no semana"/>
    <x v="0"/>
  </r>
  <r>
    <n v="3000000192"/>
    <d v="2025-02-05T00:00:00"/>
    <n v="1265258.33"/>
    <s v="CAJAL JUAN MARTIN SAN MIGUEL DE TUCUMAN 14"/>
    <x v="117"/>
    <n v="1265258.33"/>
    <x v="16"/>
    <x v="1"/>
    <s v="pagado"/>
    <s v="pagado"/>
    <s v="excluir"/>
    <s v="no semana"/>
    <x v="0"/>
  </r>
  <r>
    <n v="3000000193"/>
    <d v="2025-02-05T00:00:00"/>
    <n v="1714036.72"/>
    <s v="GIRAUD SILVIA DEL CARMEN RAMONCRESPO 05"/>
    <x v="118"/>
    <n v="1714036.72"/>
    <x v="16"/>
    <x v="1"/>
    <s v="pagado"/>
    <s v="pagado"/>
    <s v="excluir"/>
    <s v="no semana"/>
    <x v="0"/>
  </r>
  <r>
    <n v="3000000194"/>
    <d v="2025-02-05T00:00:00"/>
    <n v="4207024.83"/>
    <s v="PAIS WALTER LUIS SAN MIGUEL DE TUCUMAN 14"/>
    <x v="119"/>
    <n v="4207024.83"/>
    <x v="16"/>
    <x v="1"/>
    <s v="pagado"/>
    <s v="pagado"/>
    <s v="excluir"/>
    <s v="no semana"/>
    <x v="0"/>
  </r>
  <r>
    <n v="3000000195"/>
    <d v="2025-02-05T00:00:00"/>
    <n v="18115857.57"/>
    <s v="FLETES Y SERVICIOS PUJATO S.A PUJATO 12"/>
    <x v="120"/>
    <n v="18115857.57"/>
    <x v="18"/>
    <x v="1"/>
    <s v="pagado"/>
    <s v="pagado"/>
    <s v="excluir"/>
    <s v="no semana"/>
    <x v="0"/>
  </r>
  <r>
    <n v="3000000196"/>
    <d v="2025-02-05T00:00:00"/>
    <n v="19483734.969999999"/>
    <s v="TRANSPORTE BARBERAN HNOS SRL CHABAS 12"/>
    <x v="121"/>
    <n v="19483734.969999999"/>
    <x v="18"/>
    <x v="1"/>
    <s v="pagado"/>
    <s v="pagado"/>
    <s v="excluir"/>
    <s v="no semana"/>
    <x v="0"/>
  </r>
  <r>
    <n v="3000000218"/>
    <d v="2025-02-11T00:00:00"/>
    <n v="1553117.04"/>
    <s v="ROMAN BARCELO Y JORGE CARRERASLAS LAJITAS 09"/>
    <x v="122"/>
    <n v="1553117.04"/>
    <x v="19"/>
    <x v="0"/>
    <s v="pagado"/>
    <s v="pagado"/>
    <s v="excluir"/>
    <s v="no semana"/>
    <x v="0"/>
  </r>
  <r>
    <n v="3000000224"/>
    <d v="2025-02-11T00:00:00"/>
    <n v="5000000"/>
    <s v="Ventimiglia Nelly Irma Jesus Maria 03"/>
    <x v="123"/>
    <n v="5000000"/>
    <x v="20"/>
    <x v="1"/>
    <s v="pagado"/>
    <s v="pagado"/>
    <s v="excluir"/>
    <s v="no semana"/>
    <x v="0"/>
  </r>
  <r>
    <n v="3000000224"/>
    <d v="2025-02-11T00:00:00"/>
    <n v="4642304.7699999996"/>
    <s v="Ventimiglia Nelly Irma Jesus Maria 03"/>
    <x v="124"/>
    <n v="4642304.7699999996"/>
    <x v="20"/>
    <x v="1"/>
    <s v="pagado"/>
    <s v="pagado"/>
    <s v="excluir"/>
    <s v="no semana"/>
    <x v="0"/>
  </r>
  <r>
    <n v="3000000227"/>
    <d v="2025-02-11T00:00:00"/>
    <n v="8000000"/>
    <s v="AYALA WALTER DANIEL ALDERETES 14"/>
    <x v="125"/>
    <n v="8000000"/>
    <x v="21"/>
    <x v="1"/>
    <s v="pagado"/>
    <s v="pagado"/>
    <s v="excluir"/>
    <s v="no semana"/>
    <x v="0"/>
  </r>
  <r>
    <n v="3000000227"/>
    <d v="2025-02-11T00:00:00"/>
    <n v="8745327.6400000006"/>
    <s v="AYALA WALTER DANIEL ALDERETES 14"/>
    <x v="126"/>
    <n v="8745327.6400000006"/>
    <x v="20"/>
    <x v="1"/>
    <s v="pagado"/>
    <s v="pagado"/>
    <s v="excluir"/>
    <s v="no semana"/>
    <x v="0"/>
  </r>
  <r>
    <n v="3000000228"/>
    <d v="2025-02-11T00:00:00"/>
    <n v="3371689.67"/>
    <s v="AYALA HERNAN OSVALDO SAN MIGUEL DE TUCUMAN 14"/>
    <x v="127"/>
    <n v="3371689.67"/>
    <x v="21"/>
    <x v="1"/>
    <s v="pagado"/>
    <s v="pagado"/>
    <s v="excluir"/>
    <s v="no semana"/>
    <x v="0"/>
  </r>
  <r>
    <n v="3000000228"/>
    <d v="2025-02-11T00:00:00"/>
    <n v="3371689.67"/>
    <s v="AYALA HERNAN OSVALDO SAN MIGUEL DE TUCUMAN 14"/>
    <x v="128"/>
    <n v="3371689.67"/>
    <x v="21"/>
    <x v="1"/>
    <s v="pagado"/>
    <s v="pagado"/>
    <s v="excluir"/>
    <s v="no semana"/>
    <x v="0"/>
  </r>
  <r>
    <n v="3000000228"/>
    <d v="2025-02-11T00:00:00"/>
    <n v="7722248.1600000001"/>
    <s v="AYALA HERNAN OSVALDO SAN MIGUEL DE TUCUMAN 14"/>
    <x v="129"/>
    <n v="7722248.1600000001"/>
    <x v="20"/>
    <x v="1"/>
    <s v="pagado"/>
    <s v="pagado"/>
    <s v="excluir"/>
    <s v="no semana"/>
    <x v="0"/>
  </r>
  <r>
    <n v="3000000229"/>
    <d v="2025-02-11T00:00:00"/>
    <n v="15000000"/>
    <s v="CARIGNANO RAUL JUAN YERBA BUENA 14"/>
    <x v="130"/>
    <n v="15000000"/>
    <x v="20"/>
    <x v="1"/>
    <s v="pagado"/>
    <s v="pagado"/>
    <s v="excluir"/>
    <s v="no semana"/>
    <x v="0"/>
  </r>
  <r>
    <n v="3000000229"/>
    <d v="2025-02-11T00:00:00"/>
    <n v="12768015"/>
    <s v="CARIGNANO RAUL JUAN YERBA BUENA 14"/>
    <x v="131"/>
    <n v="12768015"/>
    <x v="22"/>
    <x v="1"/>
    <s v="pagado"/>
    <s v="pagado"/>
    <s v="excluir"/>
    <s v="no semana"/>
    <x v="0"/>
  </r>
  <r>
    <n v="3000000222"/>
    <d v="2025-02-11T00:00:00"/>
    <n v="9238792.0299999993"/>
    <s v="BERCOVICH COMERCIAL SAS SAN MIGUEL DE TUCUMAN 14"/>
    <x v="132"/>
    <n v="9238792.0299999993"/>
    <x v="21"/>
    <x v="1"/>
    <s v="pagado"/>
    <s v="pagado"/>
    <s v="excluir"/>
    <s v="no semana"/>
    <x v="0"/>
  </r>
  <r>
    <n v="3000000223"/>
    <d v="2025-02-11T00:00:00"/>
    <n v="5225008.0999999996"/>
    <s v="YOMEL S.A. 9 de Julio 01"/>
    <x v="133"/>
    <n v="5225008.0999999996"/>
    <x v="21"/>
    <x v="1"/>
    <s v="pagado"/>
    <s v="pagado"/>
    <s v="excluir"/>
    <s v="no semana"/>
    <x v="0"/>
  </r>
  <r>
    <n v="3000000225"/>
    <d v="2025-02-11T00:00:00"/>
    <n v="5407820.4000000004"/>
    <s v="MARTO ALBERTO ANTONIO LA RAMADA DE ABAJO 14"/>
    <x v="134"/>
    <n v="5407820.4000000004"/>
    <x v="20"/>
    <x v="1"/>
    <s v="pagado"/>
    <s v="pagado"/>
    <s v="excluir"/>
    <s v="no semana"/>
    <x v="0"/>
  </r>
  <r>
    <n v="3000000226"/>
    <d v="2025-02-11T00:00:00"/>
    <n v="8089410.7999999998"/>
    <s v="Pulverizaciones Tuninetti S.R.Las Rosas 01"/>
    <x v="135"/>
    <n v="8089410.7999999998"/>
    <x v="20"/>
    <x v="1"/>
    <s v="pagado"/>
    <s v="pagado"/>
    <s v="excluir"/>
    <s v="no semana"/>
    <x v="0"/>
  </r>
  <r>
    <n v="3000000240"/>
    <d v="2025-02-12T00:00:00"/>
    <n v="20000000"/>
    <s v="Medina Lauro Jose Las Cejas 14"/>
    <x v="136"/>
    <n v="20000000"/>
    <x v="20"/>
    <x v="0"/>
    <s v="pagado"/>
    <s v="pagado"/>
    <s v="excluir"/>
    <s v="no semana"/>
    <x v="0"/>
  </r>
  <r>
    <n v="3000000240"/>
    <d v="2025-02-12T00:00:00"/>
    <n v="21376519.550000001"/>
    <s v="Medina Lauro Jose Las Cejas 14"/>
    <x v="137"/>
    <n v="21376519.550000001"/>
    <x v="22"/>
    <x v="0"/>
    <s v="pagado"/>
    <s v="pagado"/>
    <s v="excluir"/>
    <s v="no semana"/>
    <x v="0"/>
  </r>
  <r>
    <n v="3000000241"/>
    <d v="2025-02-12T00:00:00"/>
    <n v="20000000"/>
    <s v="MARIA FERNANDA SRL LA TRINIDAD 14"/>
    <x v="138"/>
    <n v="20000000"/>
    <x v="20"/>
    <x v="0"/>
    <s v="pagado"/>
    <s v="pagado"/>
    <s v="excluir"/>
    <s v="no semana"/>
    <x v="0"/>
  </r>
  <r>
    <n v="3000000241"/>
    <d v="2025-02-12T00:00:00"/>
    <n v="16793507.399999999"/>
    <s v="MARIA FERNANDA SRL LA TRINIDAD 14"/>
    <x v="139"/>
    <n v="16793507.399999999"/>
    <x v="22"/>
    <x v="0"/>
    <s v="pagado"/>
    <s v="pagado"/>
    <s v="excluir"/>
    <s v="no semana"/>
    <x v="0"/>
  </r>
  <r>
    <n v="3000000242"/>
    <d v="2025-02-12T00:00:00"/>
    <n v="20000000"/>
    <s v="JAVIER EDUARDO PRADO FLORIDA 13"/>
    <x v="140"/>
    <n v="20000000"/>
    <x v="20"/>
    <x v="0"/>
    <s v="pagado"/>
    <s v="pagado"/>
    <s v="excluir"/>
    <s v="no semana"/>
    <x v="0"/>
  </r>
  <r>
    <n v="3000000242"/>
    <d v="2025-02-12T00:00:00"/>
    <n v="14668643.17"/>
    <s v="JAVIER EDUARDO PRADO FLORIDA 13"/>
    <x v="141"/>
    <n v="14668643.17"/>
    <x v="22"/>
    <x v="0"/>
    <s v="pagado"/>
    <s v="pagado"/>
    <s v="excluir"/>
    <s v="no semana"/>
    <x v="0"/>
  </r>
  <r>
    <n v="3000000259"/>
    <d v="2025-02-17T00:00:00"/>
    <n v="4000000"/>
    <s v="Ventimiglia Nelly Irma Jesus Maria 03"/>
    <x v="142"/>
    <n v="4000000"/>
    <x v="23"/>
    <x v="0"/>
    <s v="pagado"/>
    <s v="pagado"/>
    <s v="excluir"/>
    <s v="no semana"/>
    <x v="0"/>
  </r>
  <r>
    <n v="3000000259"/>
    <d v="2025-02-17T00:00:00"/>
    <n v="3746526.25"/>
    <s v="Ventimiglia Nelly Irma Jesus Maria 03"/>
    <x v="143"/>
    <n v="3746526.25"/>
    <x v="24"/>
    <x v="0"/>
    <s v="pagado"/>
    <s v="pagado"/>
    <s v="excluir"/>
    <s v="no semana"/>
    <x v="0"/>
  </r>
  <r>
    <n v="3000000260"/>
    <d v="2025-02-17T00:00:00"/>
    <n v="2000000"/>
    <s v="AYALA WALTER DANIEL ALDERETES 14"/>
    <x v="144"/>
    <n v="2000000"/>
    <x v="23"/>
    <x v="0"/>
    <s v="pagado"/>
    <s v="pagado"/>
    <s v="excluir"/>
    <s v="no semana"/>
    <x v="0"/>
  </r>
  <r>
    <n v="3000000260"/>
    <d v="2025-02-17T00:00:00"/>
    <n v="2147288.7000000002"/>
    <s v="AYALA WALTER DANIEL ALDERETES 14"/>
    <x v="145"/>
    <n v="2147288.7000000002"/>
    <x v="24"/>
    <x v="0"/>
    <s v="pagado"/>
    <s v="pagado"/>
    <s v="excluir"/>
    <s v="no semana"/>
    <x v="0"/>
  </r>
  <r>
    <n v="3000000263"/>
    <d v="2025-02-17T00:00:00"/>
    <n v="8000000"/>
    <s v="DON KOKO S.R.L CAMILO ALDAO 03"/>
    <x v="146"/>
    <n v="8000000"/>
    <x v="23"/>
    <x v="0"/>
    <s v="pagado"/>
    <s v="pagado"/>
    <s v="excluir"/>
    <s v="no semana"/>
    <x v="0"/>
  </r>
  <r>
    <n v="3000000263"/>
    <d v="2025-02-17T00:00:00"/>
    <n v="7745430.4000000004"/>
    <s v="DON KOKO S.R.L CAMILO ALDAO 03"/>
    <x v="147"/>
    <n v="7745430.4000000004"/>
    <x v="24"/>
    <x v="0"/>
    <s v="pagado"/>
    <s v="pagado"/>
    <s v="excluir"/>
    <s v="no semana"/>
    <x v="0"/>
  </r>
  <r>
    <n v="3000000264"/>
    <d v="2025-02-17T00:00:00"/>
    <n v="6000000"/>
    <s v="CARIGNANO RAUL JUAN YERBA BUENA 14"/>
    <x v="148"/>
    <n v="6000000"/>
    <x v="23"/>
    <x v="0"/>
    <s v="pagado"/>
    <s v="pagado"/>
    <s v="excluir"/>
    <s v="no semana"/>
    <x v="0"/>
  </r>
  <r>
    <n v="3000000264"/>
    <d v="2025-02-17T00:00:00"/>
    <n v="6477960"/>
    <s v="CARIGNANO RAUL JUAN YERBA BUENA 14"/>
    <x v="149"/>
    <n v="6477960"/>
    <x v="24"/>
    <x v="0"/>
    <s v="pagado"/>
    <s v="pagado"/>
    <s v="excluir"/>
    <s v="no semana"/>
    <x v="0"/>
  </r>
  <r>
    <n v="3000000253"/>
    <d v="2025-02-17T00:00:00"/>
    <n v="15897070"/>
    <s v="EDET S.A. SAN MIGUEL DE TUCUMAN 14"/>
    <x v="150"/>
    <n v="15897070"/>
    <x v="22"/>
    <x v="0"/>
    <s v="pagado"/>
    <s v="pagado"/>
    <s v="excluir"/>
    <s v="no semana"/>
    <x v="0"/>
  </r>
  <r>
    <n v="3000000261"/>
    <d v="2025-02-17T00:00:00"/>
    <n v="7884065.7000000002"/>
    <s v="Pulverizaciones Tuninetti S.R.Las Rosas 01"/>
    <x v="151"/>
    <n v="7884065.7000000002"/>
    <x v="23"/>
    <x v="0"/>
    <s v="pagado"/>
    <s v="pagado"/>
    <s v="excluir"/>
    <s v="no semana"/>
    <x v="0"/>
  </r>
  <r>
    <n v="3000000262"/>
    <d v="2025-02-17T00:00:00"/>
    <n v="3536793.02"/>
    <s v="VERON MARIANA BEATRIZ NUEVA ESPERANZA 13"/>
    <x v="152"/>
    <n v="3536793.02"/>
    <x v="23"/>
    <x v="0"/>
    <s v="pagado"/>
    <s v="pagado"/>
    <s v="excluir"/>
    <s v="no semana"/>
    <x v="0"/>
  </r>
  <r>
    <n v="3000000265"/>
    <d v="2025-02-17T00:00:00"/>
    <n v="7516060.4000000004"/>
    <s v="IBAÑEZ MAXIMILIANO DAVID JUAN BAUTISTA ALBERDI 14"/>
    <x v="153"/>
    <n v="7516060.4000000004"/>
    <x v="23"/>
    <x v="0"/>
    <s v="pagado"/>
    <s v="pagado"/>
    <s v="excluir"/>
    <s v="no semana"/>
    <x v="0"/>
  </r>
  <r>
    <n v="3000000266"/>
    <d v="2025-02-17T00:00:00"/>
    <n v="13947208.59"/>
    <s v="LIZONDO OSCAR FABIAN METAN 09"/>
    <x v="154"/>
    <n v="13947208.59"/>
    <x v="24"/>
    <x v="0"/>
    <s v="pagado"/>
    <s v="pagado"/>
    <s v="excluir"/>
    <s v="no semana"/>
    <x v="0"/>
  </r>
  <r>
    <n v="3000000279"/>
    <d v="2025-02-19T00:00:00"/>
    <n v="16000000"/>
    <s v="SUAREZ GABRIEL SEBASTIAN SANTIAGO DEL ESTERO 13"/>
    <x v="155"/>
    <n v="16000000"/>
    <x v="25"/>
    <x v="0"/>
    <s v="pagado"/>
    <s v="pagado"/>
    <s v="excluir"/>
    <s v="no semana"/>
    <x v="0"/>
  </r>
  <r>
    <n v="3000000279"/>
    <d v="2025-02-19T00:00:00"/>
    <n v="16009838.5"/>
    <s v="SUAREZ GABRIEL SEBASTIAN SANTIAGO DEL ESTERO 13"/>
    <x v="156"/>
    <n v="16009838.5"/>
    <x v="26"/>
    <x v="0"/>
    <s v="pagado"/>
    <s v="pagado"/>
    <s v="excluir"/>
    <s v="no semana"/>
    <x v="0"/>
  </r>
  <r>
    <n v="3000000287"/>
    <d v="2025-02-20T00:00:00"/>
    <n v="4673964.62"/>
    <s v="TRANSPORTE PRINCE SRL ROSARIO NORTE 12"/>
    <x v="157"/>
    <n v="4673964.62"/>
    <x v="27"/>
    <x v="0"/>
    <s v="pagado"/>
    <s v="pagado"/>
    <s v="excluir"/>
    <s v="no semana"/>
    <x v="0"/>
  </r>
  <r>
    <n v="3000000288"/>
    <d v="2025-02-20T00:00:00"/>
    <n v="9975778"/>
    <s v="TRANS TRUCKS SRL SOLDINI 12"/>
    <x v="158"/>
    <n v="9975778"/>
    <x v="27"/>
    <x v="0"/>
    <s v="pagado"/>
    <s v="pagado"/>
    <s v="excluir"/>
    <s v="no semana"/>
    <x v="0"/>
  </r>
  <r>
    <n v="3000000289"/>
    <d v="2025-02-20T00:00:00"/>
    <n v="6995270.25"/>
    <s v="BUSTOS EXEQUIEL ANTONIO BANDA DEL RIO SALI 14"/>
    <x v="159"/>
    <n v="6995270.25"/>
    <x v="27"/>
    <x v="0"/>
    <s v="pagado"/>
    <s v="pagado"/>
    <s v="excluir"/>
    <s v="no semana"/>
    <x v="0"/>
  </r>
  <r>
    <n v="3000000284"/>
    <d v="2025-02-20T00:00:00"/>
    <n v="5000000"/>
    <s v="MOLINA JUAN F. Y MOLINA ROQUE Lastenia 14"/>
    <x v="160"/>
    <n v="5000000"/>
    <x v="27"/>
    <x v="0"/>
    <s v="pagado"/>
    <s v="pagado"/>
    <s v="excluir"/>
    <s v="no semana"/>
    <x v="0"/>
  </r>
  <r>
    <n v="3000000284"/>
    <d v="2025-02-20T00:00:00"/>
    <n v="12029813.48"/>
    <s v="MOLINA JUAN F. Y MOLINA ROQUE Lastenia 14"/>
    <x v="161"/>
    <n v="12029813.48"/>
    <x v="28"/>
    <x v="0"/>
    <s v="pagado"/>
    <s v="pagado"/>
    <s v="excluir"/>
    <s v="no semana"/>
    <x v="0"/>
  </r>
  <r>
    <n v="3000000290"/>
    <d v="2025-02-20T00:00:00"/>
    <n v="10000000"/>
    <s v="PAIS WALTER LUIS SAN MIGUEL DE TUCUMAN 14"/>
    <x v="162"/>
    <n v="10000000"/>
    <x v="27"/>
    <x v="0"/>
    <s v="pagado"/>
    <s v="pagado"/>
    <s v="excluir"/>
    <s v="no semana"/>
    <x v="0"/>
  </r>
  <r>
    <n v="3000000290"/>
    <d v="2025-02-20T00:00:00"/>
    <n v="7771700.1900000004"/>
    <s v="PAIS WALTER LUIS SAN MIGUEL DE TUCUMAN 14"/>
    <x v="163"/>
    <n v="7771700.1900000004"/>
    <x v="28"/>
    <x v="0"/>
    <s v="pagado"/>
    <s v="pagado"/>
    <s v="excluir"/>
    <s v="no semana"/>
    <x v="0"/>
  </r>
  <r>
    <n v="3000000291"/>
    <d v="2025-02-20T00:00:00"/>
    <n v="10000000"/>
    <s v="MOYANO SERGIO ESTEBAN BANDA DEL RIO SALI 14"/>
    <x v="164"/>
    <n v="10000000"/>
    <x v="27"/>
    <x v="0"/>
    <s v="pagado"/>
    <s v="pagado"/>
    <s v="excluir"/>
    <s v="no semana"/>
    <x v="0"/>
  </r>
  <r>
    <n v="3000000291"/>
    <d v="2025-02-20T00:00:00"/>
    <n v="8357138.4199999999"/>
    <s v="MOYANO SERGIO ESTEBAN BANDA DEL RIO SALI 14"/>
    <x v="165"/>
    <n v="8357138.4199999999"/>
    <x v="28"/>
    <x v="0"/>
    <s v="pagado"/>
    <s v="pagado"/>
    <s v="excluir"/>
    <s v="no semana"/>
    <x v="0"/>
  </r>
  <r>
    <n v="3000000285"/>
    <d v="2025-02-20T00:00:00"/>
    <n v="9630656.3300000001"/>
    <s v="LANGELLA JUAN RODOLFO ALDERETES 14"/>
    <x v="166"/>
    <n v="9630656.3300000001"/>
    <x v="27"/>
    <x v="0"/>
    <s v="pagado"/>
    <s v="pagado"/>
    <s v="excluir"/>
    <s v="no semana"/>
    <x v="0"/>
  </r>
  <r>
    <n v="3000000286"/>
    <d v="2025-02-20T00:00:00"/>
    <n v="4404589.04"/>
    <s v="MOYANO JULIO CESAR BANDA DEL RIO SALI 14"/>
    <x v="167"/>
    <n v="4404589.04"/>
    <x v="27"/>
    <x v="0"/>
    <s v="pagado"/>
    <s v="pagado"/>
    <s v="excluir"/>
    <s v="no semana"/>
    <x v="0"/>
  </r>
  <r>
    <n v="3000000287"/>
    <d v="2025-02-20T00:00:00"/>
    <n v="4673964.62"/>
    <s v="TRANSPORTE PRINCE SRL ROSARIO NORTE 12                                      "/>
    <x v="157"/>
    <n v="4673964.62"/>
    <x v="27"/>
    <x v="0"/>
    <s v="pagado"/>
    <s v="pagado"/>
    <s v="excluir"/>
    <s v="no semana"/>
    <x v="0"/>
  </r>
  <r>
    <n v="3000000288"/>
    <d v="2025-02-20T00:00:00"/>
    <n v="9975778"/>
    <s v="TRANS TRUCKS SRL SOLDINI 12                                                 "/>
    <x v="158"/>
    <n v="9975778"/>
    <x v="27"/>
    <x v="0"/>
    <s v="pagado"/>
    <s v="pagado"/>
    <s v="excluir"/>
    <s v="no semana"/>
    <x v="0"/>
  </r>
  <r>
    <n v="3000000289"/>
    <d v="2025-02-20T00:00:00"/>
    <n v="6995270.25"/>
    <s v="BUSTOS EXEQUIEL ANTONIO BANDA DEL RIO SALI 14                            "/>
    <x v="159"/>
    <n v="6995270.25"/>
    <x v="27"/>
    <x v="0"/>
    <s v="pagado"/>
    <s v="pagado"/>
    <s v="excluir"/>
    <s v="no semana"/>
    <x v="0"/>
  </r>
  <r>
    <n v="3000000307"/>
    <d v="2025-02-25T00:00:00"/>
    <n v="1000000"/>
    <s v="Pulmajo S.R.L. CONCEPCION 14"/>
    <x v="168"/>
    <n v="1000000"/>
    <x v="29"/>
    <x v="0"/>
    <s v="pagado"/>
    <s v="pagado"/>
    <s v="excluir"/>
    <s v="no semana"/>
    <x v="0"/>
  </r>
  <r>
    <n v="3000000307"/>
    <d v="2025-02-25T00:00:00"/>
    <n v="1000000"/>
    <s v="Pulmajo S.R.L. CONCEPCION 14"/>
    <x v="169"/>
    <n v="1000000"/>
    <x v="29"/>
    <x v="0"/>
    <s v="pagado"/>
    <s v="pagado"/>
    <s v="excluir"/>
    <s v="no semana"/>
    <x v="0"/>
  </r>
  <r>
    <n v="3000000307"/>
    <d v="2025-02-25T00:00:00"/>
    <n v="2000000"/>
    <s v="Pulmajo S.R.L. CONCEPCION 14"/>
    <x v="170"/>
    <n v="2000000"/>
    <x v="29"/>
    <x v="0"/>
    <s v="pagado"/>
    <s v="pagado"/>
    <s v="excluir"/>
    <s v="no semana"/>
    <x v="0"/>
  </r>
  <r>
    <n v="3000000307"/>
    <d v="2025-02-25T00:00:00"/>
    <n v="2000000"/>
    <s v="Pulmajo S.R.L. CONCEPCION 14"/>
    <x v="171"/>
    <n v="2000000"/>
    <x v="29"/>
    <x v="0"/>
    <s v="pagado"/>
    <s v="pagado"/>
    <s v="excluir"/>
    <s v="no semana"/>
    <x v="0"/>
  </r>
  <r>
    <n v="3000000307"/>
    <d v="2025-02-25T00:00:00"/>
    <n v="2000000"/>
    <s v="Pulmajo S.R.L. CONCEPCION 14"/>
    <x v="172"/>
    <n v="2000000"/>
    <x v="29"/>
    <x v="0"/>
    <s v="pagado"/>
    <s v="pagado"/>
    <s v="excluir"/>
    <s v="no semana"/>
    <x v="0"/>
  </r>
  <r>
    <n v="3000000307"/>
    <d v="2025-02-25T00:00:00"/>
    <n v="5000000"/>
    <s v="Pulmajo S.R.L. CONCEPCION 14"/>
    <x v="173"/>
    <n v="5000000"/>
    <x v="30"/>
    <x v="0"/>
    <s v="pagado"/>
    <s v="pagado"/>
    <s v="excluir"/>
    <s v="no semana"/>
    <x v="0"/>
  </r>
  <r>
    <n v="3000000307"/>
    <d v="2025-02-25T00:00:00"/>
    <n v="5000000"/>
    <s v="Pulmajo S.R.L. CONCEPCION 14"/>
    <x v="174"/>
    <n v="5000000"/>
    <x v="30"/>
    <x v="0"/>
    <s v="pagado"/>
    <s v="pagado"/>
    <s v="excluir"/>
    <s v="no semana"/>
    <x v="0"/>
  </r>
  <r>
    <n v="3000000307"/>
    <d v="2025-02-25T00:00:00"/>
    <n v="2981564.25"/>
    <s v="Pulmajo S.R.L. CONCEPCION 14"/>
    <x v="175"/>
    <n v="2981564.25"/>
    <x v="30"/>
    <x v="0"/>
    <s v="pagado"/>
    <s v="pagado"/>
    <s v="excluir"/>
    <s v="no semana"/>
    <x v="0"/>
  </r>
  <r>
    <n v="3000000309"/>
    <d v="2025-02-25T00:00:00"/>
    <n v="4423276"/>
    <s v="SURIAGRO SRL SAN MIGUEL DE TUCUMAN 14"/>
    <x v="176"/>
    <n v="4423276"/>
    <x v="28"/>
    <x v="0"/>
    <s v="pagado"/>
    <s v="pagado"/>
    <s v="excluir"/>
    <s v="no semana"/>
    <x v="0"/>
  </r>
  <r>
    <n v="3000000309"/>
    <d v="2025-02-25T00:00:00"/>
    <n v="1831370.3"/>
    <s v="SURIAGRO SRL SAN MIGUEL DE TUCUMAN 14"/>
    <x v="177"/>
    <n v="1831370.3"/>
    <x v="28"/>
    <x v="0"/>
    <s v="pagado"/>
    <s v="pagado"/>
    <s v="excluir"/>
    <s v="no semana"/>
    <x v="0"/>
  </r>
  <r>
    <n v="3000000310"/>
    <d v="2025-02-25T00:00:00"/>
    <n v="8000000"/>
    <s v="Medina Lauro Jose Las Cejas 14"/>
    <x v="178"/>
    <n v="8000000"/>
    <x v="31"/>
    <x v="0"/>
    <s v="pagado"/>
    <s v="pagado"/>
    <s v="excluir"/>
    <s v="no semana"/>
    <x v="0"/>
  </r>
  <r>
    <n v="3000000310"/>
    <d v="2025-02-25T00:00:00"/>
    <n v="8582958.6999999993"/>
    <s v="Medina Lauro Jose Las Cejas 14"/>
    <x v="179"/>
    <n v="8582958.6999999993"/>
    <x v="29"/>
    <x v="0"/>
    <s v="pagado"/>
    <s v="pagado"/>
    <s v="excluir"/>
    <s v="no semana"/>
    <x v="0"/>
  </r>
  <r>
    <n v="3000000311"/>
    <d v="2025-02-25T00:00:00"/>
    <n v="5000000"/>
    <s v="Suarez Elio Hernan Los altos 02"/>
    <x v="180"/>
    <n v="5000000"/>
    <x v="31"/>
    <x v="0"/>
    <s v="pagado"/>
    <s v="pagado"/>
    <s v="excluir"/>
    <s v="no semana"/>
    <x v="0"/>
  </r>
  <r>
    <n v="3000000311"/>
    <d v="2025-02-25T00:00:00"/>
    <n v="5777436.9000000004"/>
    <s v="Suarez Elio Hernan Los altos 02"/>
    <x v="181"/>
    <n v="5777436.9000000004"/>
    <x v="29"/>
    <x v="0"/>
    <s v="pagado"/>
    <s v="pagado"/>
    <s v="excluir"/>
    <s v="no semana"/>
    <x v="0"/>
  </r>
  <r>
    <n v="3000000308"/>
    <d v="2025-02-25T00:00:00"/>
    <n v="464138.31"/>
    <s v="MARTO ALBERTO ANTONIO LA RAMADA DE ABAJO 14"/>
    <x v="182"/>
    <n v="464138.31"/>
    <x v="29"/>
    <x v="0"/>
    <s v="pagado"/>
    <s v="pagado"/>
    <s v="excluir"/>
    <s v="no semana"/>
    <x v="0"/>
  </r>
  <r>
    <n v="3000000312"/>
    <d v="2025-02-25T00:00:00"/>
    <n v="7758064.6500000004"/>
    <s v="Pulverizaciones Tuninetti S.R.Las Rosas 01"/>
    <x v="183"/>
    <n v="7758064.6500000004"/>
    <x v="29"/>
    <x v="0"/>
    <s v="pagado"/>
    <s v="pagado"/>
    <s v="excluir"/>
    <s v="no semana"/>
    <x v="0"/>
  </r>
  <r>
    <n v="3000000313"/>
    <d v="2025-02-25T00:00:00"/>
    <n v="2694022.45"/>
    <s v="ROMAN BARCELO Y JORGE CARRERASLAS LAJITAS 09"/>
    <x v="184"/>
    <n v="2694022.45"/>
    <x v="29"/>
    <x v="0"/>
    <s v="pagado"/>
    <s v="pagado"/>
    <s v="excluir"/>
    <s v="no semana"/>
    <x v="0"/>
  </r>
  <r>
    <n v="3000000314"/>
    <d v="2025-02-25T00:00:00"/>
    <n v="4439047.0599999996"/>
    <s v="TRANSPORTE Y LOGISTICA DEL ESTLAS CEJAS 14"/>
    <x v="185"/>
    <n v="4439047.0599999996"/>
    <x v="29"/>
    <x v="0"/>
    <s v="pagado"/>
    <s v="pagado"/>
    <s v="excluir"/>
    <s v="no semana"/>
    <x v="0"/>
  </r>
  <r>
    <n v="3000000315"/>
    <d v="2025-02-25T00:00:00"/>
    <n v="6104379.1299999999"/>
    <s v="LOGISTICA DEL NORTE S.R.L. SAN MIGUEL DE TUCUMAN 14"/>
    <x v="186"/>
    <n v="6104379.1299999999"/>
    <x v="29"/>
    <x v="0"/>
    <s v="pagado"/>
    <s v="pagado"/>
    <s v="excluir"/>
    <s v="no semana"/>
    <x v="0"/>
  </r>
  <r>
    <n v="3000000316"/>
    <d v="2025-02-25T00:00:00"/>
    <n v="2914278.75"/>
    <s v="WILLIAMS LOGISTICA SA CIUDAD AUTONOMA BUENOS AIRES 00"/>
    <x v="187"/>
    <n v="2914278.75"/>
    <x v="29"/>
    <x v="0"/>
    <s v="pagado"/>
    <s v="pagado"/>
    <s v="excluir"/>
    <s v="no semana"/>
    <x v="0"/>
  </r>
  <r>
    <n v="3000000317"/>
    <d v="2025-02-25T00:00:00"/>
    <n v="4926343.4000000004"/>
    <s v="ZALAZAR ATTIS LOURDES NOEMI NUEVA ESPERANZA 13"/>
    <x v="188"/>
    <n v="4926343.4000000004"/>
    <x v="31"/>
    <x v="0"/>
    <s v="pagado"/>
    <s v="pagado"/>
    <s v="excluir"/>
    <s v="no semana"/>
    <x v="0"/>
  </r>
  <r>
    <n v="3000000327"/>
    <d v="2025-02-26T00:00:00"/>
    <n v="515024"/>
    <s v="COSENTINO DROVETA AGUSTIN BANDA DEL RIO SALI 14"/>
    <x v="189"/>
    <n v="515024"/>
    <x v="31"/>
    <x v="0"/>
    <s v="pagado"/>
    <s v="pagado"/>
    <s v="excluir"/>
    <s v="no semana"/>
    <x v="0"/>
  </r>
  <r>
    <n v="3000000329"/>
    <d v="2025-02-26T00:00:00"/>
    <n v="10037035.439999999"/>
    <s v="JAVIER EDUARDO PRADO FLORIDA 13"/>
    <x v="190"/>
    <n v="10037035.439999999"/>
    <x v="30"/>
    <x v="0"/>
    <s v="pagado"/>
    <s v="pagado"/>
    <s v="excluir"/>
    <s v="no semana"/>
    <x v="0"/>
  </r>
  <r>
    <n v="3000000340"/>
    <d v="2025-02-27T00:00:00"/>
    <n v="1289536.05"/>
    <s v="TRANSPORTE BARBERAN HNOS SRL CHABAS 12"/>
    <x v="191"/>
    <n v="1289536.05"/>
    <x v="30"/>
    <x v="0"/>
    <s v="pagado"/>
    <s v="pagado"/>
    <s v="excluir"/>
    <s v="no semana"/>
    <x v="0"/>
  </r>
  <r>
    <n v="3000000341"/>
    <d v="2025-02-27T00:00:00"/>
    <n v="4903650.8099999996"/>
    <s v="NOVA SAU Cañada de Gomez 03"/>
    <x v="192"/>
    <n v="4903650.8099999996"/>
    <x v="30"/>
    <x v="0"/>
    <s v="pagado"/>
    <s v="pagado"/>
    <s v="excluir"/>
    <s v="no semana"/>
    <x v="0"/>
  </r>
  <r>
    <n v="3000000356"/>
    <d v="2025-03-07T00:00:00"/>
    <n v="14397858.050000001"/>
    <s v="TRANSPORTE BARBERAN HNOS SRL CHABAS 12"/>
    <x v="193"/>
    <n v="14397858.050000001"/>
    <x v="32"/>
    <x v="0"/>
    <s v="pagado"/>
    <s v="pagado"/>
    <s v="excluir"/>
    <s v="no semana"/>
    <x v="0"/>
  </r>
  <r>
    <n v="3000000357"/>
    <d v="2025-03-07T00:00:00"/>
    <n v="13016615.41"/>
    <s v="LOGISTICA CENTRO S.R.L CORONDA 12"/>
    <x v="194"/>
    <n v="13016615.41"/>
    <x v="32"/>
    <x v="0"/>
    <s v="pagado"/>
    <s v="pagado"/>
    <s v="excluir"/>
    <s v="no semana"/>
    <x v="0"/>
  </r>
  <r>
    <n v="1200000122"/>
    <d v="2025-03-07T00:00:00"/>
    <n v="11343092.050000001"/>
    <s v="Cheque de terceros tucumán"/>
    <x v="195"/>
    <n v="11343092.050000001"/>
    <x v="32"/>
    <x v="0"/>
    <s v="pagado"/>
    <s v="pagado"/>
    <s v="excluir"/>
    <s v="no semana"/>
    <x v="0"/>
  </r>
  <r>
    <n v="1200000124"/>
    <d v="2025-03-07T00:00:00"/>
    <n v="11365218.630000001"/>
    <s v="Cheque de terceros tucumán"/>
    <x v="196"/>
    <n v="11365218.630000001"/>
    <x v="32"/>
    <x v="0"/>
    <s v="pagado"/>
    <s v="pagado"/>
    <s v="excluir"/>
    <s v="no semana"/>
    <x v="0"/>
  </r>
  <r>
    <n v="3000000415"/>
    <d v="2025-03-18T00:00:00"/>
    <n v="13371410"/>
    <s v="EDET S.A. SAN MIGUEL DE TUCUMAN 14"/>
    <x v="197"/>
    <n v="13371410"/>
    <x v="33"/>
    <x v="0"/>
    <s v="pagado"/>
    <s v="pagado"/>
    <s v="excluir"/>
    <s v="no semana"/>
    <x v="0"/>
  </r>
  <r>
    <n v="3000000394"/>
    <d v="2025-03-17T00:00:00"/>
    <n v="13000000"/>
    <s v="Medina Lauro Jose Las Cejas 14"/>
    <x v="198"/>
    <n v="13000000"/>
    <x v="33"/>
    <x v="1"/>
    <s v="pagado"/>
    <s v="pagado"/>
    <s v="excluir"/>
    <s v="no semana"/>
    <x v="0"/>
  </r>
  <r>
    <n v="3000000394"/>
    <d v="2025-03-17T00:00:00"/>
    <n v="12866828.1"/>
    <s v="Medina Lauro Jose Las Cejas 14"/>
    <x v="199"/>
    <n v="12866828.1"/>
    <x v="34"/>
    <x v="1"/>
    <s v="pagado"/>
    <s v="pagado"/>
    <s v="excluir"/>
    <s v="no semana"/>
    <x v="0"/>
  </r>
  <r>
    <n v="3000000398"/>
    <d v="2025-03-17T00:00:00"/>
    <n v="23000000"/>
    <s v="ROMAN BARCELO Y JORGE CARRERASLAS LAJITAS 09"/>
    <x v="200"/>
    <n v="23000000"/>
    <x v="33"/>
    <x v="1"/>
    <s v="pagado"/>
    <s v="pagado"/>
    <s v="excluir"/>
    <s v="no semana"/>
    <x v="0"/>
  </r>
  <r>
    <n v="3000000398"/>
    <d v="2025-03-17T00:00:00"/>
    <n v="23741732.899999999"/>
    <s v="ROMAN BARCELO Y JORGE CARRERASLAS LAJITAS 09"/>
    <x v="201"/>
    <n v="23741732.899999999"/>
    <x v="34"/>
    <x v="1"/>
    <s v="pagado"/>
    <s v="pagado"/>
    <s v="excluir"/>
    <s v="no semana"/>
    <x v="0"/>
  </r>
  <r>
    <n v="3000000399"/>
    <d v="2025-03-17T00:00:00"/>
    <n v="15000000"/>
    <s v="CARIGNANO RAUL JUAN YERBA BUENA 14"/>
    <x v="202"/>
    <n v="15000000"/>
    <x v="33"/>
    <x v="1"/>
    <s v="pagado"/>
    <s v="pagado"/>
    <s v="excluir"/>
    <s v="no semana"/>
    <x v="0"/>
  </r>
  <r>
    <n v="3000000399"/>
    <d v="2025-03-17T00:00:00"/>
    <n v="15017868.4"/>
    <s v="CARIGNANO RAUL JUAN YERBA BUENA 14"/>
    <x v="203"/>
    <n v="15017868.4"/>
    <x v="34"/>
    <x v="1"/>
    <s v="pagado"/>
    <s v="pagado"/>
    <s v="excluir"/>
    <s v="no semana"/>
    <x v="0"/>
  </r>
  <r>
    <n v="3000000400"/>
    <d v="2025-03-17T00:00:00"/>
    <n v="18000000"/>
    <s v="AYALA WALTER DANIEL ALDERETES 14"/>
    <x v="204"/>
    <n v="18000000"/>
    <x v="33"/>
    <x v="1"/>
    <s v="pagado"/>
    <s v="pagado"/>
    <s v="excluir"/>
    <s v="no semana"/>
    <x v="0"/>
  </r>
  <r>
    <n v="3000000400"/>
    <d v="2025-03-17T00:00:00"/>
    <n v="15839448.83"/>
    <s v="AYALA WALTER DANIEL ALDERETES 14"/>
    <x v="205"/>
    <n v="15839448.83"/>
    <x v="34"/>
    <x v="1"/>
    <s v="pagado"/>
    <s v="pagado"/>
    <s v="excluir"/>
    <s v="no semana"/>
    <x v="0"/>
  </r>
  <r>
    <n v="3000000401"/>
    <d v="2025-03-17T00:00:00"/>
    <n v="10000000"/>
    <s v="TRANSPORTE Y LOGISTICA DEL ESTLAS CEJAS 14"/>
    <x v="206"/>
    <n v="10000000"/>
    <x v="33"/>
    <x v="1"/>
    <s v="pagado"/>
    <s v="pagado"/>
    <s v="excluir"/>
    <s v="no semana"/>
    <x v="0"/>
  </r>
  <r>
    <n v="3000000401"/>
    <d v="2025-03-17T00:00:00"/>
    <n v="9215558.9700000007"/>
    <s v="TRANSPORTE Y LOGISTICA DEL ESTLAS CEJAS 14"/>
    <x v="207"/>
    <n v="9215558.9700000007"/>
    <x v="34"/>
    <x v="1"/>
    <s v="pagado"/>
    <s v="pagado"/>
    <s v="excluir"/>
    <s v="no semana"/>
    <x v="0"/>
  </r>
  <r>
    <n v="3000000403"/>
    <d v="2025-03-17T00:00:00"/>
    <n v="13000000"/>
    <s v="FLETES Y SERVICIOS PUJATO S.A PUJATO 12"/>
    <x v="208"/>
    <n v="13000000"/>
    <x v="33"/>
    <x v="1"/>
    <s v="pagado"/>
    <s v="pagado"/>
    <s v="excluir"/>
    <s v="no semana"/>
    <x v="0"/>
  </r>
  <r>
    <n v="3000000403"/>
    <d v="2025-03-17T00:00:00"/>
    <n v="12146623.310000001"/>
    <s v="FLETES Y SERVICIOS PUJATO S.A PUJATO 12"/>
    <x v="209"/>
    <n v="12146623.310000001"/>
    <x v="34"/>
    <x v="1"/>
    <s v="pagado"/>
    <s v="pagado"/>
    <s v="excluir"/>
    <s v="no semana"/>
    <x v="0"/>
  </r>
  <r>
    <n v="3000000405"/>
    <d v="2025-03-17T00:00:00"/>
    <n v="7208101"/>
    <s v="AYALA HERNAN OSVALDO SAN MIGUEL DE TUCUMAN 14"/>
    <x v="210"/>
    <n v="7208101"/>
    <x v="33"/>
    <x v="1"/>
    <s v="pagado"/>
    <s v="pagado"/>
    <s v="excluir"/>
    <s v="no semana"/>
    <x v="0"/>
  </r>
  <r>
    <n v="3000000405"/>
    <d v="2025-03-17T00:00:00"/>
    <n v="18687162.399999999"/>
    <s v="AYALA HERNAN OSVALDO SAN MIGUEL DE TUCUMAN 14"/>
    <x v="211"/>
    <n v="18687162.399999999"/>
    <x v="34"/>
    <x v="1"/>
    <s v="pagado"/>
    <s v="pagado"/>
    <s v="excluir"/>
    <s v="no semana"/>
    <x v="0"/>
  </r>
  <r>
    <n v="3000000395"/>
    <d v="2025-03-17T00:00:00"/>
    <n v="3640830.9"/>
    <s v="PIAZZA OSCAR ESTEBAN SAN MIGUEL DE TUCUMAN 14"/>
    <x v="212"/>
    <n v="3640830.9"/>
    <x v="33"/>
    <x v="1"/>
    <s v="pagado"/>
    <s v="pagado"/>
    <s v="excluir"/>
    <s v="no semana"/>
    <x v="0"/>
  </r>
  <r>
    <n v="3000000396"/>
    <d v="2025-03-17T00:00:00"/>
    <n v="9457422.1999999993"/>
    <s v="Pulverizaciones Tuninetti S.R.Las Rosas 01"/>
    <x v="213"/>
    <n v="9457422.1999999993"/>
    <x v="33"/>
    <x v="1"/>
    <s v="pagado"/>
    <s v="pagado"/>
    <s v="excluir"/>
    <s v="no semana"/>
    <x v="0"/>
  </r>
  <r>
    <n v="3000000397"/>
    <d v="2025-03-17T00:00:00"/>
    <n v="5586407.9000000004"/>
    <s v="SUAREZ GABRIEL SEBASTIAN SANTIAGO DEL ESTERO 13"/>
    <x v="214"/>
    <n v="5586407.9000000004"/>
    <x v="33"/>
    <x v="1"/>
    <s v="pagado"/>
    <s v="pagado"/>
    <s v="excluir"/>
    <s v="no semana"/>
    <x v="0"/>
  </r>
  <r>
    <n v="3000000402"/>
    <d v="2025-03-17T00:00:00"/>
    <n v="8531433.1500000004"/>
    <s v="SAN LORENZO CEREALES S.R.L SAN LORENZO 12"/>
    <x v="215"/>
    <n v="8531433.1500000004"/>
    <x v="33"/>
    <x v="1"/>
    <s v="pagado"/>
    <s v="pagado"/>
    <s v="excluir"/>
    <s v="no semana"/>
    <x v="0"/>
  </r>
  <r>
    <n v="3000000404"/>
    <d v="2025-03-17T00:00:00"/>
    <n v="14011767.74"/>
    <s v="TRANSPORTE BARBERAN HNOS SRL CHABAS 12"/>
    <x v="216"/>
    <n v="14011767.74"/>
    <x v="33"/>
    <x v="1"/>
    <s v="pagado"/>
    <s v="pagado"/>
    <s v="excluir"/>
    <s v="no semana"/>
    <x v="0"/>
  </r>
  <r>
    <n v="3000000414"/>
    <d v="2025-03-18T00:00:00"/>
    <n v="42816564.740000002"/>
    <s v="RODRIGUEZ NESTOR HORACIO YERBA BUENA 14"/>
    <x v="217"/>
    <n v="42816564.740000002"/>
    <x v="35"/>
    <x v="1"/>
    <s v="pagado"/>
    <s v="pagado"/>
    <s v="excluir"/>
    <s v="no semana"/>
    <x v="0"/>
  </r>
  <r>
    <n v="3000000420"/>
    <d v="2025-03-20T00:00:00"/>
    <n v="6561563"/>
    <s v="AGROTRANSPORTE ALDAO S.A. CAMILO ALDAO 03"/>
    <x v="218"/>
    <n v="6561563"/>
    <x v="36"/>
    <x v="1"/>
    <s v="pagado"/>
    <s v="pagado"/>
    <s v="excluir"/>
    <s v="no semana"/>
    <x v="0"/>
  </r>
  <r>
    <n v="3000000421"/>
    <d v="2025-03-20T00:00:00"/>
    <n v="3108226.38"/>
    <s v="TRANSPORTE Y LOGISTICA DEL ESTLAS CEJAS 14"/>
    <x v="219"/>
    <n v="3108226.38"/>
    <x v="36"/>
    <x v="1"/>
    <s v="pagado"/>
    <s v="pagado"/>
    <s v="excluir"/>
    <s v="no semana"/>
    <x v="0"/>
  </r>
  <r>
    <n v="3000000422"/>
    <d v="2025-03-20T00:00:00"/>
    <n v="2945459.8"/>
    <s v="LANGELLA JUAN RODOLFO ALDERETES 14"/>
    <x v="220"/>
    <n v="2945459.8"/>
    <x v="36"/>
    <x v="1"/>
    <s v="pagado"/>
    <s v="pagado"/>
    <s v="excluir"/>
    <s v="no semana"/>
    <x v="0"/>
  </r>
  <r>
    <n v="3000000423"/>
    <d v="2025-03-20T00:00:00"/>
    <n v="2968761.24"/>
    <s v="MOYANO JULIO CESAR BANDA DEL RIO SALI 14"/>
    <x v="221"/>
    <n v="2968761.24"/>
    <x v="36"/>
    <x v="1"/>
    <s v="pagado"/>
    <s v="pagado"/>
    <s v="excluir"/>
    <s v="no semana"/>
    <x v="0"/>
  </r>
  <r>
    <n v="3000000424"/>
    <d v="2025-03-20T00:00:00"/>
    <n v="7046108.5"/>
    <s v="TRANSPORTE BARBERAN HNOS SRL CHABAS 12"/>
    <x v="222"/>
    <n v="7046108.5"/>
    <x v="36"/>
    <x v="1"/>
    <s v="pagado"/>
    <s v="pagado"/>
    <s v="excluir"/>
    <s v="no semana"/>
    <x v="0"/>
  </r>
  <r>
    <n v="3000000436"/>
    <d v="2025-03-25T00:00:00"/>
    <n v="8000000"/>
    <s v="ZALAZAR ATTIS LOURDES NOEMI NUEVA ESPERANZA 13"/>
    <x v="223"/>
    <n v="8000000"/>
    <x v="37"/>
    <x v="1"/>
    <s v="pagado"/>
    <s v="pagado"/>
    <s v="excluir"/>
    <s v="no semana"/>
    <x v="0"/>
  </r>
  <r>
    <n v="3000000436"/>
    <d v="2025-03-25T00:00:00"/>
    <n v="8226073.7199999997"/>
    <s v="ZALAZAR ATTIS LOURDES NOEMI NUEVA ESPERANZA 13"/>
    <x v="224"/>
    <n v="8226073.7199999997"/>
    <x v="38"/>
    <x v="1"/>
    <s v="pagado"/>
    <s v="pagado"/>
    <s v="excluir"/>
    <s v="no semana"/>
    <x v="0"/>
  </r>
  <r>
    <n v="3000000439"/>
    <d v="2025-03-25T00:00:00"/>
    <n v="7000000"/>
    <s v="OLGUIN MARIO ROBERTO ETRURIA 03"/>
    <x v="225"/>
    <n v="7000000"/>
    <x v="37"/>
    <x v="1"/>
    <s v="pagado"/>
    <s v="pagado"/>
    <s v="excluir"/>
    <s v="no semana"/>
    <x v="0"/>
  </r>
  <r>
    <n v="3000000439"/>
    <d v="2025-03-25T00:00:00"/>
    <n v="7865003.4000000004"/>
    <s v="OLGUIN MARIO ROBERTO ETRURIA 03"/>
    <x v="226"/>
    <n v="7865003.4000000004"/>
    <x v="38"/>
    <x v="1"/>
    <s v="pagado"/>
    <s v="pagado"/>
    <s v="excluir"/>
    <s v="no semana"/>
    <x v="0"/>
  </r>
  <r>
    <n v="3000000441"/>
    <d v="2025-03-25T00:00:00"/>
    <n v="8000000"/>
    <s v="Romero, Hector Ruben Alpachiri 14"/>
    <x v="227"/>
    <n v="8000000"/>
    <x v="37"/>
    <x v="1"/>
    <s v="pagado"/>
    <s v="pagado"/>
    <s v="excluir"/>
    <s v="no semana"/>
    <x v="0"/>
  </r>
  <r>
    <n v="3000000441"/>
    <d v="2025-03-25T00:00:00"/>
    <n v="8096328.8700000001"/>
    <s v="Romero, Hector Ruben Alpachiri 14"/>
    <x v="228"/>
    <n v="8096328.8700000001"/>
    <x v="38"/>
    <x v="1"/>
    <s v="pagado"/>
    <s v="pagado"/>
    <s v="excluir"/>
    <s v="no semana"/>
    <x v="0"/>
  </r>
  <r>
    <n v="3000000437"/>
    <d v="2025-03-25T00:00:00"/>
    <n v="7214873.04"/>
    <s v="RODRIGUEZ NESTOR HORACIO YERBA BUENA 14"/>
    <x v="229"/>
    <n v="7214873.04"/>
    <x v="37"/>
    <x v="1"/>
    <s v="pagado"/>
    <s v="pagado"/>
    <s v="excluir"/>
    <s v="no semana"/>
    <x v="0"/>
  </r>
  <r>
    <n v="3000000438"/>
    <d v="2025-03-25T00:00:00"/>
    <n v="6814140.4199999999"/>
    <s v="AYALA WALTER DANIEL ALDERETES 14"/>
    <x v="230"/>
    <n v="6814140.4199999999"/>
    <x v="37"/>
    <x v="1"/>
    <s v="pagado"/>
    <s v="pagado"/>
    <s v="excluir"/>
    <s v="no semana"/>
    <x v="0"/>
  </r>
  <r>
    <n v="3000000440"/>
    <d v="2025-03-25T00:00:00"/>
    <n v="8236282.5700000003"/>
    <s v="E y Po SRL CONCEPCION 14"/>
    <x v="231"/>
    <n v="8236282.5700000003"/>
    <x v="37"/>
    <x v="1"/>
    <s v="pagado"/>
    <s v="pagado"/>
    <s v="excluir"/>
    <s v="no semana"/>
    <x v="0"/>
  </r>
  <r>
    <n v="3000000453"/>
    <d v="2025-03-27T00:00:00"/>
    <n v="2000000"/>
    <s v="Pulmajo S.R.L. CONCEPCION 14"/>
    <x v="232"/>
    <n v="2000000"/>
    <x v="39"/>
    <x v="0"/>
    <s v="pagado"/>
    <s v="pagado"/>
    <s v="excluir"/>
    <s v="no semana"/>
    <x v="0"/>
  </r>
  <r>
    <n v="3000000453"/>
    <d v="2025-03-27T00:00:00"/>
    <n v="2000000"/>
    <s v="Pulmajo S.R.L. CONCEPCION 14"/>
    <x v="233"/>
    <n v="2000000"/>
    <x v="39"/>
    <x v="0"/>
    <s v="pagado"/>
    <s v="pagado"/>
    <s v="excluir"/>
    <s v="no semana"/>
    <x v="0"/>
  </r>
  <r>
    <n v="3000000453"/>
    <d v="2025-03-27T00:00:00"/>
    <n v="2000000"/>
    <s v="Pulmajo S.R.L. CONCEPCION 14"/>
    <x v="234"/>
    <n v="2000000"/>
    <x v="39"/>
    <x v="0"/>
    <s v="pagado"/>
    <s v="pagado"/>
    <s v="excluir"/>
    <s v="no semana"/>
    <x v="0"/>
  </r>
  <r>
    <n v="3000000453"/>
    <d v="2025-03-27T00:00:00"/>
    <n v="1357589.55"/>
    <s v="Pulmajo S.R.L. CONCEPCION 14"/>
    <x v="235"/>
    <n v="1357589.55"/>
    <x v="39"/>
    <x v="0"/>
    <s v="pagado"/>
    <s v="pagado"/>
    <s v="excluir"/>
    <s v="no semana"/>
    <x v="0"/>
  </r>
  <r>
    <n v="3000000454"/>
    <d v="2025-03-31T00:00:00"/>
    <n v="1078222"/>
    <s v="Ruiz Bejar SRL SAN MIGUEL DE TUCUMAN 14"/>
    <x v="236"/>
    <n v="1078222"/>
    <x v="40"/>
    <x v="1"/>
    <s v="pagado"/>
    <s v="pagado"/>
    <s v="excluir"/>
    <s v="no semana"/>
    <x v="0"/>
  </r>
  <r>
    <n v="3000000455"/>
    <d v="2025-03-31T00:00:00"/>
    <n v="2471040"/>
    <s v="PAIS WALTER LUIS SAN MIGUEL DE TUCUMAN 14"/>
    <x v="237"/>
    <n v="2471040"/>
    <x v="40"/>
    <x v="1"/>
    <s v="pagado"/>
    <s v="pagado"/>
    <s v="excluir"/>
    <s v="no semana"/>
    <x v="0"/>
  </r>
  <r>
    <n v="3000000456"/>
    <d v="2025-03-31T00:00:00"/>
    <n v="2086875"/>
    <s v="FERNANDEZ HECTOR JOSE SIMOCA 14"/>
    <x v="238"/>
    <n v="2086875"/>
    <x v="40"/>
    <x v="1"/>
    <s v="pagado"/>
    <s v="pagado"/>
    <s v="excluir"/>
    <s v="no semana"/>
    <x v="0"/>
  </r>
  <r>
    <n v="3000000457"/>
    <d v="2025-03-31T00:00:00"/>
    <n v="10623911.189999999"/>
    <s v="JAVIER EDUARDO PRADO FLORIDA 13"/>
    <x v="239"/>
    <n v="10623911.189999999"/>
    <x v="40"/>
    <x v="1"/>
    <s v="pagado"/>
    <s v="pagado"/>
    <s v="excluir"/>
    <s v="no semana"/>
    <x v="0"/>
  </r>
  <r>
    <n v="3000000458"/>
    <d v="2025-03-31T00:00:00"/>
    <n v="3424976"/>
    <s v="LOGISTICA DEL NORTE S.R.L. SAN MIGUEL DE TUCUMAN 14"/>
    <x v="240"/>
    <n v="3424976"/>
    <x v="40"/>
    <x v="1"/>
    <s v="pagado"/>
    <s v="pagado"/>
    <s v="excluir"/>
    <s v="no semana"/>
    <x v="0"/>
  </r>
  <r>
    <n v="3000000459"/>
    <d v="2025-04-01T00:00:00"/>
    <n v="20000000"/>
    <s v="Gulf Oil Argentina SA Lomas Del Mirador 01"/>
    <x v="241"/>
    <n v="20000000"/>
    <x v="41"/>
    <x v="1"/>
    <s v="pagado"/>
    <s v="pagado"/>
    <s v="excluir"/>
    <s v="no semana"/>
    <x v="0"/>
  </r>
  <r>
    <n v="3000000459"/>
    <d v="2025-04-01T00:00:00"/>
    <n v="19829946.559999999"/>
    <s v="Gulf Oil Argentina SA Lomas Del Mirador 01"/>
    <x v="242"/>
    <n v="19829946.559999999"/>
    <x v="42"/>
    <x v="1"/>
    <s v="pagado"/>
    <s v="pagado"/>
    <s v="excluir"/>
    <s v="no semana"/>
    <x v="0"/>
  </r>
  <r>
    <n v="3000000478"/>
    <d v="2025-04-07T00:00:00"/>
    <n v="8391143.0899999999"/>
    <s v="EMPRENDIMIENTOS ASSUN S.A. SANTIAGO DEL ESTERO 13"/>
    <x v="243"/>
    <n v="8391143.0899999999"/>
    <x v="43"/>
    <x v="1"/>
    <s v="pagado"/>
    <s v="pagado"/>
    <s v="excluir"/>
    <s v="no semana"/>
    <x v="0"/>
  </r>
  <r>
    <n v="3000000479"/>
    <d v="2025-04-07T00:00:00"/>
    <n v="3490589.04"/>
    <s v="Monsanto Argentina SRL CAPITAL FEDERAL 00"/>
    <x v="244"/>
    <n v="3490589.04"/>
    <x v="43"/>
    <x v="1"/>
    <s v="pagado"/>
    <s v="pagado"/>
    <s v="excluir"/>
    <s v="no semana"/>
    <x v="0"/>
  </r>
  <r>
    <n v="3000000480"/>
    <d v="2025-04-07T00:00:00"/>
    <n v="2701185.4"/>
    <s v="VERON MARIANA BEATRIZ NUEVA ESPERANZA 13"/>
    <x v="245"/>
    <n v="2701185.4"/>
    <x v="43"/>
    <x v="1"/>
    <s v="no pagado"/>
    <s v="fuera de fecha"/>
    <s v="excluir"/>
    <s v="no semana"/>
    <x v="0"/>
  </r>
  <r>
    <n v="3000000481"/>
    <d v="2025-04-07T00:00:00"/>
    <n v="2150060.8199999998"/>
    <s v="CORTEVA AGRISCIENCE ARGENTINA CIUDAD AUTONOMA DE BUENOS AIRES 01"/>
    <x v="246"/>
    <n v="2150060.8199999998"/>
    <x v="43"/>
    <x v="1"/>
    <s v="pagado"/>
    <s v="pagado"/>
    <s v="excluir"/>
    <s v="no semana"/>
    <x v="0"/>
  </r>
  <r>
    <n v="3000000482"/>
    <d v="2025-04-08T00:00:00"/>
    <n v="2981417.92"/>
    <s v="FERNANDEZ HECTOR JOSE SIMOCA 14"/>
    <x v="247"/>
    <n v="2981417.92"/>
    <x v="44"/>
    <x v="1"/>
    <s v="pagado"/>
    <s v="pagado"/>
    <s v="excluir"/>
    <s v="no semana"/>
    <x v="0"/>
  </r>
  <r>
    <n v="3000000483"/>
    <d v="2025-04-08T00:00:00"/>
    <n v="2751183.98"/>
    <s v="LANGELLA JUAN RODOLFO ALDERETES 14"/>
    <x v="248"/>
    <n v="2751183.98"/>
    <x v="44"/>
    <x v="1"/>
    <s v="pagado"/>
    <s v="pagado"/>
    <s v="excluir"/>
    <s v="no semana"/>
    <x v="0"/>
  </r>
  <r>
    <n v="3000000484"/>
    <d v="2025-04-08T00:00:00"/>
    <n v="6948188.6900000004"/>
    <s v="FLETES Y SERVICIOS PUJATO S.A PUJATO 12"/>
    <x v="249"/>
    <n v="6948188.6900000004"/>
    <x v="44"/>
    <x v="1"/>
    <s v="pagado"/>
    <s v="pagado"/>
    <s v="excluir"/>
    <s v="no semana"/>
    <x v="0"/>
  </r>
  <r>
    <n v="3000000471"/>
    <d v="2025-04-07T00:00:00"/>
    <n v="8000000"/>
    <s v="Laborda Carlos SAN MIGUEL DE TUCUMAN 14"/>
    <x v="250"/>
    <n v="8000000"/>
    <x v="43"/>
    <x v="0"/>
    <s v="pagado"/>
    <s v="pagado"/>
    <s v="excluir"/>
    <s v="no semana"/>
    <x v="0"/>
  </r>
  <r>
    <n v="3000000471"/>
    <d v="2025-04-07T00:00:00"/>
    <n v="500000"/>
    <s v="Laborda Carlos SAN MIGUEL DE TUCUMAN 14"/>
    <x v="251"/>
    <n v="500000"/>
    <x v="43"/>
    <x v="0"/>
    <s v="pagado"/>
    <s v="pagado"/>
    <s v="excluir"/>
    <s v="no semana"/>
    <x v="0"/>
  </r>
  <r>
    <n v="3000000471"/>
    <d v="2025-04-07T00:00:00"/>
    <n v="500000"/>
    <s v="Laborda Carlos SAN MIGUEL DE TUCUMAN 14"/>
    <x v="252"/>
    <n v="500000"/>
    <x v="43"/>
    <x v="0"/>
    <s v="pagado"/>
    <s v="pagado"/>
    <s v="excluir"/>
    <s v="no semana"/>
    <x v="0"/>
  </r>
  <r>
    <n v="3000000471"/>
    <d v="2025-04-07T00:00:00"/>
    <n v="500000"/>
    <s v="Laborda Carlos SAN MIGUEL DE TUCUMAN 14"/>
    <x v="253"/>
    <n v="500000"/>
    <x v="43"/>
    <x v="0"/>
    <s v="pagado"/>
    <s v="pagado"/>
    <s v="excluir"/>
    <s v="no semana"/>
    <x v="0"/>
  </r>
  <r>
    <n v="3000000471"/>
    <d v="2025-04-07T00:00:00"/>
    <n v="500000"/>
    <s v="Laborda Carlos SAN MIGUEL DE TUCUMAN 14"/>
    <x v="254"/>
    <n v="500000"/>
    <x v="43"/>
    <x v="0"/>
    <s v="pagado"/>
    <s v="pagado"/>
    <s v="excluir"/>
    <s v="no semana"/>
    <x v="0"/>
  </r>
  <r>
    <n v="3000000471"/>
    <d v="2025-04-07T00:00:00"/>
    <n v="500000"/>
    <s v="Laborda Carlos SAN MIGUEL DE TUCUMAN 14"/>
    <x v="255"/>
    <n v="500000"/>
    <x v="43"/>
    <x v="0"/>
    <s v="pagado"/>
    <s v="pagado"/>
    <s v="excluir"/>
    <s v="no semana"/>
    <x v="0"/>
  </r>
  <r>
    <n v="3000000471"/>
    <d v="2025-04-07T00:00:00"/>
    <n v="300000"/>
    <s v="Laborda Carlos SAN MIGUEL DE TUCUMAN 14"/>
    <x v="256"/>
    <n v="300000"/>
    <x v="43"/>
    <x v="0"/>
    <s v="pagado"/>
    <s v="pagado"/>
    <s v="excluir"/>
    <s v="no semana"/>
    <x v="0"/>
  </r>
  <r>
    <n v="3000000471"/>
    <d v="2025-04-07T00:00:00"/>
    <n v="300000"/>
    <s v="Laborda Carlos SAN MIGUEL DE TUCUMAN 14"/>
    <x v="257"/>
    <n v="300000"/>
    <x v="43"/>
    <x v="0"/>
    <s v="pagado"/>
    <s v="pagado"/>
    <s v="excluir"/>
    <s v="no semana"/>
    <x v="0"/>
  </r>
  <r>
    <n v="3000000471"/>
    <d v="2025-04-07T00:00:00"/>
    <n v="300000"/>
    <s v="Laborda Carlos SAN MIGUEL DE TUCUMAN 14"/>
    <x v="258"/>
    <n v="300000"/>
    <x v="43"/>
    <x v="0"/>
    <s v="pagado"/>
    <s v="pagado"/>
    <s v="excluir"/>
    <s v="no semana"/>
    <x v="0"/>
  </r>
  <r>
    <n v="3000000471"/>
    <d v="2025-04-07T00:00:00"/>
    <n v="300000"/>
    <s v="Laborda Carlos SAN MIGUEL DE TUCUMAN 14"/>
    <x v="259"/>
    <n v="300000"/>
    <x v="43"/>
    <x v="0"/>
    <s v="pagado"/>
    <s v="pagado"/>
    <s v="excluir"/>
    <s v="no semana"/>
    <x v="0"/>
  </r>
  <r>
    <n v="3000000471"/>
    <d v="2025-04-07T00:00:00"/>
    <n v="300000"/>
    <s v="Laborda Carlos SAN MIGUEL DE TUCUMAN 14"/>
    <x v="260"/>
    <n v="300000"/>
    <x v="43"/>
    <x v="0"/>
    <s v="pagado"/>
    <s v="pagado"/>
    <s v="excluir"/>
    <s v="no semana"/>
    <x v="0"/>
  </r>
  <r>
    <n v="3000000471"/>
    <d v="2025-04-07T00:00:00"/>
    <n v="113443.4"/>
    <s v="Laborda Carlos SAN MIGUEL DE TUCUMAN 14"/>
    <x v="261"/>
    <n v="113443.4"/>
    <x v="43"/>
    <x v="0"/>
    <s v="pagado"/>
    <s v="pagado"/>
    <s v="excluir"/>
    <s v="no semana"/>
    <x v="0"/>
  </r>
  <r>
    <n v="3000000499"/>
    <d v="2025-04-11T00:00:00"/>
    <n v="670042.30000000005"/>
    <s v=". tucumán"/>
    <x v="262"/>
    <n v="670042.30000000005"/>
    <x v="45"/>
    <x v="0"/>
    <s v="pagado"/>
    <s v="pagado"/>
    <s v="excluir"/>
    <s v="no semana"/>
    <x v="0"/>
  </r>
  <r>
    <n v="3000000512"/>
    <d v="2025-04-15T00:00:00"/>
    <n v="12698470"/>
    <s v="EDET S.A. SAN MIGUEL DE TUCUMAN 14"/>
    <x v="263"/>
    <n v="12698470"/>
    <x v="46"/>
    <x v="0"/>
    <s v="pagado"/>
    <s v="pagado"/>
    <s v="excluir"/>
    <s v="no semana"/>
    <x v="0"/>
  </r>
  <r>
    <n v="3000000525"/>
    <d v="2025-04-16T00:00:00"/>
    <n v="193651920"/>
    <s v="GRUPO MARGEN DEL NOA SA YERBA BUENA 14"/>
    <x v="264"/>
    <n v="193651920"/>
    <x v="47"/>
    <x v="1"/>
    <s v="pagado"/>
    <s v="pagado"/>
    <s v="excluir"/>
    <s v="no semana"/>
    <x v="0"/>
  </r>
  <r>
    <n v="3000000525"/>
    <d v="2025-04-16T00:00:00"/>
    <n v="30000000"/>
    <s v="GRUPO MARGEN DEL NOA SA YERBA BUENA 14"/>
    <x v="265"/>
    <n v="30000000"/>
    <x v="47"/>
    <x v="1"/>
    <s v="pagado"/>
    <s v="pagado"/>
    <s v="excluir"/>
    <s v="no semana"/>
    <x v="0"/>
  </r>
  <r>
    <n v="3000000525"/>
    <d v="2025-04-16T00:00:00"/>
    <n v="29623928.539999999"/>
    <s v="GRUPO MARGEN DEL NOA SA YERBA BUENA 14"/>
    <x v="266"/>
    <n v="29623928.539999999"/>
    <x v="48"/>
    <x v="1"/>
    <s v="pagado"/>
    <s v="pagado"/>
    <s v="excluir"/>
    <s v="no semana"/>
    <x v="0"/>
  </r>
  <r>
    <n v="3000000528"/>
    <d v="2025-04-16T00:00:00"/>
    <n v="15000000"/>
    <s v="VERON MARIANA BEATRIZ NUEVA ESPERANZA 13"/>
    <x v="267"/>
    <n v="15000000"/>
    <x v="47"/>
    <x v="1"/>
    <s v="pagado"/>
    <s v="pagado"/>
    <s v="excluir"/>
    <s v="no semana"/>
    <x v="0"/>
  </r>
  <r>
    <n v="3000000528"/>
    <d v="2025-04-16T00:00:00"/>
    <n v="15857316.6"/>
    <s v="VERON MARIANA BEATRIZ NUEVA ESPERANZA 13"/>
    <x v="268"/>
    <n v="15857316.6"/>
    <x v="48"/>
    <x v="1"/>
    <s v="pagado"/>
    <s v="pagado"/>
    <s v="excluir"/>
    <s v="no semana"/>
    <x v="0"/>
  </r>
  <r>
    <n v="3000000529"/>
    <d v="2025-04-16T00:00:00"/>
    <n v="15000000"/>
    <s v="Medina Lauro Jose Las Cejas 14"/>
    <x v="269"/>
    <n v="15000000"/>
    <x v="47"/>
    <x v="1"/>
    <s v="pagado"/>
    <s v="pagado"/>
    <s v="excluir"/>
    <s v="no semana"/>
    <x v="0"/>
  </r>
  <r>
    <n v="3000000529"/>
    <d v="2025-04-16T00:00:00"/>
    <n v="10899797.85"/>
    <s v="Medina Lauro Jose Las Cejas 14"/>
    <x v="270"/>
    <n v="10899797.85"/>
    <x v="48"/>
    <x v="1"/>
    <s v="pagado"/>
    <s v="pagado"/>
    <s v="excluir"/>
    <s v="no semana"/>
    <x v="0"/>
  </r>
  <r>
    <n v="3000000526"/>
    <d v="2025-04-16T00:00:00"/>
    <n v="11465296.449999999"/>
    <s v="RODRIGUEZ NESTOR HORACIO YERBA BUENA 14"/>
    <x v="271"/>
    <n v="11465296.449999999"/>
    <x v="47"/>
    <x v="1"/>
    <s v="pagado"/>
    <s v="pagado"/>
    <s v="excluir"/>
    <s v="no semana"/>
    <x v="0"/>
  </r>
  <r>
    <n v="3000000527"/>
    <d v="2025-04-16T00:00:00"/>
    <n v="4633382"/>
    <s v="ROMAN BARCELO Y JORGE CARRERASLAS LAJITAS 09"/>
    <x v="272"/>
    <n v="4633382"/>
    <x v="47"/>
    <x v="1"/>
    <s v="pagado"/>
    <s v="pagado"/>
    <s v="excluir"/>
    <s v="no semana"/>
    <x v="0"/>
  </r>
  <r>
    <n v="3000000530"/>
    <d v="2025-04-16T00:00:00"/>
    <n v="4305453"/>
    <s v="IBAÑEZ MAXIMILIANO DAVID JUAN BAUTISTA ALBERDI 14"/>
    <x v="273"/>
    <n v="4305453"/>
    <x v="47"/>
    <x v="1"/>
    <s v="pagado"/>
    <s v="pagado"/>
    <s v="excluir"/>
    <s v="no semana"/>
    <x v="0"/>
  </r>
  <r>
    <n v="3000000531"/>
    <d v="2025-04-16T00:00:00"/>
    <n v="11306156.9"/>
    <s v="SUAREZ GABRIEL SEBASTIAN SANTIAGO DEL ESTERO 13"/>
    <x v="274"/>
    <n v="11306156.9"/>
    <x v="47"/>
    <x v="1"/>
    <s v="pagado"/>
    <s v="pagado"/>
    <s v="excluir"/>
    <s v="no semana"/>
    <x v="0"/>
  </r>
  <r>
    <n v="3000000532"/>
    <d v="2025-04-16T00:00:00"/>
    <n v="28087500"/>
    <s v="DON KOKO S.R.L CAMILO ALDAO 03"/>
    <x v="275"/>
    <n v="28087500"/>
    <x v="46"/>
    <x v="0"/>
    <s v="pagado"/>
    <s v="pagado"/>
    <s v="excluir"/>
    <s v="no semana"/>
    <x v="0"/>
  </r>
  <r>
    <n v="3000000532"/>
    <d v="2025-04-16T00:00:00"/>
    <n v="28087500"/>
    <s v="DON KOKO S.R.L CAMILO ALDAO 03"/>
    <x v="276"/>
    <n v="28087500"/>
    <x v="46"/>
    <x v="0"/>
    <s v="pagado"/>
    <s v="pagado"/>
    <s v="excluir"/>
    <s v="no semana"/>
    <x v="0"/>
  </r>
  <r>
    <n v="3000000543"/>
    <d v="2025-04-22T00:00:00"/>
    <n v="8000000"/>
    <s v="Pulmajo S.R.L. CONCEPCION 14"/>
    <x v="277"/>
    <n v="8000000"/>
    <x v="48"/>
    <x v="1"/>
    <s v="pagado"/>
    <s v="pagado"/>
    <s v="excluir"/>
    <s v="no semana"/>
    <x v="0"/>
  </r>
  <r>
    <n v="3000000543"/>
    <d v="2025-04-22T00:00:00"/>
    <n v="8314869.75"/>
    <s v="Pulmajo S.R.L. CONCEPCION 14"/>
    <x v="278"/>
    <n v="8314869.75"/>
    <x v="49"/>
    <x v="1"/>
    <s v="pagado"/>
    <s v="pagado"/>
    <s v="excluir"/>
    <s v="no semana"/>
    <x v="0"/>
  </r>
  <r>
    <n v="3000000540"/>
    <d v="2025-04-22T00:00:00"/>
    <n v="6487780.1900000004"/>
    <s v="Medina Lauro Jose Las Cejas 14"/>
    <x v="279"/>
    <n v="6487780.1900000004"/>
    <x v="48"/>
    <x v="1"/>
    <s v="pagado"/>
    <s v="pagado"/>
    <s v="excluir"/>
    <s v="no semana"/>
    <x v="0"/>
  </r>
  <r>
    <n v="3000000541"/>
    <d v="2025-04-22T00:00:00"/>
    <n v="13665667.15"/>
    <s v="LIZONDO OSCAR FABIAN METAN 09"/>
    <x v="280"/>
    <n v="13665667.15"/>
    <x v="48"/>
    <x v="1"/>
    <s v="pagado"/>
    <s v="pagado"/>
    <s v="excluir"/>
    <s v="no semana"/>
    <x v="0"/>
  </r>
  <r>
    <n v="3000000542"/>
    <d v="2025-04-22T00:00:00"/>
    <n v="14987333.4"/>
    <s v="ZALAZAR ATTIS LOURDES NOEMI NUEVA ESPERANZA 13"/>
    <x v="281"/>
    <n v="14987333.4"/>
    <x v="48"/>
    <x v="1"/>
    <s v="pagado"/>
    <s v="pagado"/>
    <s v="excluir"/>
    <s v="no semana"/>
    <x v="0"/>
  </r>
  <r>
    <n v="3000000544"/>
    <d v="2025-04-22T00:00:00"/>
    <n v="2845691.75"/>
    <s v="Pulmajo S.R.L. CONCEPCION 14"/>
    <x v="282"/>
    <n v="2845691.75"/>
    <x v="48"/>
    <x v="1"/>
    <s v="pagado"/>
    <s v="pagado"/>
    <s v="excluir"/>
    <s v="no semana"/>
    <x v="0"/>
  </r>
  <r>
    <n v="3000000582"/>
    <d v="2025-04-29T00:00:00"/>
    <n v="474400"/>
    <s v="Laborda Carlos SAN MIGUEL DE TUCUMAN 14"/>
    <x v="283"/>
    <n v="474400"/>
    <x v="50"/>
    <x v="0"/>
    <s v="pagado"/>
    <s v="pagado"/>
    <s v="excluir"/>
    <s v="no semana"/>
    <x v="0"/>
  </r>
  <r>
    <n v="3000000582"/>
    <d v="2025-04-29T00:00:00"/>
    <n v="474400"/>
    <s v="Laborda Carlos SAN MIGUEL DE TUCUMAN 14"/>
    <x v="284"/>
    <n v="474400"/>
    <x v="50"/>
    <x v="0"/>
    <s v="pagado"/>
    <s v="pagado"/>
    <s v="excluir"/>
    <s v="no semana"/>
    <x v="0"/>
  </r>
  <r>
    <n v="3000000582"/>
    <d v="2025-04-29T00:00:00"/>
    <n v="170000"/>
    <s v="Laborda Carlos SAN MIGUEL DE TUCUMAN 14"/>
    <x v="285"/>
    <n v="170000"/>
    <x v="50"/>
    <x v="0"/>
    <s v="pagado"/>
    <s v="pagado"/>
    <s v="excluir"/>
    <s v="no semana"/>
    <x v="0"/>
  </r>
  <r>
    <n v="3000000582"/>
    <d v="2025-04-29T00:00:00"/>
    <n v="200000"/>
    <s v="Laborda Carlos SAN MIGUEL DE TUCUMAN 14"/>
    <x v="286"/>
    <n v="200000"/>
    <x v="50"/>
    <x v="0"/>
    <s v="pagado"/>
    <s v="pagado"/>
    <s v="excluir"/>
    <s v="no semana"/>
    <x v="0"/>
  </r>
  <r>
    <n v="1200000414"/>
    <d v="2025-04-29T00:00:00"/>
    <n v="3411298.5"/>
    <s v="Cheque de terceros tucumán"/>
    <x v="287"/>
    <n v="3411298.5"/>
    <x v="51"/>
    <x v="1"/>
    <s v="pagado"/>
    <s v="pagado"/>
    <s v="excluir"/>
    <s v="no semana"/>
    <x v="0"/>
  </r>
  <r>
    <n v="1200000414"/>
    <d v="2025-04-29T00:00:00"/>
    <n v="4288213.4000000004"/>
    <s v="Cheque de terceros tucumán"/>
    <x v="288"/>
    <n v="4288213.4000000004"/>
    <x v="51"/>
    <x v="1"/>
    <s v="pagado"/>
    <s v="pagado"/>
    <s v="excluir"/>
    <s v="no semana"/>
    <x v="0"/>
  </r>
  <r>
    <n v="1200000414"/>
    <d v="2025-04-29T00:00:00"/>
    <n v="12641535.58"/>
    <s v="Cheque de terceros tucumán"/>
    <x v="289"/>
    <n v="12641535.58"/>
    <x v="52"/>
    <x v="1"/>
    <s v="pagado"/>
    <s v="pagado"/>
    <s v="excluir"/>
    <s v="no semana"/>
    <x v="0"/>
  </r>
  <r>
    <n v="1200000414"/>
    <d v="2025-04-29T00:00:00"/>
    <n v="45991454.549999997"/>
    <s v="Cheque de terceros tucumán"/>
    <x v="290"/>
    <n v="45991454.549999997"/>
    <x v="52"/>
    <x v="1"/>
    <s v="pagado"/>
    <s v="pagado"/>
    <s v="excluir"/>
    <s v="no semana"/>
    <x v="0"/>
  </r>
  <r>
    <n v="3000000583"/>
    <d v="2025-04-29T00:00:00"/>
    <n v="14296925.4"/>
    <s v="LOS LAURELES SERVICIOS AGRICOLSan Miguel De Tucuman 14"/>
    <x v="291"/>
    <n v="14296925.4"/>
    <x v="53"/>
    <x v="1"/>
    <s v="pagado"/>
    <s v="pagado"/>
    <s v="excluir"/>
    <s v="no semana"/>
    <x v="0"/>
  </r>
  <r>
    <n v="3000000584"/>
    <d v="2025-04-29T00:00:00"/>
    <n v="33084275.699999999"/>
    <s v="ROMAN BARCELO Y JORGE CARRERASLAS LAJITAS 09"/>
    <x v="292"/>
    <n v="33084275.699999999"/>
    <x v="51"/>
    <x v="1"/>
    <s v="pagado"/>
    <s v="pagado"/>
    <s v="excluir"/>
    <s v="no semana"/>
    <x v="0"/>
  </r>
  <r>
    <n v="3000000585"/>
    <d v="2025-04-29T00:00:00"/>
    <n v="9993892.3599999994"/>
    <s v="PETROANDINA S.R.L SALTA 09"/>
    <x v="293"/>
    <n v="9993892.3599999994"/>
    <x v="53"/>
    <x v="1"/>
    <s v="pagado"/>
    <s v="pagado"/>
    <s v="excluir"/>
    <s v="no semana"/>
    <x v="0"/>
  </r>
  <r>
    <n v="3000000586"/>
    <d v="2025-04-29T00:00:00"/>
    <n v="28999682.719999999"/>
    <s v="FLETES Y SERVICIOS PUJATO S.A PUJATO 12"/>
    <x v="294"/>
    <n v="28999682.719999999"/>
    <x v="51"/>
    <x v="1"/>
    <s v="pagado"/>
    <s v="pagado"/>
    <s v="excluir"/>
    <s v="no semana"/>
    <x v="0"/>
  </r>
  <r>
    <n v="3000000587"/>
    <d v="2025-04-29T00:00:00"/>
    <n v="5951965.6500000004"/>
    <s v="TS OASIS SRL BANDA DEL RIO SALI 14"/>
    <x v="295"/>
    <n v="5951965.6500000004"/>
    <x v="53"/>
    <x v="1"/>
    <s v="pagado"/>
    <s v="pagado"/>
    <s v="excluir"/>
    <s v="no semana"/>
    <x v="0"/>
  </r>
  <r>
    <n v="3000000589"/>
    <d v="2025-04-29T00:00:00"/>
    <n v="8807343.4000000004"/>
    <s v="GOMEZ MANUEL ARCENIO METAN 09"/>
    <x v="296"/>
    <n v="8807343.4000000004"/>
    <x v="53"/>
    <x v="1"/>
    <s v="pagado"/>
    <s v="pagado"/>
    <s v="excluir"/>
    <s v="no semana"/>
    <x v="0"/>
  </r>
  <r>
    <n v="3000000590"/>
    <d v="2025-04-29T00:00:00"/>
    <n v="11279571.4"/>
    <s v="MARIA FERNANDA SRL LA TRINIDAD 14"/>
    <x v="297"/>
    <n v="11279571.4"/>
    <x v="53"/>
    <x v="1"/>
    <s v="pagado"/>
    <s v="pagado"/>
    <s v="excluir"/>
    <s v="no semana"/>
    <x v="0"/>
  </r>
  <r>
    <n v="3000000591"/>
    <d v="2025-04-29T00:00:00"/>
    <n v="25602500"/>
    <s v="Medina Lauro Jose Las Cejas 14"/>
    <x v="298"/>
    <n v="25602500"/>
    <x v="51"/>
    <x v="1"/>
    <s v="pagado"/>
    <s v="pagado"/>
    <s v="excluir"/>
    <s v="no semana"/>
    <x v="0"/>
  </r>
  <r>
    <n v="3000000588"/>
    <d v="2025-04-29T00:00:00"/>
    <n v="19243310.199999999"/>
    <s v="Pulverizaciones Tuninetti S.R.Las Rosas 01"/>
    <x v="299"/>
    <n v="19243310.199999999"/>
    <x v="53"/>
    <x v="1"/>
    <s v="pagado"/>
    <s v="pagado"/>
    <s v="excluir"/>
    <s v="no semana"/>
    <x v="0"/>
  </r>
  <r>
    <n v="3000000596"/>
    <d v="2025-05-05T00:00:00"/>
    <n v="9548104.6799999997"/>
    <s v="EMPRENDIMIENTOS ASSUN S.A. SANTIAGO DEL ESTERO 13"/>
    <x v="300"/>
    <n v="9548104.6799999997"/>
    <x v="54"/>
    <x v="1"/>
    <s v="pagado"/>
    <s v="pagado"/>
    <s v="excluir"/>
    <s v="no semana"/>
    <x v="0"/>
  </r>
  <r>
    <n v="3000000597"/>
    <d v="2025-05-05T00:00:00"/>
    <n v="8588108.4000000004"/>
    <s v="GRUPO MARGEN DEL NOA SA YERBA BUENA 14"/>
    <x v="301"/>
    <n v="8588108.4000000004"/>
    <x v="54"/>
    <x v="1"/>
    <s v="pagado"/>
    <s v="pagado"/>
    <s v="excluir"/>
    <s v="no semana"/>
    <x v="0"/>
  </r>
  <r>
    <n v="3000000598"/>
    <d v="2025-05-05T00:00:00"/>
    <n v="7560893.4000000004"/>
    <s v="MARIA FERNANDA SRL LA TRINIDAD 14"/>
    <x v="302"/>
    <n v="7560893.4000000004"/>
    <x v="54"/>
    <x v="1"/>
    <s v="pagado"/>
    <s v="pagado"/>
    <s v="excluir"/>
    <s v="no semana"/>
    <x v="0"/>
  </r>
  <r>
    <n v="3000000599"/>
    <d v="2025-05-05T00:00:00"/>
    <n v="13210343.4"/>
    <s v="GOMEZ MANUEL ARCENIO METAN 09"/>
    <x v="303"/>
    <n v="13210343.4"/>
    <x v="55"/>
    <x v="1"/>
    <s v="pagado"/>
    <s v="pagado"/>
    <s v="excluir"/>
    <s v="no semana"/>
    <x v="0"/>
  </r>
  <r>
    <n v="3000000600"/>
    <d v="2025-05-05T00:00:00"/>
    <n v="9107142.4000000004"/>
    <s v="Suarez Elio Hernan Los altos 02"/>
    <x v="304"/>
    <n v="9107142.4000000004"/>
    <x v="55"/>
    <x v="1"/>
    <s v="pagado"/>
    <s v="pagado"/>
    <s v="excluir"/>
    <s v="no semana"/>
    <x v="0"/>
  </r>
  <r>
    <n v="3000000601"/>
    <d v="2025-05-05T00:00:00"/>
    <n v="7236463.5999999996"/>
    <s v="RODRIGUEZ NESTOR HORACIO YERBA BUENA 14"/>
    <x v="305"/>
    <n v="7236463.5999999996"/>
    <x v="54"/>
    <x v="1"/>
    <s v="pagado"/>
    <s v="pagado"/>
    <s v="excluir"/>
    <s v="no semana"/>
    <x v="0"/>
  </r>
  <r>
    <n v="3000000657"/>
    <d v="2025-05-14T00:00:00"/>
    <n v="22000000"/>
    <s v="AYALA WALTER DANIEL ALDERETES 14"/>
    <x v="306"/>
    <n v="22000000"/>
    <x v="41"/>
    <x v="1"/>
    <s v="pagado"/>
    <s v="pagado"/>
    <s v="excluir"/>
    <s v="no semana"/>
    <x v="0"/>
  </r>
  <r>
    <n v="3000000657"/>
    <d v="2025-05-14T00:00:00"/>
    <n v="22518406.57"/>
    <s v="AYALA WALTER DANIEL ALDERETES 14"/>
    <x v="307"/>
    <n v="22518406.57"/>
    <x v="56"/>
    <x v="1"/>
    <s v="pagado"/>
    <s v="pagado"/>
    <s v="excluir"/>
    <s v="no semana"/>
    <x v="0"/>
  </r>
  <r>
    <n v="3000000659"/>
    <d v="2025-05-14T00:00:00"/>
    <n v="23000000"/>
    <s v="GRUPO MARGEN DEL NOA SA YERBA BUENA 14"/>
    <x v="308"/>
    <n v="23000000"/>
    <x v="41"/>
    <x v="1"/>
    <s v="pagado"/>
    <s v="pagado"/>
    <s v="excluir"/>
    <s v="no semana"/>
    <x v="0"/>
  </r>
  <r>
    <n v="3000000659"/>
    <d v="2025-05-14T00:00:00"/>
    <n v="20602938.5"/>
    <s v="GRUPO MARGEN DEL NOA SA YERBA BUENA 14"/>
    <x v="309"/>
    <n v="20602938.5"/>
    <x v="56"/>
    <x v="1"/>
    <s v="pagado"/>
    <s v="pagado"/>
    <s v="excluir"/>
    <s v="no semana"/>
    <x v="0"/>
  </r>
  <r>
    <n v="3000000670"/>
    <d v="2025-05-14T00:00:00"/>
    <n v="11000000"/>
    <s v="LOGISTICA CENTRO S.R.L CORONDA 12"/>
    <x v="310"/>
    <n v="11000000"/>
    <x v="41"/>
    <x v="1"/>
    <s v="pagado"/>
    <s v="pagado"/>
    <s v="excluir"/>
    <s v="no semana"/>
    <x v="0"/>
  </r>
  <r>
    <n v="3000000670"/>
    <d v="2025-05-14T00:00:00"/>
    <n v="10940939.789999999"/>
    <s v="LOGISTICA CENTRO S.R.L CORONDA 12"/>
    <x v="311"/>
    <n v="10940939.789999999"/>
    <x v="56"/>
    <x v="1"/>
    <s v="pagado"/>
    <s v="pagado"/>
    <s v="excluir"/>
    <s v="no semana"/>
    <x v="0"/>
  </r>
  <r>
    <n v="3000000656"/>
    <d v="2025-05-14T00:00:00"/>
    <n v="7924488"/>
    <s v="LOS LAURELES SERVICIOS AGRICOLSan Miguel De Tucuman 14"/>
    <x v="312"/>
    <n v="7924488"/>
    <x v="41"/>
    <x v="1"/>
    <s v="pagado"/>
    <s v="pagado"/>
    <s v="excluir"/>
    <s v="no semana"/>
    <x v="0"/>
  </r>
  <r>
    <n v="3000000658"/>
    <d v="2025-05-14T00:00:00"/>
    <n v="9372943.4000000004"/>
    <s v="ZALAZAR ATTIS LOURDES NOEMI NUEVA ESPERANZA 13"/>
    <x v="313"/>
    <n v="9372943.4000000004"/>
    <x v="41"/>
    <x v="1"/>
    <s v="pagado"/>
    <s v="pagado"/>
    <s v="excluir"/>
    <s v="no semana"/>
    <x v="0"/>
  </r>
  <r>
    <n v="3000000660"/>
    <d v="2025-05-14T00:00:00"/>
    <n v="8236483.8499999996"/>
    <s v="Medina Lauro Jose Las Cejas 14"/>
    <x v="314"/>
    <n v="8236483.8499999996"/>
    <x v="41"/>
    <x v="1"/>
    <s v="pagado"/>
    <s v="pagado"/>
    <s v="excluir"/>
    <s v="no semana"/>
    <x v="0"/>
  </r>
  <r>
    <n v="3000000661"/>
    <d v="2025-05-14T00:00:00"/>
    <n v="10800711.4"/>
    <s v="VERON MARIANA BEATRIZ NUEVA ESPERANZA 13"/>
    <x v="315"/>
    <n v="10800711.4"/>
    <x v="41"/>
    <x v="1"/>
    <s v="pagado"/>
    <s v="pagado"/>
    <s v="excluir"/>
    <s v="no semana"/>
    <x v="0"/>
  </r>
  <r>
    <n v="3000000662"/>
    <d v="2025-05-14T00:00:00"/>
    <n v="7501903.4000000004"/>
    <s v="LASTRINA CARMELO ALTO VERDE 14"/>
    <x v="316"/>
    <n v="7501903.4000000004"/>
    <x v="41"/>
    <x v="1"/>
    <s v="pagado"/>
    <s v="pagado"/>
    <s v="excluir"/>
    <s v="no semana"/>
    <x v="0"/>
  </r>
  <r>
    <n v="3000000663"/>
    <d v="2025-05-14T00:00:00"/>
    <n v="11120378.300000001"/>
    <s v="ANTONACCI LUIS GABRIEL LA FLORIDA 14"/>
    <x v="317"/>
    <n v="11120378.300000001"/>
    <x v="41"/>
    <x v="1"/>
    <s v="pagado"/>
    <s v="pagado"/>
    <s v="excluir"/>
    <s v="no semana"/>
    <x v="0"/>
  </r>
  <r>
    <n v="3000000664"/>
    <d v="2025-05-14T00:00:00"/>
    <n v="7189299.7599999998"/>
    <s v="TRANSPORTE Y LOGISTICA DEL ESTLAS CEJAS 14"/>
    <x v="318"/>
    <n v="7189299.7599999998"/>
    <x v="41"/>
    <x v="1"/>
    <s v="pagado"/>
    <s v="pagado"/>
    <s v="excluir"/>
    <s v="no semana"/>
    <x v="0"/>
  </r>
  <r>
    <n v="3000000665"/>
    <d v="2025-05-14T00:00:00"/>
    <n v="9994807.8200000003"/>
    <s v="JAVIER EDUARDO PRADO FLORIDA 13"/>
    <x v="319"/>
    <n v="9994807.8200000003"/>
    <x v="41"/>
    <x v="1"/>
    <s v="pagado"/>
    <s v="pagado"/>
    <s v="excluir"/>
    <s v="no semana"/>
    <x v="0"/>
  </r>
  <r>
    <n v="3000000666"/>
    <d v="2025-05-14T00:00:00"/>
    <n v="7529330.3300000001"/>
    <s v="LOGISTICA DEL NORTE S.R.L. SAN MIGUEL DE TUCUMAN 14"/>
    <x v="320"/>
    <n v="7529330.3300000001"/>
    <x v="41"/>
    <x v="1"/>
    <s v="pagado"/>
    <s v="pagado"/>
    <s v="excluir"/>
    <s v="no semana"/>
    <x v="0"/>
  </r>
  <r>
    <n v="3000000667"/>
    <d v="2025-05-14T00:00:00"/>
    <n v="4683141.54"/>
    <s v="TRANSPORTE CLASON SRL ROSARIO 12"/>
    <x v="321"/>
    <n v="4683141.54"/>
    <x v="41"/>
    <x v="1"/>
    <s v="pagado"/>
    <s v="pagado"/>
    <s v="excluir"/>
    <s v="no semana"/>
    <x v="0"/>
  </r>
  <r>
    <n v="3000000668"/>
    <d v="2025-05-14T00:00:00"/>
    <n v="6177998.8600000003"/>
    <s v="MOLINA JUAN F. Y MOLINA ROQUE Lastenia 14"/>
    <x v="322"/>
    <n v="6177998.8600000003"/>
    <x v="41"/>
    <x v="1"/>
    <s v="pagado"/>
    <s v="pagado"/>
    <s v="excluir"/>
    <s v="no semana"/>
    <x v="0"/>
  </r>
  <r>
    <n v="3000000669"/>
    <d v="2025-05-14T00:00:00"/>
    <n v="9617991.3900000006"/>
    <s v="FLETES Y SERVICIOS PUJATO S.A PUJATO 12"/>
    <x v="323"/>
    <n v="9617991.3900000006"/>
    <x v="41"/>
    <x v="1"/>
    <s v="pagado"/>
    <s v="pagado"/>
    <s v="excluir"/>
    <s v="no semana"/>
    <x v="0"/>
  </r>
  <r>
    <n v="3000000684"/>
    <d v="2025-05-20T00:00:00"/>
    <n v="8806000"/>
    <s v="GOMEZ MANUEL ARCENIO METAN 09"/>
    <x v="324"/>
    <n v="8806000"/>
    <x v="57"/>
    <x v="1"/>
    <s v="pagado"/>
    <s v="pagado"/>
    <s v="excluir"/>
    <s v="no semana"/>
    <x v="0"/>
  </r>
  <r>
    <n v="3000000685"/>
    <d v="2025-05-20T00:00:00"/>
    <n v="5850955"/>
    <s v="Medina Lauro Jose Las Cejas 14"/>
    <x v="325"/>
    <n v="5850955"/>
    <x v="57"/>
    <x v="1"/>
    <s v="pagado"/>
    <s v="pagado"/>
    <s v="excluir"/>
    <s v="no semana"/>
    <x v="0"/>
  </r>
  <r>
    <n v="3000000686"/>
    <d v="2025-05-20T00:00:00"/>
    <n v="3014400"/>
    <s v="ARAGON CARLOS DANIEL LA BANDA 13"/>
    <x v="326"/>
    <n v="3014400"/>
    <x v="57"/>
    <x v="1"/>
    <s v="pagado"/>
    <s v="pagado"/>
    <s v="excluir"/>
    <s v="no semana"/>
    <x v="0"/>
  </r>
  <r>
    <n v="3000000687"/>
    <d v="2025-05-20T00:00:00"/>
    <n v="12695564.98"/>
    <s v="PAIS WALTER LUIS SAN MIGUEL DE TUCUMAN 14"/>
    <x v="327"/>
    <n v="12695564.98"/>
    <x v="57"/>
    <x v="1"/>
    <s v="pagado"/>
    <s v="pagado"/>
    <s v="excluir"/>
    <s v="no semana"/>
    <x v="0"/>
  </r>
  <r>
    <n v="3000000688"/>
    <d v="2025-05-20T00:00:00"/>
    <n v="3256303.45"/>
    <s v="GARNIER MARCELO, HERNAN Y DIEGCOLON 05"/>
    <x v="328"/>
    <n v="3256303.45"/>
    <x v="57"/>
    <x v="1"/>
    <s v="pagado"/>
    <s v="pagado"/>
    <s v="excluir"/>
    <s v="no semana"/>
    <x v="0"/>
  </r>
  <r>
    <n v="3000000689"/>
    <d v="2025-05-20T00:00:00"/>
    <n v="6807633.5700000003"/>
    <s v="LANGELLA JUAN RODOLFO ALDERETES 14"/>
    <x v="329"/>
    <n v="6807633.5700000003"/>
    <x v="57"/>
    <x v="1"/>
    <s v="pagado"/>
    <s v="pagado"/>
    <s v="excluir"/>
    <s v="no semana"/>
    <x v="0"/>
  </r>
  <r>
    <n v="3000000690"/>
    <d v="2025-05-20T00:00:00"/>
    <n v="1886523.46"/>
    <s v="LENARDUZZI DIEGO LEONARDO SAN JUSTO 12"/>
    <x v="330"/>
    <n v="1886523.46"/>
    <x v="57"/>
    <x v="1"/>
    <s v="pagado"/>
    <s v="pagado"/>
    <s v="excluir"/>
    <s v="no semana"/>
    <x v="0"/>
  </r>
  <r>
    <n v="3000000691"/>
    <d v="2025-05-20T00:00:00"/>
    <n v="1720173"/>
    <s v="BUSTOS EXEQUIEL ANTONIO BANDA DEL RIO SALI 14"/>
    <x v="331"/>
    <n v="1720173"/>
    <x v="57"/>
    <x v="1"/>
    <s v="pagado"/>
    <s v="pagado"/>
    <s v="excluir"/>
    <s v="no semana"/>
    <x v="0"/>
  </r>
  <r>
    <n v="3000000692"/>
    <d v="2025-05-20T00:00:00"/>
    <n v="2279030.02"/>
    <s v="TRANS TRUCKS SRL SOLDINI 12"/>
    <x v="332"/>
    <n v="2279030.02"/>
    <x v="57"/>
    <x v="1"/>
    <s v="pagado"/>
    <s v="pagado"/>
    <s v="excluir"/>
    <s v="no semana"/>
    <x v="0"/>
  </r>
  <r>
    <n v="3000000693"/>
    <d v="2025-05-20T00:00:00"/>
    <n v="12962967.279999999"/>
    <s v="GUERRERO DANIEL MARCELO - ALDERETES 14"/>
    <x v="333"/>
    <n v="12962967.279999999"/>
    <x v="57"/>
    <x v="1"/>
    <s v="pagado"/>
    <s v="pagado"/>
    <s v="excluir"/>
    <s v="no semana"/>
    <x v="0"/>
  </r>
  <r>
    <n v="1200000417"/>
    <d v="2025-05-22T00:00:00"/>
    <n v="43487582.719999999"/>
    <s v="Cheque de terceros Tucuman"/>
    <x v="334"/>
    <n v="43487582.719999999"/>
    <x v="58"/>
    <x v="1"/>
    <s v="pagado"/>
    <s v="pagado"/>
    <s v="excluir"/>
    <s v="no semana"/>
    <x v="0"/>
  </r>
  <r>
    <n v="1200000417"/>
    <d v="2025-05-22T00:00:00"/>
    <n v="6381944.7400000002"/>
    <s v="Cheque de terceros TUCUMAN"/>
    <x v="335"/>
    <n v="6381944.7400000002"/>
    <x v="59"/>
    <x v="1"/>
    <s v="pagado"/>
    <s v="pagado"/>
    <s v="excluir"/>
    <s v="no semana"/>
    <x v="0"/>
  </r>
  <r>
    <n v="3000000702"/>
    <d v="2025-05-22T00:00:00"/>
    <n v="13612550"/>
    <s v="LOS LAURELES SERVICIOS AGRICOLSan Miguel De Tucuman 14"/>
    <x v="336"/>
    <n v="13612550"/>
    <x v="59"/>
    <x v="1"/>
    <s v="pagado"/>
    <s v="pagado"/>
    <s v="excluir"/>
    <s v="no semana"/>
    <x v="0"/>
  </r>
  <r>
    <n v="3000000703"/>
    <d v="2025-05-22T00:00:00"/>
    <n v="36301812.100000001"/>
    <s v="AGROQUIMICA ALBERDI S.R.L. CONCEPCION 14"/>
    <x v="337"/>
    <n v="36301812.100000001"/>
    <x v="59"/>
    <x v="1"/>
    <s v="pagado"/>
    <s v="pagado"/>
    <s v="excluir"/>
    <s v="no semana"/>
    <x v="0"/>
  </r>
  <r>
    <n v="3000000704"/>
    <d v="2025-05-22T00:00:00"/>
    <n v="7916254.2999999998"/>
    <s v="LOGISTICA CENTRO S.R.L CORONDA 12"/>
    <x v="338"/>
    <n v="7916254.2999999998"/>
    <x v="59"/>
    <x v="1"/>
    <s v="pagado"/>
    <s v="pagado"/>
    <s v="excluir"/>
    <s v="no semana"/>
    <x v="0"/>
  </r>
  <r>
    <n v="3000000709"/>
    <d v="2025-05-23T00:00:00"/>
    <n v="12607380"/>
    <s v="EDET S.A. SAN MIGUEL DE TUCUMAN 14"/>
    <x v="339"/>
    <n v="12607380"/>
    <x v="58"/>
    <x v="0"/>
    <s v="pagado"/>
    <s v="pagado"/>
    <s v="excluir"/>
    <s v="no semana"/>
    <x v="0"/>
  </r>
  <r>
    <n v="3000000716"/>
    <d v="2025-05-26T00:00:00"/>
    <n v="6000000"/>
    <s v="TRANSPORTE RAUL S.R.L SAN MIGUEL DE TUCUMAN 14"/>
    <x v="340"/>
    <n v="6000000"/>
    <x v="60"/>
    <x v="1"/>
    <s v="pagado"/>
    <s v="pagado"/>
    <s v="excluir"/>
    <s v="no semana"/>
    <x v="0"/>
  </r>
  <r>
    <n v="3000000716"/>
    <d v="2025-05-26T00:00:00"/>
    <n v="6509862.4800000004"/>
    <s v="TRANSPORTE RAUL S.R.L SAN MIGUEL DE TUCUMAN 14"/>
    <x v="341"/>
    <n v="6509862.4800000004"/>
    <x v="61"/>
    <x v="1"/>
    <s v="pagado"/>
    <s v="pagado"/>
    <s v="excluir"/>
    <s v="no semana"/>
    <x v="0"/>
  </r>
  <r>
    <n v="3000000717"/>
    <d v="2025-05-26T00:00:00"/>
    <n v="2000000"/>
    <s v="Pulmajo S.R.L. CONCEPCION 14"/>
    <x v="342"/>
    <n v="2000000"/>
    <x v="60"/>
    <x v="1"/>
    <s v="pagado"/>
    <s v="pagado"/>
    <s v="excluir"/>
    <s v="no semana"/>
    <x v="0"/>
  </r>
  <r>
    <n v="3000000717"/>
    <d v="2025-05-26T00:00:00"/>
    <n v="2000000"/>
    <s v="Pulmajo S.R.L. CONCEPCION 14"/>
    <x v="343"/>
    <n v="2000000"/>
    <x v="60"/>
    <x v="1"/>
    <s v="pagado"/>
    <s v="pagado"/>
    <s v="excluir"/>
    <s v="no semana"/>
    <x v="0"/>
  </r>
  <r>
    <n v="3000000717"/>
    <d v="2025-05-26T00:00:00"/>
    <n v="2000000"/>
    <s v="Pulmajo S.R.L. CONCEPCION 14"/>
    <x v="344"/>
    <n v="2000000"/>
    <x v="60"/>
    <x v="1"/>
    <s v="pagado"/>
    <s v="pagado"/>
    <s v="excluir"/>
    <s v="no semana"/>
    <x v="0"/>
  </r>
  <r>
    <n v="3000000717"/>
    <d v="2025-05-26T00:00:00"/>
    <n v="2000000"/>
    <s v="Pulmajo S.R.L. CONCEPCION 14"/>
    <x v="345"/>
    <n v="2000000"/>
    <x v="60"/>
    <x v="1"/>
    <s v="pagado"/>
    <s v="pagado"/>
    <s v="excluir"/>
    <s v="no semana"/>
    <x v="0"/>
  </r>
  <r>
    <n v="3000000717"/>
    <d v="2025-05-26T00:00:00"/>
    <n v="2000000"/>
    <s v="Pulmajo S.R.L. CONCEPCION 14"/>
    <x v="346"/>
    <n v="2000000"/>
    <x v="61"/>
    <x v="1"/>
    <s v="pagado"/>
    <s v="pagado"/>
    <s v="excluir"/>
    <s v="no semana"/>
    <x v="0"/>
  </r>
  <r>
    <n v="3000000717"/>
    <d v="2025-05-26T00:00:00"/>
    <n v="1564920.9"/>
    <s v="Pulmajo S.R.L. CONCEPCION 14"/>
    <x v="347"/>
    <n v="1564920.9"/>
    <x v="61"/>
    <x v="1"/>
    <s v="pagado"/>
    <s v="pagado"/>
    <s v="excluir"/>
    <s v="no semana"/>
    <x v="0"/>
  </r>
  <r>
    <n v="3000000715"/>
    <d v="2025-05-26T00:00:00"/>
    <n v="4554913.75"/>
    <s v="ABUT TRANSPORTES SA CENTENO 12"/>
    <x v="348"/>
    <n v="4554913.75"/>
    <x v="60"/>
    <x v="1"/>
    <s v="pagado"/>
    <s v="pagado"/>
    <s v="excluir"/>
    <s v="no semana"/>
    <x v="0"/>
  </r>
  <r>
    <n v="3000000718"/>
    <d v="2025-05-26T00:00:00"/>
    <n v="5463364.5"/>
    <s v="AYALA WALTER DANIEL ALDERETES 14"/>
    <x v="349"/>
    <n v="5463364.5"/>
    <x v="60"/>
    <x v="1"/>
    <s v="pagado"/>
    <s v="pagado"/>
    <s v="excluir"/>
    <s v="no semana"/>
    <x v="0"/>
  </r>
  <r>
    <n v="3000000719"/>
    <d v="2025-05-26T00:00:00"/>
    <n v="4063008.02"/>
    <s v="Laborda Carlos SAN MIGUEL DE TUCUMAN 14"/>
    <x v="350"/>
    <n v="4063008.02"/>
    <x v="60"/>
    <x v="1"/>
    <s v="pagado"/>
    <s v="pagado"/>
    <s v="excluir"/>
    <s v="no semana"/>
    <x v="0"/>
  </r>
  <r>
    <n v="3000000717"/>
    <d v="2025-05-26T00:00:00"/>
    <n v="2000000"/>
    <s v="Pulmajo S.R.L. CONCEPCION 14"/>
    <x v="351"/>
    <n v="2000000"/>
    <x v="60"/>
    <x v="1"/>
    <s v="pagado"/>
    <s v="pagado"/>
    <s v="excluir"/>
    <s v="no semana"/>
    <x v="0"/>
  </r>
  <r>
    <n v="3000000740"/>
    <d v="2025-05-28T00:00:00"/>
    <n v="20000000"/>
    <s v="TRANSPORTE LUIS SANDOVAL S.A.SLOS VALLISTOS 14"/>
    <x v="352"/>
    <n v="20000000"/>
    <x v="61"/>
    <x v="1"/>
    <s v="pagado"/>
    <s v="pagado"/>
    <s v="excluir"/>
    <s v="no semana"/>
    <x v="0"/>
  </r>
  <r>
    <n v="3000000740"/>
    <d v="2025-05-28T00:00:00"/>
    <n v="15728477.85"/>
    <s v="TRANSPORTE LUIS SANDOVAL S.A.SLOS VALLISTOS 14"/>
    <x v="353"/>
    <n v="15728477.85"/>
    <x v="62"/>
    <x v="1"/>
    <s v="pagado"/>
    <s v="pagado"/>
    <s v="excluir"/>
    <s v="no semana"/>
    <x v="0"/>
  </r>
  <r>
    <n v="3000000741"/>
    <d v="2025-05-28T00:00:00"/>
    <n v="25000000"/>
    <s v="TRANSPORTE BARBERAN HNOS SRL CHABAS 12"/>
    <x v="354"/>
    <n v="25000000"/>
    <x v="61"/>
    <x v="1"/>
    <s v="pagado"/>
    <s v="pagado"/>
    <s v="excluir"/>
    <s v="no semana"/>
    <x v="0"/>
  </r>
  <r>
    <n v="3000000741"/>
    <d v="2025-05-28T00:00:00"/>
    <n v="23505897.850000001"/>
    <s v="TRANSPORTE BARBERAN HNOS SRL CHABAS 12"/>
    <x v="355"/>
    <n v="23505897.850000001"/>
    <x v="62"/>
    <x v="1"/>
    <s v="pagado"/>
    <s v="pagado"/>
    <s v="excluir"/>
    <s v="no semana"/>
    <x v="0"/>
  </r>
  <r>
    <n v="3000000742"/>
    <d v="2025-05-28T00:00:00"/>
    <n v="12000000"/>
    <s v="ANTONACCI LUIS GABRIEL LA FLORIDA 14"/>
    <x v="356"/>
    <n v="12000000"/>
    <x v="61"/>
    <x v="1"/>
    <s v="pagado"/>
    <s v="pagado"/>
    <s v="excluir"/>
    <s v="no semana"/>
    <x v="0"/>
  </r>
  <r>
    <n v="3000000742"/>
    <d v="2025-05-28T00:00:00"/>
    <n v="12440001.17"/>
    <s v="ANTONACCI LUIS GABRIEL LA FLORIDA 14"/>
    <x v="357"/>
    <n v="12440001.17"/>
    <x v="62"/>
    <x v="1"/>
    <s v="pagado"/>
    <s v="pagado"/>
    <s v="excluir"/>
    <s v="no semana"/>
    <x v="0"/>
  </r>
  <r>
    <n v="3000000739"/>
    <d v="2025-05-28T00:00:00"/>
    <n v="5575083.5599999996"/>
    <s v="JAVIER EDUARDO PRADO FLORIDA 13"/>
    <x v="358"/>
    <n v="5575083.5599999996"/>
    <x v="61"/>
    <x v="1"/>
    <s v="pagado"/>
    <s v="pagado"/>
    <s v="excluir"/>
    <s v="no semana"/>
    <x v="0"/>
  </r>
  <r>
    <n v="3000000743"/>
    <d v="2025-05-28T00:00:00"/>
    <n v="12767204.609999999"/>
    <s v="COMBUSTIBLES DEL NORTE S.A. LAS LAJITAS 09"/>
    <x v="359"/>
    <n v="12767204.609999999"/>
    <x v="61"/>
    <x v="1"/>
    <s v="pagado"/>
    <s v="pagado"/>
    <s v="excluir"/>
    <s v="no semana"/>
    <x v="0"/>
  </r>
  <r>
    <n v="3000000749"/>
    <d v="2025-06-02T00:00:00"/>
    <n v="10000000"/>
    <s v="Laborda Carlos SAN MIGUEL DE TUCUMAN 14"/>
    <x v="360"/>
    <n v="10000000"/>
    <x v="63"/>
    <x v="0"/>
    <s v="pagado"/>
    <s v="pagado"/>
    <s v="excluir"/>
    <s v="no semana"/>
    <x v="0"/>
  </r>
  <r>
    <n v="3000000749"/>
    <d v="2025-06-02T00:00:00"/>
    <n v="0"/>
    <s v="invalidado med.EOLIVERA -Rechazado"/>
    <x v="361"/>
    <n v="0"/>
    <x v="64"/>
    <x v="0"/>
    <s v="no pagado"/>
    <s v="fuera de fecha"/>
    <s v="excluir"/>
    <s v="no semana"/>
    <x v="0"/>
  </r>
  <r>
    <n v="3000000749"/>
    <d v="2025-06-02T00:00:00"/>
    <n v="2000000"/>
    <s v="Laborda Carlos SAN MIGUEL DE TUCUMAN 14"/>
    <x v="362"/>
    <n v="2000000"/>
    <x v="64"/>
    <x v="0"/>
    <s v="pagado"/>
    <s v="pagado"/>
    <s v="excluir"/>
    <s v="no semana"/>
    <x v="0"/>
  </r>
  <r>
    <n v="3000000749"/>
    <d v="2025-06-02T00:00:00"/>
    <n v="500000"/>
    <s v="Laborda Carlos SAN MIGUEL DE TUCUMAN 14"/>
    <x v="363"/>
    <n v="500000"/>
    <x v="64"/>
    <x v="0"/>
    <s v="pagado"/>
    <s v="pagado"/>
    <s v="excluir"/>
    <s v="no semana"/>
    <x v="0"/>
  </r>
  <r>
    <n v="3000000749"/>
    <d v="2025-06-02T00:00:00"/>
    <n v="500000"/>
    <s v="Laborda Carlos SAN MIGUEL DE TUCUMAN 14"/>
    <x v="364"/>
    <n v="500000"/>
    <x v="64"/>
    <x v="0"/>
    <s v="pagado"/>
    <s v="pagado"/>
    <s v="excluir"/>
    <s v="no semana"/>
    <x v="0"/>
  </r>
  <r>
    <n v="3000000749"/>
    <d v="2025-06-02T00:00:00"/>
    <n v="300000"/>
    <s v="Laborda Carlos SAN MIGUEL DE TUCUMAN 14"/>
    <x v="365"/>
    <n v="300000"/>
    <x v="64"/>
    <x v="0"/>
    <s v="pagado"/>
    <s v="pagado"/>
    <s v="excluir"/>
    <s v="no semana"/>
    <x v="0"/>
  </r>
  <r>
    <n v="3000000749"/>
    <d v="2025-06-02T00:00:00"/>
    <n v="376343.4"/>
    <s v="Laborda Carlos SAN MIGUEL DE TUCUMAN 14"/>
    <x v="366"/>
    <n v="376343.4"/>
    <x v="64"/>
    <x v="0"/>
    <s v="pagado"/>
    <s v="pagado"/>
    <s v="excluir"/>
    <s v="no semana"/>
    <x v="0"/>
  </r>
  <r>
    <n v="3000000776"/>
    <d v="2025-06-04T00:00:00"/>
    <n v="15000000"/>
    <s v="ANTONACCI LUIS GABRIEL LA FLORIDA 14"/>
    <x v="367"/>
    <n v="15000000"/>
    <x v="65"/>
    <x v="1"/>
    <s v="pagado"/>
    <s v="pagado"/>
    <s v="excluir"/>
    <s v="no semana"/>
    <x v="0"/>
  </r>
  <r>
    <n v="3000000776"/>
    <d v="2025-06-04T00:00:00"/>
    <n v="10335296.789999999"/>
    <s v="ANTONACCI LUIS GABRIEL LA FLORIDA 14"/>
    <x v="368"/>
    <n v="10335296.789999999"/>
    <x v="66"/>
    <x v="1"/>
    <s v="pagado"/>
    <s v="pagado"/>
    <s v="excluir"/>
    <s v="no semana"/>
    <x v="0"/>
  </r>
  <r>
    <n v="3000000777"/>
    <d v="2025-06-04T00:00:00"/>
    <n v="15000000"/>
    <s v="GOMEZ JESSICA NOELIA LAS TALITAS 14"/>
    <x v="369"/>
    <n v="15000000"/>
    <x v="65"/>
    <x v="1"/>
    <s v="pagado"/>
    <s v="pagado"/>
    <s v="excluir"/>
    <s v="no semana"/>
    <x v="0"/>
  </r>
  <r>
    <n v="3000000777"/>
    <d v="2025-06-04T00:00:00"/>
    <n v="16724791.76"/>
    <s v="GOMEZ JESSICA NOELIA LAS TALITAS 14"/>
    <x v="370"/>
    <n v="16724791.76"/>
    <x v="66"/>
    <x v="1"/>
    <s v="pagado"/>
    <s v="pagado"/>
    <s v="excluir"/>
    <s v="no semana"/>
    <x v="0"/>
  </r>
  <r>
    <n v="3000000778"/>
    <d v="2025-06-04T00:00:00"/>
    <n v="13000000"/>
    <s v="LOGISTICA DEL NORTE S.R.L. SAN MIGUEL DE TUCUMAN 14"/>
    <x v="371"/>
    <n v="13000000"/>
    <x v="65"/>
    <x v="1"/>
    <s v="pagado"/>
    <s v="pagado"/>
    <s v="excluir"/>
    <s v="no semana"/>
    <x v="0"/>
  </r>
  <r>
    <n v="3000000778"/>
    <d v="2025-06-04T00:00:00"/>
    <n v="13093217.98"/>
    <s v="LOGISTICA DEL NORTE S.R.L. SAN MIGUEL DE TUCUMAN 14"/>
    <x v="372"/>
    <n v="13093217.98"/>
    <x v="66"/>
    <x v="1"/>
    <s v="pagado"/>
    <s v="pagado"/>
    <s v="excluir"/>
    <s v="no semana"/>
    <x v="0"/>
  </r>
  <r>
    <n v="3000000755"/>
    <d v="2025-06-04T00:00:00"/>
    <n v="7222263.4000000004"/>
    <s v="GOMEZ MANUEL ARCENIO METAN 09"/>
    <x v="373"/>
    <n v="7222263.4000000004"/>
    <x v="67"/>
    <x v="1"/>
    <s v="pagado"/>
    <s v="pagado"/>
    <s v="excluir"/>
    <s v="no semana"/>
    <x v="0"/>
  </r>
  <r>
    <n v="3000000768"/>
    <d v="2025-06-04T00:00:00"/>
    <n v="6518128.3700000001"/>
    <s v="JAVIER EDUARDO PRADO FLORIDA 13"/>
    <x v="374"/>
    <n v="6518128.3700000001"/>
    <x v="65"/>
    <x v="1"/>
    <s v="pagado"/>
    <s v="pagado"/>
    <s v="excluir"/>
    <s v="no semana"/>
    <x v="0"/>
  </r>
  <r>
    <n v="3000000769"/>
    <d v="2025-06-04T00:00:00"/>
    <n v="8650081.0999999996"/>
    <s v="ELIAS LUCIANO EMANUEL LAS TALITAS 14"/>
    <x v="375"/>
    <n v="8650081.0999999996"/>
    <x v="65"/>
    <x v="1"/>
    <s v="pagado"/>
    <s v="pagado"/>
    <s v="excluir"/>
    <s v="no semana"/>
    <x v="0"/>
  </r>
  <r>
    <n v="3000000770"/>
    <d v="2025-06-04T00:00:00"/>
    <n v="9273780.4600000009"/>
    <s v="BUSTOS EXEQUIEL ANTONIO BANDA DEL RIO SALI 14"/>
    <x v="376"/>
    <n v="9273780.4600000009"/>
    <x v="66"/>
    <x v="1"/>
    <s v="pagado"/>
    <s v="pagado"/>
    <s v="excluir"/>
    <s v="no semana"/>
    <x v="0"/>
  </r>
  <r>
    <n v="3000000771"/>
    <d v="2025-06-04T00:00:00"/>
    <n v="9425410.0999999996"/>
    <s v="TRANSPORTE Y LOGISTICA DEL ESTLAS CEJAS 14"/>
    <x v="377"/>
    <n v="9425410.0999999996"/>
    <x v="66"/>
    <x v="1"/>
    <s v="pagado"/>
    <s v="pagado"/>
    <s v="excluir"/>
    <s v="no semana"/>
    <x v="0"/>
  </r>
  <r>
    <n v="3000000772"/>
    <d v="2025-06-04T00:00:00"/>
    <n v="2625899.7799999998"/>
    <s v="TRANSPORTE LUIS SANDOVAL S.A.SLOS VALLISTOS 14"/>
    <x v="378"/>
    <n v="2625899.7799999998"/>
    <x v="65"/>
    <x v="1"/>
    <s v="pagado"/>
    <s v="pagado"/>
    <s v="excluir"/>
    <s v="no semana"/>
    <x v="0"/>
  </r>
  <r>
    <n v="3000000773"/>
    <d v="2025-06-04T00:00:00"/>
    <n v="3095749.7"/>
    <s v="BUSTOS CESAR ANIBAL BANDAL DE RIO SALI 14"/>
    <x v="379"/>
    <n v="3095749.7"/>
    <x v="65"/>
    <x v="1"/>
    <s v="pagado"/>
    <s v="pagado"/>
    <s v="excluir"/>
    <s v="no semana"/>
    <x v="0"/>
  </r>
  <r>
    <n v="3000000774"/>
    <d v="2025-06-04T00:00:00"/>
    <n v="3034813.72"/>
    <s v="AGROTRANSPORTE ALDAO S.A. CAMILO ALDAO 03"/>
    <x v="380"/>
    <n v="3034813.72"/>
    <x v="65"/>
    <x v="1"/>
    <s v="pagado"/>
    <s v="pagado"/>
    <s v="excluir"/>
    <s v="no semana"/>
    <x v="0"/>
  </r>
  <r>
    <n v="3000000775"/>
    <d v="2025-06-04T00:00:00"/>
    <n v="3768167.92"/>
    <s v="ARAGON CARLOS DANIEL LA BANDA 13"/>
    <x v="381"/>
    <n v="3768167.92"/>
    <x v="65"/>
    <x v="1"/>
    <s v="pagado"/>
    <s v="pagado"/>
    <s v="excluir"/>
    <s v="no semana"/>
    <x v="0"/>
  </r>
  <r>
    <n v="3000000779"/>
    <d v="2025-06-04T00:00:00"/>
    <n v="11583281.75"/>
    <s v="MOYANO SERGIO ESTEBAN BANDA DEL RIO SALI 14"/>
    <x v="382"/>
    <n v="11583281.75"/>
    <x v="66"/>
    <x v="1"/>
    <s v="pagado"/>
    <s v="pagado"/>
    <s v="excluir"/>
    <s v="no semana"/>
    <x v="0"/>
  </r>
  <r>
    <n v="3000000796"/>
    <d v="2025-06-05T00:00:00"/>
    <n v="3560486.77"/>
    <s v="MOLINA JUAN F. Y MOLINA ROQUE Lastenia 14"/>
    <x v="383"/>
    <n v="3560486.77"/>
    <x v="65"/>
    <x v="1"/>
    <s v="pagado"/>
    <s v="pagado"/>
    <s v="excluir"/>
    <s v="no semana"/>
    <x v="0"/>
  </r>
  <r>
    <n v="3000000796"/>
    <d v="2025-06-05T00:00:00"/>
    <n v="14064357.029999999"/>
    <s v="MOLINA JUAN F. Y MOLINA ROQUE Lastenia 14"/>
    <x v="384"/>
    <n v="14064357.029999999"/>
    <x v="66"/>
    <x v="1"/>
    <s v="pagado"/>
    <s v="pagado"/>
    <s v="excluir"/>
    <s v="no semana"/>
    <x v="0"/>
  </r>
  <r>
    <n v="3000000797"/>
    <d v="2025-06-05T00:00:00"/>
    <n v="5067190.53"/>
    <s v="ENTREGAS SERDEN S.R.L SAN LORENZO 12"/>
    <x v="385"/>
    <n v="5067190.53"/>
    <x v="65"/>
    <x v="1"/>
    <s v="pagado"/>
    <s v="pagado"/>
    <s v="excluir"/>
    <s v="no semana"/>
    <x v="0"/>
  </r>
  <r>
    <n v="3000000798"/>
    <d v="2025-06-05T00:00:00"/>
    <n v="8000000"/>
    <s v="LOGISTICA CENTRO S.R.L CORONDA 12"/>
    <x v="386"/>
    <n v="8000000"/>
    <x v="65"/>
    <x v="1"/>
    <s v="pagado"/>
    <s v="pagado"/>
    <s v="excluir"/>
    <s v="no semana"/>
    <x v="0"/>
  </r>
  <r>
    <n v="3000000798"/>
    <d v="2025-06-05T00:00:00"/>
    <n v="8295215.9100000001"/>
    <s v="LOGISTICA CENTRO S.R.L CORONDA 12"/>
    <x v="387"/>
    <n v="8295215.9100000001"/>
    <x v="66"/>
    <x v="1"/>
    <s v="pagado"/>
    <s v="pagado"/>
    <s v="excluir"/>
    <s v="no semana"/>
    <x v="0"/>
  </r>
  <r>
    <n v="3000000799"/>
    <d v="2025-06-05T00:00:00"/>
    <n v="11178582.01"/>
    <s v="LAVENIA VITO CARMELO LASTENIA 14"/>
    <x v="388"/>
    <n v="11178582.01"/>
    <x v="66"/>
    <x v="1"/>
    <s v="pagado"/>
    <s v="pagado"/>
    <s v="excluir"/>
    <s v="no semana"/>
    <x v="0"/>
  </r>
  <r>
    <n v="3000000810"/>
    <d v="2025-06-09T00:00:00"/>
    <n v="0"/>
    <s v="invalidado med.EOLIVERA -Rechazado"/>
    <x v="389"/>
    <n v="0"/>
    <x v="68"/>
    <x v="1"/>
    <s v="no pagado"/>
    <s v="fuera de fecha"/>
    <s v="excluir"/>
    <s v="no semana"/>
    <x v="0"/>
  </r>
  <r>
    <n v="3000000811"/>
    <d v="2025-06-09T00:00:00"/>
    <n v="0"/>
    <s v="invalidado med.EOLIVERA -Rechazado"/>
    <x v="390"/>
    <n v="0"/>
    <x v="68"/>
    <x v="1"/>
    <s v="no pagado"/>
    <s v="fuera de fecha"/>
    <s v="excluir"/>
    <s v="no semana"/>
    <x v="0"/>
  </r>
  <r>
    <n v="3000000835"/>
    <d v="2025-06-12T00:00:00"/>
    <n v="13866510"/>
    <s v="EDET S.A. SAN MIGUEL DE TUCUMAN 14"/>
    <x v="391"/>
    <n v="13866510"/>
    <x v="69"/>
    <x v="0"/>
    <s v="pagado"/>
    <s v="pagado"/>
    <s v="excluir"/>
    <s v="no semana"/>
    <x v="0"/>
  </r>
  <r>
    <n v="3000000840"/>
    <d v="2025-06-12T00:00:00"/>
    <n v="10000000"/>
    <s v="ARAGON CARLOS DANIEL LA BANDA 13"/>
    <x v="392"/>
    <n v="10000000"/>
    <x v="42"/>
    <x v="1"/>
    <s v="pagado"/>
    <s v="pagado"/>
    <s v="excluir"/>
    <s v="no semana"/>
    <x v="0"/>
  </r>
  <r>
    <n v="3000000840"/>
    <d v="2025-06-12T00:00:00"/>
    <n v="5095550"/>
    <s v="ARAGON CARLOS DANIEL LA BANDA 13"/>
    <x v="393"/>
    <n v="5095550"/>
    <x v="70"/>
    <x v="1"/>
    <s v="pagado"/>
    <s v="pagado"/>
    <s v="excluir"/>
    <s v="no semana"/>
    <x v="0"/>
  </r>
  <r>
    <n v="3000000843"/>
    <d v="2025-06-12T00:00:00"/>
    <n v="25000000"/>
    <s v="DANIEL MARCELO GUERRERO ALDERETES 14"/>
    <x v="394"/>
    <n v="25000000"/>
    <x v="42"/>
    <x v="1"/>
    <s v="pagado"/>
    <s v="pagado"/>
    <s v="excluir"/>
    <s v="no semana"/>
    <x v="0"/>
  </r>
  <r>
    <n v="3000000843"/>
    <d v="2025-06-12T00:00:00"/>
    <n v="24575664.460000001"/>
    <s v="DANIEL MARCELO GUERRERO ALDERETES 14"/>
    <x v="395"/>
    <n v="24575664.460000001"/>
    <x v="70"/>
    <x v="1"/>
    <s v="pagado"/>
    <s v="pagado"/>
    <s v="excluir"/>
    <s v="no semana"/>
    <x v="0"/>
  </r>
  <r>
    <n v="3000000836"/>
    <d v="2025-06-12T00:00:00"/>
    <n v="9021852.0700000003"/>
    <s v="TRANSPORTE Y LOGISTICA DEL ESTLAS CEJAS 14"/>
    <x v="396"/>
    <n v="9021852.0700000003"/>
    <x v="42"/>
    <x v="1"/>
    <s v="pagado"/>
    <s v="pagado"/>
    <s v="excluir"/>
    <s v="no semana"/>
    <x v="0"/>
  </r>
  <r>
    <n v="3000000837"/>
    <d v="2025-06-12T00:00:00"/>
    <n v="5672933.2999999998"/>
    <s v="PAIS WALTER LUIS SAN MIGUEL DE TUCUMAN 14"/>
    <x v="397"/>
    <n v="5672933.2999999998"/>
    <x v="42"/>
    <x v="1"/>
    <s v="pagado"/>
    <s v="pagado"/>
    <s v="excluir"/>
    <s v="no semana"/>
    <x v="0"/>
  </r>
  <r>
    <n v="3000000838"/>
    <d v="2025-06-12T00:00:00"/>
    <n v="3651009.18"/>
    <s v="AGROTRANSPORTE ALDAO S.A. CAMILO ALDAO 03"/>
    <x v="398"/>
    <n v="3651009.18"/>
    <x v="42"/>
    <x v="1"/>
    <s v="pagado"/>
    <s v="pagado"/>
    <s v="excluir"/>
    <s v="no semana"/>
    <x v="0"/>
  </r>
  <r>
    <n v="3000000839"/>
    <d v="2025-06-12T00:00:00"/>
    <n v="7865911.7999999998"/>
    <s v="ANTONACCI LUIS GABRIEL LA FLORIDA 14"/>
    <x v="399"/>
    <n v="7865911.7999999998"/>
    <x v="42"/>
    <x v="1"/>
    <s v="pagado"/>
    <s v="pagado"/>
    <s v="excluir"/>
    <s v="no semana"/>
    <x v="0"/>
  </r>
  <r>
    <n v="3000000841"/>
    <d v="2025-06-12T00:00:00"/>
    <n v="6973986.0899999999"/>
    <s v="TRANSPORTE LUIS SANDOVAL S.A.SLOS VALLISTOS 14"/>
    <x v="400"/>
    <n v="6973986.0899999999"/>
    <x v="42"/>
    <x v="1"/>
    <s v="pagado"/>
    <s v="pagado"/>
    <s v="excluir"/>
    <s v="no semana"/>
    <x v="0"/>
  </r>
  <r>
    <n v="3000000842"/>
    <d v="2025-06-12T00:00:00"/>
    <n v="6693676.7800000003"/>
    <s v="CAMPOSTRINI S R L VILLAGUAY 05"/>
    <x v="401"/>
    <n v="6693676.7800000003"/>
    <x v="42"/>
    <x v="1"/>
    <s v="pagado"/>
    <s v="pagado"/>
    <s v="excluir"/>
    <s v="no semana"/>
    <x v="0"/>
  </r>
  <r>
    <n v="3000000810"/>
    <d v="2025-06-09T00:00:00"/>
    <n v="10466343.4"/>
    <s v="Roda Transformecanica Serv.SRLSAN MIGUEL DE TUCUMAN 14"/>
    <x v="402"/>
    <n v="10466343.4"/>
    <x v="71"/>
    <x v="1"/>
    <s v="pagado"/>
    <s v="pagado"/>
    <s v="excluir"/>
    <s v="no semana"/>
    <x v="0"/>
  </r>
  <r>
    <n v="3000000811"/>
    <d v="2025-06-09T00:00:00"/>
    <n v="6101642.9199999999"/>
    <s v="VERON MARIANA BEATRIZ NUEVA ESPERANZA 13"/>
    <x v="403"/>
    <n v="6101642.9199999999"/>
    <x v="71"/>
    <x v="1"/>
    <s v="pagado"/>
    <s v="pagado"/>
    <s v="excluir"/>
    <s v="no semana"/>
    <x v="0"/>
  </r>
  <r>
    <n v="3000000749"/>
    <d v="2025-06-17T00:00:00"/>
    <n v="500000"/>
    <s v="Laborda Carlos SAN MIGUEL DE TUCUMAN 14"/>
    <x v="404"/>
    <n v="500000"/>
    <x v="42"/>
    <x v="0"/>
    <s v="pagado"/>
    <s v="pagado"/>
    <s v="excluir"/>
    <s v="no semana"/>
    <x v="0"/>
  </r>
  <r>
    <n v="3000000749"/>
    <d v="2025-06-17T00:00:00"/>
    <n v="500000"/>
    <s v="Laborda Carlos SAN MIGUEL DE TUCUMAN 14"/>
    <x v="405"/>
    <n v="500000"/>
    <x v="42"/>
    <x v="0"/>
    <s v="pagado"/>
    <s v="pagado"/>
    <s v="excluir"/>
    <s v="no semana"/>
    <x v="0"/>
  </r>
  <r>
    <n v="3000000749"/>
    <d v="2025-06-17T00:00:00"/>
    <n v="500000"/>
    <s v="Laborda Carlos SAN MIGUEL DE TUCUMAN 14"/>
    <x v="406"/>
    <n v="500000"/>
    <x v="42"/>
    <x v="0"/>
    <s v="pagado"/>
    <s v="pagado"/>
    <s v="excluir"/>
    <s v="no semana"/>
    <x v="0"/>
  </r>
  <r>
    <n v="3000000749"/>
    <d v="2025-06-17T00:00:00"/>
    <n v="500000"/>
    <s v="Laborda Carlos SAN MIGUEL DE TUCUMAN 14"/>
    <x v="407"/>
    <n v="500000"/>
    <x v="42"/>
    <x v="0"/>
    <s v="pagado"/>
    <s v="pagado"/>
    <s v="excluir"/>
    <s v="no semana"/>
    <x v="0"/>
  </r>
  <r>
    <n v="1200000857"/>
    <d v="2025-06-17T00:00:00"/>
    <n v="9496520.3100000005"/>
    <s v="Cheque de terceros TUCUMAN"/>
    <x v="408"/>
    <n v="9496520.3100000005"/>
    <x v="72"/>
    <x v="1"/>
    <s v="pagado"/>
    <s v="pagado"/>
    <s v="excluir"/>
    <s v="no semana"/>
    <x v="0"/>
  </r>
  <r>
    <n v="1200000857"/>
    <d v="2025-06-17T00:00:00"/>
    <n v="7606970.3899999997"/>
    <s v="Cheque de terceros TUCUMAN"/>
    <x v="409"/>
    <n v="7606970.3899999997"/>
    <x v="72"/>
    <x v="1"/>
    <s v="pagado"/>
    <s v="pagado"/>
    <s v="excluir"/>
    <s v="no semana"/>
    <x v="0"/>
  </r>
  <r>
    <n v="1200000857"/>
    <d v="2025-06-17T00:00:00"/>
    <n v="3928252.45"/>
    <s v="Cheque de terceros TUCUMAN"/>
    <x v="410"/>
    <n v="3928252.45"/>
    <x v="72"/>
    <x v="1"/>
    <s v="pagado"/>
    <s v="pagado"/>
    <s v="excluir"/>
    <s v="no semana"/>
    <x v="0"/>
  </r>
  <r>
    <n v="1200000857"/>
    <d v="2025-06-17T00:00:00"/>
    <n v="2374540.14"/>
    <s v="Cheque de terceros TUCUMAN"/>
    <x v="411"/>
    <n v="2374540.14"/>
    <x v="72"/>
    <x v="1"/>
    <s v="pagado"/>
    <s v="pagado"/>
    <s v="excluir"/>
    <s v="no semana"/>
    <x v="0"/>
  </r>
  <r>
    <n v="3000000853"/>
    <d v="2025-06-17T00:00:00"/>
    <n v="5257227.2300000004"/>
    <s v="Marchese Grandi Meson y Asoc SAN MIGUEL DE TUCUMAN 14"/>
    <x v="412"/>
    <n v="5257227.2300000004"/>
    <x v="72"/>
    <x v="1"/>
    <s v="pagado"/>
    <s v="pagado"/>
    <s v="excluir"/>
    <s v="no semana"/>
    <x v="0"/>
  </r>
  <r>
    <n v="3000000854"/>
    <d v="2025-06-17T00:00:00"/>
    <n v="3833259.1"/>
    <s v="COMBUSTIBLES DEL NORTE S.A. LAS LAJITAS 09"/>
    <x v="413"/>
    <n v="3833259.1"/>
    <x v="70"/>
    <x v="1"/>
    <s v="pagado"/>
    <s v="pagado"/>
    <s v="excluir"/>
    <s v="no semana"/>
    <x v="0"/>
  </r>
  <r>
    <n v="3000000855"/>
    <d v="2025-06-17T00:00:00"/>
    <n v="4287243.5999999996"/>
    <s v="YOMEL S.A. 9 de Julio 01"/>
    <x v="414"/>
    <n v="4287243.5999999996"/>
    <x v="72"/>
    <x v="1"/>
    <s v="pagado"/>
    <s v="pagado"/>
    <s v="excluir"/>
    <s v="no semana"/>
    <x v="0"/>
  </r>
  <r>
    <n v="3000000856"/>
    <d v="2025-06-17T00:00:00"/>
    <n v="7822851.8799999999"/>
    <s v="AYALA WALTER DANIEL ALDERETES 14"/>
    <x v="415"/>
    <n v="7822851.8799999999"/>
    <x v="72"/>
    <x v="1"/>
    <s v="pagado"/>
    <s v="pagado"/>
    <s v="excluir"/>
    <s v="no semana"/>
    <x v="0"/>
  </r>
  <r>
    <n v="3000000868"/>
    <d v="2025-06-23T00:00:00"/>
    <n v="20000000"/>
    <s v="AYALA WALTER DANIEL ALDERETES 14"/>
    <x v="416"/>
    <n v="20000000"/>
    <x v="73"/>
    <x v="1"/>
    <s v="pagado"/>
    <s v="pagado"/>
    <s v="excluir"/>
    <s v="no semana"/>
    <x v="0"/>
  </r>
  <r>
    <n v="3000000868"/>
    <d v="2025-06-23T00:00:00"/>
    <n v="21192190.829999998"/>
    <s v="AYALA WALTER DANIEL ALDERETES 14"/>
    <x v="417"/>
    <n v="21192190.829999998"/>
    <x v="74"/>
    <x v="1"/>
    <s v="pagado"/>
    <s v="pagado"/>
    <s v="excluir"/>
    <s v="no semana"/>
    <x v="0"/>
  </r>
  <r>
    <n v="3000000871"/>
    <d v="2025-06-23T00:00:00"/>
    <n v="8000000"/>
    <s v="Pulmajo S.R.L. CONCEPCION 14"/>
    <x v="418"/>
    <n v="8000000"/>
    <x v="73"/>
    <x v="1"/>
    <s v="pagado"/>
    <s v="pagado"/>
    <s v="excluir"/>
    <s v="no semana"/>
    <x v="0"/>
  </r>
  <r>
    <n v="3000000871"/>
    <d v="2025-06-23T00:00:00"/>
    <n v="8000000"/>
    <s v="Pulmajo S.R.L. CONCEPCION 14"/>
    <x v="419"/>
    <n v="8000000"/>
    <x v="73"/>
    <x v="1"/>
    <s v="pagado"/>
    <s v="pagado"/>
    <s v="excluir"/>
    <s v="no semana"/>
    <x v="0"/>
  </r>
  <r>
    <n v="3000000871"/>
    <d v="2025-06-23T00:00:00"/>
    <n v="7041816.9000000004"/>
    <s v="Pulmajo S.R.L. CONCEPCION 14"/>
    <x v="420"/>
    <n v="7041816.9000000004"/>
    <x v="74"/>
    <x v="1"/>
    <s v="pagado"/>
    <s v="pagado"/>
    <s v="excluir"/>
    <s v="no semana"/>
    <x v="0"/>
  </r>
  <r>
    <n v="3000000863"/>
    <d v="2025-06-23T00:00:00"/>
    <n v="8993594.9000000004"/>
    <s v="FANTINI-LOPEZ EL CALDEN AGROS JESUS MARIA 14"/>
    <x v="421"/>
    <n v="8993594.9000000004"/>
    <x v="75"/>
    <x v="1"/>
    <s v="pagado"/>
    <s v="pagado"/>
    <s v="excluir"/>
    <s v="no semana"/>
    <x v="0"/>
  </r>
  <r>
    <n v="3000000864"/>
    <d v="2025-06-23T00:00:00"/>
    <n v="11145836.800000001"/>
    <s v="VERON MARIANA BEATRIZ NUEVA ESPERANZA 13"/>
    <x v="422"/>
    <n v="11145836.800000001"/>
    <x v="75"/>
    <x v="1"/>
    <s v="pagado"/>
    <s v="pagado"/>
    <s v="excluir"/>
    <s v="no semana"/>
    <x v="0"/>
  </r>
  <r>
    <n v="3000000865"/>
    <d v="2025-06-23T00:00:00"/>
    <n v="4814492.37"/>
    <s v="GARCIA JORGE LUIS METAN 09"/>
    <x v="423"/>
    <n v="4814492.37"/>
    <x v="75"/>
    <x v="1"/>
    <s v="pagado"/>
    <s v="pagado"/>
    <s v="excluir"/>
    <s v="no semana"/>
    <x v="0"/>
  </r>
  <r>
    <n v="3000000866"/>
    <d v="2025-06-23T00:00:00"/>
    <n v="12829097.619999999"/>
    <s v="Ventimiglia Nelly Irma Jesus Maria 03"/>
    <x v="424"/>
    <n v="12829097.619999999"/>
    <x v="73"/>
    <x v="1"/>
    <s v="pagado"/>
    <s v="pagado"/>
    <s v="excluir"/>
    <s v="no semana"/>
    <x v="0"/>
  </r>
  <r>
    <n v="3000000867"/>
    <d v="2025-06-23T00:00:00"/>
    <n v="5180962.74"/>
    <s v="Medina Lauro Jose Las Cejas 14"/>
    <x v="425"/>
    <n v="5180962.74"/>
    <x v="73"/>
    <x v="1"/>
    <s v="pagado"/>
    <s v="pagado"/>
    <s v="excluir"/>
    <s v="no semana"/>
    <x v="0"/>
  </r>
  <r>
    <n v="3000000869"/>
    <d v="2025-06-23T00:00:00"/>
    <n v="5939823.7999999998"/>
    <s v="AYALA HERNAN OSVALDO SAN MIGUEL DE TUCUMAN 14"/>
    <x v="426"/>
    <n v="5939823.7999999998"/>
    <x v="73"/>
    <x v="1"/>
    <s v="pagado"/>
    <s v="pagado"/>
    <s v="excluir"/>
    <s v="no semana"/>
    <x v="0"/>
  </r>
  <r>
    <n v="3000000870"/>
    <d v="2025-06-23T00:00:00"/>
    <n v="6796200.9199999999"/>
    <s v="GRUPO MARGEN DEL NOA SA YERBA BUENA 14"/>
    <x v="427"/>
    <n v="6796200.9199999999"/>
    <x v="73"/>
    <x v="1"/>
    <s v="pagado"/>
    <s v="pagado"/>
    <s v="excluir"/>
    <s v="no semana"/>
    <x v="0"/>
  </r>
  <r>
    <n v="3000000890"/>
    <d v="2025-06-25T00:00:00"/>
    <n v="20000000"/>
    <s v="JAVIER EDUARDO PRADO FLORIDA 13"/>
    <x v="428"/>
    <n v="20000000"/>
    <x v="76"/>
    <x v="1"/>
    <s v="pagado"/>
    <s v="pagado"/>
    <s v="excluir"/>
    <s v="no semana"/>
    <x v="0"/>
  </r>
  <r>
    <n v="3000000890"/>
    <d v="2025-06-25T00:00:00"/>
    <n v="17457675.149999999"/>
    <s v="JAVIER EDUARDO PRADO FLORIDA 13"/>
    <x v="429"/>
    <n v="17457675.149999999"/>
    <x v="77"/>
    <x v="1"/>
    <s v="pagado"/>
    <s v="pagado"/>
    <s v="excluir"/>
    <s v="no semana"/>
    <x v="0"/>
  </r>
  <r>
    <n v="3000000892"/>
    <d v="2025-06-25T00:00:00"/>
    <n v="20000000"/>
    <s v="LAVENIA VITO CARMELO LASTENIA 14"/>
    <x v="430"/>
    <n v="20000000"/>
    <x v="76"/>
    <x v="1"/>
    <s v="pagado"/>
    <s v="pagado"/>
    <s v="excluir"/>
    <s v="no semana"/>
    <x v="0"/>
  </r>
  <r>
    <n v="3000000892"/>
    <d v="2025-06-25T00:00:00"/>
    <n v="21178447.57"/>
    <s v="LAVENIA VITO CARMELO LASTENIA 14"/>
    <x v="431"/>
    <n v="21178447.57"/>
    <x v="77"/>
    <x v="1"/>
    <s v="pagado"/>
    <s v="pagado"/>
    <s v="excluir"/>
    <s v="no semana"/>
    <x v="0"/>
  </r>
  <r>
    <n v="3000000887"/>
    <d v="2025-06-25T00:00:00"/>
    <n v="11824089.029999999"/>
    <s v="BUSTOS EXEQUIEL ANTONIO BANDA DEL RIO SALI 14"/>
    <x v="432"/>
    <n v="11824089.029999999"/>
    <x v="76"/>
    <x v="1"/>
    <s v="pagado"/>
    <s v="pagado"/>
    <s v="excluir"/>
    <s v="no semana"/>
    <x v="0"/>
  </r>
  <r>
    <n v="3000000888"/>
    <d v="2025-06-25T00:00:00"/>
    <n v="7190472.1900000004"/>
    <s v="LOGISTICA CENTRO S.R.L CORONDA 12"/>
    <x v="433"/>
    <n v="7190472.1900000004"/>
    <x v="76"/>
    <x v="1"/>
    <s v="pagado"/>
    <s v="pagado"/>
    <s v="excluir"/>
    <s v="no semana"/>
    <x v="0"/>
  </r>
  <r>
    <n v="3000000889"/>
    <d v="2025-06-25T00:00:00"/>
    <n v="13724424.23"/>
    <s v="TRANSPORTE BARBERAN HNOS SRL CHABAS 12"/>
    <x v="434"/>
    <n v="13724424.23"/>
    <x v="76"/>
    <x v="1"/>
    <s v="pagado"/>
    <s v="pagado"/>
    <s v="excluir"/>
    <s v="no semana"/>
    <x v="0"/>
  </r>
  <r>
    <n v="3000000891"/>
    <d v="2025-06-25T00:00:00"/>
    <n v="5559576.6200000001"/>
    <s v="ABUT TRANSPORTES SA CENTENO 12"/>
    <x v="435"/>
    <n v="5559576.6200000001"/>
    <x v="76"/>
    <x v="1"/>
    <s v="pagado"/>
    <s v="pagado"/>
    <s v="excluir"/>
    <s v="no semana"/>
    <x v="0"/>
  </r>
  <r>
    <n v="3000000893"/>
    <d v="2025-06-25T00:00:00"/>
    <n v="10632112.869999999"/>
    <s v="BUSTOS CESAR ANIBAL BANDAL DE RIO SALI 14"/>
    <x v="436"/>
    <n v="10632112.869999999"/>
    <x v="76"/>
    <x v="1"/>
    <s v="pagado"/>
    <s v="pagado"/>
    <s v="excluir"/>
    <s v="no semana"/>
    <x v="0"/>
  </r>
  <r>
    <n v="3000000894"/>
    <d v="2025-06-25T00:00:00"/>
    <n v="2915331.01"/>
    <s v="WILLIAMS LOGISTICA SA CIUDAD AUTONOMA BUENOS AIRES 00"/>
    <x v="437"/>
    <n v="2915331.01"/>
    <x v="76"/>
    <x v="1"/>
    <s v="pagado"/>
    <s v="pagado"/>
    <s v="excluir"/>
    <s v="no semana"/>
    <x v="0"/>
  </r>
  <r>
    <n v="3000000901"/>
    <d v="2025-07-01T00:00:00"/>
    <n v="10000000"/>
    <s v="AGROQUIMICA ALBERDI S.R.L. CONCEPCION 14"/>
    <x v="438"/>
    <n v="10000000"/>
    <x v="78"/>
    <x v="1"/>
    <s v="pagado"/>
    <s v="pagado"/>
    <s v="excluir"/>
    <s v="no semana"/>
    <x v="0"/>
  </r>
  <r>
    <n v="3000000901"/>
    <d v="2025-07-01T00:00:00"/>
    <n v="9996863.8100000005"/>
    <s v="AGROQUIMICA ALBERDI S.R.L. CONCEPCION 14"/>
    <x v="439"/>
    <n v="9996863.8100000005"/>
    <x v="79"/>
    <x v="1"/>
    <s v="pagado"/>
    <s v="pagado"/>
    <s v="excluir"/>
    <s v="no semana"/>
    <x v="0"/>
  </r>
  <r>
    <n v="3000000902"/>
    <d v="2025-07-01T00:00:00"/>
    <n v="12120815.51"/>
    <s v="ROMAN BARCELO Y JORGE CARRERASLAS LAJITAS 09"/>
    <x v="440"/>
    <n v="12120815.51"/>
    <x v="79"/>
    <x v="1"/>
    <s v="pagado"/>
    <s v="pagado"/>
    <s v="excluir"/>
    <s v="no semana"/>
    <x v="0"/>
  </r>
  <r>
    <n v="3000000903"/>
    <d v="2025-07-01T00:00:00"/>
    <n v="7551342.5999999996"/>
    <s v="VERON MARIANA BEATRIZ NUEVA ESPERANZA 13"/>
    <x v="441"/>
    <n v="7551342.5999999996"/>
    <x v="78"/>
    <x v="1"/>
    <s v="pagado"/>
    <s v="pagado"/>
    <s v="excluir"/>
    <s v="no semana"/>
    <x v="0"/>
  </r>
  <r>
    <n v="3000000904"/>
    <d v="2025-07-01T00:00:00"/>
    <n v="8565013.9000000004"/>
    <s v="Medina Lauro Jose Las Cejas 14"/>
    <x v="442"/>
    <n v="8565013.9000000004"/>
    <x v="78"/>
    <x v="1"/>
    <s v="pagado"/>
    <s v="pagado"/>
    <s v="excluir"/>
    <s v="no semana"/>
    <x v="0"/>
  </r>
  <r>
    <n v="3000000905"/>
    <d v="2025-07-01T00:00:00"/>
    <n v="1769343.4"/>
    <s v="CAFELI S.R.L. SAN MIGUEL DE TUCUMAN 14"/>
    <x v="443"/>
    <n v="1769343.4"/>
    <x v="78"/>
    <x v="1"/>
    <s v="pagado"/>
    <s v="pagado"/>
    <s v="excluir"/>
    <s v="no semana"/>
    <x v="0"/>
  </r>
  <r>
    <n v="3000000906"/>
    <d v="2025-07-01T00:00:00"/>
    <n v="9000000"/>
    <s v="RODRIGUEZ NESTOR HORACIO YERBA BUENA 14"/>
    <x v="444"/>
    <n v="9000000"/>
    <x v="78"/>
    <x v="1"/>
    <s v="pagado"/>
    <s v="pagado"/>
    <s v="excluir"/>
    <s v="no semana"/>
    <x v="0"/>
  </r>
  <r>
    <n v="3000000906"/>
    <d v="2025-07-01T00:00:00"/>
    <n v="8891883.4499999993"/>
    <s v="RODRIGUEZ NESTOR HORACIO YERBA BUENA 14"/>
    <x v="445"/>
    <n v="8891883.4499999993"/>
    <x v="79"/>
    <x v="1"/>
    <s v="pagado"/>
    <s v="pagado"/>
    <s v="excluir"/>
    <s v="no semana"/>
    <x v="0"/>
  </r>
  <r>
    <n v="3000000907"/>
    <d v="2025-07-01T00:00:00"/>
    <n v="5000000"/>
    <s v="Pulmajo S.R.L. CONCEPCION 14"/>
    <x v="446"/>
    <n v="5000000"/>
    <x v="78"/>
    <x v="1"/>
    <s v="pagado"/>
    <s v="pagado"/>
    <s v="excluir"/>
    <s v="no semana"/>
    <x v="0"/>
  </r>
  <r>
    <n v="3000000907"/>
    <d v="2025-07-01T00:00:00"/>
    <n v="5914278.4000000004"/>
    <s v="Pulmajo S.R.L. CONCEPCION 14"/>
    <x v="447"/>
    <n v="5914278.4000000004"/>
    <x v="79"/>
    <x v="1"/>
    <s v="pagado"/>
    <s v="pagado"/>
    <s v="excluir"/>
    <s v="no semana"/>
    <x v="0"/>
  </r>
  <r>
    <n v="3000000908"/>
    <d v="2025-07-01T00:00:00"/>
    <n v="5519368.6399999997"/>
    <s v="SAN LORENZO CEREALES S.R.L SAN LORENZO 12"/>
    <x v="448"/>
    <n v="5519368.6399999997"/>
    <x v="78"/>
    <x v="1"/>
    <s v="pagado"/>
    <s v="pagado"/>
    <s v="excluir"/>
    <s v="no semana"/>
    <x v="0"/>
  </r>
  <r>
    <n v="3000000909"/>
    <d v="2025-07-01T00:00:00"/>
    <n v="12000000"/>
    <s v="TRANSPORTE Y LOGISTICA DEL ESTLAS CEJAS 14"/>
    <x v="449"/>
    <n v="12000000"/>
    <x v="78"/>
    <x v="1"/>
    <s v="pagado"/>
    <s v="pagado"/>
    <s v="excluir"/>
    <s v="no semana"/>
    <x v="0"/>
  </r>
  <r>
    <n v="3000000909"/>
    <d v="2025-07-01T00:00:00"/>
    <n v="11818996.720000001"/>
    <s v="TRANSPORTE Y LOGISTICA DEL ESTLAS CEJAS 14"/>
    <x v="450"/>
    <n v="11818996.720000001"/>
    <x v="79"/>
    <x v="1"/>
    <s v="pagado"/>
    <s v="pagado"/>
    <s v="excluir"/>
    <s v="no semana"/>
    <x v="0"/>
  </r>
  <r>
    <n v="3000000910"/>
    <d v="2025-07-01T00:00:00"/>
    <n v="14438937.970000001"/>
    <s v="ANTONACCI LUIS GABRIEL LA FLORIDA 14"/>
    <x v="451"/>
    <n v="14438937.970000001"/>
    <x v="79"/>
    <x v="1"/>
    <s v="pagado"/>
    <s v="pagado"/>
    <s v="excluir"/>
    <s v="no semana"/>
    <x v="0"/>
  </r>
  <r>
    <n v="3000000911"/>
    <d v="2025-07-01T00:00:00"/>
    <n v="10000000"/>
    <s v="LANGELLA JUAN RODOLFO ALDERETES 14"/>
    <x v="452"/>
    <n v="10000000"/>
    <x v="78"/>
    <x v="1"/>
    <s v="pagado"/>
    <s v="pagado"/>
    <s v="excluir"/>
    <s v="no semana"/>
    <x v="0"/>
  </r>
  <r>
    <n v="3000000911"/>
    <d v="2025-07-01T00:00:00"/>
    <n v="11004621.82"/>
    <s v="LANGELLA JUAN RODOLFO ALDERETES 14"/>
    <x v="453"/>
    <n v="11004621.82"/>
    <x v="79"/>
    <x v="1"/>
    <s v="pagado"/>
    <s v="pagado"/>
    <s v="excluir"/>
    <s v="no semana"/>
    <x v="0"/>
  </r>
  <r>
    <n v="3000000912"/>
    <d v="2025-07-01T00:00:00"/>
    <n v="3820656.17"/>
    <s v="PAIS WALTER LUIS SAN MIGUEL DE TUCUMAN 14"/>
    <x v="454"/>
    <n v="3820656.17"/>
    <x v="78"/>
    <x v="1"/>
    <s v="pagado"/>
    <s v="pagado"/>
    <s v="excluir"/>
    <s v="no semana"/>
    <x v="0"/>
  </r>
  <r>
    <n v="3000000913"/>
    <d v="2025-07-01T00:00:00"/>
    <n v="8000000"/>
    <s v="ARAGON CARLOS DANIEL LA BANDA 13"/>
    <x v="455"/>
    <n v="8000000"/>
    <x v="78"/>
    <x v="1"/>
    <s v="pagado"/>
    <s v="pagado"/>
    <s v="excluir"/>
    <s v="no semana"/>
    <x v="0"/>
  </r>
  <r>
    <n v="3000000913"/>
    <d v="2025-07-01T00:00:00"/>
    <n v="8485167.9199999999"/>
    <s v="ARAGON CARLOS DANIEL LA BANDA 13"/>
    <x v="456"/>
    <n v="8485167.9199999999"/>
    <x v="79"/>
    <x v="1"/>
    <s v="pagado"/>
    <s v="pagado"/>
    <s v="excluir"/>
    <s v="no semana"/>
    <x v="0"/>
  </r>
  <r>
    <n v="3000000914"/>
    <d v="2025-07-01T00:00:00"/>
    <n v="10000000"/>
    <s v="LOGISTICA DEL NORTE S.R.L. SAN MIGUEL DE TUCUMAN 14"/>
    <x v="457"/>
    <n v="10000000"/>
    <x v="78"/>
    <x v="1"/>
    <s v="pagado"/>
    <s v="pagado"/>
    <s v="excluir"/>
    <s v="no semana"/>
    <x v="0"/>
  </r>
  <r>
    <n v="3000000914"/>
    <d v="2025-07-01T00:00:00"/>
    <n v="11100726.050000001"/>
    <s v="LOGISTICA DEL NORTE S.R.L. SAN MIGUEL DE TUCUMAN 14"/>
    <x v="458"/>
    <n v="11100726.050000001"/>
    <x v="79"/>
    <x v="1"/>
    <s v="pagado"/>
    <s v="pagado"/>
    <s v="excluir"/>
    <s v="no semana"/>
    <x v="0"/>
  </r>
  <r>
    <n v="3000000915"/>
    <d v="2025-07-01T00:00:00"/>
    <n v="6887405.2800000003"/>
    <s v="TRANSPORTE GLOBAL SAS SAN MIGUEL DE TUCUMAN 14"/>
    <x v="459"/>
    <n v="6887405.2800000003"/>
    <x v="78"/>
    <x v="1"/>
    <s v="pagado"/>
    <s v="pagado"/>
    <s v="excluir"/>
    <s v="no semana"/>
    <x v="0"/>
  </r>
  <r>
    <n v="3000000916"/>
    <d v="2025-07-01T00:00:00"/>
    <n v="10000000"/>
    <s v="DE CIA GALFRASCOLI PIERO FABIOQUIMILI 13"/>
    <x v="460"/>
    <n v="10000000"/>
    <x v="78"/>
    <x v="1"/>
    <s v="pagado"/>
    <s v="pagado"/>
    <s v="excluir"/>
    <s v="no semana"/>
    <x v="0"/>
  </r>
  <r>
    <n v="3000000916"/>
    <d v="2025-07-01T00:00:00"/>
    <n v="11938647.01"/>
    <s v="DE CIA GALFRASCOLI PIERO FABIOQUIMILI 13"/>
    <x v="461"/>
    <n v="11938647.01"/>
    <x v="79"/>
    <x v="1"/>
    <s v="pagado"/>
    <s v="pagado"/>
    <s v="excluir"/>
    <s v="no semana"/>
    <x v="0"/>
  </r>
  <r>
    <n v="3000000917"/>
    <d v="2025-07-01T00:00:00"/>
    <n v="14000000"/>
    <s v="TRANSPORTE LUIS SANDOVAL S.A.SLOS VALLISTOS 14"/>
    <x v="462"/>
    <n v="14000000"/>
    <x v="78"/>
    <x v="1"/>
    <s v="pagado"/>
    <s v="pagado"/>
    <s v="excluir"/>
    <s v="no semana"/>
    <x v="0"/>
  </r>
  <r>
    <n v="3000000917"/>
    <d v="2025-07-01T00:00:00"/>
    <n v="13942842.789999999"/>
    <s v="TRANSPORTE LUIS SANDOVAL S.A.SLOS VALLISTOS 14"/>
    <x v="463"/>
    <n v="13942842.789999999"/>
    <x v="79"/>
    <x v="1"/>
    <s v="pagado"/>
    <s v="pagado"/>
    <s v="excluir"/>
    <s v="no semana"/>
    <x v="0"/>
  </r>
  <r>
    <n v="3000000918"/>
    <d v="2025-07-01T00:00:00"/>
    <n v="26059801.82"/>
    <s v="MOYANO SERGIO ESTEBAN BANDA DEL RIO SALI 14"/>
    <x v="464"/>
    <n v="26059801.82"/>
    <x v="78"/>
    <x v="1"/>
    <s v="pagado"/>
    <s v="pagado"/>
    <s v="excluir"/>
    <s v="no semana"/>
    <x v="0"/>
  </r>
  <r>
    <n v="3000000931"/>
    <d v="2025-07-03T00:00:00"/>
    <n v="1054529.3600000001"/>
    <s v="SURIAGRO SRL SAN MIGUEL DE TUCUMAN 14"/>
    <x v="465"/>
    <n v="1054529.3600000001"/>
    <x v="80"/>
    <x v="1"/>
    <s v="pagado"/>
    <s v="pagado"/>
    <s v="excluir"/>
    <s v="no semana"/>
    <x v="0"/>
  </r>
  <r>
    <n v="3000000930"/>
    <d v="2025-07-03T00:00:00"/>
    <n v="6789197.2300000004"/>
    <s v="AGROTRANSPORTE ALDAO S.A. CAMILO ALDAO 03"/>
    <x v="466"/>
    <n v="6789197.2300000004"/>
    <x v="80"/>
    <x v="1"/>
    <s v="pagado"/>
    <s v="pagado"/>
    <s v="excluir"/>
    <s v="no semana"/>
    <x v="0"/>
  </r>
  <r>
    <n v="3000000928"/>
    <d v="2025-07-03T00:00:00"/>
    <n v="357280.18"/>
    <s v="GOMEZ JOSE PATRICIO SAN MIGUEL DE TUCUMAN 14"/>
    <x v="467"/>
    <n v="357280.18"/>
    <x v="80"/>
    <x v="1"/>
    <s v="pagado"/>
    <s v="pagado"/>
    <s v="excluir"/>
    <s v="no semana"/>
    <x v="0"/>
  </r>
  <r>
    <n v="3000000929"/>
    <d v="2025-07-03T00:00:00"/>
    <n v="1749284.96"/>
    <s v="CAMPOSTRINI S R L VILLAGUAY 05"/>
    <x v="468"/>
    <n v="1749284.96"/>
    <x v="80"/>
    <x v="1"/>
    <s v="pagado"/>
    <s v="pagado"/>
    <s v="excluir"/>
    <s v="no semana"/>
    <x v="0"/>
  </r>
  <r>
    <n v="3000000932"/>
    <d v="2025-07-03T00:00:00"/>
    <n v="7172756.8700000001"/>
    <s v="RUIZ CRISTIAN ALEJANDRO . LA FLORIDA 14"/>
    <x v="469"/>
    <n v="7172756.8700000001"/>
    <x v="80"/>
    <x v="1"/>
    <s v="pagado"/>
    <s v="pagado"/>
    <s v="excluir"/>
    <s v="no semana"/>
    <x v="0"/>
  </r>
  <r>
    <n v="3000000933"/>
    <d v="2025-07-03T00:00:00"/>
    <n v="4321108.0199999996"/>
    <s v="TRANSPORTE RAUL S.R.L SAN MIGUEL DE TUCUMAN 14"/>
    <x v="470"/>
    <n v="4321108.0199999996"/>
    <x v="80"/>
    <x v="1"/>
    <s v="pagado"/>
    <s v="pagado"/>
    <s v="excluir"/>
    <s v="no semana"/>
    <x v="0"/>
  </r>
  <r>
    <n v="3000000943"/>
    <d v="2025-07-08T00:00:00"/>
    <n v="17231257.559999999"/>
    <s v="Suarez Elio Hernan Los altos 02"/>
    <x v="471"/>
    <n v="17231257.559999999"/>
    <x v="81"/>
    <x v="1"/>
    <s v="pagado"/>
    <s v="pagado"/>
    <s v="excluir"/>
    <s v="no semana"/>
    <x v="0"/>
  </r>
  <r>
    <n v="3000000959"/>
    <d v="2025-07-10T00:00:00"/>
    <n v="13000000"/>
    <s v="MOLINA JUAN F. Y MOLINA ROQUE Lastenia 14"/>
    <x v="472"/>
    <n v="13000000"/>
    <x v="82"/>
    <x v="1"/>
    <s v="pagado"/>
    <s v="pagado"/>
    <s v="excluir"/>
    <s v="no semana"/>
    <x v="0"/>
  </r>
  <r>
    <n v="3000000959"/>
    <d v="2025-07-10T00:00:00"/>
    <n v="13088899.279999999"/>
    <s v="MOLINA JUAN F. Y MOLINA ROQUE Lastenia 14"/>
    <x v="473"/>
    <n v="13088899.279999999"/>
    <x v="82"/>
    <x v="1"/>
    <s v="pagado"/>
    <s v="pagado"/>
    <s v="excluir"/>
    <s v="no semana"/>
    <x v="0"/>
  </r>
  <r>
    <n v="3000000960"/>
    <d v="2025-07-10T00:00:00"/>
    <n v="15000000"/>
    <s v="LOGISTICA CENTRO S.R.L CORONDA 12"/>
    <x v="474"/>
    <n v="15000000"/>
    <x v="82"/>
    <x v="1"/>
    <s v="pagado"/>
    <s v="pagado"/>
    <s v="excluir"/>
    <s v="no semana"/>
    <x v="0"/>
  </r>
  <r>
    <n v="3000000960"/>
    <d v="2025-07-10T00:00:00"/>
    <n v="16686869.109999999"/>
    <s v="LOGISTICA CENTRO S.R.L CORONDA 12"/>
    <x v="475"/>
    <n v="16686869.109999999"/>
    <x v="83"/>
    <x v="1"/>
    <s v="pagado"/>
    <s v="pagado"/>
    <s v="excluir"/>
    <s v="no semana"/>
    <x v="0"/>
  </r>
  <r>
    <n v="3000000961"/>
    <d v="2025-07-10T00:00:00"/>
    <n v="30000000"/>
    <s v="TRANSPORTE BARBERAN HNOS SRL CHABAS 12"/>
    <x v="476"/>
    <n v="30000000"/>
    <x v="82"/>
    <x v="1"/>
    <s v="pagado"/>
    <s v="pagado"/>
    <s v="excluir"/>
    <s v="no semana"/>
    <x v="0"/>
  </r>
  <r>
    <n v="3000000961"/>
    <d v="2025-07-10T00:00:00"/>
    <n v="27062480.219999999"/>
    <s v="TRANSPORTE BARBERAN HNOS SRL CHABAS 12"/>
    <x v="477"/>
    <n v="27062480.219999999"/>
    <x v="83"/>
    <x v="1"/>
    <s v="pagado"/>
    <s v="pagado"/>
    <s v="excluir"/>
    <s v="no semana"/>
    <x v="0"/>
  </r>
  <r>
    <n v="3000000962"/>
    <d v="2025-07-10T00:00:00"/>
    <n v="4922462.93"/>
    <s v="BUSTOS CESAR ANIBAL BANDAL DE RIO SALI 14"/>
    <x v="478"/>
    <n v="4922462.93"/>
    <x v="82"/>
    <x v="1"/>
    <s v="pagado"/>
    <s v="pagado"/>
    <s v="excluir"/>
    <s v="no semana"/>
    <x v="0"/>
  </r>
  <r>
    <n v="3000000963"/>
    <d v="2025-07-10T00:00:00"/>
    <n v="18000000"/>
    <s v="DANIEL MARCELO GUERRERO ALDERETES 14"/>
    <x v="479"/>
    <n v="18000000"/>
    <x v="82"/>
    <x v="1"/>
    <s v="pagado"/>
    <s v="pagado"/>
    <s v="excluir"/>
    <s v="no semana"/>
    <x v="0"/>
  </r>
  <r>
    <n v="3000000963"/>
    <d v="2025-07-10T00:00:00"/>
    <n v="15826982.65"/>
    <s v="DANIEL MARCELO GUERRERO ALDERETES 14"/>
    <x v="480"/>
    <n v="15826982.65"/>
    <x v="83"/>
    <x v="1"/>
    <s v="pagado"/>
    <s v="pagado"/>
    <s v="excluir"/>
    <s v="no semana"/>
    <x v="0"/>
  </r>
  <r>
    <n v="3000000964"/>
    <d v="2025-07-10T00:00:00"/>
    <n v="15000000"/>
    <s v="LAVENIA VITO CARMELO LASTENIA 14"/>
    <x v="481"/>
    <n v="15000000"/>
    <x v="82"/>
    <x v="1"/>
    <s v="pagado"/>
    <s v="pagado"/>
    <s v="excluir"/>
    <s v="no semana"/>
    <x v="0"/>
  </r>
  <r>
    <n v="3000000964"/>
    <d v="2025-07-10T00:00:00"/>
    <n v="11746300.390000001"/>
    <s v="LAVENIA VITO CARMELO LASTENIA 14"/>
    <x v="482"/>
    <n v="11746300.390000001"/>
    <x v="83"/>
    <x v="1"/>
    <s v="pagado"/>
    <s v="pagado"/>
    <s v="excluir"/>
    <s v="no semana"/>
    <x v="0"/>
  </r>
  <r>
    <n v="3000000965"/>
    <d v="2025-07-10T00:00:00"/>
    <n v="3913230.15"/>
    <s v="PAIS WALTER LUIS SAN MIGUEL DE TUCUMAN 14"/>
    <x v="483"/>
    <n v="3913230.15"/>
    <x v="82"/>
    <x v="1"/>
    <s v="pagado"/>
    <s v="pagado"/>
    <s v="excluir"/>
    <s v="no semana"/>
    <x v="0"/>
  </r>
  <r>
    <n v="3000000966"/>
    <d v="2025-07-10T00:00:00"/>
    <n v="11749044.039999999"/>
    <s v="ANTONACCI LUIS GABRIEL LA FLORIDA 14"/>
    <x v="484"/>
    <n v="11749044.039999999"/>
    <x v="82"/>
    <x v="1"/>
    <s v="pagado"/>
    <s v="pagado"/>
    <s v="excluir"/>
    <s v="no semana"/>
    <x v="0"/>
  </r>
  <r>
    <n v="3000000967"/>
    <d v="2025-07-10T00:00:00"/>
    <n v="5505277.5"/>
    <s v="AGROTRANSPORTE ALDAO S.A. CAMILO ALDAO 03"/>
    <x v="485"/>
    <n v="5505277.5"/>
    <x v="82"/>
    <x v="1"/>
    <s v="pagado"/>
    <s v="pagado"/>
    <s v="excluir"/>
    <s v="no semana"/>
    <x v="0"/>
  </r>
  <r>
    <n v="3000000968"/>
    <d v="2025-07-10T00:00:00"/>
    <n v="3109007.99"/>
    <s v="GUIFFREY MARCELO GUSTAVO VILLA ELISA 05"/>
    <x v="486"/>
    <n v="3109007.99"/>
    <x v="82"/>
    <x v="1"/>
    <s v="pagado"/>
    <s v="pagado"/>
    <s v="excluir"/>
    <s v="no semana"/>
    <x v="0"/>
  </r>
  <r>
    <n v="3000000974"/>
    <d v="2025-07-11T00:00:00"/>
    <n v="19199000"/>
    <s v="EDET S.A. SAN MIGUEL DE TUCUMAN 14"/>
    <x v="487"/>
    <n v="19199000"/>
    <x v="81"/>
    <x v="1"/>
    <s v="pagado"/>
    <s v="pagado"/>
    <s v="excluir"/>
    <s v="no semana"/>
    <x v="0"/>
  </r>
  <r>
    <n v="3000000977"/>
    <d v="2025-07-14T00:00:00"/>
    <n v="4250225.53"/>
    <s v="TRANSPORTE Y LOGISTICA DEL ESTLAS CEJAS 14"/>
    <x v="488"/>
    <n v="4250225.53"/>
    <x v="84"/>
    <x v="1"/>
    <s v="pagado"/>
    <s v="pagado"/>
    <s v="excluir"/>
    <s v="no semana"/>
    <x v="0"/>
  </r>
  <r>
    <n v="3000000978"/>
    <d v="2025-07-14T00:00:00"/>
    <n v="6411894.8600000003"/>
    <s v="TRANSPORTE GLOBAL SAS SAN MIGUEL DE TUCUMAN 14"/>
    <x v="489"/>
    <n v="6411894.8600000003"/>
    <x v="84"/>
    <x v="1"/>
    <s v="pagado"/>
    <s v="pagado"/>
    <s v="excluir"/>
    <s v="no semana"/>
    <x v="0"/>
  </r>
  <r>
    <n v="3000000979"/>
    <d v="2025-07-14T00:00:00"/>
    <n v="10184573.710000001"/>
    <s v="ELIAS LUCIANO EMANUEL LAS TALITAS 14"/>
    <x v="490"/>
    <n v="10184573.710000001"/>
    <x v="84"/>
    <x v="1"/>
    <s v="pagado"/>
    <s v="pagado"/>
    <s v="excluir"/>
    <s v="no semana"/>
    <x v="0"/>
  </r>
  <r>
    <n v="3000000980"/>
    <d v="2025-07-14T00:00:00"/>
    <n v="6784045.9500000002"/>
    <s v="RODRIGUEZ NESTOR HORACIO YERBA BUENA 14"/>
    <x v="491"/>
    <n v="6784045.9500000002"/>
    <x v="84"/>
    <x v="1"/>
    <s v="pagado"/>
    <s v="pagado"/>
    <s v="excluir"/>
    <s v="no semana"/>
    <x v="0"/>
  </r>
  <r>
    <n v="3000000981"/>
    <d v="2025-07-14T00:00:00"/>
    <n v="6000000"/>
    <s v="Pulmajo S.R.L. CONCEPCION 14"/>
    <x v="492"/>
    <n v="6000000"/>
    <x v="84"/>
    <x v="1"/>
    <s v="pagado"/>
    <s v="pagado"/>
    <s v="excluir"/>
    <s v="no semana"/>
    <x v="0"/>
  </r>
  <r>
    <n v="3000000981"/>
    <d v="2025-07-14T00:00:00"/>
    <n v="5880166.0999999996"/>
    <s v="Pulmajo S.R.L. CONCEPCION 14"/>
    <x v="493"/>
    <n v="5880166.0999999996"/>
    <x v="85"/>
    <x v="1"/>
    <s v="pagado"/>
    <s v="pagado"/>
    <s v="excluir"/>
    <s v="no semana"/>
    <x v="0"/>
  </r>
  <r>
    <n v="3000000982"/>
    <d v="2025-07-14T00:00:00"/>
    <n v="7299857.4800000004"/>
    <s v="AYALA WALTER DANIEL ALDERETES 14"/>
    <x v="494"/>
    <n v="7299857.4800000004"/>
    <x v="84"/>
    <x v="1"/>
    <s v="pagado"/>
    <s v="pagado"/>
    <s v="excluir"/>
    <s v="no semana"/>
    <x v="0"/>
  </r>
  <r>
    <n v="3000000983"/>
    <d v="2025-07-14T00:00:00"/>
    <n v="11160093"/>
    <s v="ROMAN BARCELO Y JORGE CARRERASLAS LAJITAS 09"/>
    <x v="495"/>
    <n v="11160093"/>
    <x v="84"/>
    <x v="1"/>
    <s v="pagado"/>
    <s v="pagado"/>
    <s v="excluir"/>
    <s v="no semana"/>
    <x v="0"/>
  </r>
  <r>
    <n v="3000001040"/>
    <d v="2025-07-31T00:00:00"/>
    <n v="8242094.2599999998"/>
    <s v="ABUT TRANSPORTES SA CENTENO 12"/>
    <x v="496"/>
    <n v="8242094.2599999998"/>
    <x v="86"/>
    <x v="1"/>
    <s v="pagado"/>
    <s v="pagado"/>
    <s v="excluir"/>
    <s v="no semana"/>
    <x v="0"/>
  </r>
  <r>
    <n v="3000001041"/>
    <d v="2025-07-31T00:00:00"/>
    <n v="8506626.5199999996"/>
    <s v="LOGISTICA DEL NORTE S.R.L. SAN MIGUEL DE TUCUMAN 14"/>
    <x v="497"/>
    <n v="8506626.5199999996"/>
    <x v="86"/>
    <x v="1"/>
    <s v="pagado"/>
    <s v="pagado"/>
    <s v="excluir"/>
    <s v="no semana"/>
    <x v="0"/>
  </r>
  <r>
    <n v="3000001042"/>
    <d v="2025-07-31T00:00:00"/>
    <n v="4803570.42"/>
    <s v="ELIAS LUCIANO EMANUEL LAS TALITAS 14"/>
    <x v="498"/>
    <n v="4803570.42"/>
    <x v="86"/>
    <x v="1"/>
    <s v="pagado"/>
    <s v="pagado"/>
    <s v="excluir"/>
    <s v="no semana"/>
    <x v="0"/>
  </r>
  <r>
    <n v="3000001043"/>
    <d v="2025-07-31T00:00:00"/>
    <n v="4970121.51"/>
    <s v="TRANSPORTE Y LOGISTICA DEL ESTLAS CEJAS 14"/>
    <x v="499"/>
    <n v="4970121.51"/>
    <x v="86"/>
    <x v="1"/>
    <s v="pagado"/>
    <s v="pagado"/>
    <s v="excluir"/>
    <s v="no semana"/>
    <x v="0"/>
  </r>
  <r>
    <n v="3000001044"/>
    <d v="2025-07-31T00:00:00"/>
    <n v="3402292.44"/>
    <s v="PAIS WALTER LUIS SAN MIGUEL DE TUCUMAN 14"/>
    <x v="500"/>
    <n v="3402292.44"/>
    <x v="86"/>
    <x v="1"/>
    <s v="pagado"/>
    <s v="pagado"/>
    <s v="excluir"/>
    <s v="no semana"/>
    <x v="0"/>
  </r>
  <r>
    <n v="3000001045"/>
    <d v="2025-07-31T00:00:00"/>
    <n v="6884097.5999999996"/>
    <s v="ANTONACCI LUIS GABRIEL LA FLORIDA 14"/>
    <x v="501"/>
    <n v="6884097.5999999996"/>
    <x v="86"/>
    <x v="1"/>
    <s v="pagado"/>
    <s v="pagado"/>
    <s v="excluir"/>
    <s v="no semana"/>
    <x v="0"/>
  </r>
  <r>
    <n v="3000001046"/>
    <d v="2025-07-31T00:00:00"/>
    <n v="1595040.73"/>
    <s v="BUSTOS EXEQUIEL ANTONIO BANDA DEL RIO SALI 14"/>
    <x v="502"/>
    <n v="1595040.73"/>
    <x v="86"/>
    <x v="1"/>
    <s v="pagado"/>
    <s v="pagado"/>
    <s v="excluir"/>
    <s v="no semana"/>
    <x v="0"/>
  </r>
  <r>
    <n v="3000001047"/>
    <d v="2025-07-31T00:00:00"/>
    <n v="9829943.5999999996"/>
    <s v="Syngenta Agro S.A. Vicente López 01"/>
    <x v="503"/>
    <n v="9829943.5999999996"/>
    <x v="86"/>
    <x v="1"/>
    <s v="pagado"/>
    <s v="pagado"/>
    <s v="excluir"/>
    <s v="no semana"/>
    <x v="0"/>
  </r>
  <r>
    <n v="3000001048"/>
    <d v="2025-07-31T00:00:00"/>
    <n v="10501823.5"/>
    <s v="Pulverizaciones Tuninetti S.R.Las Rosas 01"/>
    <x v="504"/>
    <n v="10501823.5"/>
    <x v="86"/>
    <x v="1"/>
    <s v="pagado"/>
    <s v="pagado"/>
    <s v="excluir"/>
    <s v="no semana"/>
    <x v="0"/>
  </r>
  <r>
    <n v="3000001049"/>
    <d v="2025-07-31T00:00:00"/>
    <n v="8318980.5999999996"/>
    <s v="VERON MARIANA BEATRIZ NUEVA ESPERANZA 13"/>
    <x v="505"/>
    <n v="8318980.5999999996"/>
    <x v="86"/>
    <x v="1"/>
    <s v="pagado"/>
    <s v="pagado"/>
    <s v="excluir"/>
    <s v="no semana"/>
    <x v="0"/>
  </r>
  <r>
    <n v="3000001050"/>
    <d v="2025-07-31T00:00:00"/>
    <n v="1112544"/>
    <s v="AYALA HERNAN OSVALDO SAN MIGUEL DE TUCUMAN 14"/>
    <x v="506"/>
    <n v="1112544"/>
    <x v="86"/>
    <x v="1"/>
    <s v="pagado"/>
    <s v="pagado"/>
    <s v="excluir"/>
    <s v="no semana"/>
    <x v="0"/>
  </r>
  <r>
    <n v="3000001050"/>
    <d v="2025-07-31T00:00:00"/>
    <n v="9387580"/>
    <s v="AYALA HERNAN OSVALDO SAN MIGUEL DE TUCUMAN 14"/>
    <x v="507"/>
    <n v="9387580"/>
    <x v="87"/>
    <x v="1"/>
    <s v="pagado"/>
    <s v="pagado"/>
    <s v="excluir"/>
    <s v="no semana"/>
    <x v="0"/>
  </r>
  <r>
    <n v="3000001051"/>
    <d v="2025-07-31T00:00:00"/>
    <n v="12700600.84"/>
    <s v="TRANSPORTE BARBERAN HNOS SRL CHABAS 12"/>
    <x v="508"/>
    <n v="12700600.84"/>
    <x v="87"/>
    <x v="1"/>
    <s v="pagado"/>
    <s v="pagado"/>
    <s v="excluir"/>
    <s v="no semana"/>
    <x v="0"/>
  </r>
  <r>
    <n v="3000001052"/>
    <d v="2025-07-31T00:00:00"/>
    <n v="11385065.310000001"/>
    <s v="FLETES Y SERVICIOS PUJATO S.A PUJATO 12"/>
    <x v="509"/>
    <n v="11385065.310000001"/>
    <x v="87"/>
    <x v="1"/>
    <s v="pagado"/>
    <s v="pagado"/>
    <s v="excluir"/>
    <s v="no semana"/>
    <x v="0"/>
  </r>
  <r>
    <n v="3000001053"/>
    <d v="2025-07-31T00:00:00"/>
    <n v="12252177.49"/>
    <s v="SURIAGRO SRL SAN MIGUEL DE TUCUMAN 14"/>
    <x v="510"/>
    <n v="12252177.49"/>
    <x v="87"/>
    <x v="1"/>
    <s v="pagado"/>
    <s v="pagado"/>
    <s v="excluir"/>
    <s v="no semana"/>
    <x v="0"/>
  </r>
  <r>
    <n v="3000001054"/>
    <d v="2025-07-31T00:00:00"/>
    <n v="13417977.24"/>
    <s v="LAVENIA VITO CARMELO LASTENIA 14"/>
    <x v="511"/>
    <n v="13417977.24"/>
    <x v="87"/>
    <x v="1"/>
    <s v="pagado"/>
    <s v="pagado"/>
    <s v="excluir"/>
    <s v="no semana"/>
    <x v="0"/>
  </r>
  <r>
    <n v="3000001055"/>
    <d v="2025-07-31T00:00:00"/>
    <n v="17991278.920000002"/>
    <s v="JAVIER EDUARDO PRADO FLORIDA 13"/>
    <x v="512"/>
    <n v="17991278.920000002"/>
    <x v="87"/>
    <x v="1"/>
    <s v="pagado"/>
    <s v="pagado"/>
    <s v="excluir"/>
    <s v="no semana"/>
    <x v="0"/>
  </r>
  <r>
    <n v="3000001056"/>
    <d v="2025-07-31T00:00:00"/>
    <n v="11788512.98"/>
    <s v="LANGELLA JUAN RODOLFO ALDERETES 14"/>
    <x v="513"/>
    <n v="11788512.98"/>
    <x v="87"/>
    <x v="1"/>
    <s v="pagado"/>
    <s v="pagado"/>
    <s v="excluir"/>
    <s v="no semana"/>
    <x v="0"/>
  </r>
  <r>
    <n v="3000001057"/>
    <d v="2025-07-31T00:00:00"/>
    <n v="11770724.58"/>
    <s v="GOMEZ JESSICA NOELIA LAS TALITAS 14"/>
    <x v="514"/>
    <n v="11770724.58"/>
    <x v="87"/>
    <x v="1"/>
    <s v="pagado"/>
    <s v="pagado"/>
    <s v="excluir"/>
    <s v="no semana"/>
    <x v="0"/>
  </r>
  <r>
    <n v="3000001058"/>
    <d v="2025-07-31T00:00:00"/>
    <n v="16164153.4"/>
    <s v="SUAREZ GABRIEL SEBASTIAN SANTIAGO DEL ESTERO 13"/>
    <x v="515"/>
    <n v="16164153.4"/>
    <x v="87"/>
    <x v="1"/>
    <s v="pagado"/>
    <s v="pagado"/>
    <s v="excluir"/>
    <s v="no semana"/>
    <x v="0"/>
  </r>
  <r>
    <n v="3000001059"/>
    <d v="2025-07-31T00:00:00"/>
    <n v="19830874.280000001"/>
    <s v="AGROQUIMICA ALBERDI S.R.L. CONCEPCION 14"/>
    <x v="516"/>
    <n v="19830874.280000001"/>
    <x v="87"/>
    <x v="1"/>
    <s v="pagado"/>
    <s v="pagado"/>
    <s v="excluir"/>
    <s v="no semana"/>
    <x v="0"/>
  </r>
  <r>
    <n v="3000001060"/>
    <d v="2025-07-31T00:00:00"/>
    <n v="26065644"/>
    <s v="Medina Lauro Jose Las Cejas 14"/>
    <x v="517"/>
    <n v="26065644"/>
    <x v="87"/>
    <x v="1"/>
    <s v="pagado"/>
    <s v="pagado"/>
    <s v="excluir"/>
    <s v="no semana"/>
    <x v="0"/>
  </r>
  <r>
    <n v="3000001061"/>
    <d v="2025-07-31T00:00:00"/>
    <n v="25000000"/>
    <s v="DANIEL MARCELO GUERRERO ALDERETES 14"/>
    <x v="518"/>
    <n v="25000000"/>
    <x v="86"/>
    <x v="1"/>
    <s v="pagado"/>
    <s v="pagado"/>
    <s v="excluir"/>
    <s v="no semana"/>
    <x v="0"/>
  </r>
  <r>
    <n v="3000001061"/>
    <d v="2025-07-31T00:00:00"/>
    <n v="26103957.030000001"/>
    <s v="DANIEL MARCELO GUERRERO ALDERETES 14"/>
    <x v="519"/>
    <n v="26103957.030000001"/>
    <x v="87"/>
    <x v="1"/>
    <s v="pagado"/>
    <s v="pagado"/>
    <s v="excluir"/>
    <s v="no semana"/>
    <x v="0"/>
  </r>
  <r>
    <n v="3000001099"/>
    <d v="2025-08-08T00:00:00"/>
    <n v="1384844.74"/>
    <s v="LOGISTICA DEL NORTE S.R.L. SAN MIGUEL DE TUCUMAN 14"/>
    <x v="520"/>
    <n v="1384844.74"/>
    <x v="88"/>
    <x v="1"/>
    <s v="pagado"/>
    <s v="pagado"/>
    <s v="excluir"/>
    <s v="no semana"/>
    <x v="0"/>
  </r>
  <r>
    <n v="3000001106"/>
    <d v="2025-08-11T00:00:00"/>
    <n v="4231185.1500000004"/>
    <s v="MOLINA JUAN F. Y MOLINA ROQUE Lastenia 14"/>
    <x v="521"/>
    <n v="4231185.1500000004"/>
    <x v="89"/>
    <x v="1"/>
    <s v="pagado"/>
    <s v="pagado"/>
    <s v="excluir"/>
    <s v="no semana"/>
    <x v="0"/>
  </r>
  <r>
    <n v="3000001106"/>
    <d v="2025-08-11T00:00:00"/>
    <n v="16882817.82"/>
    <s v="MOLINA JUAN F. Y MOLINA ROQUE Lastenia 14"/>
    <x v="522"/>
    <n v="16882817.82"/>
    <x v="90"/>
    <x v="1"/>
    <s v="pagado"/>
    <s v="pagado"/>
    <s v="excluir"/>
    <s v="no semana"/>
    <x v="0"/>
  </r>
  <r>
    <n v="3000001109"/>
    <d v="2025-08-11T00:00:00"/>
    <n v="20000000"/>
    <s v="VITRIU NICOLAS YERBA BUENA 14"/>
    <x v="523"/>
    <n v="20000000"/>
    <x v="89"/>
    <x v="1"/>
    <s v="pagado"/>
    <s v="pagado"/>
    <s v="excluir"/>
    <s v="no semana"/>
    <x v="0"/>
  </r>
  <r>
    <n v="3000001109"/>
    <d v="2025-08-11T00:00:00"/>
    <n v="16755093.4"/>
    <s v="VITRIU NICOLAS YERBA BUENA 14"/>
    <x v="524"/>
    <n v="16755093.4"/>
    <x v="90"/>
    <x v="1"/>
    <s v="pagado"/>
    <s v="pagado"/>
    <s v="excluir"/>
    <s v="no semana"/>
    <x v="0"/>
  </r>
  <r>
    <n v="3000001110"/>
    <d v="2025-08-11T00:00:00"/>
    <n v="10000000"/>
    <s v="ANTONACCI LUIS GABRIEL LA FLORIDA 14"/>
    <x v="525"/>
    <n v="10000000"/>
    <x v="89"/>
    <x v="1"/>
    <s v="pagado"/>
    <s v="pagado"/>
    <s v="excluir"/>
    <s v="no semana"/>
    <x v="0"/>
  </r>
  <r>
    <n v="3000001110"/>
    <d v="2025-08-11T00:00:00"/>
    <n v="10846843"/>
    <s v="ANTONACCI LUIS GABRIEL LA FLORIDA 14"/>
    <x v="526"/>
    <n v="10846843"/>
    <x v="90"/>
    <x v="1"/>
    <s v="pagado"/>
    <s v="pagado"/>
    <s v="excluir"/>
    <s v="no semana"/>
    <x v="0"/>
  </r>
  <r>
    <n v="3000001112"/>
    <d v="2025-08-11T00:00:00"/>
    <n v="10000000"/>
    <s v="LOGISTICA CENTRO S.R.L CORONDA 12"/>
    <x v="527"/>
    <n v="10000000"/>
    <x v="89"/>
    <x v="1"/>
    <s v="pagado"/>
    <s v="pagado"/>
    <s v="excluir"/>
    <s v="no semana"/>
    <x v="0"/>
  </r>
  <r>
    <n v="3000001112"/>
    <d v="2025-08-11T00:00:00"/>
    <n v="5749284.8200000003"/>
    <s v="LOGISTICA CENTRO S.R.L CORONDA 12"/>
    <x v="528"/>
    <n v="5749284.8200000003"/>
    <x v="90"/>
    <x v="1"/>
    <s v="pagado"/>
    <s v="pagado"/>
    <s v="excluir"/>
    <s v="no semana"/>
    <x v="0"/>
  </r>
  <r>
    <n v="3000001113"/>
    <d v="2025-08-11T00:00:00"/>
    <n v="20000000"/>
    <s v="LAVENIA VITO CARMELO LASTENIA 14"/>
    <x v="529"/>
    <n v="20000000"/>
    <x v="89"/>
    <x v="1"/>
    <s v="pagado"/>
    <s v="pagado"/>
    <s v="excluir"/>
    <s v="no semana"/>
    <x v="0"/>
  </r>
  <r>
    <n v="3000001113"/>
    <d v="2025-08-11T00:00:00"/>
    <n v="14839987.42"/>
    <s v="LAVENIA VITO CARMELO LASTENIA 14"/>
    <x v="530"/>
    <n v="14839987.42"/>
    <x v="90"/>
    <x v="1"/>
    <s v="pagado"/>
    <s v="pagado"/>
    <s v="excluir"/>
    <s v="no semana"/>
    <x v="0"/>
  </r>
  <r>
    <n v="3000001114"/>
    <d v="2025-08-11T00:00:00"/>
    <n v="20000000"/>
    <s v="DE CIA GALFRASCOLI PIERO FABIOQUIMILI 13"/>
    <x v="531"/>
    <n v="20000000"/>
    <x v="89"/>
    <x v="1"/>
    <s v="pagado"/>
    <s v="pagado"/>
    <s v="excluir"/>
    <s v="no semana"/>
    <x v="0"/>
  </r>
  <r>
    <n v="3000001114"/>
    <d v="2025-08-11T00:00:00"/>
    <n v="13050449.43"/>
    <s v="DE CIA GALFRASCOLI PIERO FABIOQUIMILI 13"/>
    <x v="532"/>
    <n v="13050449.43"/>
    <x v="90"/>
    <x v="1"/>
    <s v="pagado"/>
    <s v="pagado"/>
    <s v="excluir"/>
    <s v="no semana"/>
    <x v="0"/>
  </r>
  <r>
    <n v="3000001105"/>
    <d v="2025-08-11T00:00:00"/>
    <n v="3155226.27"/>
    <s v="Agricola Garcia S.A. SAN MIGUEL DE TUCUMAN 14"/>
    <x v="533"/>
    <n v="3155226.27"/>
    <x v="89"/>
    <x v="1"/>
    <s v="pagado"/>
    <s v="pagado"/>
    <s v="excluir"/>
    <s v="no semana"/>
    <x v="0"/>
  </r>
  <r>
    <n v="3000001107"/>
    <d v="2025-08-11T00:00:00"/>
    <n v="9877000"/>
    <s v="GOMEZ MANUEL ARCENIO METAN 09"/>
    <x v="534"/>
    <n v="9877000"/>
    <x v="89"/>
    <x v="1"/>
    <s v="pagado"/>
    <s v="pagado"/>
    <s v="excluir"/>
    <s v="no semana"/>
    <x v="0"/>
  </r>
  <r>
    <n v="3000001108"/>
    <d v="2025-08-11T00:00:00"/>
    <n v="13912949.449999999"/>
    <s v="JAVIER EDUARDO PRADO FLORIDA 13"/>
    <x v="535"/>
    <n v="13912949.449999999"/>
    <x v="89"/>
    <x v="1"/>
    <s v="pagado"/>
    <s v="pagado"/>
    <s v="excluir"/>
    <s v="no semana"/>
    <x v="0"/>
  </r>
  <r>
    <n v="3000001111"/>
    <d v="2025-08-11T00:00:00"/>
    <n v="10333116.41"/>
    <s v="TRANSPORTE LUIS SANDOVAL S.A.SLOS VALLISTOS 14"/>
    <x v="536"/>
    <n v="10333116.41"/>
    <x v="89"/>
    <x v="1"/>
    <s v="pagado"/>
    <s v="pagado"/>
    <s v="excluir"/>
    <s v="no semana"/>
    <x v="0"/>
  </r>
  <r>
    <n v="3000001115"/>
    <d v="2025-08-11T00:00:00"/>
    <n v="14951104.9"/>
    <s v="ELIAS LUCIANO EMANUEL LAS TALITAS 14"/>
    <x v="537"/>
    <n v="14951104.9"/>
    <x v="89"/>
    <x v="1"/>
    <s v="pagado"/>
    <s v="pagado"/>
    <s v="excluir"/>
    <s v="no semana"/>
    <x v="0"/>
  </r>
  <r>
    <n v="3000001116"/>
    <d v="2025-08-11T00:00:00"/>
    <n v="12543082.6"/>
    <s v="AGROTRANSPORTE ALDAO S.A. CAMILO ALDAO 03"/>
    <x v="538"/>
    <n v="12543082.6"/>
    <x v="89"/>
    <x v="1"/>
    <s v="pagado"/>
    <s v="pagado"/>
    <s v="excluir"/>
    <s v="no semana"/>
    <x v="0"/>
  </r>
  <r>
    <n v="3000001117"/>
    <d v="2025-08-11T00:00:00"/>
    <n v="8718590.7699999996"/>
    <s v="TRANSPORTE CLASON SRL ROSARIO 12"/>
    <x v="539"/>
    <n v="8718590.7699999996"/>
    <x v="89"/>
    <x v="1"/>
    <s v="pagado"/>
    <s v="pagado"/>
    <s v="excluir"/>
    <s v="no semana"/>
    <x v="0"/>
  </r>
  <r>
    <n v="3000001118"/>
    <d v="2025-08-11T00:00:00"/>
    <n v="3162384.97"/>
    <s v="WILLIAMS LOGISTICA SA CIUDAD AUTONOMA BUENOS AIRES 00"/>
    <x v="540"/>
    <n v="3162384.97"/>
    <x v="89"/>
    <x v="1"/>
    <s v="pagado"/>
    <s v="pagado"/>
    <s v="excluir"/>
    <s v="no semana"/>
    <x v="0"/>
  </r>
  <r>
    <n v="3000001119"/>
    <d v="2025-08-11T00:00:00"/>
    <n v="3134290.72"/>
    <s v="TRANSPORTE Y LOGISTICA DEL ESTLAS CEJAS 14"/>
    <x v="541"/>
    <n v="3134290.72"/>
    <x v="89"/>
    <x v="1"/>
    <s v="pagado"/>
    <s v="pagado"/>
    <s v="excluir"/>
    <s v="no semana"/>
    <x v="0"/>
  </r>
  <r>
    <n v="3000001129"/>
    <d v="2025-08-12T00:00:00"/>
    <n v="7161955.1500000004"/>
    <s v="LANGELLA JUAN RODOLFO ALDERETES 14"/>
    <x v="542"/>
    <n v="7161955.1500000004"/>
    <x v="89"/>
    <x v="1"/>
    <s v="pagado"/>
    <s v="pagado"/>
    <s v="excluir"/>
    <s v="no semana"/>
    <x v="0"/>
  </r>
  <r>
    <n v="3000001130"/>
    <d v="2025-08-12T00:00:00"/>
    <n v="5967264.0999999996"/>
    <s v="MOYANO JULIO CESAR BANDA DEL RIO SALI 14"/>
    <x v="543"/>
    <n v="5967264.0999999996"/>
    <x v="89"/>
    <x v="1"/>
    <s v="pagado"/>
    <s v="pagado"/>
    <s v="excluir"/>
    <s v="no semana"/>
    <x v="0"/>
  </r>
  <r>
    <n v="3000001131"/>
    <d v="2025-08-12T00:00:00"/>
    <n v="12624451.779999999"/>
    <s v="SURIAGRO SRL SAN MIGUEL DE TUCUMAN 14"/>
    <x v="544"/>
    <n v="12624451.779999999"/>
    <x v="89"/>
    <x v="1"/>
    <s v="pagado"/>
    <s v="pagado"/>
    <s v="excluir"/>
    <s v="no semana"/>
    <x v="0"/>
  </r>
  <r>
    <n v="3000001145"/>
    <d v="2025-08-14T00:00:00"/>
    <n v="42242070"/>
    <s v="EDET S.A. SAN MIGUEL DE TUCUMAN 14"/>
    <x v="545"/>
    <n v="42242070"/>
    <x v="89"/>
    <x v="1"/>
    <s v="pagado"/>
    <s v="pagado"/>
    <s v="excluir"/>
    <s v="no semana"/>
    <x v="0"/>
  </r>
  <r>
    <n v="3000001153"/>
    <d v="2025-08-18T00:00:00"/>
    <n v="639115.56999999995"/>
    <s v="AACREA BUENOS AIRES 01"/>
    <x v="546"/>
    <n v="639115.56999999995"/>
    <x v="91"/>
    <x v="1"/>
    <s v="pagado"/>
    <s v="pagado"/>
    <s v="excluir"/>
    <s v="no semana"/>
    <x v="0"/>
  </r>
  <r>
    <n v="3000001154"/>
    <d v="2025-08-18T00:00:00"/>
    <n v="8307421.4000000004"/>
    <s v="RODRIGUEZ NESTOR HORACIO YERBA BUENA 14"/>
    <x v="547"/>
    <n v="8307421.4000000004"/>
    <x v="91"/>
    <x v="1"/>
    <s v="pagado"/>
    <s v="pagado"/>
    <s v="excluir"/>
    <s v="no semana"/>
    <x v="0"/>
  </r>
  <r>
    <n v="3000001155"/>
    <d v="2025-08-18T00:00:00"/>
    <n v="23055528.399999999"/>
    <s v="Aso, Eduardo SAN MIGUEL DE TUCUMAN 14"/>
    <x v="548"/>
    <n v="23055528.399999999"/>
    <x v="92"/>
    <x v="1"/>
    <s v="pagado"/>
    <s v="pagado"/>
    <s v="excluir"/>
    <s v="no semana"/>
    <x v="0"/>
  </r>
  <r>
    <n v="3000001156"/>
    <d v="2025-08-18T00:00:00"/>
    <n v="26400016.699999999"/>
    <s v="LOS LAURELES SERVICIOS AGRICOLSan Miguel De Tucuman 14"/>
    <x v="549"/>
    <n v="26400016.699999999"/>
    <x v="92"/>
    <x v="1"/>
    <s v="pagado"/>
    <s v="pagado"/>
    <s v="excluir"/>
    <s v="no semana"/>
    <x v="0"/>
  </r>
  <r>
    <n v="3000001157"/>
    <d v="2025-08-18T00:00:00"/>
    <n v="29841120.579999998"/>
    <s v="AYALA WALTER DANIEL ALDERETES 14"/>
    <x v="550"/>
    <n v="29841120.579999998"/>
    <x v="92"/>
    <x v="1"/>
    <s v="pagado"/>
    <s v="pagado"/>
    <s v="excluir"/>
    <s v="no semana"/>
    <x v="0"/>
  </r>
  <r>
    <n v="3000001183"/>
    <d v="2025-08-25T00:00:00"/>
    <n v="6248880"/>
    <s v="RASUK JORGE LUIS YERBA BUENA 14"/>
    <x v="551"/>
    <n v="6248880"/>
    <x v="93"/>
    <x v="1"/>
    <s v="pagado"/>
    <s v="pagado"/>
    <s v="excluir"/>
    <s v="no semana"/>
    <x v="0"/>
  </r>
  <r>
    <n v="3000001184"/>
    <d v="2025-08-25T00:00:00"/>
    <n v="4228895.4000000004"/>
    <s v="Avila Carlos Alberto SAN MIGUEL DE TUCUMAN 14"/>
    <x v="552"/>
    <n v="4228895.4000000004"/>
    <x v="93"/>
    <x v="1"/>
    <s v="pagado"/>
    <s v="pagado"/>
    <s v="excluir"/>
    <s v="no semana"/>
    <x v="0"/>
  </r>
  <r>
    <n v="3000001185"/>
    <d v="2025-08-25T00:00:00"/>
    <n v="10179240.5"/>
    <s v="Pulmajo S.R.L. CONCEPCION 14"/>
    <x v="553"/>
    <n v="10179240.5"/>
    <x v="93"/>
    <x v="1"/>
    <s v="pagado"/>
    <s v="pagado"/>
    <s v="excluir"/>
    <s v="no semana"/>
    <x v="0"/>
  </r>
  <r>
    <n v="3000001186"/>
    <d v="2025-08-25T00:00:00"/>
    <n v="10000000"/>
    <s v="Medina Lauro Jose Las Cejas 14"/>
    <x v="554"/>
    <n v="10000000"/>
    <x v="93"/>
    <x v="1"/>
    <s v="pagado"/>
    <s v="pagado"/>
    <s v="excluir"/>
    <s v="no semana"/>
    <x v="0"/>
  </r>
  <r>
    <n v="3000001186"/>
    <d v="2025-08-25T00:00:00"/>
    <n v="10227333.5"/>
    <s v="Medina Lauro Jose Las Cejas 14"/>
    <x v="555"/>
    <n v="10227333.5"/>
    <x v="94"/>
    <x v="1"/>
    <s v="pagado"/>
    <s v="pagado"/>
    <s v="excluir"/>
    <s v="no semana"/>
    <x v="0"/>
  </r>
  <r>
    <n v="3000001187"/>
    <d v="2025-08-25T00:00:00"/>
    <n v="9704032.1999999993"/>
    <s v="AYALA HERNAN OSVALDO SAN MIGUEL DE TUCUMAN 14"/>
    <x v="556"/>
    <n v="9704032.1999999993"/>
    <x v="93"/>
    <x v="1"/>
    <s v="pagado"/>
    <s v="pagado"/>
    <s v="excluir"/>
    <s v="no semana"/>
    <x v="0"/>
  </r>
  <r>
    <n v="3000001188"/>
    <d v="2025-08-25T00:00:00"/>
    <n v="5077040.5"/>
    <s v="ROMAN BARCELO Y JORGE CARRERASLAS LAJITAS 09"/>
    <x v="557"/>
    <n v="5077040.5"/>
    <x v="93"/>
    <x v="1"/>
    <s v="pagado"/>
    <s v="pagado"/>
    <s v="excluir"/>
    <s v="no semana"/>
    <x v="0"/>
  </r>
  <r>
    <n v="3000001189"/>
    <d v="2025-08-25T00:00:00"/>
    <n v="6488249"/>
    <s v="SUAREZ GABRIEL SEBASTIAN SANTIAGO DEL ESTERO 13"/>
    <x v="558"/>
    <n v="6488249"/>
    <x v="93"/>
    <x v="1"/>
    <s v="pagado"/>
    <s v="pagado"/>
    <s v="excluir"/>
    <s v="no semana"/>
    <x v="0"/>
  </r>
  <r>
    <n v="3000001190"/>
    <d v="2025-08-25T00:00:00"/>
    <n v="7727813.4000000004"/>
    <s v="DON KOKO S.R.L CAMILO ALDAO 03"/>
    <x v="559"/>
    <n v="7727813.4000000004"/>
    <x v="93"/>
    <x v="1"/>
    <s v="pagado"/>
    <s v="pagado"/>
    <s v="excluir"/>
    <s v="no semana"/>
    <x v="0"/>
  </r>
  <r>
    <n v="3000001191"/>
    <d v="2025-08-25T00:00:00"/>
    <n v="8990948.1500000004"/>
    <s v="Pulverizaciones Tuninetti S.R.Las Rosas 01"/>
    <x v="560"/>
    <n v="8990948.1500000004"/>
    <x v="93"/>
    <x v="1"/>
    <s v="pagado"/>
    <s v="pagado"/>
    <s v="excluir"/>
    <s v="no semana"/>
    <x v="0"/>
  </r>
  <r>
    <n v="3000001192"/>
    <d v="2025-08-25T00:00:00"/>
    <n v="7000000"/>
    <s v="LOS NOGALES S.R.L General Jose de San 16"/>
    <x v="561"/>
    <n v="7000000"/>
    <x v="93"/>
    <x v="1"/>
    <s v="pagado"/>
    <s v="pagado"/>
    <s v="excluir"/>
    <s v="no semana"/>
    <x v="0"/>
  </r>
  <r>
    <n v="3000001192"/>
    <d v="2025-08-25T00:00:00"/>
    <n v="7369480"/>
    <s v="LOS NOGALES S.R.L General Jose de San 16"/>
    <x v="562"/>
    <n v="7369480"/>
    <x v="94"/>
    <x v="1"/>
    <s v="pagado"/>
    <s v="pagado"/>
    <s v="excluir"/>
    <s v="no semana"/>
    <x v="0"/>
  </r>
  <r>
    <n v="3000001193"/>
    <d v="2025-08-25T00:00:00"/>
    <n v="19182308.780000001"/>
    <s v="LOS LAURELES SERVICIOS AGRICOLSan Miguel De Tucuman 14"/>
    <x v="563"/>
    <n v="19182308.780000001"/>
    <x v="93"/>
    <x v="1"/>
    <s v="pagado"/>
    <s v="pagado"/>
    <s v="excluir"/>
    <s v="no semana"/>
    <x v="0"/>
  </r>
  <r>
    <n v="3000001193"/>
    <d v="2025-08-25T00:00:00"/>
    <n v="4682956.72"/>
    <s v="LOS LAURELES SERVICIOS AGRICOLSan Miguel De Tucuman 14"/>
    <x v="564"/>
    <n v="4682956.72"/>
    <x v="94"/>
    <x v="1"/>
    <s v="pagado"/>
    <s v="pagado"/>
    <s v="excluir"/>
    <s v="no semana"/>
    <x v="0"/>
  </r>
  <r>
    <n v="3000001209"/>
    <d v="2025-08-26T00:00:00"/>
    <n v="663404.86"/>
    <s v="BUSSINES AND TRANSPORT SRL . 30712924507 14"/>
    <x v="565"/>
    <n v="663404.86"/>
    <x v="94"/>
    <x v="1"/>
    <s v="pagado"/>
    <s v="pagado"/>
    <s v="excluir"/>
    <s v="no semana"/>
    <x v="0"/>
  </r>
  <r>
    <n v="3000001210"/>
    <d v="2025-08-26T00:00:00"/>
    <n v="10000000"/>
    <s v="LOGISTICA CENTRO S.R.L CORONDA 12"/>
    <x v="566"/>
    <n v="10000000"/>
    <x v="94"/>
    <x v="1"/>
    <s v="pagado"/>
    <s v="pagado"/>
    <s v="excluir"/>
    <s v="no semana"/>
    <x v="0"/>
  </r>
  <r>
    <n v="3000001210"/>
    <d v="2025-08-26T00:00:00"/>
    <n v="8445918.4499999993"/>
    <s v="LOGISTICA CENTRO S.R.L CORONDA 12"/>
    <x v="567"/>
    <n v="8445918.4499999993"/>
    <x v="95"/>
    <x v="1"/>
    <s v="pagado"/>
    <s v="pagado"/>
    <s v="excluir"/>
    <s v="no semana"/>
    <x v="0"/>
  </r>
  <r>
    <n v="3000001211"/>
    <d v="2025-08-26T00:00:00"/>
    <n v="6692757.1799999997"/>
    <s v="COCCOLO LOGISTICA SA cañada rosquin 12"/>
    <x v="568"/>
    <n v="6692757.1799999997"/>
    <x v="94"/>
    <x v="1"/>
    <s v="pagado"/>
    <s v="pagado"/>
    <s v="excluir"/>
    <s v="no semana"/>
    <x v="0"/>
  </r>
  <r>
    <n v="3000001212"/>
    <d v="2025-08-26T00:00:00"/>
    <n v="5089778.87"/>
    <s v="PAIS WALTER LUIS SAN MIGUEL DE TUCUMAN 14"/>
    <x v="569"/>
    <n v="5089778.87"/>
    <x v="94"/>
    <x v="1"/>
    <s v="pagado"/>
    <s v="pagado"/>
    <s v="excluir"/>
    <s v="no semana"/>
    <x v="0"/>
  </r>
  <r>
    <n v="3000001213"/>
    <d v="2025-08-26T00:00:00"/>
    <n v="3451556.16"/>
    <s v="TRANSPORTE Y LOGISTICA DEL ESTLAS CEJAS 14"/>
    <x v="570"/>
    <n v="3451556.16"/>
    <x v="94"/>
    <x v="1"/>
    <s v="pagado"/>
    <s v="pagado"/>
    <s v="excluir"/>
    <s v="no semana"/>
    <x v="0"/>
  </r>
  <r>
    <n v="3000001214"/>
    <d v="2025-08-26T00:00:00"/>
    <n v="8149532.3700000001"/>
    <s v="Paz Pablo Jose SAN MIGUEL DE TUCUMAN 14"/>
    <x v="571"/>
    <n v="8149532.3700000001"/>
    <x v="94"/>
    <x v="1"/>
    <s v="pagado"/>
    <s v="pagado"/>
    <s v="excluir"/>
    <s v="no semana"/>
    <x v="0"/>
  </r>
  <r>
    <n v="3000001215"/>
    <d v="2025-08-26T00:00:00"/>
    <n v="7714014.5899999999"/>
    <s v="GOMEZ JESSICA NOELIA LAS TALITAS 14"/>
    <x v="572"/>
    <n v="7714014.5899999999"/>
    <x v="94"/>
    <x v="1"/>
    <s v="pagado"/>
    <s v="pagado"/>
    <s v="excluir"/>
    <s v="no semana"/>
    <x v="0"/>
  </r>
  <r>
    <n v="3000001216"/>
    <d v="2025-08-26T00:00:00"/>
    <n v="3704696.71"/>
    <s v="SURIAGRO SRL SAN MIGUEL DE TUCUMAN 14"/>
    <x v="573"/>
    <n v="3704696.71"/>
    <x v="94"/>
    <x v="1"/>
    <s v="pagado"/>
    <s v="pagado"/>
    <s v="excluir"/>
    <s v="no semana"/>
    <x v="0"/>
  </r>
  <r>
    <n v="3000001217"/>
    <d v="2025-08-26T00:00:00"/>
    <n v="5854299.6600000001"/>
    <s v="BUSTOS EXEQUIEL ANTONIO BANDA DEL RIO SALI 14"/>
    <x v="574"/>
    <n v="5854299.6600000001"/>
    <x v="94"/>
    <x v="1"/>
    <s v="pagado"/>
    <s v="pagado"/>
    <s v="excluir"/>
    <s v="no semana"/>
    <x v="0"/>
  </r>
  <r>
    <n v="3000001218"/>
    <d v="2025-08-26T00:00:00"/>
    <n v="8000000"/>
    <s v="JAVIER EDUARDO PRADO FLORIDA 13"/>
    <x v="575"/>
    <n v="8000000"/>
    <x v="94"/>
    <x v="1"/>
    <s v="pagado"/>
    <s v="pagado"/>
    <s v="excluir"/>
    <s v="no semana"/>
    <x v="0"/>
  </r>
  <r>
    <n v="3000001218"/>
    <d v="2025-08-26T00:00:00"/>
    <n v="7346163.8499999996"/>
    <s v="JAVIER EDUARDO PRADO FLORIDA 13"/>
    <x v="576"/>
    <n v="7346163.8499999996"/>
    <x v="95"/>
    <x v="1"/>
    <s v="pagado"/>
    <s v="pagado"/>
    <s v="excluir"/>
    <s v="no semana"/>
    <x v="0"/>
  </r>
  <r>
    <n v="3000001219"/>
    <d v="2025-08-26T00:00:00"/>
    <n v="3681508.21"/>
    <s v="LANGELLA JUAN RODOLFO ALDERETES 14"/>
    <x v="577"/>
    <n v="3681508.21"/>
    <x v="94"/>
    <x v="1"/>
    <s v="pagado"/>
    <s v="pagado"/>
    <s v="excluir"/>
    <s v="no semana"/>
    <x v="0"/>
  </r>
  <r>
    <n v="3000001220"/>
    <d v="2025-08-26T00:00:00"/>
    <n v="6000000"/>
    <s v="LAVENIA VITO CARMELO LASTENIA 14"/>
    <x v="578"/>
    <n v="6000000"/>
    <x v="94"/>
    <x v="1"/>
    <s v="pagado"/>
    <s v="pagado"/>
    <s v="excluir"/>
    <s v="no semana"/>
    <x v="0"/>
  </r>
  <r>
    <n v="3000001220"/>
    <d v="2025-08-26T00:00:00"/>
    <n v="6161944.6900000004"/>
    <s v="LAVENIA VITO CARMELO LASTENIA 14"/>
    <x v="579"/>
    <n v="6161944.6900000004"/>
    <x v="95"/>
    <x v="1"/>
    <s v="pagado"/>
    <s v="pagado"/>
    <s v="excluir"/>
    <s v="no semana"/>
    <x v="0"/>
  </r>
  <r>
    <n v="3000001228"/>
    <d v="2025-09-01T00:00:00"/>
    <n v="137166528.97999999"/>
    <s v="Tucagro S.R.L CEVIL POZO 14"/>
    <x v="580"/>
    <n v="137166528.97999999"/>
    <x v="96"/>
    <x v="1"/>
    <s v="pagado"/>
    <s v="pagado"/>
    <s v="excluir"/>
    <s v="no semana"/>
    <x v="0"/>
  </r>
  <r>
    <n v="3000001229"/>
    <d v="2025-09-01T00:00:00"/>
    <n v="3425596.96"/>
    <s v="SAN LORENZO CEREALES S.R.L SAN LORENZO 12"/>
    <x v="581"/>
    <n v="3425596.96"/>
    <x v="97"/>
    <x v="1"/>
    <s v="pagado"/>
    <s v="pagado"/>
    <s v="excluir"/>
    <s v="no semana"/>
    <x v="0"/>
  </r>
  <r>
    <n v="3000001230"/>
    <d v="2025-09-01T00:00:00"/>
    <n v="10059837.68"/>
    <s v="MOYANO JULIO CESAR BANDA DEL RIO SALI 14"/>
    <x v="582"/>
    <n v="10059837.68"/>
    <x v="97"/>
    <x v="1"/>
    <s v="pagado"/>
    <s v="pagado"/>
    <s v="excluir"/>
    <s v="no semana"/>
    <x v="0"/>
  </r>
  <r>
    <n v="3000001231"/>
    <d v="2025-09-01T00:00:00"/>
    <n v="6643251.2000000002"/>
    <s v="RODRIGUEZ NESTOR HORACIO YERBA BUENA 14"/>
    <x v="583"/>
    <n v="6643251.2000000002"/>
    <x v="98"/>
    <x v="1"/>
    <s v="pagado"/>
    <s v="pagado"/>
    <s v="excluir"/>
    <s v="no semana"/>
    <x v="0"/>
  </r>
  <r>
    <n v="3000001232"/>
    <d v="2025-09-01T00:00:00"/>
    <n v="6548925.3300000001"/>
    <s v="SOUK S. A. S. SANTIAGO DEL ESTERO 13"/>
    <x v="584"/>
    <n v="6548925.3300000001"/>
    <x v="98"/>
    <x v="1"/>
    <s v="pagado"/>
    <s v="pagado"/>
    <s v="excluir"/>
    <s v="no semana"/>
    <x v="0"/>
  </r>
  <r>
    <n v="3000001233"/>
    <d v="2025-09-01T00:00:00"/>
    <n v="10251293.4"/>
    <s v="M.A.D Serv y mant eléctri SAN MIGUEL DE TUCUMAN 14"/>
    <x v="585"/>
    <n v="10251293.4"/>
    <x v="97"/>
    <x v="1"/>
    <s v="pagado"/>
    <s v="pagado"/>
    <s v="excluir"/>
    <s v="no semana"/>
    <x v="0"/>
  </r>
  <r>
    <n v="3000001234"/>
    <d v="2025-09-01T00:00:00"/>
    <n v="10184590.890000001"/>
    <s v="FLETES Y SERVICIOS PUJATO S.A PUJATO 12"/>
    <x v="586"/>
    <n v="10184590.890000001"/>
    <x v="97"/>
    <x v="1"/>
    <s v="pagado"/>
    <s v="pagado"/>
    <s v="excluir"/>
    <s v="no semana"/>
    <x v="0"/>
  </r>
  <r>
    <n v="3000001235"/>
    <d v="2025-09-01T00:00:00"/>
    <n v="5690184.7300000004"/>
    <s v="ANTONACCI LUIS GABRIEL LA FLORIDA 14"/>
    <x v="587"/>
    <n v="5690184.7300000004"/>
    <x v="97"/>
    <x v="1"/>
    <s v="pagado"/>
    <s v="pagado"/>
    <s v="excluir"/>
    <s v="no semana"/>
    <x v="0"/>
  </r>
  <r>
    <n v="3000001236"/>
    <d v="2025-09-01T00:00:00"/>
    <n v="13077940.449999999"/>
    <s v="Medina Lauro Jose Las Cejas 14"/>
    <x v="588"/>
    <n v="13077940.449999999"/>
    <x v="97"/>
    <x v="1"/>
    <s v="pagado"/>
    <s v="pagado"/>
    <s v="excluir"/>
    <s v="no semana"/>
    <x v="0"/>
  </r>
  <r>
    <n v="3000001247"/>
    <d v="2025-09-03T00:00:00"/>
    <n v="22108198.100000001"/>
    <s v="TRANSPORTE CLASON SRL ROSARIO 12"/>
    <x v="589"/>
    <n v="22108198.100000001"/>
    <x v="99"/>
    <x v="1"/>
    <s v="pagado"/>
    <s v="pagado"/>
    <s v="excluir"/>
    <s v="no semana"/>
    <x v="0"/>
  </r>
  <r>
    <n v="3000001248"/>
    <d v="2025-09-03T00:00:00"/>
    <n v="17019039.010000002"/>
    <s v="SIGMA AGRO SA MERCEDES 01"/>
    <x v="590"/>
    <n v="17019039.010000002"/>
    <x v="99"/>
    <x v="1"/>
    <s v="pagado"/>
    <s v="pagado"/>
    <s v="excluir"/>
    <s v="no semana"/>
    <x v="0"/>
  </r>
  <r>
    <n v="3000001258"/>
    <d v="2025-09-08T00:00:00"/>
    <n v="6127663.4800000004"/>
    <s v="MOLINA JUAN F. Y MOLINA ROQUE Lastenia 14"/>
    <x v="591"/>
    <n v="6127663.4800000004"/>
    <x v="100"/>
    <x v="1"/>
    <s v="pagado"/>
    <s v="pagado"/>
    <s v="excluir"/>
    <s v="no semana"/>
    <x v="0"/>
  </r>
  <r>
    <n v="3000001258"/>
    <d v="2025-09-08T00:00:00"/>
    <n v="4160581.71"/>
    <s v="MOLINA JUAN F. Y MOLINA ROQUE Lastenia 14"/>
    <x v="592"/>
    <n v="4160581.71"/>
    <x v="101"/>
    <x v="1"/>
    <s v="pagado"/>
    <s v="pagado"/>
    <s v="excluir"/>
    <s v="no semana"/>
    <x v="0"/>
  </r>
  <r>
    <n v="3000001259"/>
    <d v="2025-09-08T00:00:00"/>
    <n v="6477491.4800000004"/>
    <s v="ENTREGAS SERDEN S.R.L SAN LORENZO 12"/>
    <x v="593"/>
    <n v="6477491.4800000004"/>
    <x v="100"/>
    <x v="1"/>
    <s v="pagado"/>
    <s v="pagado"/>
    <s v="excluir"/>
    <s v="no semana"/>
    <x v="0"/>
  </r>
  <r>
    <n v="3000001260"/>
    <d v="2025-09-08T00:00:00"/>
    <n v="15000000"/>
    <s v="ROMAN BARCELO Y JORGE CARRERASLAS LAJITAS 09"/>
    <x v="594"/>
    <n v="15000000"/>
    <x v="100"/>
    <x v="1"/>
    <s v="pagado"/>
    <s v="pagado"/>
    <s v="excluir"/>
    <s v="no semana"/>
    <x v="0"/>
  </r>
  <r>
    <n v="3000001260"/>
    <d v="2025-09-08T00:00:00"/>
    <n v="15094979.35"/>
    <s v="ROMAN BARCELO Y JORGE CARRERASLAS LAJITAS 09"/>
    <x v="595"/>
    <n v="15094979.35"/>
    <x v="101"/>
    <x v="1"/>
    <s v="pagado"/>
    <s v="pagado"/>
    <s v="excluir"/>
    <s v="no semana"/>
    <x v="0"/>
  </r>
  <r>
    <n v="3000001261"/>
    <d v="2025-09-08T00:00:00"/>
    <n v="8829882.0700000003"/>
    <s v="GARCIA JORGE LUIS METAN 09"/>
    <x v="596"/>
    <n v="8829882.0700000003"/>
    <x v="100"/>
    <x v="1"/>
    <s v="pagado"/>
    <s v="pagado"/>
    <s v="excluir"/>
    <s v="no semana"/>
    <x v="0"/>
  </r>
  <r>
    <n v="3000001262"/>
    <d v="2025-09-08T00:00:00"/>
    <n v="14974425.539999999"/>
    <s v="AYALA WALTER DANIEL ALDERETES 14"/>
    <x v="597"/>
    <n v="14974425.539999999"/>
    <x v="100"/>
    <x v="1"/>
    <s v="pagado"/>
    <s v="pagado"/>
    <s v="excluir"/>
    <s v="no semana"/>
    <x v="0"/>
  </r>
  <r>
    <n v="3000001263"/>
    <d v="2025-09-08T00:00:00"/>
    <n v="15544704.49"/>
    <s v="LOGISTICA CENTRO S.R.L CORONDA 12"/>
    <x v="598"/>
    <n v="15544704.49"/>
    <x v="100"/>
    <x v="1"/>
    <s v="pagado"/>
    <s v="pagado"/>
    <s v="excluir"/>
    <s v="no semana"/>
    <x v="0"/>
  </r>
  <r>
    <n v="3000001305"/>
    <d v="2025-09-16T00:00:00"/>
    <n v="711054.54"/>
    <s v="Ventimiglia Nelly Irma Jesus Maria 03"/>
    <x v="599"/>
    <n v="711054.54"/>
    <x v="102"/>
    <x v="1"/>
    <s v="pagado"/>
    <s v="pagado"/>
    <s v="excluir"/>
    <s v="no semana"/>
    <x v="0"/>
  </r>
  <r>
    <n v="3000001306"/>
    <d v="2025-09-16T00:00:00"/>
    <n v="10000000"/>
    <s v="AYALA WALTER DANIEL ALDERETES 14"/>
    <x v="600"/>
    <n v="10000000"/>
    <x v="103"/>
    <x v="1"/>
    <s v="pagado"/>
    <s v="pagado"/>
    <s v="excluir"/>
    <s v="no semana"/>
    <x v="0"/>
  </r>
  <r>
    <n v="3000001306"/>
    <d v="2025-09-16T00:00:00"/>
    <n v="7679122.0599999996"/>
    <s v="AYALA WALTER DANIEL ALDERETES 14"/>
    <x v="601"/>
    <n v="7679122.0599999996"/>
    <x v="104"/>
    <x v="1"/>
    <s v="pagado"/>
    <s v="pagado"/>
    <s v="excluir"/>
    <s v="no semana"/>
    <x v="0"/>
  </r>
  <r>
    <n v="3000001307"/>
    <d v="2025-09-16T00:00:00"/>
    <n v="10000000"/>
    <s v="RODRIGUEZ NESTOR HORACIO YERBA BUENA 14"/>
    <x v="602"/>
    <n v="10000000"/>
    <x v="103"/>
    <x v="1"/>
    <s v="pagado"/>
    <s v="pagado"/>
    <s v="excluir"/>
    <s v="no semana"/>
    <x v="0"/>
  </r>
  <r>
    <n v="3000001307"/>
    <d v="2025-09-16T00:00:00"/>
    <n v="10704157.6"/>
    <s v="RODRIGUEZ NESTOR HORACIO YERBA BUENA 14"/>
    <x v="603"/>
    <n v="10704157.6"/>
    <x v="104"/>
    <x v="1"/>
    <s v="pagado"/>
    <s v="pagado"/>
    <s v="excluir"/>
    <s v="no semana"/>
    <x v="0"/>
  </r>
  <r>
    <n v="3000001308"/>
    <d v="2025-09-16T00:00:00"/>
    <n v="6172031.25"/>
    <s v="Medina Lauro Jose Las Cejas 14"/>
    <x v="604"/>
    <n v="6172031.25"/>
    <x v="103"/>
    <x v="1"/>
    <s v="pagado"/>
    <s v="pagado"/>
    <s v="excluir"/>
    <s v="no semana"/>
    <x v="0"/>
  </r>
  <r>
    <n v="3000001309"/>
    <d v="2025-09-16T00:00:00"/>
    <n v="4405509.5999999996"/>
    <s v="VERON MARIANA BEATRIZ NUEVA ESPERANZA 13"/>
    <x v="605"/>
    <n v="4405509.5999999996"/>
    <x v="103"/>
    <x v="1"/>
    <s v="pagado"/>
    <s v="pagado"/>
    <s v="excluir"/>
    <s v="no semana"/>
    <x v="0"/>
  </r>
  <r>
    <n v="3000001310"/>
    <d v="2025-09-16T00:00:00"/>
    <n v="10000000"/>
    <s v="MOYANO JULIO CESAR BANDA DEL RIO SALI 14"/>
    <x v="606"/>
    <n v="10000000"/>
    <x v="103"/>
    <x v="1"/>
    <s v="pagado"/>
    <s v="pagado"/>
    <s v="excluir"/>
    <s v="no semana"/>
    <x v="0"/>
  </r>
  <r>
    <n v="3000001310"/>
    <d v="2025-09-16T00:00:00"/>
    <n v="11156149.09"/>
    <s v="MOYANO JULIO CESAR BANDA DEL RIO SALI 14"/>
    <x v="607"/>
    <n v="11156149.09"/>
    <x v="104"/>
    <x v="1"/>
    <s v="pagado"/>
    <s v="pagado"/>
    <s v="excluir"/>
    <s v="no semana"/>
    <x v="0"/>
  </r>
  <r>
    <n v="3000001311"/>
    <d v="2025-09-16T00:00:00"/>
    <n v="10000000"/>
    <s v="TRANSPORTE Y LOGISTICA DEL ESTLAS CEJAS 14"/>
    <x v="608"/>
    <n v="10000000"/>
    <x v="103"/>
    <x v="1"/>
    <s v="pagado"/>
    <s v="pagado"/>
    <s v="excluir"/>
    <s v="no semana"/>
    <x v="0"/>
  </r>
  <r>
    <n v="3000001311"/>
    <d v="2025-09-16T00:00:00"/>
    <n v="6759356.6399999997"/>
    <s v="TRANSPORTE Y LOGISTICA DEL ESTLAS CEJAS 14"/>
    <x v="609"/>
    <n v="6759356.6399999997"/>
    <x v="104"/>
    <x v="1"/>
    <s v="pagado"/>
    <s v="pagado"/>
    <s v="excluir"/>
    <s v="no semana"/>
    <x v="0"/>
  </r>
  <r>
    <n v="3000001312"/>
    <d v="2025-09-16T00:00:00"/>
    <n v="7015449.8300000001"/>
    <s v="ANTONACCI LUIS GABRIEL LA FLORIDA 14"/>
    <x v="610"/>
    <n v="7015449.8300000001"/>
    <x v="103"/>
    <x v="1"/>
    <s v="pagado"/>
    <s v="pagado"/>
    <s v="excluir"/>
    <s v="no semana"/>
    <x v="0"/>
  </r>
  <r>
    <n v="3000001313"/>
    <d v="2025-09-16T00:00:00"/>
    <n v="7186478.5300000003"/>
    <s v="LANGELLA JUAN RODOLFO ALDERETES 14"/>
    <x v="611"/>
    <n v="7186478.5300000003"/>
    <x v="103"/>
    <x v="1"/>
    <s v="pagado"/>
    <s v="pagado"/>
    <s v="excluir"/>
    <s v="no semana"/>
    <x v="0"/>
  </r>
  <r>
    <n v="3000001314"/>
    <d v="2025-09-16T00:00:00"/>
    <n v="7994938.0300000003"/>
    <s v="LOGISTICA DEL NORTE S.R.L. SAN MIGUEL DE TUCUMAN 14"/>
    <x v="612"/>
    <n v="7994938.0300000003"/>
    <x v="104"/>
    <x v="1"/>
    <s v="pagado"/>
    <s v="pagado"/>
    <s v="excluir"/>
    <s v="no semana"/>
    <x v="0"/>
  </r>
  <r>
    <n v="3000001315"/>
    <d v="2025-09-16T00:00:00"/>
    <n v="20000000"/>
    <s v="TRANSPORTE LUIS SANDOVAL S.A.SLOS VALLISTOS 14"/>
    <x v="613"/>
    <n v="20000000"/>
    <x v="103"/>
    <x v="1"/>
    <s v="pagado"/>
    <s v="pagado"/>
    <s v="excluir"/>
    <s v="no semana"/>
    <x v="0"/>
  </r>
  <r>
    <n v="3000001315"/>
    <d v="2025-09-16T00:00:00"/>
    <n v="15157314.5"/>
    <s v="TRANSPORTE LUIS SANDOVAL S.A.SLOS VALLISTOS 14"/>
    <x v="614"/>
    <n v="15157314.5"/>
    <x v="104"/>
    <x v="1"/>
    <s v="pagado"/>
    <s v="pagado"/>
    <s v="excluir"/>
    <s v="no semana"/>
    <x v="0"/>
  </r>
  <r>
    <n v="3000001320"/>
    <d v="2025-09-17T00:00:00"/>
    <n v="30000000"/>
    <s v="DANIEL MARCELO GUERRERO ALDERETES 14"/>
    <x v="615"/>
    <n v="30000000"/>
    <x v="104"/>
    <x v="1"/>
    <s v="pagado"/>
    <s v="pagado"/>
    <s v="excluir"/>
    <s v="no semana"/>
    <x v="0"/>
  </r>
  <r>
    <n v="3000001320"/>
    <d v="2025-09-17T00:00:00"/>
    <n v="30126240.390000001"/>
    <s v="DANIEL MARCELO GUERRERO ALDERETES 14"/>
    <x v="616"/>
    <n v="30126240.390000001"/>
    <x v="105"/>
    <x v="1"/>
    <s v="pagado"/>
    <s v="pagado"/>
    <s v="excluir"/>
    <s v="no semana"/>
    <x v="0"/>
  </r>
  <r>
    <n v="3000001321"/>
    <d v="2025-09-17T00:00:00"/>
    <n v="25000000"/>
    <s v="LAVENIA VITO CARMELO LASTENIA 14"/>
    <x v="617"/>
    <n v="25000000"/>
    <x v="104"/>
    <x v="1"/>
    <s v="pagado"/>
    <s v="pagado"/>
    <s v="excluir"/>
    <s v="no semana"/>
    <x v="0"/>
  </r>
  <r>
    <n v="3000001321"/>
    <d v="2025-09-17T00:00:00"/>
    <n v="28607991.440000001"/>
    <s v="LAVENIA VITO CARMELO LASTENIA 14"/>
    <x v="618"/>
    <n v="28607991.440000001"/>
    <x v="105"/>
    <x v="1"/>
    <s v="pagado"/>
    <s v="pagado"/>
    <s v="excluir"/>
    <s v="no semana"/>
    <x v="0"/>
  </r>
  <r>
    <n v="3000001318"/>
    <d v="2025-09-17T00:00:00"/>
    <n v="16532771.57"/>
    <s v="GOMEZ JESSICA NOELIA LAS TALITAS 14"/>
    <x v="619"/>
    <n v="16532771.57"/>
    <x v="104"/>
    <x v="1"/>
    <s v="pagado"/>
    <s v="pagado"/>
    <s v="excluir"/>
    <s v="no semana"/>
    <x v="0"/>
  </r>
  <r>
    <n v="3000001319"/>
    <d v="2025-09-17T00:00:00"/>
    <n v="12442844.939999999"/>
    <s v="JAVIER EDUARDO PRADO FLORIDA 13"/>
    <x v="620"/>
    <n v="12442844.939999999"/>
    <x v="104"/>
    <x v="1"/>
    <s v="pagado"/>
    <s v="pagado"/>
    <s v="excluir"/>
    <s v="no semana"/>
    <x v="0"/>
  </r>
  <r>
    <n v="3000001322"/>
    <d v="2025-09-18T00:00:00"/>
    <n v="49166150"/>
    <s v="EDET S.A. SAN MIGUEL DE TUCUMAN 14"/>
    <x v="621"/>
    <n v="49166150"/>
    <x v="106"/>
    <x v="1"/>
    <s v="pagado"/>
    <s v="pagado"/>
    <s v="excluir"/>
    <s v="no semana"/>
    <x v="0"/>
  </r>
  <r>
    <n v="3000000602"/>
    <d v="2025-05-06T00:00:00"/>
    <n v="0"/>
    <s v="invalidado med.EOLIVERA -Destruido/ Sin uso"/>
    <x v="622"/>
    <n v="0"/>
    <x v="107"/>
    <x v="1"/>
    <s v="no pagado"/>
    <s v="fuera de fecha"/>
    <s v="excluir"/>
    <s v="no semana"/>
    <x v="0"/>
  </r>
  <r>
    <n v="3000001338"/>
    <d v="2025-09-22T00:00:00"/>
    <n v="6129508.2599999998"/>
    <s v="BERCOVICH COMERCIAL SAS SAN MIGUEL DE TUCUMAN 14"/>
    <x v="623"/>
    <n v="6129508.2599999998"/>
    <x v="108"/>
    <x v="1"/>
    <s v="pagado"/>
    <s v="pagado"/>
    <s v="excluir"/>
    <s v="no semana"/>
    <x v="0"/>
  </r>
  <r>
    <n v="3000001339"/>
    <d v="2025-09-22T00:00:00"/>
    <n v="5851343.4000000004"/>
    <s v="ZALAZAR ATTIS LOURDES NOEMI NUEVA ESPERANZA 13"/>
    <x v="624"/>
    <n v="5851343.4000000004"/>
    <x v="108"/>
    <x v="1"/>
    <s v="pagado"/>
    <s v="pagado"/>
    <s v="excluir"/>
    <s v="no semana"/>
    <x v="0"/>
  </r>
  <r>
    <n v="3000001340"/>
    <d v="2025-09-22T00:00:00"/>
    <n v="11000000"/>
    <s v="AYALA HERNAN OSVALDO SAN MIGUEL DE TUCUMAN 14"/>
    <x v="625"/>
    <n v="11000000"/>
    <x v="108"/>
    <x v="1"/>
    <s v="pagado"/>
    <s v="pagado"/>
    <s v="excluir"/>
    <s v="no semana"/>
    <x v="0"/>
  </r>
  <r>
    <n v="3000001340"/>
    <d v="2025-09-22T00:00:00"/>
    <n v="5228245.2300000004"/>
    <s v="AYALA HERNAN OSVALDO SAN MIGUEL DE TUCUMAN 14"/>
    <x v="626"/>
    <n v="5228245.2300000004"/>
    <x v="108"/>
    <x v="1"/>
    <s v="pagado"/>
    <s v="pagado"/>
    <s v="excluir"/>
    <s v="no semana"/>
    <x v="0"/>
  </r>
  <r>
    <n v="3000001341"/>
    <d v="2025-09-22T00:00:00"/>
    <n v="7606584"/>
    <s v="VERON MARIANA BEATRIZ NUEVA ESPERANZA 13"/>
    <x v="627"/>
    <n v="7606584"/>
    <x v="108"/>
    <x v="1"/>
    <s v="pagado"/>
    <s v="pagado"/>
    <s v="excluir"/>
    <s v="no semana"/>
    <x v="0"/>
  </r>
  <r>
    <n v="3000001342"/>
    <d v="2025-09-22T00:00:00"/>
    <n v="13511780.1"/>
    <s v="JAVIER EDUARDO PRADO FLORIDA 13"/>
    <x v="628"/>
    <n v="13511780.1"/>
    <x v="108"/>
    <x v="1"/>
    <s v="pagado"/>
    <s v="pagado"/>
    <s v="excluir"/>
    <s v="no semana"/>
    <x v="0"/>
  </r>
  <r>
    <n v="3000001343"/>
    <d v="2025-09-22T00:00:00"/>
    <n v="6641067.7999999998"/>
    <s v="LOGISTICA DEL NORTE S.R.L. SAN MIGUEL DE TUCUMAN 14"/>
    <x v="629"/>
    <n v="6641067.7999999998"/>
    <x v="108"/>
    <x v="1"/>
    <s v="pagado"/>
    <s v="pagado"/>
    <s v="excluir"/>
    <s v="no semana"/>
    <x v="0"/>
  </r>
  <r>
    <n v="3000001344"/>
    <d v="2025-09-22T00:00:00"/>
    <n v="9531186.1799999997"/>
    <s v="GOMEZ JESSICA NOELIA LAS TALITAS 14"/>
    <x v="630"/>
    <n v="9531186.1799999997"/>
    <x v="108"/>
    <x v="1"/>
    <s v="pagado"/>
    <s v="pagado"/>
    <s v="excluir"/>
    <s v="no semana"/>
    <x v="0"/>
  </r>
  <r>
    <n v="3000001345"/>
    <d v="2025-09-22T00:00:00"/>
    <n v="23192768.780000001"/>
    <s v="LOGISTICA CENTRO S.R.L CORONDA 12"/>
    <x v="631"/>
    <n v="23192768.780000001"/>
    <x v="108"/>
    <x v="1"/>
    <s v="pagado"/>
    <s v="pagado"/>
    <s v="excluir"/>
    <s v="no semana"/>
    <x v="0"/>
  </r>
  <r>
    <n v="3000001346"/>
    <d v="2025-09-22T00:00:00"/>
    <n v="5325635.8600000003"/>
    <s v="BERNADAL SERGIO RODOLFO BANDA DEL RIO SALI- TUCUMAN 14"/>
    <x v="632"/>
    <n v="5325635.8600000003"/>
    <x v="108"/>
    <x v="1"/>
    <s v="pagado"/>
    <s v="pagado"/>
    <s v="excluir"/>
    <s v="no semana"/>
    <x v="0"/>
  </r>
  <r>
    <n v="3000001347"/>
    <d v="2025-09-22T00:00:00"/>
    <n v="8895626.3399999999"/>
    <s v="ABUT TRANSPORTES SA CENTENO 12"/>
    <x v="633"/>
    <n v="8895626.3399999999"/>
    <x v="108"/>
    <x v="1"/>
    <s v="pagado"/>
    <s v="pagado"/>
    <s v="excluir"/>
    <s v="no semana"/>
    <x v="0"/>
  </r>
  <r>
    <n v="3000001348"/>
    <d v="2025-09-22T00:00:00"/>
    <n v="7862534.2800000003"/>
    <s v="PAIS WALTER LUIS SAN MIGUEL DE TUCUMAN 14"/>
    <x v="634"/>
    <n v="7862534.2800000003"/>
    <x v="108"/>
    <x v="1"/>
    <s v="pagado"/>
    <s v="pagado"/>
    <s v="excluir"/>
    <s v="no semana"/>
    <x v="0"/>
  </r>
  <r>
    <n v="3000001349"/>
    <d v="2025-09-22T00:00:00"/>
    <n v="3467036.5"/>
    <s v="MARCOS SCHMUKLER S.A SAN SALVADOR 05"/>
    <x v="635"/>
    <n v="3467036.5"/>
    <x v="108"/>
    <x v="1"/>
    <s v="pagado"/>
    <s v="pagado"/>
    <s v="excluir"/>
    <s v="no semana"/>
    <x v="0"/>
  </r>
  <r>
    <n v="3000001350"/>
    <d v="2025-09-22T00:00:00"/>
    <n v="8525266.1999999993"/>
    <s v="MOYANO JULIO CESAR BANDA DEL RIO SALI 14"/>
    <x v="636"/>
    <n v="8525266.1999999993"/>
    <x v="108"/>
    <x v="1"/>
    <s v="pagado"/>
    <s v="pagado"/>
    <s v="excluir"/>
    <s v="no semana"/>
    <x v="0"/>
  </r>
  <r>
    <n v="3000001362"/>
    <d v="2025-09-23T00:00:00"/>
    <n v="2263272.7799999998"/>
    <s v="FLETES Y SERVICIOS PUJATO S.A PUJATO 12"/>
    <x v="637"/>
    <n v="2263272.7799999998"/>
    <x v="108"/>
    <x v="1"/>
    <s v="pagado"/>
    <s v="pagado"/>
    <s v="excluir"/>
    <s v="no semana"/>
    <x v="0"/>
  </r>
  <r>
    <n v="3000001363"/>
    <d v="2025-09-23T00:00:00"/>
    <n v="15000000"/>
    <s v="TRANSPORTE BARBERAN HNOS SRL CHABAS 12"/>
    <x v="638"/>
    <n v="15000000"/>
    <x v="108"/>
    <x v="1"/>
    <s v="pagado"/>
    <s v="pagado"/>
    <s v="excluir"/>
    <s v="no semana"/>
    <x v="0"/>
  </r>
  <r>
    <n v="3000001363"/>
    <d v="2025-09-23T00:00:00"/>
    <n v="14659530.25"/>
    <s v="TRANSPORTE BARBERAN HNOS SRL CHABAS 12"/>
    <x v="639"/>
    <n v="14659530.25"/>
    <x v="109"/>
    <x v="1"/>
    <s v="pagado"/>
    <s v="pagado"/>
    <s v="excluir"/>
    <s v="no semana"/>
    <x v="0"/>
  </r>
  <r>
    <n v="3000001364"/>
    <d v="2025-09-23T00:00:00"/>
    <n v="3417060.81"/>
    <s v="BUSTOS CESAR ANIBAL BANDAL DE RIO SALI 14"/>
    <x v="640"/>
    <n v="3417060.81"/>
    <x v="108"/>
    <x v="1"/>
    <s v="pagado"/>
    <s v="pagado"/>
    <s v="excluir"/>
    <s v="no semana"/>
    <x v="0"/>
  </r>
  <r>
    <n v="3000001365"/>
    <d v="2025-09-23T00:00:00"/>
    <n v="7283390.4000000004"/>
    <s v="TRANSPORTE Y LOGISTICA DEL ESTLAS CEJAS 14"/>
    <x v="641"/>
    <n v="7283390.4000000004"/>
    <x v="108"/>
    <x v="1"/>
    <s v="pagado"/>
    <s v="pagado"/>
    <s v="excluir"/>
    <s v="no semana"/>
    <x v="0"/>
  </r>
  <r>
    <n v="3000001366"/>
    <d v="2025-09-23T00:00:00"/>
    <n v="3562049.92"/>
    <s v="TRANSPORTE RAUL S.R.L SAN MIGUEL DE TUCUMAN 14"/>
    <x v="642"/>
    <n v="3562049.92"/>
    <x v="108"/>
    <x v="1"/>
    <s v="pagado"/>
    <s v="pagado"/>
    <s v="excluir"/>
    <s v="no semana"/>
    <x v="0"/>
  </r>
  <r>
    <n v="3000001367"/>
    <d v="2025-09-23T00:00:00"/>
    <n v="13000000"/>
    <s v="LANGELLA JUAN RODOLFO ALDERETES 14"/>
    <x v="643"/>
    <n v="13000000"/>
    <x v="108"/>
    <x v="1"/>
    <s v="pagado"/>
    <s v="pagado"/>
    <s v="excluir"/>
    <s v="no semana"/>
    <x v="0"/>
  </r>
  <r>
    <n v="3000001367"/>
    <d v="2025-09-23T00:00:00"/>
    <n v="10014781.220000001"/>
    <s v="LANGELLA JUAN RODOLFO ALDERETES 14"/>
    <x v="644"/>
    <n v="10014781.220000001"/>
    <x v="109"/>
    <x v="1"/>
    <s v="pagado"/>
    <s v="pagado"/>
    <s v="excluir"/>
    <s v="no semana"/>
    <x v="0"/>
  </r>
  <r>
    <n v="3000001368"/>
    <d v="2025-09-23T00:00:00"/>
    <n v="8302860.71"/>
    <s v="ANTONACCI LUIS GABRIEL LA FLORIDA 14"/>
    <x v="645"/>
    <n v="8302860.71"/>
    <x v="108"/>
    <x v="1"/>
    <s v="pagado"/>
    <s v="pagado"/>
    <s v="excluir"/>
    <s v="no semana"/>
    <x v="0"/>
  </r>
  <r>
    <n v="3000001369"/>
    <d v="2025-09-23T00:00:00"/>
    <n v="20000000"/>
    <s v="DANIEL MARCELO GUERRERO ALDERETES 14"/>
    <x v="646"/>
    <n v="20000000"/>
    <x v="108"/>
    <x v="1"/>
    <s v="pagado"/>
    <s v="pagado"/>
    <s v="excluir"/>
    <s v="no semana"/>
    <x v="0"/>
  </r>
  <r>
    <n v="3000001369"/>
    <d v="2025-09-23T00:00:00"/>
    <n v="17206381.899999999"/>
    <s v="DANIEL MARCELO GUERRERO ALDERETES 14"/>
    <x v="647"/>
    <n v="17206381.899999999"/>
    <x v="109"/>
    <x v="1"/>
    <s v="pagado"/>
    <s v="pagado"/>
    <s v="excluir"/>
    <s v="no semana"/>
    <x v="0"/>
  </r>
  <r>
    <n v="3000001370"/>
    <d v="2025-09-23T00:00:00"/>
    <n v="5132174.7300000004"/>
    <s v="ZIVILLICA JOSE LUIS SAN MIGUEL DE TUCUMAN 14"/>
    <x v="648"/>
    <n v="5132174.7300000004"/>
    <x v="108"/>
    <x v="1"/>
    <s v="pagado"/>
    <s v="pagado"/>
    <s v="excluir"/>
    <s v="no semana"/>
    <x v="0"/>
  </r>
  <r>
    <n v="3000001371"/>
    <d v="2025-09-23T00:00:00"/>
    <n v="3759369.3"/>
    <s v="JAVIER EDUARDO PRADO FLORIDA 13"/>
    <x v="649"/>
    <n v="3759369.3"/>
    <x v="108"/>
    <x v="1"/>
    <s v="pagado"/>
    <s v="pagado"/>
    <s v="excluir"/>
    <s v="no semana"/>
    <x v="0"/>
  </r>
  <r>
    <n v="3000001372"/>
    <d v="2025-09-23T00:00:00"/>
    <n v="3748248.52"/>
    <s v="BONURA CARLOS RUBEN LOS RALOS 14"/>
    <x v="650"/>
    <n v="3748248.52"/>
    <x v="108"/>
    <x v="1"/>
    <s v="pagado"/>
    <s v="pagado"/>
    <s v="excluir"/>
    <s v="no semana"/>
    <x v="0"/>
  </r>
  <r>
    <n v="3000001373"/>
    <d v="2025-09-23T00:00:00"/>
    <n v="3968181.02"/>
    <s v="ELIAS LUCIANO EMANUEL LAS TALITAS 14"/>
    <x v="651"/>
    <n v="3968181.02"/>
    <x v="108"/>
    <x v="1"/>
    <s v="pagado"/>
    <s v="pagado"/>
    <s v="excluir"/>
    <s v="no semana"/>
    <x v="0"/>
  </r>
  <r>
    <n v="3000001374"/>
    <d v="2025-09-23T00:00:00"/>
    <n v="7477506.9000000004"/>
    <s v="LOGISTICA DEL NORTE S.R.L. SAN MIGUEL DE TUCUMAN 14"/>
    <x v="652"/>
    <n v="7477506.9000000004"/>
    <x v="108"/>
    <x v="1"/>
    <s v="pagado"/>
    <s v="pagado"/>
    <s v="excluir"/>
    <s v="no semana"/>
    <x v="0"/>
  </r>
  <r>
    <n v="3000001386"/>
    <d v="2025-09-29T00:00:00"/>
    <n v="8382124.0199999996"/>
    <s v="LAVENIA VITO CARMELO LASTENIA 14"/>
    <x v="653"/>
    <n v="8382124.0199999996"/>
    <x v="110"/>
    <x v="1"/>
    <s v="pagado"/>
    <s v="pagado"/>
    <s v="excluir"/>
    <s v="no semana"/>
    <x v="0"/>
  </r>
  <r>
    <n v="3000001387"/>
    <d v="2025-09-29T00:00:00"/>
    <n v="4594030.68"/>
    <s v="GUIFFREY MARCELO GUSTAVO VILLA ELISA 05"/>
    <x v="654"/>
    <n v="4594030.68"/>
    <x v="110"/>
    <x v="1"/>
    <s v="pagado"/>
    <s v="pagado"/>
    <s v="excluir"/>
    <s v="no semana"/>
    <x v="0"/>
  </r>
  <r>
    <n v="3000001388"/>
    <d v="2025-09-29T00:00:00"/>
    <n v="5216965.05"/>
    <s v="MOYANO SERGIO ESTEBAN BANDA DEL RIO SALI 14"/>
    <x v="655"/>
    <n v="5216965.05"/>
    <x v="110"/>
    <x v="1"/>
    <s v="pagado"/>
    <s v="pagado"/>
    <s v="excluir"/>
    <s v="no semana"/>
    <x v="0"/>
  </r>
  <r>
    <n v="3000001389"/>
    <d v="2025-09-29T00:00:00"/>
    <n v="9472784.8399999999"/>
    <s v="TECNOMYL SA CORDOBA 03"/>
    <x v="656"/>
    <n v="9472784.8399999999"/>
    <x v="110"/>
    <x v="1"/>
    <s v="pagado"/>
    <s v="pagado"/>
    <s v="excluir"/>
    <s v="no semana"/>
    <x v="0"/>
  </r>
  <r>
    <n v="3000001390"/>
    <d v="2025-09-29T00:00:00"/>
    <n v="9878343.4000000004"/>
    <s v="GOMEZ MANUEL ARCENIO METAN 09"/>
    <x v="657"/>
    <n v="9878343.4000000004"/>
    <x v="110"/>
    <x v="1"/>
    <s v="pagado"/>
    <s v="pagado"/>
    <s v="excluir"/>
    <s v="no semana"/>
    <x v="0"/>
  </r>
  <r>
    <n v="3000001405"/>
    <d v="2025-10-02T00:00:00"/>
    <n v="4800085.4800000004"/>
    <s v="AGROGANADERA DEL NOA CEVIL POZO 14"/>
    <x v="658"/>
    <n v="4800085.4800000004"/>
    <x v="111"/>
    <x v="1"/>
    <s v="pagado"/>
    <s v="pagado"/>
    <s v="excluir"/>
    <s v="no semana"/>
    <x v="0"/>
  </r>
  <r>
    <n v="3000001405"/>
    <d v="2025-10-02T00:00:00"/>
    <n v="2849769.42"/>
    <s v="AGROGANADERA DEL NOA CEVIL POZO 14"/>
    <x v="659"/>
    <n v="2849769.42"/>
    <x v="111"/>
    <x v="1"/>
    <s v="pagado"/>
    <s v="pagado"/>
    <s v="excluir"/>
    <s v="no semana"/>
    <x v="0"/>
  </r>
  <r>
    <n v="3000001405"/>
    <d v="2025-10-02T00:00:00"/>
    <n v="4469189.8"/>
    <s v="AGROGANADERA DEL NOA CEVIL POZO 14"/>
    <x v="660"/>
    <n v="4469189.8"/>
    <x v="111"/>
    <x v="1"/>
    <s v="pagado"/>
    <s v="pagado"/>
    <s v="excluir"/>
    <s v="no semana"/>
    <x v="0"/>
  </r>
  <r>
    <n v="3000001405"/>
    <d v="2025-10-02T00:00:00"/>
    <n v="2011253.4"/>
    <s v="AGROGANADERA DEL NOA CEVIL POZO 14"/>
    <x v="661"/>
    <n v="2011253.4"/>
    <x v="111"/>
    <x v="1"/>
    <s v="pagado"/>
    <s v="pagado"/>
    <s v="excluir"/>
    <s v="no semana"/>
    <x v="0"/>
  </r>
  <r>
    <n v="3000001405"/>
    <d v="2025-10-02T00:00:00"/>
    <n v="2271062.5099999998"/>
    <s v="AGROGANADERA DEL NOA CEVIL POZO 14"/>
    <x v="662"/>
    <n v="2271062.5099999998"/>
    <x v="111"/>
    <x v="1"/>
    <s v="pagado"/>
    <s v="pagado"/>
    <s v="excluir"/>
    <s v="no semana"/>
    <x v="0"/>
  </r>
  <r>
    <n v="3000001405"/>
    <d v="2025-10-02T00:00:00"/>
    <n v="1603095.06"/>
    <s v="AGROGANADERA DEL NOA CEVIL POZO 14"/>
    <x v="663"/>
    <n v="1603095.06"/>
    <x v="111"/>
    <x v="1"/>
    <s v="pagado"/>
    <s v="pagado"/>
    <s v="excluir"/>
    <s v="no semana"/>
    <x v="0"/>
  </r>
  <r>
    <n v="3000001405"/>
    <d v="2025-10-02T00:00:00"/>
    <n v="107932.1"/>
    <s v="AGROGANADERA DEL NOA CEVIL POZO 14"/>
    <x v="664"/>
    <n v="107932.1"/>
    <x v="111"/>
    <x v="1"/>
    <s v="pagado"/>
    <s v="pagado"/>
    <s v="excluir"/>
    <s v="no semana"/>
    <x v="0"/>
  </r>
  <r>
    <n v="3000001415"/>
    <d v="2025-10-06T00:00:00"/>
    <n v="112710920"/>
    <s v="EL PIONERO SAS TUCUMAN 14"/>
    <x v="665"/>
    <n v="112710920"/>
    <x v="112"/>
    <x v="1"/>
    <s v="pagado"/>
    <s v="pagado"/>
    <s v="excluir"/>
    <s v="no semana"/>
    <x v="0"/>
  </r>
  <r>
    <n v="3000001416"/>
    <d v="2025-10-06T00:00:00"/>
    <n v="364044267.37"/>
    <s v="UPL ARGENTINA S.A. CIUDAD AUTONOMA BUENOS AIRES 01"/>
    <x v="666"/>
    <n v="364044267.37"/>
    <x v="113"/>
    <x v="1"/>
    <s v="pagado"/>
    <s v="pagado"/>
    <s v="excluir"/>
    <s v="no semana"/>
    <x v="0"/>
  </r>
  <r>
    <n v="3000001417"/>
    <d v="2025-10-06T00:00:00"/>
    <n v="3000000"/>
    <s v="Pulmajo S.R.L. CONCEPCION 14"/>
    <x v="667"/>
    <n v="3000000"/>
    <x v="114"/>
    <x v="1"/>
    <s v="pagado"/>
    <s v="pagado"/>
    <s v="excluir"/>
    <s v="no semana"/>
    <x v="0"/>
  </r>
  <r>
    <n v="3000001417"/>
    <d v="2025-10-06T00:00:00"/>
    <n v="3000000"/>
    <s v="Pulmajo S.R.L. CONCEPCION 14"/>
    <x v="668"/>
    <n v="3000000"/>
    <x v="114"/>
    <x v="1"/>
    <s v="pagado"/>
    <s v="pagado"/>
    <s v="excluir"/>
    <s v="no semana"/>
    <x v="0"/>
  </r>
  <r>
    <n v="3000001417"/>
    <d v="2025-10-06T00:00:00"/>
    <n v="10703682.9"/>
    <s v="Pulmajo S.R.L. CONCEPCION 14"/>
    <x v="669"/>
    <n v="10703682.9"/>
    <x v="115"/>
    <x v="1"/>
    <s v="pagado"/>
    <s v="pagado"/>
    <s v="excluir"/>
    <s v="no semana"/>
    <x v="0"/>
  </r>
  <r>
    <n v="3000001418"/>
    <d v="2025-10-06T00:00:00"/>
    <n v="8300748.5099999998"/>
    <s v="Remetal S.A. SAN MIGUEL DE TUCUMAN 14"/>
    <x v="670"/>
    <n v="8300748.5099999998"/>
    <x v="114"/>
    <x v="1"/>
    <s v="pagado"/>
    <s v="pagado"/>
    <s v="excluir"/>
    <s v="no semana"/>
    <x v="0"/>
  </r>
  <r>
    <n v="3000001419"/>
    <d v="2025-10-06T00:00:00"/>
    <n v="13048670"/>
    <s v="RODRIGUEZ NESTOR HORACIO YERBA BUENA 14"/>
    <x v="671"/>
    <n v="13048670"/>
    <x v="114"/>
    <x v="1"/>
    <s v="pagado"/>
    <s v="pagado"/>
    <s v="excluir"/>
    <s v="no semana"/>
    <x v="0"/>
  </r>
  <r>
    <n v="3000001420"/>
    <d v="2025-10-06T00:00:00"/>
    <n v="20000000"/>
    <s v="AYALA WALTER DANIEL ALDERETES 14"/>
    <x v="672"/>
    <n v="20000000"/>
    <x v="114"/>
    <x v="1"/>
    <s v="pagado"/>
    <s v="pagado"/>
    <s v="excluir"/>
    <s v="no semana"/>
    <x v="0"/>
  </r>
  <r>
    <n v="3000001420"/>
    <d v="2025-10-06T00:00:00"/>
    <n v="17311631.879999999"/>
    <s v="AYALA WALTER DANIEL ALDERETES 14"/>
    <x v="673"/>
    <n v="17311631.879999999"/>
    <x v="115"/>
    <x v="1"/>
    <s v="pagado"/>
    <s v="pagado"/>
    <s v="excluir"/>
    <s v="no semana"/>
    <x v="0"/>
  </r>
  <r>
    <n v="3000001421"/>
    <d v="2025-10-06T00:00:00"/>
    <n v="10000000"/>
    <s v="ROMAN BARCELO Y JORGE CARRERASLAS LAJITAS 09"/>
    <x v="674"/>
    <n v="10000000"/>
    <x v="114"/>
    <x v="1"/>
    <s v="pagado"/>
    <s v="pagado"/>
    <s v="excluir"/>
    <s v="no semana"/>
    <x v="0"/>
  </r>
  <r>
    <n v="3000001421"/>
    <d v="2025-10-06T00:00:00"/>
    <n v="10399918.449999999"/>
    <s v="ROMAN BARCELO Y JORGE CARRERASLAS LAJITAS 09"/>
    <x v="675"/>
    <n v="10399918.449999999"/>
    <x v="115"/>
    <x v="1"/>
    <s v="pagado"/>
    <s v="pagado"/>
    <s v="excluir"/>
    <s v="no semana"/>
    <x v="0"/>
  </r>
  <r>
    <n v="3000001422"/>
    <d v="2025-10-06T00:00:00"/>
    <n v="5090117.5199999996"/>
    <s v="Laborda Carlos SAN MIGUEL DE TUCUMAN 14"/>
    <x v="676"/>
    <n v="5090117.5199999996"/>
    <x v="114"/>
    <x v="1"/>
    <s v="pagado"/>
    <s v="pagado"/>
    <s v="excluir"/>
    <s v="no semana"/>
    <x v="0"/>
  </r>
  <r>
    <n v="3000001423"/>
    <d v="2025-10-06T00:00:00"/>
    <n v="7217461.2000000002"/>
    <s v="JAVIER EDUARDO PRADO FLORIDA 13"/>
    <x v="677"/>
    <n v="7217461.2000000002"/>
    <x v="114"/>
    <x v="1"/>
    <s v="pagado"/>
    <s v="pagado"/>
    <s v="excluir"/>
    <s v="no semana"/>
    <x v="0"/>
  </r>
  <r>
    <n v="3000001424"/>
    <d v="2025-10-06T00:00:00"/>
    <n v="3740282.51"/>
    <s v="ENTREGAS SERDEN S.R.L SAN LORENZO 12"/>
    <x v="678"/>
    <n v="3740282.51"/>
    <x v="114"/>
    <x v="1"/>
    <s v="pagado"/>
    <s v="pagado"/>
    <s v="excluir"/>
    <s v="no semana"/>
    <x v="0"/>
  </r>
  <r>
    <n v="3000001435"/>
    <d v="2025-10-07T00:00:00"/>
    <n v="7731452.1200000001"/>
    <s v="TRANS-MAGG S.R.L ACEBAL 12"/>
    <x v="679"/>
    <n v="7731452.1200000001"/>
    <x v="115"/>
    <x v="1"/>
    <s v="pagado"/>
    <s v="pagado"/>
    <s v="excluir"/>
    <s v="no semana"/>
    <x v="0"/>
  </r>
  <r>
    <n v="3000001436"/>
    <d v="2025-10-07T00:00:00"/>
    <n v="4924607.49"/>
    <s v="PAIS WALTER LUIS SAN MIGUEL DE TUCUMAN 14"/>
    <x v="680"/>
    <n v="4924607.49"/>
    <x v="115"/>
    <x v="1"/>
    <s v="pagado"/>
    <s v="pagado"/>
    <s v="excluir"/>
    <s v="no semana"/>
    <x v="0"/>
  </r>
  <r>
    <n v="3000001437"/>
    <d v="2025-10-07T00:00:00"/>
    <n v="35440366.340000004"/>
    <s v="TRANSPORTE BARBERAN HNOS SRL CHABAS 12"/>
    <x v="681"/>
    <n v="35440366.340000004"/>
    <x v="116"/>
    <x v="1"/>
    <s v="pagado"/>
    <s v="pagado"/>
    <s v="excluir"/>
    <s v="no semana"/>
    <x v="0"/>
  </r>
  <r>
    <n v="3000001438"/>
    <d v="2025-10-07T00:00:00"/>
    <n v="7834782.79"/>
    <s v="GOMEZ JESSICA NOELIA LAS TALITAS 14"/>
    <x v="682"/>
    <n v="7834782.79"/>
    <x v="116"/>
    <x v="1"/>
    <s v="pagado"/>
    <s v="pagado"/>
    <s v="excluir"/>
    <s v="no semana"/>
    <x v="0"/>
  </r>
  <r>
    <n v="3000001439"/>
    <d v="2025-10-07T00:00:00"/>
    <n v="11619490.92"/>
    <s v="TRANSPORTE LUIS SANDOVAL S.A.SLOS VALLISTOS 14"/>
    <x v="683"/>
    <n v="11619490.92"/>
    <x v="116"/>
    <x v="1"/>
    <s v="pagado"/>
    <s v="pagado"/>
    <s v="excluir"/>
    <s v="no semana"/>
    <x v="0"/>
  </r>
  <r>
    <n v="3000001440"/>
    <d v="2025-10-07T00:00:00"/>
    <n v="1947854.05"/>
    <s v="ABUT TRANSPORTES SA CENTENO 12"/>
    <x v="684"/>
    <n v="1947854.05"/>
    <x v="115"/>
    <x v="1"/>
    <s v="pagado"/>
    <s v="pagado"/>
    <s v="excluir"/>
    <s v="no semana"/>
    <x v="0"/>
  </r>
  <r>
    <n v="3000001442"/>
    <d v="2025-10-09T00:00:00"/>
    <n v="5426024.8600000003"/>
    <s v="Suc. de Ventimiglia Nelly IrmJesus Maria 03"/>
    <x v="685"/>
    <n v="5426024.8600000003"/>
    <x v="115"/>
    <x v="1"/>
    <s v="pagado"/>
    <s v="pagado"/>
    <s v="excluir"/>
    <s v="no semana"/>
    <x v="0"/>
  </r>
  <r>
    <n v="3000001451"/>
    <d v="2025-10-13T00:00:00"/>
    <n v="38337990"/>
    <s v="EDET S.A. SAN MIGUEL DE TUCUMAN 14"/>
    <x v="686"/>
    <n v="38337990"/>
    <x v="116"/>
    <x v="1"/>
    <s v="pagado"/>
    <s v="pagado"/>
    <s v="excluir"/>
    <s v="no semana"/>
    <x v="0"/>
  </r>
  <r>
    <n v="3000001448"/>
    <d v="2025-10-13T00:00:00"/>
    <n v="6291666"/>
    <s v="VERON MARIANA BEATRIZ NUEVA ESPERANZA 13"/>
    <x v="687"/>
    <n v="6291666"/>
    <x v="117"/>
    <x v="1"/>
    <s v="pagado"/>
    <s v="pagado"/>
    <s v="excluir"/>
    <s v="no semana"/>
    <x v="0"/>
  </r>
  <r>
    <n v="3000001449"/>
    <d v="2025-10-13T00:00:00"/>
    <n v="4084635.32"/>
    <s v="Aso, Eduardo SAN MIGUEL DE TUCUMAN 14"/>
    <x v="688"/>
    <n v="4084635.32"/>
    <x v="117"/>
    <x v="1"/>
    <s v="pagado"/>
    <s v="pagado"/>
    <s v="excluir"/>
    <s v="no semana"/>
    <x v="0"/>
  </r>
  <r>
    <n v="3000001450"/>
    <d v="2025-10-13T00:00:00"/>
    <n v="6637001.8499999996"/>
    <s v="Suc. de Ventimiglia Nelly IrmJesus Maria 03"/>
    <x v="689"/>
    <n v="6637001.8499999996"/>
    <x v="118"/>
    <x v="1"/>
    <s v="pagado"/>
    <s v="pagado"/>
    <s v="excluir"/>
    <s v="no semana"/>
    <x v="0"/>
  </r>
  <r>
    <n v="3000001464"/>
    <d v="2025-10-15T00:00:00"/>
    <n v="5707560.7999999998"/>
    <s v="Transporte Coronda S.A. CORDOBA 03"/>
    <x v="690"/>
    <n v="5707560.7999999998"/>
    <x v="119"/>
    <x v="1"/>
    <s v="pagado"/>
    <s v="pagado"/>
    <s v="excluir"/>
    <s v="no semana"/>
    <x v="0"/>
  </r>
  <r>
    <n v="3000001465"/>
    <d v="2025-10-15T00:00:00"/>
    <n v="11109319.560000001"/>
    <s v="LAVENIA VITO CARMELO LASTENIA 14"/>
    <x v="691"/>
    <n v="11109319.560000001"/>
    <x v="119"/>
    <x v="1"/>
    <s v="pagado"/>
    <s v="pagado"/>
    <s v="excluir"/>
    <s v="no semana"/>
    <x v="0"/>
  </r>
  <r>
    <n v="3000001466"/>
    <d v="2025-10-15T00:00:00"/>
    <n v="1821914.78"/>
    <s v="LOGISTICA CENTRO S.R.L CORONDA 12"/>
    <x v="692"/>
    <n v="1821914.78"/>
    <x v="119"/>
    <x v="1"/>
    <s v="pagado"/>
    <s v="pagado"/>
    <s v="excluir"/>
    <s v="no semana"/>
    <x v="0"/>
  </r>
  <r>
    <n v="3000001467"/>
    <d v="2025-10-15T00:00:00"/>
    <n v="3923970.88"/>
    <s v="TRANSPORTE RAUL S.R.L SAN MIGUEL DE TUCUMAN 14"/>
    <x v="693"/>
    <n v="3923970.88"/>
    <x v="119"/>
    <x v="1"/>
    <s v="pagado"/>
    <s v="pagado"/>
    <s v="excluir"/>
    <s v="no semana"/>
    <x v="0"/>
  </r>
  <r>
    <n v="3000001468"/>
    <d v="2025-10-15T00:00:00"/>
    <n v="2440915.39"/>
    <s v="CARLI SERGIO EDUARDO SANTA FE 12"/>
    <x v="694"/>
    <n v="2440915.39"/>
    <x v="119"/>
    <x v="1"/>
    <s v="pagado"/>
    <s v="pagado"/>
    <s v="excluir"/>
    <s v="no semana"/>
    <x v="0"/>
  </r>
  <r>
    <n v="3000001483"/>
    <d v="2025-10-20T00:00:00"/>
    <n v="25000000"/>
    <s v="AYALA HERNAN OSVALDO SAN MIGUEL DE TUCUMAN 14"/>
    <x v="695"/>
    <n v="25000000"/>
    <x v="120"/>
    <x v="1"/>
    <s v="pagado"/>
    <s v="pagado"/>
    <s v="excluir"/>
    <s v="no semana"/>
    <x v="0"/>
  </r>
  <r>
    <n v="3000001483"/>
    <d v="2025-10-20T00:00:00"/>
    <n v="26433849.640000001"/>
    <s v="AYALA HERNAN OSVALDO SAN MIGUEL DE TUCUMAN 14"/>
    <x v="696"/>
    <n v="26433849.640000001"/>
    <x v="121"/>
    <x v="1"/>
    <s v="pagado"/>
    <s v="pagado"/>
    <s v="excluir"/>
    <s v="no semana"/>
    <x v="0"/>
  </r>
  <r>
    <n v="3000001479"/>
    <d v="2025-10-20T00:00:00"/>
    <n v="4285169.4000000004"/>
    <s v="SERVICOM S.R.L SAN MIGUEL DE TUCUMAN 14"/>
    <x v="697"/>
    <n v="4285169.4000000004"/>
    <x v="120"/>
    <x v="1"/>
    <s v="pagado"/>
    <s v="pagado"/>
    <s v="excluir"/>
    <s v="no semana"/>
    <x v="0"/>
  </r>
  <r>
    <n v="3000001480"/>
    <d v="2025-10-20T00:00:00"/>
    <n v="3679393.72"/>
    <s v="PETROANDINA S.R.L SALTA 09"/>
    <x v="698"/>
    <n v="3679393.72"/>
    <x v="120"/>
    <x v="1"/>
    <s v="pagado"/>
    <s v="pagado"/>
    <s v="excluir"/>
    <s v="no semana"/>
    <x v="0"/>
  </r>
  <r>
    <n v="3000001481"/>
    <d v="2025-10-20T00:00:00"/>
    <n v="11601224.17"/>
    <s v="DANIEL MARCELO GUERRERO ALDERETES 14"/>
    <x v="699"/>
    <n v="11601224.17"/>
    <x v="121"/>
    <x v="1"/>
    <s v="pagado"/>
    <s v="pagado"/>
    <s v="excluir"/>
    <s v="no semana"/>
    <x v="0"/>
  </r>
  <r>
    <n v="3000001482"/>
    <d v="2025-10-20T00:00:00"/>
    <n v="13210111.01"/>
    <s v="MOYANO JULIO CESAR BANDA DEL RIO SALI 14"/>
    <x v="700"/>
    <n v="13210111.01"/>
    <x v="120"/>
    <x v="1"/>
    <s v="pagado"/>
    <s v="pagado"/>
    <s v="excluir"/>
    <s v="no semana"/>
    <x v="0"/>
  </r>
  <r>
    <n v="3000001484"/>
    <d v="2025-10-20T00:00:00"/>
    <n v="5704320.4000000004"/>
    <s v="Pulverizaciones Tuninetti S.R.Las Rosas 01"/>
    <x v="701"/>
    <n v="5704320.4000000004"/>
    <x v="120"/>
    <x v="1"/>
    <s v="pagado"/>
    <s v="pagado"/>
    <s v="excluir"/>
    <s v="no semana"/>
    <x v="0"/>
  </r>
  <r>
    <n v="3000001485"/>
    <d v="2025-10-20T00:00:00"/>
    <n v="9938480.6500000004"/>
    <s v="ROMAN BARCELO Y JORGE CARRERASLAS LAJITAS 09"/>
    <x v="702"/>
    <n v="9938480.6500000004"/>
    <x v="121"/>
    <x v="1"/>
    <s v="pagado"/>
    <s v="pagado"/>
    <s v="excluir"/>
    <s v="no semana"/>
    <x v="0"/>
  </r>
  <r>
    <n v="3000001486"/>
    <d v="2025-10-20T00:00:00"/>
    <n v="5343191.45"/>
    <s v="Medina Lauro Jose Las Cejas 14"/>
    <x v="703"/>
    <n v="5343191.45"/>
    <x v="120"/>
    <x v="1"/>
    <s v="pagado"/>
    <s v="pagado"/>
    <s v="excluir"/>
    <s v="no semana"/>
    <x v="0"/>
  </r>
  <r>
    <n v="3000001487"/>
    <d v="2025-10-20T00:00:00"/>
    <n v="9878343.4000000004"/>
    <s v="GOMEZ MANUEL ARCENIO METAN 09"/>
    <x v="704"/>
    <n v="9878343.4000000004"/>
    <x v="120"/>
    <x v="1"/>
    <s v="pagado"/>
    <s v="pagado"/>
    <s v="excluir"/>
    <s v="no semana"/>
    <x v="0"/>
  </r>
  <r>
    <n v="3000001488"/>
    <d v="2025-10-20T00:00:00"/>
    <n v="8548637.4000000004"/>
    <s v="VERON MARIANA BEATRIZ NUEVA ESPERANZA 13"/>
    <x v="705"/>
    <n v="8548637.4000000004"/>
    <x v="121"/>
    <x v="1"/>
    <s v="pagado"/>
    <s v="pagado"/>
    <s v="excluir"/>
    <s v="no semana"/>
    <x v="0"/>
  </r>
  <r>
    <n v="3000001489"/>
    <d v="2025-10-21T00:00:00"/>
    <n v="3358543.4"/>
    <s v="SALTOS JOSUE GONZALO NUEVA ESPERANZA 13"/>
    <x v="706"/>
    <n v="3358543.4"/>
    <x v="120"/>
    <x v="1"/>
    <s v="pagado"/>
    <s v="pagado"/>
    <s v="excluir"/>
    <s v="no semana"/>
    <x v="0"/>
  </r>
  <r>
    <n v="3000001504"/>
    <d v="2025-10-21T00:00:00"/>
    <n v="3985630.18"/>
    <s v="LANGELLA JUAN RODOLFO ALDERETES 14"/>
    <x v="707"/>
    <n v="3985630.18"/>
    <x v="122"/>
    <x v="1"/>
    <s v="pagado"/>
    <s v="pagado"/>
    <s v="excluir"/>
    <s v="no semana"/>
    <x v="0"/>
  </r>
  <r>
    <n v="3000001505"/>
    <d v="2025-10-21T00:00:00"/>
    <n v="8575220.3300000001"/>
    <s v="FLETES Y SERVICIOS PUJATO S.A PUJATO 12"/>
    <x v="708"/>
    <n v="8575220.3300000001"/>
    <x v="122"/>
    <x v="1"/>
    <s v="pagado"/>
    <s v="pagado"/>
    <s v="excluir"/>
    <s v="no semana"/>
    <x v="0"/>
  </r>
  <r>
    <n v="3000001523"/>
    <d v="2025-10-27T00:00:00"/>
    <n v="23704931.199999999"/>
    <s v="EL IMPENETRABLE SRL CORRIENTES 04"/>
    <x v="709"/>
    <n v="23704931.199999999"/>
    <x v="123"/>
    <x v="1"/>
    <s v="pagado"/>
    <s v="pagado"/>
    <s v="excluir"/>
    <s v="no semana"/>
    <x v="0"/>
  </r>
  <r>
    <n v="3000001524"/>
    <d v="2025-10-27T00:00:00"/>
    <n v="6478426.6399999997"/>
    <s v="UPL ARGENTINA S.A. CIUDAD AUTONOMA BUENOS AIRES 01"/>
    <x v="710"/>
    <n v="6478426.6399999997"/>
    <x v="123"/>
    <x v="1"/>
    <s v="pagado"/>
    <s v="pagado"/>
    <s v="excluir"/>
    <s v="no semana"/>
    <x v="0"/>
  </r>
  <r>
    <n v="3000001525"/>
    <d v="2025-10-27T00:00:00"/>
    <n v="6971977.5999999996"/>
    <s v="LLANOS RAMON ROQUE SAN MIGUEL DE TUCUMAN 14"/>
    <x v="711"/>
    <n v="6971977.5999999996"/>
    <x v="124"/>
    <x v="1"/>
    <s v="pagado"/>
    <s v="pagado"/>
    <s v="excluir"/>
    <s v="no semana"/>
    <x v="0"/>
  </r>
  <r>
    <n v="3000001526"/>
    <d v="2025-10-27T00:00:00"/>
    <n v="12130546.34"/>
    <s v="RODRIGUEZ NESTOR HORACIO YERBA BUENA 14"/>
    <x v="712"/>
    <n v="12130546.34"/>
    <x v="124"/>
    <x v="1"/>
    <s v="pagado"/>
    <s v="pagado"/>
    <s v="excluir"/>
    <s v="no semana"/>
    <x v="0"/>
  </r>
  <r>
    <n v="3000001527"/>
    <d v="2025-10-27T00:00:00"/>
    <n v="5912174.3799999999"/>
    <s v="E y Po SRL CONCEPCION 14"/>
    <x v="713"/>
    <n v="5912174.3799999999"/>
    <x v="124"/>
    <x v="1"/>
    <s v="pagado"/>
    <s v="pagado"/>
    <s v="excluir"/>
    <s v="no semana"/>
    <x v="0"/>
  </r>
  <r>
    <n v="3000001545"/>
    <d v="2025-10-28T00:00:00"/>
    <n v="1854890.53"/>
    <s v="ALLENDE CECILIO ALBERTO GOBERNADOR FEBRE 05"/>
    <x v="714"/>
    <n v="1854890.53"/>
    <x v="125"/>
    <x v="1"/>
    <s v="pagado"/>
    <s v="pagado"/>
    <s v="excluir"/>
    <s v="no semana"/>
    <x v="0"/>
  </r>
  <r>
    <n v="3000001546"/>
    <d v="2025-10-28T00:00:00"/>
    <n v="2074384.33"/>
    <s v="UDRIZARD VIVIANA ISABEL CONCORDIA 05"/>
    <x v="715"/>
    <n v="2074384.33"/>
    <x v="125"/>
    <x v="1"/>
    <s v="pagado"/>
    <s v="pagado"/>
    <s v="excluir"/>
    <s v="no semana"/>
    <x v="0"/>
  </r>
  <r>
    <n v="3000001548"/>
    <d v="2025-10-28T00:00:00"/>
    <n v="2108359.89"/>
    <s v="LOGISTICA DEL NORTE S.R.L. SAN MIGUEL DE TUCUMAN 14"/>
    <x v="716"/>
    <n v="2108359.89"/>
    <x v="125"/>
    <x v="1"/>
    <s v="pagado"/>
    <s v="pagado"/>
    <s v="excluir"/>
    <s v="no semana"/>
    <x v="0"/>
  </r>
  <r>
    <n v="3000001549"/>
    <d v="2025-10-28T00:00:00"/>
    <n v="2146161.6"/>
    <s v="AGROTRANSPORTE ALDAO S.A. CAMILO ALDAO 03"/>
    <x v="717"/>
    <n v="2146161.6"/>
    <x v="125"/>
    <x v="1"/>
    <s v="pagado"/>
    <s v="pagado"/>
    <s v="excluir"/>
    <s v="no semana"/>
    <x v="0"/>
  </r>
  <r>
    <n v="3000001550"/>
    <d v="2025-10-28T00:00:00"/>
    <n v="14276852.279999999"/>
    <s v="LAVENIA VITO CARMELO LASTENIA 14"/>
    <x v="718"/>
    <n v="14276852.279999999"/>
    <x v="125"/>
    <x v="1"/>
    <s v="pagado"/>
    <s v="pagado"/>
    <s v="excluir"/>
    <s v="no semana"/>
    <x v="0"/>
  </r>
  <r>
    <n v="3000001551"/>
    <d v="2025-10-28T00:00:00"/>
    <n v="3704355.3"/>
    <s v="TRANSPORTE PRINCE SRL ROSARIO NORTE 12"/>
    <x v="719"/>
    <n v="3704355.3"/>
    <x v="125"/>
    <x v="1"/>
    <s v="pagado"/>
    <s v="pagado"/>
    <s v="excluir"/>
    <s v="no semana"/>
    <x v="0"/>
  </r>
  <r>
    <n v="3000001552"/>
    <d v="2025-10-28T00:00:00"/>
    <n v="11895147.6"/>
    <s v="LANGELLA JUAN RODOLFO ALDERETES 14"/>
    <x v="720"/>
    <n v="11895147.6"/>
    <x v="125"/>
    <x v="1"/>
    <s v="pagado"/>
    <s v="pagado"/>
    <s v="excluir"/>
    <s v="no semana"/>
    <x v="0"/>
  </r>
  <r>
    <n v="3000001553"/>
    <d v="2025-10-28T00:00:00"/>
    <n v="202741.1"/>
    <s v="Transportes La Sevillanita S.RALDERETES 14"/>
    <x v="721"/>
    <n v="202741.1"/>
    <x v="125"/>
    <x v="1"/>
    <s v="pagado"/>
    <s v="pagado"/>
    <s v="excluir"/>
    <s v="no semana"/>
    <x v="0"/>
  </r>
  <r>
    <n v="1200002278"/>
    <d v="2025-10-28T00:00:00"/>
    <n v="3221123.22"/>
    <s v="Cheque de terceros tucumán"/>
    <x v="722"/>
    <n v="3221123.22"/>
    <x v="126"/>
    <x v="1"/>
    <s v="pagado"/>
    <s v="pagado"/>
    <s v="excluir"/>
    <s v="no semana"/>
    <x v="0"/>
  </r>
  <r>
    <n v="1200002278"/>
    <d v="2025-10-28T00:00:00"/>
    <n v="2787518.88"/>
    <s v="Cheque de terceros tucumán"/>
    <x v="723"/>
    <n v="2787518.88"/>
    <x v="126"/>
    <x v="1"/>
    <s v="pagado"/>
    <s v="pagado"/>
    <s v="excluir"/>
    <s v="no semana"/>
    <x v="0"/>
  </r>
  <r>
    <n v="1200002278"/>
    <d v="2025-10-28T00:00:00"/>
    <n v="17194308.600000001"/>
    <s v="Cheque de terceros tucumán"/>
    <x v="724"/>
    <n v="17194308.600000001"/>
    <x v="126"/>
    <x v="1"/>
    <s v="pagado"/>
    <s v="pagado"/>
    <s v="excluir"/>
    <s v="no semana"/>
    <x v="0"/>
  </r>
  <r>
    <n v="1200002278"/>
    <d v="2025-10-28T00:00:00"/>
    <n v="2403128.15"/>
    <s v="Cheque de terceros tucumán"/>
    <x v="725"/>
    <n v="2403128.15"/>
    <x v="126"/>
    <x v="1"/>
    <s v="pagado"/>
    <s v="pagado"/>
    <s v="excluir"/>
    <s v="no semana"/>
    <x v="0"/>
  </r>
  <r>
    <n v="1200002278"/>
    <d v="2025-10-28T00:00:00"/>
    <n v="3242280.28"/>
    <s v="Cheque de terceros tucumán"/>
    <x v="726"/>
    <n v="3242280.28"/>
    <x v="126"/>
    <x v="1"/>
    <s v="pagado"/>
    <s v="pagado"/>
    <s v="excluir"/>
    <s v="no semana"/>
    <x v="0"/>
  </r>
  <r>
    <n v="1200002278"/>
    <d v="2025-10-28T00:00:00"/>
    <n v="3491274.95"/>
    <s v="Cheque de terceros tucumán"/>
    <x v="727"/>
    <n v="3491274.95"/>
    <x v="126"/>
    <x v="1"/>
    <s v="pagado"/>
    <s v="pagado"/>
    <s v="excluir"/>
    <s v="no semana"/>
    <x v="0"/>
  </r>
  <r>
    <n v="1200002278"/>
    <d v="2025-10-28T00:00:00"/>
    <n v="7953680"/>
    <s v="Cheque de terceros tucumán"/>
    <x v="728"/>
    <n v="7953680"/>
    <x v="126"/>
    <x v="1"/>
    <s v="pagado"/>
    <s v="pagado"/>
    <s v="excluir"/>
    <s v="no semana"/>
    <x v="0"/>
  </r>
  <r>
    <n v="1200002278"/>
    <d v="2025-10-28T00:00:00"/>
    <n v="4863520.83"/>
    <s v="Cheque de terceros tucumán"/>
    <x v="729"/>
    <n v="4863520.83"/>
    <x v="126"/>
    <x v="1"/>
    <s v="pagado"/>
    <s v="pagado"/>
    <s v="excluir"/>
    <s v="no semana"/>
    <x v="0"/>
  </r>
  <r>
    <n v="1200002278"/>
    <d v="2025-10-28T00:00:00"/>
    <n v="20624208"/>
    <s v="Cheque de terceros tucumán"/>
    <x v="730"/>
    <n v="20624208"/>
    <x v="126"/>
    <x v="1"/>
    <s v="pagado"/>
    <s v="pagado"/>
    <s v="excluir"/>
    <s v="no semana"/>
    <x v="0"/>
  </r>
  <r>
    <n v="1200002278"/>
    <d v="2025-10-28T00:00:00"/>
    <n v="12906740"/>
    <s v="Cheque de terceros tucumán"/>
    <x v="731"/>
    <n v="12906740"/>
    <x v="126"/>
    <x v="1"/>
    <s v="pagado"/>
    <s v="pagado"/>
    <s v="excluir"/>
    <s v="no semana"/>
    <x v="0"/>
  </r>
  <r>
    <n v="1200002278"/>
    <d v="2025-10-28T00:00:00"/>
    <n v="11376609.25"/>
    <s v="Cheque de terceros tucumán"/>
    <x v="732"/>
    <n v="11376609.25"/>
    <x v="126"/>
    <x v="1"/>
    <s v="pagado"/>
    <s v="pagado"/>
    <s v="excluir"/>
    <s v="no semana"/>
    <x v="0"/>
  </r>
  <r>
    <n v="1200002278"/>
    <d v="2025-10-28T00:00:00"/>
    <n v="11435731.02"/>
    <s v="Cheque de terceros tucumán"/>
    <x v="733"/>
    <n v="11435731.02"/>
    <x v="126"/>
    <x v="1"/>
    <s v="pagado"/>
    <s v="pagado"/>
    <s v="excluir"/>
    <s v="no semana"/>
    <x v="0"/>
  </r>
  <r>
    <n v="1200002278"/>
    <d v="2025-10-28T00:00:00"/>
    <n v="3898170.62"/>
    <s v="Cheque de terceros tucumán"/>
    <x v="734"/>
    <n v="3898170.62"/>
    <x v="126"/>
    <x v="1"/>
    <s v="pagado"/>
    <s v="pagado"/>
    <s v="excluir"/>
    <s v="no semana"/>
    <x v="0"/>
  </r>
  <r>
    <n v="1200002278"/>
    <d v="2025-10-28T00:00:00"/>
    <n v="18118532.5"/>
    <s v="Cheque de terceros tucumán"/>
    <x v="735"/>
    <n v="18118532.5"/>
    <x v="126"/>
    <x v="1"/>
    <s v="pagado"/>
    <s v="pagado"/>
    <s v="excluir"/>
    <s v="no semana"/>
    <x v="0"/>
  </r>
  <r>
    <n v="1200002278"/>
    <d v="2025-10-28T00:00:00"/>
    <n v="4926605"/>
    <s v="Cheque de terceros tucumán"/>
    <x v="736"/>
    <n v="4926605"/>
    <x v="126"/>
    <x v="1"/>
    <s v="pagado"/>
    <s v="pagado"/>
    <s v="excluir"/>
    <s v="no semana"/>
    <x v="0"/>
  </r>
  <r>
    <n v="1200002278"/>
    <d v="2025-10-28T00:00:00"/>
    <n v="6770820"/>
    <s v="Cheque de terceros tucumán"/>
    <x v="737"/>
    <n v="6770820"/>
    <x v="126"/>
    <x v="1"/>
    <s v="pagado"/>
    <s v="pagado"/>
    <s v="excluir"/>
    <s v="no semana"/>
    <x v="0"/>
  </r>
  <r>
    <n v="1200002278"/>
    <d v="2025-10-28T00:00:00"/>
    <n v="12490633.640000001"/>
    <s v="Cheque de terceros tucumán"/>
    <x v="738"/>
    <n v="12490633.640000001"/>
    <x v="126"/>
    <x v="1"/>
    <s v="pagado"/>
    <s v="pagado"/>
    <s v="excluir"/>
    <s v="no semana"/>
    <x v="0"/>
  </r>
  <r>
    <n v="1200002278"/>
    <d v="2025-10-28T00:00:00"/>
    <n v="32248547"/>
    <s v="Cheque de terceros tucumán"/>
    <x v="739"/>
    <n v="32248547"/>
    <x v="126"/>
    <x v="1"/>
    <s v="pagado"/>
    <s v="pagado"/>
    <s v="excluir"/>
    <s v="no semana"/>
    <x v="0"/>
  </r>
  <r>
    <n v="3000001569"/>
    <d v="2025-11-03T00:00:00"/>
    <n v="6138889.1799999997"/>
    <s v="Pulmajo S.R.L. CONCEPCION 14"/>
    <x v="740"/>
    <n v="6138889.1799999997"/>
    <x v="127"/>
    <x v="1"/>
    <s v="pagado"/>
    <s v="pagado"/>
    <s v="excluir"/>
    <s v="no semana"/>
    <x v="0"/>
  </r>
  <r>
    <n v="3000001573"/>
    <d v="2025-11-04T00:00:00"/>
    <n v="6440710"/>
    <s v="EL IMPENETRABLE SRL CORRIENTES 04"/>
    <x v="741"/>
    <n v="6440710"/>
    <x v="127"/>
    <x v="1"/>
    <s v="pagado"/>
    <s v="pagado"/>
    <s v="excluir"/>
    <s v="no semana"/>
    <x v="0"/>
  </r>
  <r>
    <n v="3000001571"/>
    <d v="2025-11-04T00:00:00"/>
    <n v="3012310.2"/>
    <s v="SUAREZ GABRIEL SEBASTIAN SANTIAGO DEL ESTERO 13"/>
    <x v="742"/>
    <n v="3012310.2"/>
    <x v="127"/>
    <x v="1"/>
    <s v="pagado"/>
    <s v="pagado"/>
    <s v="excluir"/>
    <s v="no semana"/>
    <x v="0"/>
  </r>
  <r>
    <n v="3000001572"/>
    <d v="2025-11-04T00:00:00"/>
    <n v="4142543.4"/>
    <s v="ACOSTA EMILIA ROMINA JOAQUIN V GONZALEZ 09"/>
    <x v="743"/>
    <n v="4142543.4"/>
    <x v="127"/>
    <x v="1"/>
    <s v="pagado"/>
    <s v="pagado"/>
    <s v="excluir"/>
    <s v="no semana"/>
    <x v="0"/>
  </r>
  <r>
    <n v="3000001586"/>
    <d v="2025-11-04T00:00:00"/>
    <n v="5579437.1699999999"/>
    <s v="JAVIER EDUARDO PRADO FLORIDA 13"/>
    <x v="744"/>
    <n v="5579437.1699999999"/>
    <x v="127"/>
    <x v="1"/>
    <s v="pagado"/>
    <s v="pagado"/>
    <s v="excluir"/>
    <s v="no semana"/>
    <x v="0"/>
  </r>
  <r>
    <n v="3000001587"/>
    <d v="2025-11-04T00:00:00"/>
    <n v="18109574.82"/>
    <s v="ANTONACCI LUIS GABRIEL LA FLORIDA 14"/>
    <x v="745"/>
    <n v="18109574.82"/>
    <x v="127"/>
    <x v="1"/>
    <s v="pagado"/>
    <s v="pagado"/>
    <s v="excluir"/>
    <s v="no semana"/>
    <x v="0"/>
  </r>
  <r>
    <n v="3000001588"/>
    <d v="2025-11-04T00:00:00"/>
    <n v="14042020.5"/>
    <s v="LOGISTICA CENTRO S.R.L CORONDA 12"/>
    <x v="746"/>
    <n v="14042020.5"/>
    <x v="127"/>
    <x v="1"/>
    <s v="pagado"/>
    <s v="pagado"/>
    <s v="excluir"/>
    <s v="no semana"/>
    <x v="0"/>
  </r>
  <r>
    <n v="3000001589"/>
    <d v="2025-11-04T00:00:00"/>
    <n v="12768648.060000001"/>
    <s v="PAIS WALTER LUIS SAN MIGUEL DE TUCUMAN 14"/>
    <x v="747"/>
    <n v="12768648.060000001"/>
    <x v="127"/>
    <x v="1"/>
    <s v="pagado"/>
    <s v="pagado"/>
    <s v="excluir"/>
    <s v="no semana"/>
    <x v="0"/>
  </r>
  <r>
    <n v="1200002346"/>
    <d v="2025-11-04T00:00:00"/>
    <n v="4398075.9000000004"/>
    <s v="Cheque de terceros tucumán"/>
    <x v="748"/>
    <n v="4398075.9000000004"/>
    <x v="127"/>
    <x v="1"/>
    <s v="pagado"/>
    <s v="pagado"/>
    <s v="excluir"/>
    <s v="no semana"/>
    <x v="0"/>
  </r>
  <r>
    <n v="1200002346"/>
    <d v="2025-11-04T00:00:00"/>
    <n v="5952718.4000000004"/>
    <s v="Cheque de terceros tucumán"/>
    <x v="749"/>
    <n v="5952718.4000000004"/>
    <x v="127"/>
    <x v="1"/>
    <s v="pagado"/>
    <s v="pagado"/>
    <s v="excluir"/>
    <s v="no semana"/>
    <x v="0"/>
  </r>
  <r>
    <n v="1200002346"/>
    <d v="2025-11-04T00:00:00"/>
    <n v="14694609.48"/>
    <s v="Cheque de terceros tucumán"/>
    <x v="750"/>
    <n v="14694609.48"/>
    <x v="127"/>
    <x v="1"/>
    <s v="pagado"/>
    <s v="pagado"/>
    <s v="excluir"/>
    <s v="no semana"/>
    <x v="0"/>
  </r>
  <r>
    <n v="1200002346"/>
    <d v="2025-11-04T00:00:00"/>
    <n v="12943273.84"/>
    <s v="Cheque de terceros tucumán"/>
    <x v="751"/>
    <n v="12943273.84"/>
    <x v="127"/>
    <x v="1"/>
    <s v="pagado"/>
    <s v="pagado"/>
    <s v="excluir"/>
    <s v="no semana"/>
    <x v="0"/>
  </r>
  <r>
    <n v="1200002346"/>
    <d v="2025-11-04T00:00:00"/>
    <n v="4508127.67"/>
    <s v="Cheque de terceros tucumán"/>
    <x v="752"/>
    <n v="4508127.67"/>
    <x v="127"/>
    <x v="1"/>
    <s v="pagado"/>
    <s v="pagado"/>
    <s v="excluir"/>
    <s v="no semana"/>
    <x v="0"/>
  </r>
  <r>
    <n v="1200002346"/>
    <d v="2025-11-04T00:00:00"/>
    <n v="28351980"/>
    <s v="Cheque de terceros tucumán"/>
    <x v="753"/>
    <n v="28351980"/>
    <x v="127"/>
    <x v="1"/>
    <s v="pagado"/>
    <s v="pagado"/>
    <s v="excluir"/>
    <s v="no semana"/>
    <x v="0"/>
  </r>
  <r>
    <n v="1200002346"/>
    <d v="2025-11-04T00:00:00"/>
    <n v="13635050.75"/>
    <s v="Cheque de terceros tucumán"/>
    <x v="754"/>
    <n v="13635050.75"/>
    <x v="127"/>
    <x v="1"/>
    <s v="pagado"/>
    <s v="pagado"/>
    <s v="excluir"/>
    <s v="no semana"/>
    <x v="0"/>
  </r>
  <r>
    <n v="3000001590"/>
    <d v="2025-11-05T00:00:00"/>
    <n v="3414618.77"/>
    <s v="GDM ARGENTINA SA Chacabuco 01"/>
    <x v="755"/>
    <n v="3414618.77"/>
    <x v="127"/>
    <x v="1"/>
    <s v="pagado"/>
    <s v="pagado"/>
    <s v="excluir"/>
    <s v="no semana"/>
    <x v="0"/>
  </r>
  <r>
    <n v="3000001603"/>
    <d v="2025-11-11T00:00:00"/>
    <n v="15000000"/>
    <s v="NUTRITERRA S.A CHIMBAS 10"/>
    <x v="756"/>
    <n v="15000000"/>
    <x v="128"/>
    <x v="1"/>
    <s v="pagado"/>
    <s v="pagado"/>
    <s v="excluir"/>
    <s v="no semana"/>
    <x v="0"/>
  </r>
  <r>
    <n v="3000001603"/>
    <d v="2025-11-11T00:00:00"/>
    <n v="15000000"/>
    <s v="NUTRITERRA S.A CHIMBAS 10"/>
    <x v="757"/>
    <n v="15000000"/>
    <x v="129"/>
    <x v="1"/>
    <s v="pagado"/>
    <s v="pagado"/>
    <s v="excluir"/>
    <s v="no semana"/>
    <x v="0"/>
  </r>
  <r>
    <n v="3000001603"/>
    <d v="2025-11-11T00:00:00"/>
    <n v="15000000"/>
    <s v="NUTRITERRA S.A CHIMBAS 10"/>
    <x v="758"/>
    <n v="15000000"/>
    <x v="130"/>
    <x v="1"/>
    <s v="pagado"/>
    <s v="pagado"/>
    <s v="excluir"/>
    <s v="no semana"/>
    <x v="0"/>
  </r>
  <r>
    <n v="3000001603"/>
    <d v="2025-11-11T00:00:00"/>
    <n v="17856278.129999999"/>
    <s v="NUTRITERRA S.A CHIMBAS 10"/>
    <x v="759"/>
    <n v="17856278.129999999"/>
    <x v="131"/>
    <x v="1"/>
    <s v="pagado"/>
    <s v="pagado"/>
    <s v="excluir"/>
    <s v="no semana"/>
    <x v="0"/>
  </r>
  <r>
    <n v="3000001608"/>
    <d v="2025-11-11T00:00:00"/>
    <n v="2000000"/>
    <s v="EL SOL MATERIALES SA SAN MIGUEL DE TUCUMAN 14"/>
    <x v="760"/>
    <n v="2000000"/>
    <x v="132"/>
    <x v="1"/>
    <s v="pagado"/>
    <s v="pagado"/>
    <s v="excluir"/>
    <s v="no semana"/>
    <x v="0"/>
  </r>
  <r>
    <n v="3000001608"/>
    <d v="2025-11-11T00:00:00"/>
    <n v="1136552.8799999999"/>
    <s v="EL SOL MATERIALES SA SAN MIGUEL DE TUCUMAN 14"/>
    <x v="761"/>
    <n v="1136552.8799999999"/>
    <x v="133"/>
    <x v="1"/>
    <s v="pagado"/>
    <s v="pagado"/>
    <s v="excluir"/>
    <s v="no semana"/>
    <x v="0"/>
  </r>
  <r>
    <n v="3000001609"/>
    <d v="2025-11-11T00:00:00"/>
    <n v="5353324.88"/>
    <s v="MOLINA JUAN F. Y MOLINA ROQUE Lastenia 14"/>
    <x v="762"/>
    <n v="5353324.88"/>
    <x v="132"/>
    <x v="1"/>
    <s v="pagado"/>
    <s v="pagado"/>
    <s v="excluir"/>
    <s v="no semana"/>
    <x v="0"/>
  </r>
  <r>
    <n v="3000001609"/>
    <d v="2025-11-11T00:00:00"/>
    <n v="10912126.85"/>
    <s v="MOLINA JUAN F. Y MOLINA ROQUE Lastenia 14"/>
    <x v="763"/>
    <n v="10912126.85"/>
    <x v="132"/>
    <x v="1"/>
    <s v="pagado"/>
    <s v="pagado"/>
    <s v="excluir"/>
    <s v="no semana"/>
    <x v="0"/>
  </r>
  <r>
    <n v="3000001601"/>
    <d v="2025-11-11T00:00:00"/>
    <n v="135434769.36000001"/>
    <s v="Syngenta Agro S.A. Vicente López 01"/>
    <x v="764"/>
    <n v="135434769.36000001"/>
    <x v="134"/>
    <x v="1"/>
    <s v="no pagado"/>
    <s v="en periodo de pago"/>
    <s v="a pagar"/>
    <s v="no semana"/>
    <x v="0"/>
  </r>
  <r>
    <n v="3000001602"/>
    <d v="2025-11-11T00:00:00"/>
    <n v="262874070.53999999"/>
    <s v="SUMMIT AGRO ARGENTINA S.A CIUDAD AUTONOMA DE BUENOS AIRES 01"/>
    <x v="765"/>
    <n v="262874070.53999999"/>
    <x v="135"/>
    <x v="1"/>
    <s v="pagado"/>
    <s v="pagado"/>
    <s v="excluir"/>
    <s v="no semana"/>
    <x v="0"/>
  </r>
  <r>
    <n v="3000001606"/>
    <d v="2025-11-11T00:00:00"/>
    <n v="13987396.4"/>
    <s v="SERVICOM S.R.L SAN MIGUEL DE TUCUMAN 14"/>
    <x v="766"/>
    <n v="13987396.4"/>
    <x v="132"/>
    <x v="1"/>
    <s v="pagado"/>
    <s v="pagado"/>
    <s v="excluir"/>
    <s v="no semana"/>
    <x v="0"/>
  </r>
  <r>
    <n v="3000001607"/>
    <d v="2025-11-11T00:00:00"/>
    <n v="6076118.4000000004"/>
    <s v="CAMPOAGRO SRL YERBA BUENA 14"/>
    <x v="767"/>
    <n v="6076118.4000000004"/>
    <x v="132"/>
    <x v="1"/>
    <s v="pagado"/>
    <s v="pagado"/>
    <s v="excluir"/>
    <s v="no semana"/>
    <x v="0"/>
  </r>
  <r>
    <n v="3000001605"/>
    <d v="2025-11-11T00:00:00"/>
    <n v="16776532.060000001"/>
    <s v="ADVANTA SEMILLAS SAIC JUNIN 01"/>
    <x v="768"/>
    <n v="16776532.060000001"/>
    <x v="132"/>
    <x v="1"/>
    <s v="pagado"/>
    <s v="pagado"/>
    <s v="excluir"/>
    <s v="no semana"/>
    <x v="0"/>
  </r>
  <r>
    <n v="3000001604"/>
    <d v="2025-11-11T00:00:00"/>
    <n v="220537105"/>
    <s v="Pro Agro S.R.L SAN MIGUEL DE TUCUMAN 14"/>
    <x v="769"/>
    <n v="220537105"/>
    <x v="136"/>
    <x v="1"/>
    <s v="pagado"/>
    <s v="pagado"/>
    <s v="excluir"/>
    <s v="no semana"/>
    <x v="0"/>
  </r>
  <r>
    <n v="1200002351"/>
    <d v="2025-11-12T00:00:00"/>
    <n v="18905446.27"/>
    <s v="Cheque de terceros tucumán"/>
    <x v="770"/>
    <n v="18905446.27"/>
    <x v="137"/>
    <x v="1"/>
    <s v="pagado"/>
    <s v="pagado"/>
    <s v="excluir"/>
    <s v="no semana"/>
    <x v="0"/>
  </r>
  <r>
    <n v="1200002351"/>
    <d v="2025-11-12T00:00:00"/>
    <n v="25299587.859999999"/>
    <s v="Cheque de terceros tucumán"/>
    <x v="771"/>
    <n v="25299587.859999999"/>
    <x v="137"/>
    <x v="1"/>
    <s v="pagado"/>
    <s v="pagado"/>
    <s v="excluir"/>
    <s v="no semana"/>
    <x v="0"/>
  </r>
  <r>
    <n v="1200002351"/>
    <d v="2025-11-12T00:00:00"/>
    <n v="3347567.92"/>
    <s v="Cheque de terceros tucumán"/>
    <x v="772"/>
    <n v="3347567.92"/>
    <x v="137"/>
    <x v="1"/>
    <s v="pagado"/>
    <s v="pagado"/>
    <s v="excluir"/>
    <s v="no semana"/>
    <x v="0"/>
  </r>
  <r>
    <n v="1200002351"/>
    <d v="2025-11-12T00:00:00"/>
    <n v="7636861.3600000003"/>
    <s v="Cheque de terceros tucumán"/>
    <x v="773"/>
    <n v="7636861.3600000003"/>
    <x v="137"/>
    <x v="1"/>
    <s v="pagado"/>
    <s v="pagado"/>
    <s v="excluir"/>
    <s v="no semana"/>
    <x v="0"/>
  </r>
  <r>
    <n v="1200002351"/>
    <d v="2025-11-12T00:00:00"/>
    <n v="7714777.0499999998"/>
    <s v="Cheque de terceros tucumán"/>
    <x v="774"/>
    <n v="7714777.0499999998"/>
    <x v="137"/>
    <x v="1"/>
    <s v="pagado"/>
    <s v="pagado"/>
    <s v="excluir"/>
    <s v="no semana"/>
    <x v="0"/>
  </r>
  <r>
    <n v="1200002351"/>
    <d v="2025-11-12T00:00:00"/>
    <n v="3931480"/>
    <s v="Cheque de terceros tucumán"/>
    <x v="775"/>
    <n v="3931480"/>
    <x v="137"/>
    <x v="1"/>
    <s v="pagado"/>
    <s v="pagado"/>
    <s v="excluir"/>
    <s v="no semana"/>
    <x v="0"/>
  </r>
  <r>
    <n v="1200002351"/>
    <d v="2025-11-12T00:00:00"/>
    <n v="8725194.25"/>
    <s v="Cheque de terceros tucumán"/>
    <x v="776"/>
    <n v="8725194.25"/>
    <x v="138"/>
    <x v="1"/>
    <s v="pagado"/>
    <s v="pagado"/>
    <s v="excluir"/>
    <s v="no semana"/>
    <x v="0"/>
  </r>
  <r>
    <n v="1200002351"/>
    <d v="2025-11-12T00:00:00"/>
    <n v="4140678.55"/>
    <s v="Cheque de terceros tucumán"/>
    <x v="777"/>
    <n v="4140678.55"/>
    <x v="137"/>
    <x v="1"/>
    <s v="pagado"/>
    <s v="pagado"/>
    <s v="excluir"/>
    <s v="no semana"/>
    <x v="0"/>
  </r>
  <r>
    <n v="1200002351"/>
    <d v="2025-11-12T00:00:00"/>
    <n v="5461881.25"/>
    <s v="Cheque de terceros tucumán"/>
    <x v="778"/>
    <n v="5461881.25"/>
    <x v="137"/>
    <x v="1"/>
    <s v="pagado"/>
    <s v="pagado"/>
    <s v="excluir"/>
    <s v="no semana"/>
    <x v="0"/>
  </r>
  <r>
    <n v="1200002351"/>
    <d v="2025-11-12T00:00:00"/>
    <n v="47629991.780000001"/>
    <s v="Cheque de terceros tucumán"/>
    <x v="779"/>
    <n v="47629991.780000001"/>
    <x v="137"/>
    <x v="1"/>
    <s v="pagado"/>
    <s v="pagado"/>
    <s v="excluir"/>
    <s v="no semana"/>
    <x v="0"/>
  </r>
  <r>
    <n v="1200002351"/>
    <d v="2025-11-12T00:00:00"/>
    <n v="8834612.5299999993"/>
    <s v="Cheque de terceros tucumán"/>
    <x v="780"/>
    <n v="8834612.5299999993"/>
    <x v="137"/>
    <x v="1"/>
    <s v="pagado"/>
    <s v="pagado"/>
    <s v="excluir"/>
    <s v="no semana"/>
    <x v="0"/>
  </r>
  <r>
    <n v="1200002351"/>
    <d v="2025-11-12T00:00:00"/>
    <n v="14991343.4"/>
    <s v="Cheque de terceros tucumán"/>
    <x v="781"/>
    <n v="14991343.4"/>
    <x v="137"/>
    <x v="1"/>
    <s v="pagado"/>
    <s v="pagado"/>
    <s v="excluir"/>
    <s v="no semana"/>
    <x v="0"/>
  </r>
  <r>
    <n v="1200002351"/>
    <d v="2025-11-12T00:00:00"/>
    <n v="3276830"/>
    <s v="Cheque de terceros tucumán"/>
    <x v="782"/>
    <n v="3276830"/>
    <x v="137"/>
    <x v="1"/>
    <s v="pagado"/>
    <s v="pagado"/>
    <s v="excluir"/>
    <s v="no semana"/>
    <x v="0"/>
  </r>
  <r>
    <n v="1200002351"/>
    <d v="2025-11-12T00:00:00"/>
    <n v="16703185.800000001"/>
    <s v="Cheque de terceros tucumán"/>
    <x v="783"/>
    <n v="16703185.800000001"/>
    <x v="137"/>
    <x v="1"/>
    <s v="pagado"/>
    <s v="pagado"/>
    <s v="excluir"/>
    <s v="no semana"/>
    <x v="0"/>
  </r>
  <r>
    <n v="1200002351"/>
    <d v="2025-11-12T00:00:00"/>
    <n v="10405080"/>
    <s v="Cheque de terceros tucumán"/>
    <x v="784"/>
    <n v="10405080"/>
    <x v="137"/>
    <x v="1"/>
    <s v="pagado"/>
    <s v="pagado"/>
    <s v="excluir"/>
    <s v="no semana"/>
    <x v="0"/>
  </r>
  <r>
    <n v="1200002351"/>
    <d v="2025-11-12T00:00:00"/>
    <n v="0"/>
    <s v="Anulado"/>
    <x v="785"/>
    <n v="0"/>
    <x v="137"/>
    <x v="1"/>
    <s v="no pagado"/>
    <s v="fuera de fecha"/>
    <s v="excluir"/>
    <s v="no semana"/>
    <x v="0"/>
  </r>
  <r>
    <n v="3000001624"/>
    <d v="2025-11-13T00:00:00"/>
    <n v="18283450"/>
    <s v="EDET S.A. SAN MIGUEL DE TUCUMAN 14"/>
    <x v="786"/>
    <n v="18283450"/>
    <x v="132"/>
    <x v="1"/>
    <s v="pagado"/>
    <s v="pagado"/>
    <s v="excluir"/>
    <s v="no semana"/>
    <x v="0"/>
  </r>
  <r>
    <n v="3000001629"/>
    <d v="2025-11-17T00:00:00"/>
    <n v="7707907.79"/>
    <s v="ANTONACCI LUIS GABRIEL LA FLORIDA 14"/>
    <x v="787"/>
    <n v="7707907.79"/>
    <x v="139"/>
    <x v="1"/>
    <s v="pagado"/>
    <s v="pagado"/>
    <s v="excluir"/>
    <s v="no semana"/>
    <x v="0"/>
  </r>
  <r>
    <n v="3000001630"/>
    <d v="2025-11-17T00:00:00"/>
    <n v="3643342.7"/>
    <s v="MARCOS SCHMUKLER S.A SAN SALVADOR 05"/>
    <x v="788"/>
    <n v="3643342.7"/>
    <x v="139"/>
    <x v="1"/>
    <s v="pagado"/>
    <s v="pagado"/>
    <s v="excluir"/>
    <s v="no semana"/>
    <x v="0"/>
  </r>
  <r>
    <n v="3000001631"/>
    <d v="2025-11-17T00:00:00"/>
    <n v="18628572.899999999"/>
    <s v="LOGISTICA CENTRO S.R.L CORONDA 12"/>
    <x v="789"/>
    <n v="18628572.899999999"/>
    <x v="139"/>
    <x v="1"/>
    <s v="pagado"/>
    <s v="pagado"/>
    <s v="excluir"/>
    <s v="no semana"/>
    <x v="0"/>
  </r>
  <r>
    <n v="3000001632"/>
    <d v="2025-11-17T00:00:00"/>
    <n v="21475169.710000001"/>
    <s v="TRANSPORTE BARBERAN HNOS SRL CHABAS 12"/>
    <x v="790"/>
    <n v="21475169.710000001"/>
    <x v="139"/>
    <x v="1"/>
    <s v="pagado"/>
    <s v="pagado"/>
    <s v="excluir"/>
    <s v="no semana"/>
    <x v="0"/>
  </r>
  <r>
    <n v="3000001633"/>
    <d v="2025-11-17T00:00:00"/>
    <n v="4211197.12"/>
    <s v="LAVENIA VITO CARMELO LASTENIA 14"/>
    <x v="791"/>
    <n v="4211197.12"/>
    <x v="139"/>
    <x v="1"/>
    <s v="pagado"/>
    <s v="pagado"/>
    <s v="excluir"/>
    <s v="no semana"/>
    <x v="0"/>
  </r>
  <r>
    <n v="3000001634"/>
    <d v="2025-11-17T00:00:00"/>
    <n v="3825767.92"/>
    <s v="COCCOLO LOGISTICA SA cañada rosquin 12"/>
    <x v="792"/>
    <n v="3825767.92"/>
    <x v="139"/>
    <x v="1"/>
    <s v="pagado"/>
    <s v="pagado"/>
    <s v="excluir"/>
    <s v="no semana"/>
    <x v="0"/>
  </r>
  <r>
    <n v="3000001635"/>
    <d v="2025-11-17T00:00:00"/>
    <n v="4483627.66"/>
    <s v="CAMPOSTRINI S R L VILLAGUAY 05"/>
    <x v="793"/>
    <n v="4483627.66"/>
    <x v="139"/>
    <x v="1"/>
    <s v="pagado"/>
    <s v="pagado"/>
    <s v="excluir"/>
    <s v="no semana"/>
    <x v="0"/>
  </r>
  <r>
    <n v="3000001636"/>
    <d v="2025-11-17T00:00:00"/>
    <n v="4697211.5999999996"/>
    <s v="EL SOL MATERIALES SA SAN MIGUEL DE TUCUMAN 14"/>
    <x v="794"/>
    <n v="4697211.5999999996"/>
    <x v="140"/>
    <x v="1"/>
    <s v="pagado"/>
    <s v="pagado"/>
    <s v="excluir"/>
    <s v="no semana"/>
    <x v="0"/>
  </r>
  <r>
    <n v="3000001637"/>
    <d v="2025-11-17T00:00:00"/>
    <n v="13982823.4"/>
    <s v="VERON MARIANA BEATRIZ NUEVA ESPERANZA 13"/>
    <x v="795"/>
    <n v="13982823.4"/>
    <x v="140"/>
    <x v="1"/>
    <s v="pagado"/>
    <s v="pagado"/>
    <s v="excluir"/>
    <s v="no semana"/>
    <x v="0"/>
  </r>
  <r>
    <n v="3000001638"/>
    <d v="2025-11-17T00:00:00"/>
    <n v="16331788.800000001"/>
    <s v="AYALA HERNAN OSVALDO SAN MIGUEL DE TUCUMAN 14"/>
    <x v="796"/>
    <n v="16331788.800000001"/>
    <x v="140"/>
    <x v="1"/>
    <s v="pagado"/>
    <s v="pagado"/>
    <s v="excluir"/>
    <s v="no semana"/>
    <x v="0"/>
  </r>
  <r>
    <n v="3000001639"/>
    <d v="2025-11-17T00:00:00"/>
    <n v="14239494.51"/>
    <s v="Medina Lauro Jose Las Cejas 14"/>
    <x v="797"/>
    <n v="14239494.51"/>
    <x v="140"/>
    <x v="1"/>
    <s v="pagado"/>
    <s v="pagado"/>
    <s v="excluir"/>
    <s v="no semana"/>
    <x v="0"/>
  </r>
  <r>
    <n v="3000001640"/>
    <d v="2025-11-17T00:00:00"/>
    <n v="7120049.6399999997"/>
    <s v="GRUPO MARGEN DEL NOA SA YERBA BUENA 14"/>
    <x v="798"/>
    <n v="7120049.6399999997"/>
    <x v="140"/>
    <x v="1"/>
    <s v="pagado"/>
    <s v="pagado"/>
    <s v="excluir"/>
    <s v="no semana"/>
    <x v="0"/>
  </r>
  <r>
    <n v="3000001641"/>
    <d v="2025-11-17T00:00:00"/>
    <n v="9877270.2699999996"/>
    <s v="AYALA WALTER DANIEL ALDERETES 14"/>
    <x v="799"/>
    <n v="9877270.2699999996"/>
    <x v="140"/>
    <x v="1"/>
    <s v="pagado"/>
    <s v="pagado"/>
    <s v="excluir"/>
    <s v="no semana"/>
    <x v="0"/>
  </r>
  <r>
    <n v="3000001642"/>
    <d v="2025-11-17T00:00:00"/>
    <n v="4755265.5"/>
    <s v="Establecimiento Minero Sofia SElena 03"/>
    <x v="800"/>
    <n v="4755265.5"/>
    <x v="140"/>
    <x v="1"/>
    <s v="pagado"/>
    <s v="pagado"/>
    <s v="excluir"/>
    <s v="no semana"/>
    <x v="0"/>
  </r>
  <r>
    <n v="3000001643"/>
    <d v="2025-11-17T00:00:00"/>
    <n v="7735948.4400000004"/>
    <s v="GONZALEZ LUIS ALEJANDRO YERBA BUENA 14"/>
    <x v="801"/>
    <n v="7735948.4400000004"/>
    <x v="140"/>
    <x v="1"/>
    <s v="pagado"/>
    <s v="pagado"/>
    <s v="excluir"/>
    <s v="no semana"/>
    <x v="0"/>
  </r>
  <r>
    <n v="1200002613"/>
    <d v="2025-11-19T00:00:00"/>
    <n v="43758209.579999998"/>
    <s v="Cheque de terceros tucumán"/>
    <x v="802"/>
    <n v="43758209.579999998"/>
    <x v="141"/>
    <x v="1"/>
    <s v="pagado"/>
    <s v="pagado"/>
    <s v="excluir"/>
    <s v="no semana"/>
    <x v="0"/>
  </r>
  <r>
    <n v="1200002613"/>
    <d v="2025-11-19T00:00:00"/>
    <n v="21437723.399999999"/>
    <s v="Cheque de terceros tucumán"/>
    <x v="803"/>
    <n v="21437723.399999999"/>
    <x v="141"/>
    <x v="1"/>
    <s v="pagado"/>
    <s v="pagado"/>
    <s v="excluir"/>
    <s v="no semana"/>
    <x v="0"/>
  </r>
  <r>
    <n v="1200002613"/>
    <d v="2025-11-19T00:00:00"/>
    <n v="2350403.4"/>
    <s v="Cheque de terceros tucumán"/>
    <x v="804"/>
    <n v="2350403.4"/>
    <x v="141"/>
    <x v="1"/>
    <s v="pagado"/>
    <s v="pagado"/>
    <s v="excluir"/>
    <s v="no semana"/>
    <x v="0"/>
  </r>
  <r>
    <n v="1200002613"/>
    <d v="2025-11-19T00:00:00"/>
    <n v="1121065.04"/>
    <s v="Cheque de terceros tucumán"/>
    <x v="805"/>
    <n v="1121065.04"/>
    <x v="142"/>
    <x v="1"/>
    <s v="pagado"/>
    <s v="pagado"/>
    <s v="excluir"/>
    <s v="no semana"/>
    <x v="0"/>
  </r>
  <r>
    <n v="1200002613"/>
    <d v="2025-11-19T00:00:00"/>
    <n v="2125298.7999999998"/>
    <s v="Cheque de terceros tucumán"/>
    <x v="806"/>
    <n v="2125298.7999999998"/>
    <x v="141"/>
    <x v="1"/>
    <s v="pagado"/>
    <s v="pagado"/>
    <s v="excluir"/>
    <s v="no semana"/>
    <x v="0"/>
  </r>
  <r>
    <n v="1200002613"/>
    <d v="2025-11-19T00:00:00"/>
    <n v="29213400.68"/>
    <s v="Cheque de terceros tucumán"/>
    <x v="807"/>
    <n v="29213400.68"/>
    <x v="141"/>
    <x v="1"/>
    <s v="pagado"/>
    <s v="pagado"/>
    <s v="excluir"/>
    <s v="no semana"/>
    <x v="0"/>
  </r>
  <r>
    <n v="1200002613"/>
    <d v="2025-11-19T00:00:00"/>
    <n v="27731787.399999999"/>
    <s v="Cheque de terceros tucumán"/>
    <x v="808"/>
    <n v="27731787.399999999"/>
    <x v="141"/>
    <x v="1"/>
    <s v="pagado"/>
    <s v="pagado"/>
    <s v="excluir"/>
    <s v="no semana"/>
    <x v="0"/>
  </r>
  <r>
    <n v="1200002613"/>
    <d v="2025-11-19T00:00:00"/>
    <n v="1434767.92"/>
    <s v="Cheque de terceros tucumán"/>
    <x v="809"/>
    <n v="1434767.92"/>
    <x v="141"/>
    <x v="1"/>
    <s v="pagado"/>
    <s v="pagado"/>
    <s v="excluir"/>
    <s v="no semana"/>
    <x v="0"/>
  </r>
  <r>
    <n v="1200002613"/>
    <d v="2025-11-19T00:00:00"/>
    <n v="717467.92"/>
    <s v="Cheque de terceros tucumán"/>
    <x v="810"/>
    <n v="717467.92"/>
    <x v="142"/>
    <x v="1"/>
    <s v="pagado"/>
    <s v="pagado"/>
    <s v="excluir"/>
    <s v="no semana"/>
    <x v="0"/>
  </r>
  <r>
    <n v="1200002613"/>
    <d v="2025-11-19T00:00:00"/>
    <n v="1261176.04"/>
    <s v="Cheque de terceros tucumán"/>
    <x v="811"/>
    <n v="1261176.04"/>
    <x v="141"/>
    <x v="1"/>
    <s v="pagado"/>
    <s v="pagado"/>
    <s v="excluir"/>
    <s v="no semana"/>
    <x v="0"/>
  </r>
  <r>
    <n v="1200002613"/>
    <d v="2025-11-19T00:00:00"/>
    <n v="1733475"/>
    <s v="Cheque de terceros tucumán"/>
    <x v="812"/>
    <n v="1733475"/>
    <x v="141"/>
    <x v="1"/>
    <s v="pagado"/>
    <s v="pagado"/>
    <s v="excluir"/>
    <s v="no semana"/>
    <x v="0"/>
  </r>
  <r>
    <n v="1200002613"/>
    <d v="2025-11-19T00:00:00"/>
    <n v="345558.28"/>
    <s v="Cheque de terceros tucumán"/>
    <x v="813"/>
    <n v="345558.28"/>
    <x v="142"/>
    <x v="1"/>
    <s v="pagado"/>
    <s v="pagado"/>
    <s v="excluir"/>
    <s v="no semana"/>
    <x v="0"/>
  </r>
  <r>
    <n v="1200002613"/>
    <d v="2025-11-19T00:00:00"/>
    <n v="881943.4"/>
    <s v="Cheque de terceros tucumán"/>
    <x v="814"/>
    <n v="881943.4"/>
    <x v="142"/>
    <x v="1"/>
    <s v="pagado"/>
    <s v="pagado"/>
    <s v="excluir"/>
    <s v="no semana"/>
    <x v="0"/>
  </r>
  <r>
    <n v="1200002613"/>
    <d v="2025-11-19T00:00:00"/>
    <n v="2577150"/>
    <s v="Cheque de terceros tucumán"/>
    <x v="815"/>
    <n v="2577150"/>
    <x v="141"/>
    <x v="1"/>
    <s v="pagado"/>
    <s v="pagado"/>
    <s v="excluir"/>
    <s v="no semana"/>
    <x v="0"/>
  </r>
  <r>
    <n v="1200002613"/>
    <d v="2025-11-19T00:00:00"/>
    <n v="593530"/>
    <s v="Cheque de terceros tucumán"/>
    <x v="816"/>
    <n v="593530"/>
    <x v="142"/>
    <x v="1"/>
    <s v="pagado"/>
    <s v="pagado"/>
    <s v="excluir"/>
    <s v="no semana"/>
    <x v="0"/>
  </r>
  <r>
    <n v="1200002613"/>
    <d v="2025-11-19T00:00:00"/>
    <n v="880682.24"/>
    <s v="Cheque de terceros tucumán"/>
    <x v="817"/>
    <n v="880682.24"/>
    <x v="142"/>
    <x v="1"/>
    <s v="pagado"/>
    <s v="pagado"/>
    <s v="excluir"/>
    <s v="no semana"/>
    <x v="0"/>
  </r>
  <r>
    <n v="1200002613"/>
    <d v="2025-11-19T00:00:00"/>
    <n v="405293.63"/>
    <s v="Cheque de terceros tucumán"/>
    <x v="818"/>
    <n v="405293.63"/>
    <x v="142"/>
    <x v="1"/>
    <s v="pagado"/>
    <s v="pagado"/>
    <s v="excluir"/>
    <s v="no semana"/>
    <x v="0"/>
  </r>
  <r>
    <n v="1200002613"/>
    <d v="2025-11-19T00:00:00"/>
    <n v="614669.5"/>
    <s v="Cheque de terceros tucumán"/>
    <x v="819"/>
    <n v="614669.5"/>
    <x v="142"/>
    <x v="1"/>
    <s v="pagado"/>
    <s v="pagado"/>
    <s v="excluir"/>
    <s v="no semana"/>
    <x v="0"/>
  </r>
  <r>
    <n v="1200002613"/>
    <d v="2025-11-19T00:00:00"/>
    <n v="540498"/>
    <s v="Cheque de terceros tucumán"/>
    <x v="820"/>
    <n v="540498"/>
    <x v="142"/>
    <x v="1"/>
    <s v="pagado"/>
    <s v="pagado"/>
    <s v="excluir"/>
    <s v="no semana"/>
    <x v="0"/>
  </r>
  <r>
    <n v="1200002613"/>
    <d v="2025-11-19T00:00:00"/>
    <n v="390492.4"/>
    <s v="Cheque de terceros tucumán"/>
    <x v="821"/>
    <n v="390492.4"/>
    <x v="142"/>
    <x v="1"/>
    <s v="pagado"/>
    <s v="pagado"/>
    <s v="excluir"/>
    <s v="no semana"/>
    <x v="0"/>
  </r>
  <r>
    <n v="1200002613"/>
    <d v="2025-11-19T00:00:00"/>
    <n v="769295.51"/>
    <s v="Cheque de terceros tucumán"/>
    <x v="822"/>
    <n v="769295.51"/>
    <x v="142"/>
    <x v="1"/>
    <s v="pagado"/>
    <s v="pagado"/>
    <s v="excluir"/>
    <s v="no semana"/>
    <x v="0"/>
  </r>
  <r>
    <n v="1200002613"/>
    <d v="2025-11-19T00:00:00"/>
    <n v="10081500"/>
    <s v="Cheque de terceros tucumán"/>
    <x v="823"/>
    <n v="10081500"/>
    <x v="141"/>
    <x v="1"/>
    <s v="pagado"/>
    <s v="pagado"/>
    <s v="excluir"/>
    <s v="no semana"/>
    <x v="0"/>
  </r>
  <r>
    <n v="1200002613"/>
    <d v="2025-11-19T00:00:00"/>
    <n v="213849.98"/>
    <s v="Cheque de terceros tucumán"/>
    <x v="824"/>
    <n v="213849.98"/>
    <x v="142"/>
    <x v="1"/>
    <s v="pagado"/>
    <s v="pagado"/>
    <s v="excluir"/>
    <s v="no semana"/>
    <x v="0"/>
  </r>
  <r>
    <n v="1200002615"/>
    <d v="2025-11-19T00:00:00"/>
    <n v="291454.8"/>
    <s v="Cheque de terceros tucumán"/>
    <x v="825"/>
    <n v="291454.8"/>
    <x v="141"/>
    <x v="1"/>
    <s v="pagado"/>
    <s v="pagado"/>
    <s v="excluir"/>
    <s v="no semana"/>
    <x v="0"/>
  </r>
  <r>
    <n v="1200002615"/>
    <d v="2025-11-19T00:00:00"/>
    <n v="268152.58"/>
    <s v="Cheque de terceros tucumán"/>
    <x v="826"/>
    <n v="268152.58"/>
    <x v="141"/>
    <x v="1"/>
    <s v="pagado"/>
    <s v="pagado"/>
    <s v="excluir"/>
    <s v="no semana"/>
    <x v="0"/>
  </r>
  <r>
    <n v="1200002615"/>
    <d v="2025-11-19T00:00:00"/>
    <n v="11899200"/>
    <s v="Cheque de terceros tucumán"/>
    <x v="827"/>
    <n v="11899200"/>
    <x v="141"/>
    <x v="1"/>
    <s v="pagado"/>
    <s v="pagado"/>
    <s v="excluir"/>
    <s v="no semana"/>
    <x v="0"/>
  </r>
  <r>
    <n v="1200002615"/>
    <d v="2025-11-19T00:00:00"/>
    <n v="4414331.4000000004"/>
    <s v="Cheque de terceros tucumán"/>
    <x v="828"/>
    <n v="4414331.4000000004"/>
    <x v="141"/>
    <x v="1"/>
    <s v="pagado"/>
    <s v="pagado"/>
    <s v="excluir"/>
    <s v="no semana"/>
    <x v="0"/>
  </r>
  <r>
    <n v="1200002615"/>
    <d v="2025-11-19T00:00:00"/>
    <n v="11849782.51"/>
    <s v="Cheque de terceros tucumán"/>
    <x v="829"/>
    <n v="11849782.51"/>
    <x v="141"/>
    <x v="1"/>
    <s v="pagado"/>
    <s v="pagado"/>
    <s v="excluir"/>
    <s v="no semana"/>
    <x v="0"/>
  </r>
  <r>
    <n v="1200002615"/>
    <d v="2025-11-19T00:00:00"/>
    <n v="2649480"/>
    <s v="Cheque de terceros tucumán"/>
    <x v="830"/>
    <n v="2649480"/>
    <x v="141"/>
    <x v="1"/>
    <s v="pagado"/>
    <s v="pagado"/>
    <s v="excluir"/>
    <s v="no semana"/>
    <x v="0"/>
  </r>
  <r>
    <n v="1200002615"/>
    <d v="2025-11-19T00:00:00"/>
    <n v="13708856"/>
    <s v="Cheque de terceros tucumán"/>
    <x v="831"/>
    <n v="13708856"/>
    <x v="141"/>
    <x v="1"/>
    <s v="pagado"/>
    <s v="pagado"/>
    <s v="excluir"/>
    <s v="no semana"/>
    <x v="0"/>
  </r>
  <r>
    <n v="1200002615"/>
    <d v="2025-11-19T00:00:00"/>
    <n v="15396681.859999999"/>
    <s v="Cheque de terceros tucumán"/>
    <x v="832"/>
    <n v="15396681.859999999"/>
    <x v="141"/>
    <x v="1"/>
    <s v="pagado"/>
    <s v="pagado"/>
    <s v="excluir"/>
    <s v="no semana"/>
    <x v="0"/>
  </r>
  <r>
    <n v="1200002615"/>
    <d v="2025-11-19T00:00:00"/>
    <n v="20121292.77"/>
    <s v="Cheque de terceros tucumán"/>
    <x v="833"/>
    <n v="20121292.77"/>
    <x v="141"/>
    <x v="1"/>
    <s v="pagado"/>
    <s v="pagado"/>
    <s v="excluir"/>
    <s v="no semana"/>
    <x v="0"/>
  </r>
  <r>
    <n v="1200002615"/>
    <d v="2025-11-19T00:00:00"/>
    <n v="28099555.68"/>
    <s v="Cheque de terceros tucumán"/>
    <x v="834"/>
    <n v="28099555.68"/>
    <x v="141"/>
    <x v="1"/>
    <s v="pagado"/>
    <s v="pagado"/>
    <s v="excluir"/>
    <s v="no semana"/>
    <x v="0"/>
  </r>
  <r>
    <n v="1200002615"/>
    <d v="2025-11-19T00:00:00"/>
    <n v="26642915.32"/>
    <s v="Cheque de terceros tucumán"/>
    <x v="835"/>
    <n v="26642915.32"/>
    <x v="141"/>
    <x v="1"/>
    <s v="pagado"/>
    <s v="pagado"/>
    <s v="excluir"/>
    <s v="no semana"/>
    <x v="0"/>
  </r>
  <r>
    <n v="1200002615"/>
    <d v="2025-11-19T00:00:00"/>
    <n v="49286997.939999998"/>
    <s v="Cheque de terceros tucumán"/>
    <x v="836"/>
    <n v="49286997.939999998"/>
    <x v="141"/>
    <x v="1"/>
    <s v="pagado"/>
    <s v="pagado"/>
    <s v="excluir"/>
    <s v="no semana"/>
    <x v="0"/>
  </r>
  <r>
    <n v="1200002615"/>
    <d v="2025-11-19T00:00:00"/>
    <n v="7240091.5300000003"/>
    <s v="Cheque de terceros tucumán"/>
    <x v="837"/>
    <n v="7240091.5300000003"/>
    <x v="141"/>
    <x v="1"/>
    <s v="pagado"/>
    <s v="pagado"/>
    <s v="excluir"/>
    <s v="no semana"/>
    <x v="0"/>
  </r>
  <r>
    <n v="1200002615"/>
    <d v="2025-11-19T00:00:00"/>
    <n v="14990000"/>
    <s v="Cheque de terceros tucumán"/>
    <x v="838"/>
    <n v="14990000"/>
    <x v="141"/>
    <x v="1"/>
    <s v="pagado"/>
    <s v="pagado"/>
    <s v="excluir"/>
    <s v="no semana"/>
    <x v="0"/>
  </r>
  <r>
    <n v="1200002615"/>
    <d v="2025-11-19T00:00:00"/>
    <n v="6711717.5"/>
    <s v="Cheque de terceros tucumán"/>
    <x v="839"/>
    <n v="6711717.5"/>
    <x v="141"/>
    <x v="1"/>
    <s v="pagado"/>
    <s v="pagado"/>
    <s v="excluir"/>
    <s v="no semana"/>
    <x v="0"/>
  </r>
  <r>
    <n v="1200002615"/>
    <d v="2025-11-19T00:00:00"/>
    <n v="5582050"/>
    <s v="Cheque de terceros tucumán"/>
    <x v="840"/>
    <n v="5582050"/>
    <x v="141"/>
    <x v="1"/>
    <s v="pagado"/>
    <s v="pagado"/>
    <s v="excluir"/>
    <s v="no semana"/>
    <x v="0"/>
  </r>
  <r>
    <n v="1200002615"/>
    <d v="2025-11-19T00:00:00"/>
    <n v="7101176.3300000001"/>
    <s v="Cheque de terceros tucumán"/>
    <x v="841"/>
    <n v="7101176.3300000001"/>
    <x v="141"/>
    <x v="1"/>
    <s v="pagado"/>
    <s v="pagado"/>
    <s v="excluir"/>
    <s v="no semana"/>
    <x v="0"/>
  </r>
  <r>
    <n v="1200002615"/>
    <d v="2025-11-19T00:00:00"/>
    <n v="3097373.68"/>
    <s v="Cheque de terceros tucumán"/>
    <x v="842"/>
    <n v="3097373.68"/>
    <x v="141"/>
    <x v="1"/>
    <s v="pagado"/>
    <s v="pagado"/>
    <s v="excluir"/>
    <s v="no semana"/>
    <x v="0"/>
  </r>
  <r>
    <n v="1200002615"/>
    <d v="2025-11-19T00:00:00"/>
    <n v="5535371.6699999999"/>
    <s v="Cheque de terceros tucumán"/>
    <x v="843"/>
    <n v="5535371.6699999999"/>
    <x v="141"/>
    <x v="1"/>
    <s v="pagado"/>
    <s v="pagado"/>
    <s v="excluir"/>
    <s v="no semana"/>
    <x v="0"/>
  </r>
  <r>
    <n v="1200002615"/>
    <d v="2025-11-19T00:00:00"/>
    <n v="3040467.88"/>
    <s v="Cheque de terceros tucumán"/>
    <x v="844"/>
    <n v="3040467.88"/>
    <x v="141"/>
    <x v="1"/>
    <s v="pagado"/>
    <s v="pagado"/>
    <s v="excluir"/>
    <s v="no semana"/>
    <x v="0"/>
  </r>
  <r>
    <n v="1200002615"/>
    <d v="2025-11-19T00:00:00"/>
    <n v="4987180.42"/>
    <s v="Cheque de terceros tucumán"/>
    <x v="845"/>
    <n v="4987180.42"/>
    <x v="141"/>
    <x v="1"/>
    <s v="pagado"/>
    <s v="pagado"/>
    <s v="excluir"/>
    <s v="no semana"/>
    <x v="0"/>
  </r>
  <r>
    <n v="1200002615"/>
    <d v="2025-11-19T00:00:00"/>
    <n v="40033196.640000001"/>
    <s v="Cheque de terceros tucumán"/>
    <x v="846"/>
    <n v="40033196.640000001"/>
    <x v="141"/>
    <x v="1"/>
    <s v="pagado"/>
    <s v="pagado"/>
    <s v="excluir"/>
    <s v="no semana"/>
    <x v="0"/>
  </r>
  <r>
    <n v="1200002615"/>
    <d v="2025-11-19T00:00:00"/>
    <n v="13919321.5"/>
    <s v="Cheque de terceros tucumán"/>
    <x v="847"/>
    <n v="13919321.5"/>
    <x v="141"/>
    <x v="1"/>
    <s v="pagado"/>
    <s v="pagado"/>
    <s v="excluir"/>
    <s v="no semana"/>
    <x v="0"/>
  </r>
  <r>
    <n v="1200002615"/>
    <d v="2025-11-19T00:00:00"/>
    <n v="7513475.2000000002"/>
    <s v="Cheque de terceros tucumán"/>
    <x v="848"/>
    <n v="7513475.2000000002"/>
    <x v="141"/>
    <x v="1"/>
    <s v="pagado"/>
    <s v="pagado"/>
    <s v="excluir"/>
    <s v="no semana"/>
    <x v="0"/>
  </r>
  <r>
    <n v="3000001664"/>
    <d v="2025-11-19T00:00:00"/>
    <n v="4000985.2"/>
    <s v="AGROTRANSPORTE ALDAO S.A. CAMILO ALDAO 03"/>
    <x v="849"/>
    <n v="4000985.2"/>
    <x v="141"/>
    <x v="1"/>
    <s v="pagado"/>
    <s v="pagado"/>
    <s v="excluir"/>
    <s v="no semana"/>
    <x v="0"/>
  </r>
  <r>
    <n v="3000001665"/>
    <d v="2025-11-19T00:00:00"/>
    <n v="2244632.56"/>
    <s v="TRANSPORTE LAVENIA SAS LASTENIA 14"/>
    <x v="850"/>
    <n v="2244632.56"/>
    <x v="141"/>
    <x v="1"/>
    <s v="pagado"/>
    <s v="pagado"/>
    <s v="excluir"/>
    <s v="no semana"/>
    <x v="0"/>
  </r>
  <r>
    <n v="3000001666"/>
    <d v="2025-11-19T00:00:00"/>
    <n v="3672983.02"/>
    <s v="FOLMER SERGIO NICOLAS entre rios 05"/>
    <x v="851"/>
    <n v="3672983.02"/>
    <x v="141"/>
    <x v="1"/>
    <s v="pagado"/>
    <s v="pagado"/>
    <s v="excluir"/>
    <s v="no semana"/>
    <x v="0"/>
  </r>
  <r>
    <n v="3000001667"/>
    <d v="2025-11-19T00:00:00"/>
    <n v="6100578.6900000004"/>
    <s v="RAMIREZ CECILIA LORENA LAS LAJITAS 09"/>
    <x v="852"/>
    <n v="6100578.6900000004"/>
    <x v="141"/>
    <x v="1"/>
    <s v="pagado"/>
    <s v="pagado"/>
    <s v="excluir"/>
    <s v="no semana"/>
    <x v="0"/>
  </r>
  <r>
    <n v="3000001668"/>
    <d v="2025-11-19T00:00:00"/>
    <n v="5926607.2300000004"/>
    <s v="JAVIER EDUARDO PRADO FLORIDA 13"/>
    <x v="853"/>
    <n v="5926607.2300000004"/>
    <x v="141"/>
    <x v="1"/>
    <s v="pagado"/>
    <s v="pagado"/>
    <s v="excluir"/>
    <s v="no semana"/>
    <x v="0"/>
  </r>
  <r>
    <n v="3000001669"/>
    <d v="2025-11-19T00:00:00"/>
    <n v="3708431.34"/>
    <s v="GUIFFREY MARCELO GUSTAVO VILLA ELISA 05"/>
    <x v="854"/>
    <n v="3708431.34"/>
    <x v="141"/>
    <x v="1"/>
    <s v="pagado"/>
    <s v="pagado"/>
    <s v="excluir"/>
    <s v="no semana"/>
    <x v="0"/>
  </r>
  <r>
    <n v="3000001695"/>
    <d v="2025-12-01T00:00:00"/>
    <m/>
    <s v="Anulado"/>
    <x v="855"/>
    <n v="0"/>
    <x v="143"/>
    <x v="1"/>
    <s v="no pagado"/>
    <s v="fuera de fecha"/>
    <s v="excluir"/>
    <s v="no semana"/>
    <x v="0"/>
  </r>
  <r>
    <n v="3000001696"/>
    <d v="2025-12-01T00:00:00"/>
    <n v="10615596.67"/>
    <s v="DANIEL MARCELO GUERRERO ALDERETES 14"/>
    <x v="856"/>
    <n v="10615596.67"/>
    <x v="143"/>
    <x v="1"/>
    <s v="no pagado"/>
    <s v="fuera de fecha"/>
    <s v="excluir"/>
    <s v="no semana"/>
    <x v="0"/>
  </r>
  <r>
    <n v="3000001697"/>
    <d v="2025-12-01T00:00:00"/>
    <n v="12703203.82"/>
    <s v="EMPRENDIMIENTOS ASSUN S.A. SANTIAGO DEL ESTERO 13"/>
    <x v="857"/>
    <n v="12703203.82"/>
    <x v="143"/>
    <x v="1"/>
    <s v="pagado"/>
    <s v="pagado"/>
    <s v="excluir"/>
    <s v="no semana"/>
    <x v="0"/>
  </r>
  <r>
    <n v="3000001698"/>
    <d v="2025-12-01T00:00:00"/>
    <n v="3133343.4"/>
    <s v="SALTOS JOSUE GONZALO NUEVA ESPERANZA 13"/>
    <x v="858"/>
    <n v="3133343.4"/>
    <x v="143"/>
    <x v="1"/>
    <s v="pagado"/>
    <s v="pagado"/>
    <s v="excluir"/>
    <s v="no semana"/>
    <x v="0"/>
  </r>
  <r>
    <n v="3000001699"/>
    <d v="2025-12-01T00:00:00"/>
    <n v="3994274.89"/>
    <s v="GDM ARGENTINA SA Chacabuco 01"/>
    <x v="859"/>
    <n v="3994274.89"/>
    <x v="143"/>
    <x v="1"/>
    <s v="pagado"/>
    <s v="pagado"/>
    <s v="excluir"/>
    <s v="no semana"/>
    <x v="0"/>
  </r>
  <r>
    <n v="3000001700"/>
    <d v="2025-12-01T00:00:00"/>
    <n v="13302377.59"/>
    <s v="GOMEZ JESSICA NOELIA LAS TALITAS 14"/>
    <x v="860"/>
    <n v="13302377.59"/>
    <x v="144"/>
    <x v="1"/>
    <s v="pagado"/>
    <s v="pagado"/>
    <s v="excluir"/>
    <s v="no semana"/>
    <x v="0"/>
  </r>
  <r>
    <n v="3000001701"/>
    <d v="2025-12-01T00:00:00"/>
    <n v="6789793.4000000004"/>
    <s v="SERVICOM S.R.L SAN MIGUEL DE TUCUMAN 14"/>
    <x v="861"/>
    <n v="6789793.4000000004"/>
    <x v="144"/>
    <x v="1"/>
    <s v="pagado"/>
    <s v="pagado"/>
    <s v="excluir"/>
    <s v="no semana"/>
    <x v="0"/>
  </r>
  <r>
    <n v="3000001702"/>
    <d v="2025-12-01T00:00:00"/>
    <n v="4297443.43"/>
    <s v="UDRIZARD VIVIANA ISABEL CONCORDIA 05"/>
    <x v="862"/>
    <n v="4297443.43"/>
    <x v="144"/>
    <x v="1"/>
    <s v="pagado"/>
    <s v="pagado"/>
    <s v="excluir"/>
    <s v="no semana"/>
    <x v="0"/>
  </r>
  <r>
    <n v="3000001703"/>
    <d v="2025-12-01T00:00:00"/>
    <n v="24755560"/>
    <s v="SALTOS JOSUE GONZALO NUEVA ESPERANZA 13"/>
    <x v="863"/>
    <n v="24755560"/>
    <x v="144"/>
    <x v="1"/>
    <s v="pagado"/>
    <s v="pagado"/>
    <s v="excluir"/>
    <s v="no semana"/>
    <x v="0"/>
  </r>
  <r>
    <n v="3000001704"/>
    <d v="2025-12-01T00:00:00"/>
    <n v="4600000"/>
    <s v="Pulmajo S.R.L. CONCEPCION 14"/>
    <x v="864"/>
    <n v="4600000"/>
    <x v="144"/>
    <x v="1"/>
    <s v="pagado"/>
    <s v="pagado"/>
    <s v="excluir"/>
    <s v="no semana"/>
    <x v="0"/>
  </r>
  <r>
    <n v="3000001704"/>
    <d v="2025-12-01T00:00:00"/>
    <n v="3000000"/>
    <s v="Pulmajo S.R.L. CONCEPCION 14"/>
    <x v="865"/>
    <n v="3000000"/>
    <x v="144"/>
    <x v="1"/>
    <s v="pagado"/>
    <s v="pagado"/>
    <s v="excluir"/>
    <s v="no semana"/>
    <x v="0"/>
  </r>
  <r>
    <n v="3000001704"/>
    <d v="2025-12-01T00:00:00"/>
    <n v="5000000"/>
    <s v="Pulmajo S.R.L. CONCEPCION 14"/>
    <x v="866"/>
    <n v="5000000"/>
    <x v="144"/>
    <x v="1"/>
    <s v="pagado"/>
    <s v="pagado"/>
    <s v="excluir"/>
    <s v="no semana"/>
    <x v="0"/>
  </r>
  <r>
    <n v="3000001704"/>
    <d v="2025-12-01T00:00:00"/>
    <n v="5000000"/>
    <s v="Pulmajo S.R.L. CONCEPCION 14"/>
    <x v="867"/>
    <n v="5000000"/>
    <x v="144"/>
    <x v="1"/>
    <s v="pagado"/>
    <s v="pagado"/>
    <s v="excluir"/>
    <s v="no semana"/>
    <x v="0"/>
  </r>
  <r>
    <n v="3000001704"/>
    <d v="2025-12-01T00:00:00"/>
    <n v="5000000"/>
    <s v="Pulmajo S.R.L. CONCEPCION 14"/>
    <x v="868"/>
    <n v="5000000"/>
    <x v="144"/>
    <x v="1"/>
    <s v="pagado"/>
    <s v="pagado"/>
    <s v="excluir"/>
    <s v="no semana"/>
    <x v="0"/>
  </r>
  <r>
    <n v="3000001704"/>
    <d v="2025-12-01T00:00:00"/>
    <n v="3136140.4"/>
    <s v="Pulmajo S.R.L. CONCEPCION 14"/>
    <x v="869"/>
    <n v="3136140.4"/>
    <x v="144"/>
    <x v="1"/>
    <s v="pagado"/>
    <s v="pagado"/>
    <s v="excluir"/>
    <s v="no semana"/>
    <x v="0"/>
  </r>
  <r>
    <n v="3000001706"/>
    <d v="2025-12-02T00:00:00"/>
    <n v="63600000"/>
    <s v="TENSAC S.H. SAN MIGUEL DE TUCUMAN 14"/>
    <x v="870"/>
    <n v="63600000"/>
    <x v="145"/>
    <x v="1"/>
    <s v="pagado"/>
    <s v="pagado"/>
    <s v="excluir"/>
    <s v="no semana"/>
    <x v="0"/>
  </r>
  <r>
    <n v="3000001706"/>
    <d v="2025-12-02T00:00:00"/>
    <n v="63601602.25"/>
    <s v="TENSAC S.H. SAN MIGUEL DE TUCUMAN 14"/>
    <x v="871"/>
    <n v="63601602.25"/>
    <x v="146"/>
    <x v="1"/>
    <s v="pagado"/>
    <s v="pagado"/>
    <s v="excluir"/>
    <s v="no semana"/>
    <x v="0"/>
  </r>
  <r>
    <n v="3000001709"/>
    <d v="2025-12-03T00:00:00"/>
    <n v="6570120.8600000003"/>
    <s v="AGROGANADERA DEL NOA CEVIL POZO 14"/>
    <x v="872"/>
    <n v="6570120.8600000003"/>
    <x v="143"/>
    <x v="1"/>
    <s v="pagado"/>
    <s v="pagado"/>
    <s v="excluir"/>
    <s v="no semana"/>
    <x v="0"/>
  </r>
  <r>
    <n v="3000001709"/>
    <d v="2025-12-03T00:00:00"/>
    <n v="12964401.23"/>
    <s v="AGROGANADERA DEL NOA CEVIL POZO 14"/>
    <x v="873"/>
    <n v="12964401.23"/>
    <x v="144"/>
    <x v="1"/>
    <s v="pagado"/>
    <s v="pagado"/>
    <s v="excluir"/>
    <s v="no semana"/>
    <x v="0"/>
  </r>
  <r>
    <n v="3000001709"/>
    <d v="2025-12-03T00:00:00"/>
    <n v="5854966.75"/>
    <s v="AGROGANADERA DEL NOA CEVIL POZO 14"/>
    <x v="874"/>
    <n v="5854966.75"/>
    <x v="143"/>
    <x v="1"/>
    <s v="pagado"/>
    <s v="pagado"/>
    <s v="excluir"/>
    <s v="no semana"/>
    <x v="0"/>
  </r>
  <r>
    <n v="1200002672"/>
    <d v="2025-12-04T00:00:00"/>
    <n v="18979810.989999998"/>
    <s v="Cheque de terceros TUCUMAN"/>
    <x v="875"/>
    <n v="18979810.989999998"/>
    <x v="147"/>
    <x v="1"/>
    <s v="pagado"/>
    <s v="pagado"/>
    <s v="excluir"/>
    <s v="no semana"/>
    <x v="0"/>
  </r>
  <r>
    <n v="3000001720"/>
    <d v="2025-12-04T00:00:00"/>
    <n v="45104674.950000003"/>
    <s v="TRANSPORTE BARBERAN HNOS SRL CHABAS 12"/>
    <x v="876"/>
    <n v="45104674.950000003"/>
    <x v="148"/>
    <x v="1"/>
    <s v="pagado"/>
    <s v="pagado"/>
    <s v="excluir"/>
    <s v="no semana"/>
    <x v="0"/>
  </r>
  <r>
    <n v="3000001721"/>
    <d v="2025-12-04T00:00:00"/>
    <n v="33123719.050000001"/>
    <s v="TRANSPORTE LAVENIA SAS LASTENIA 14"/>
    <x v="877"/>
    <n v="33123719.050000001"/>
    <x v="148"/>
    <x v="1"/>
    <s v="pagado"/>
    <s v="pagado"/>
    <s v="excluir"/>
    <s v="no semana"/>
    <x v="0"/>
  </r>
  <r>
    <n v="3000001722"/>
    <d v="2025-12-04T00:00:00"/>
    <n v="6356476.9000000004"/>
    <s v="LOGISTICA CENTRO S.R.L CORONDA 12"/>
    <x v="878"/>
    <n v="6356476.9000000004"/>
    <x v="144"/>
    <x v="1"/>
    <s v="pagado"/>
    <s v="pagado"/>
    <s v="excluir"/>
    <s v="no semana"/>
    <x v="0"/>
  </r>
  <r>
    <n v="3000001723"/>
    <d v="2025-12-04T00:00:00"/>
    <n v="5345038.4000000004"/>
    <s v="SAN LORENZO CEREALES S.R.L SAN LORENZO 12"/>
    <x v="879"/>
    <n v="5345038.4000000004"/>
    <x v="148"/>
    <x v="1"/>
    <s v="pagado"/>
    <s v="pagado"/>
    <s v="excluir"/>
    <s v="no semana"/>
    <x v="0"/>
  </r>
  <r>
    <n v="3000001724"/>
    <d v="2025-12-04T00:00:00"/>
    <n v="4999217.92"/>
    <s v="FERNANDEZ CESAR ANDRES ALEJANDSALTA 09"/>
    <x v="880"/>
    <n v="4999217.92"/>
    <x v="144"/>
    <x v="1"/>
    <s v="pagado"/>
    <s v="pagado"/>
    <s v="excluir"/>
    <s v="no semana"/>
    <x v="0"/>
  </r>
  <r>
    <n v="3000001725"/>
    <d v="2025-12-04T00:00:00"/>
    <n v="3825767.92"/>
    <s v="LOGISTICA DEL NORTE S.R.L. SAN MIGUEL DE TUCUMAN 14"/>
    <x v="881"/>
    <n v="3825767.92"/>
    <x v="144"/>
    <x v="1"/>
    <s v="pagado"/>
    <s v="pagado"/>
    <s v="excluir"/>
    <s v="no semana"/>
    <x v="0"/>
  </r>
  <r>
    <n v="3000001726"/>
    <d v="2025-12-04T00:00:00"/>
    <n v="15051976.699999999"/>
    <s v="ANTONACCI LUIS GABRIEL LA FLORIDA 14"/>
    <x v="882"/>
    <n v="15051976.699999999"/>
    <x v="148"/>
    <x v="1"/>
    <s v="pagado"/>
    <s v="pagado"/>
    <s v="excluir"/>
    <s v="no semana"/>
    <x v="0"/>
  </r>
  <r>
    <n v="3000001727"/>
    <d v="2025-12-04T00:00:00"/>
    <n v="4547308.76"/>
    <s v="TRANS TRUCKS SRL SOLDINI 12"/>
    <x v="883"/>
    <n v="4547308.76"/>
    <x v="148"/>
    <x v="1"/>
    <s v="pagado"/>
    <s v="pagado"/>
    <s v="excluir"/>
    <s v="no semana"/>
    <x v="0"/>
  </r>
  <r>
    <n v="3000001728"/>
    <d v="2025-12-04T00:00:00"/>
    <n v="4094116.23"/>
    <s v="LENARDUZZI DIEGO LEONARDO SAN JUSTO 12"/>
    <x v="884"/>
    <n v="4094116.23"/>
    <x v="148"/>
    <x v="1"/>
    <s v="pagado"/>
    <s v="pagado"/>
    <s v="excluir"/>
    <s v="no semana"/>
    <x v="0"/>
  </r>
  <r>
    <n v="3000001696"/>
    <d v="2025-12-04T00:00:00"/>
    <n v="10615596.67"/>
    <s v="DANIEL MARCELO GUERRERO ALDERETES 14"/>
    <x v="885"/>
    <n v="10615596.67"/>
    <x v="143"/>
    <x v="1"/>
    <s v="pagado"/>
    <s v="pagado"/>
    <s v="excluir"/>
    <s v="no semana"/>
    <x v="0"/>
  </r>
  <r>
    <n v="3000001754"/>
    <d v="2025-12-10T00:00:00"/>
    <n v="20900000"/>
    <s v="Medina Lauro Jose Las Cejas 14"/>
    <x v="886"/>
    <n v="20900000"/>
    <x v="136"/>
    <x v="1"/>
    <s v="pagado"/>
    <s v="pagado"/>
    <s v="excluir"/>
    <s v="no semana"/>
    <x v="0"/>
  </r>
  <r>
    <n v="3000001755"/>
    <d v="2025-12-10T00:00:00"/>
    <n v="24076343.399999999"/>
    <s v="MARIA FERNANDA SRL LA TRINIDAD 14"/>
    <x v="887"/>
    <n v="24076343.399999999"/>
    <x v="136"/>
    <x v="1"/>
    <s v="pagado"/>
    <s v="pagado"/>
    <s v="excluir"/>
    <s v="no semana"/>
    <x v="0"/>
  </r>
  <r>
    <n v="3000001756"/>
    <d v="2025-12-10T00:00:00"/>
    <n v="18956952.289999999"/>
    <s v="JAVIER EDUARDO PRADO FLORIDA 13"/>
    <x v="888"/>
    <n v="18956952.289999999"/>
    <x v="136"/>
    <x v="1"/>
    <s v="pagado"/>
    <s v="pagado"/>
    <s v="excluir"/>
    <s v="no semana"/>
    <x v="0"/>
  </r>
  <r>
    <n v="3000001757"/>
    <d v="2025-12-10T00:00:00"/>
    <n v="8601128.9499999993"/>
    <s v="ANJOR SA CORDOBA 03"/>
    <x v="889"/>
    <n v="8601128.9499999993"/>
    <x v="136"/>
    <x v="1"/>
    <s v="pagado"/>
    <s v="pagado"/>
    <s v="excluir"/>
    <s v="no semana"/>
    <x v="0"/>
  </r>
  <r>
    <n v="3000001758"/>
    <d v="2025-12-10T00:00:00"/>
    <n v="16796628.82"/>
    <s v="LEGUMBRES SACIFIA SAN MIGUEL DE TUCUMAN 14"/>
    <x v="890"/>
    <n v="16796628.82"/>
    <x v="136"/>
    <x v="1"/>
    <s v="pagado"/>
    <s v="pagado"/>
    <s v="excluir"/>
    <s v="no semana"/>
    <x v="0"/>
  </r>
  <r>
    <n v="3000001759"/>
    <d v="2025-12-10T00:00:00"/>
    <n v="8200167.6100000003"/>
    <s v="SERVICOM S.R.L SAN MIGUEL DE TUCUMAN 14"/>
    <x v="891"/>
    <n v="8200167.6100000003"/>
    <x v="136"/>
    <x v="1"/>
    <s v="pagado"/>
    <s v="pagado"/>
    <s v="excluir"/>
    <s v="no semana"/>
    <x v="0"/>
  </r>
  <r>
    <n v="3000001760"/>
    <d v="2025-12-10T00:00:00"/>
    <n v="6000000"/>
    <s v="AYALA WALTER DANIEL ALDERETES 14"/>
    <x v="892"/>
    <n v="6000000"/>
    <x v="136"/>
    <x v="1"/>
    <s v="pagado"/>
    <s v="pagado"/>
    <s v="excluir"/>
    <s v="no semana"/>
    <x v="0"/>
  </r>
  <r>
    <n v="3000001760"/>
    <d v="2025-12-10T00:00:00"/>
    <n v="6000000"/>
    <s v="AYALA WALTER DANIEL ALDERETES 14"/>
    <x v="893"/>
    <n v="6000000"/>
    <x v="136"/>
    <x v="1"/>
    <s v="pagado"/>
    <s v="pagado"/>
    <s v="excluir"/>
    <s v="no semana"/>
    <x v="0"/>
  </r>
  <r>
    <n v="3000001760"/>
    <d v="2025-12-10T00:00:00"/>
    <n v="6000000"/>
    <s v="AYALA WALTER DANIEL ALDERETES 14"/>
    <x v="894"/>
    <n v="6000000"/>
    <x v="149"/>
    <x v="1"/>
    <s v="pagado"/>
    <s v="pagado"/>
    <s v="excluir"/>
    <s v="no semana"/>
    <x v="0"/>
  </r>
  <r>
    <n v="3000001760"/>
    <d v="2025-12-10T00:00:00"/>
    <n v="8778452.2699999996"/>
    <s v="AYALA WALTER DANIEL ALDERETES 14"/>
    <x v="895"/>
    <n v="8778452.2699999996"/>
    <x v="149"/>
    <x v="1"/>
    <s v="pagado"/>
    <s v="pagado"/>
    <s v="excluir"/>
    <s v="no semana"/>
    <x v="0"/>
  </r>
  <r>
    <n v="3000001761"/>
    <d v="2025-12-11T00:00:00"/>
    <n v="18400000"/>
    <s v="TENSAC S.H. SAN MIGUEL DE TUCUMAN 14"/>
    <x v="896"/>
    <n v="18400000"/>
    <x v="150"/>
    <x v="1"/>
    <s v="pagado"/>
    <s v="pagado"/>
    <s v="excluir"/>
    <s v="no semana"/>
    <x v="0"/>
  </r>
  <r>
    <n v="3000001761"/>
    <d v="2025-12-11T00:00:00"/>
    <n v="18387781.25"/>
    <s v="TENSAC S.H. SAN MIGUEL DE TUCUMAN 14"/>
    <x v="897"/>
    <n v="18387781.25"/>
    <x v="151"/>
    <x v="1"/>
    <s v="pagado"/>
    <s v="pagado"/>
    <s v="excluir"/>
    <s v="no semana"/>
    <x v="0"/>
  </r>
  <r>
    <n v="3000001762"/>
    <d v="2025-12-11T00:00:00"/>
    <n v="38500000"/>
    <s v="Gulf Oil Argentina SA Lomas Del Mirador 01"/>
    <x v="898"/>
    <n v="38500000"/>
    <x v="152"/>
    <x v="1"/>
    <s v="pagado"/>
    <s v="pagado"/>
    <s v="excluir"/>
    <s v="no semana"/>
    <x v="0"/>
  </r>
  <r>
    <n v="3000001762"/>
    <d v="2025-12-11T00:00:00"/>
    <n v="38103800"/>
    <s v="Gulf Oil Argentina SA Lomas Del Mirador 01"/>
    <x v="899"/>
    <n v="38103800"/>
    <x v="153"/>
    <x v="1"/>
    <s v="pagado"/>
    <s v="pagado"/>
    <s v="excluir"/>
    <s v="no semana"/>
    <x v="0"/>
  </r>
  <r>
    <n v="3000001770"/>
    <d v="2025-12-12T00:00:00"/>
    <n v="17292780"/>
    <s v="EDET S.A. SAN MIGUEL DE TUCUMAN 14"/>
    <x v="900"/>
    <n v="17292780"/>
    <x v="128"/>
    <x v="1"/>
    <s v="pagado"/>
    <s v="pagado"/>
    <s v="excluir"/>
    <s v="no semana"/>
    <x v="0"/>
  </r>
  <r>
    <n v="3000001771"/>
    <d v="2025-12-12T00:00:00"/>
    <n v="6260578.0999999996"/>
    <s v="SAN LORENZO CEREALES S.R.L SAN LORENZO 12"/>
    <x v="901"/>
    <n v="6260578.0999999996"/>
    <x v="154"/>
    <x v="1"/>
    <s v="pagado"/>
    <s v="pagado"/>
    <s v="excluir"/>
    <s v="no semana"/>
    <x v="0"/>
  </r>
  <r>
    <n v="3000001776"/>
    <d v="2025-12-15T00:00:00"/>
    <n v="2085598.12"/>
    <s v="ELIAS LUCIANO EMANUEL LAS TALITAS 14"/>
    <x v="902"/>
    <n v="2085598.12"/>
    <x v="154"/>
    <x v="1"/>
    <s v="pagado"/>
    <s v="pagado"/>
    <s v="excluir"/>
    <s v="no semana"/>
    <x v="0"/>
  </r>
  <r>
    <n v="3000001777"/>
    <d v="2025-12-15T00:00:00"/>
    <n v="10951808.130000001"/>
    <s v="DANIEL MARCELO GUERRERO ALDERETES 14"/>
    <x v="903"/>
    <n v="10951808.130000001"/>
    <x v="154"/>
    <x v="1"/>
    <s v="pagado"/>
    <s v="pagado"/>
    <s v="excluir"/>
    <s v="no semana"/>
    <x v="0"/>
  </r>
  <r>
    <n v="3000001778"/>
    <d v="2025-12-15T00:00:00"/>
    <n v="7251743.4000000004"/>
    <s v="MARTO ALBERTO ANTONIO LA RAMADA DE ABAJO 14"/>
    <x v="904"/>
    <n v="7251743.4000000004"/>
    <x v="154"/>
    <x v="1"/>
    <s v="pagado"/>
    <s v="pagado"/>
    <s v="excluir"/>
    <s v="no semana"/>
    <x v="0"/>
  </r>
  <r>
    <n v="3000001779"/>
    <d v="2025-12-15T00:00:00"/>
    <n v="12552811.640000001"/>
    <s v="PETROANDINA S.R.L SALTA 09"/>
    <x v="905"/>
    <n v="12552811.640000001"/>
    <x v="154"/>
    <x v="1"/>
    <s v="pagado"/>
    <s v="pagado"/>
    <s v="excluir"/>
    <s v="no semana"/>
    <x v="0"/>
  </r>
  <r>
    <n v="3000001780"/>
    <d v="2025-12-15T00:00:00"/>
    <n v="13569065.949999999"/>
    <s v="LIZONDO OSCAR FABIAN METAN 09"/>
    <x v="906"/>
    <n v="13569065.949999999"/>
    <x v="154"/>
    <x v="1"/>
    <s v="pagado"/>
    <s v="pagado"/>
    <s v="excluir"/>
    <s v="no semana"/>
    <x v="0"/>
  </r>
  <r>
    <n v="3000001781"/>
    <d v="2025-12-15T00:00:00"/>
    <n v="21000000"/>
    <s v="Medina Lauro Jose Las Cejas 14"/>
    <x v="907"/>
    <n v="21000000"/>
    <x v="154"/>
    <x v="1"/>
    <s v="pagado"/>
    <s v="pagado"/>
    <s v="excluir"/>
    <s v="no semana"/>
    <x v="0"/>
  </r>
  <r>
    <n v="3000001781"/>
    <d v="2025-12-15T00:00:00"/>
    <n v="21016812.399999999"/>
    <s v="Medina Lauro Jose Las Cejas 14"/>
    <x v="908"/>
    <n v="21016812.399999999"/>
    <x v="155"/>
    <x v="1"/>
    <s v="pagado"/>
    <s v="pagado"/>
    <s v="excluir"/>
    <s v="no semana"/>
    <x v="0"/>
  </r>
  <r>
    <n v="3000001782"/>
    <d v="2025-12-15T00:00:00"/>
    <n v="6564286.2400000002"/>
    <s v="GRUPO MARGEN DEL NOA SA YERBA BUENA 14"/>
    <x v="909"/>
    <n v="6564286.2400000002"/>
    <x v="154"/>
    <x v="1"/>
    <s v="pagado"/>
    <s v="pagado"/>
    <s v="excluir"/>
    <s v="no semana"/>
    <x v="0"/>
  </r>
  <r>
    <n v="3000001783"/>
    <d v="2025-12-15T00:00:00"/>
    <n v="16038063.279999999"/>
    <s v="AYALA WALTER DANIEL ALDERETES 14"/>
    <x v="910"/>
    <n v="16038063.279999999"/>
    <x v="154"/>
    <x v="1"/>
    <s v="pagado"/>
    <s v="pagado"/>
    <s v="excluir"/>
    <s v="no semana"/>
    <x v="0"/>
  </r>
  <r>
    <n v="3000001784"/>
    <d v="2025-12-15T00:00:00"/>
    <n v="21076936.75"/>
    <s v="Pulverizaciones Tuninetti S.R.Las Rosas 01"/>
    <x v="911"/>
    <n v="21076936.75"/>
    <x v="154"/>
    <x v="1"/>
    <s v="pagado"/>
    <s v="pagado"/>
    <s v="excluir"/>
    <s v="no semana"/>
    <x v="0"/>
  </r>
  <r>
    <n v="3000001785"/>
    <d v="2025-12-15T00:00:00"/>
    <n v="22366056.82"/>
    <s v="VERON MARIANA BEATRIZ NUEVA ESPERANZA 13"/>
    <x v="912"/>
    <n v="22366056.82"/>
    <x v="154"/>
    <x v="1"/>
    <s v="pagado"/>
    <s v="pagado"/>
    <s v="excluir"/>
    <s v="no semana"/>
    <x v="0"/>
  </r>
  <r>
    <n v="3000001786"/>
    <d v="2025-12-15T00:00:00"/>
    <n v="21000000"/>
    <s v="DON KOKO S.R.L CAMILO ALDAO 03"/>
    <x v="913"/>
    <n v="21000000"/>
    <x v="154"/>
    <x v="1"/>
    <s v="pagado"/>
    <s v="pagado"/>
    <s v="excluir"/>
    <s v="no semana"/>
    <x v="0"/>
  </r>
  <r>
    <n v="3000001786"/>
    <d v="2025-12-15T00:00:00"/>
    <n v="21801343.399999999"/>
    <s v="DON KOKO S.R.L CAMILO ALDAO 03"/>
    <x v="914"/>
    <n v="21801343.399999999"/>
    <x v="155"/>
    <x v="1"/>
    <s v="pagado"/>
    <s v="pagado"/>
    <s v="excluir"/>
    <s v="no semana"/>
    <x v="0"/>
  </r>
  <r>
    <n v="3000001787"/>
    <d v="2025-12-15T00:00:00"/>
    <n v="1000000"/>
    <s v="Pulmajo S.R.L. CONCEPCION 14"/>
    <x v="915"/>
    <n v="1000000"/>
    <x v="154"/>
    <x v="1"/>
    <s v="pagado"/>
    <s v="pagado"/>
    <s v="excluir"/>
    <s v="no semana"/>
    <x v="0"/>
  </r>
  <r>
    <n v="3000001787"/>
    <d v="2025-12-15T00:00:00"/>
    <n v="1000000"/>
    <s v="Pulmajo S.R.L. CONCEPCION 14"/>
    <x v="916"/>
    <n v="1000000"/>
    <x v="154"/>
    <x v="1"/>
    <s v="pagado"/>
    <s v="pagado"/>
    <s v="excluir"/>
    <s v="no semana"/>
    <x v="0"/>
  </r>
  <r>
    <n v="3000001787"/>
    <d v="2025-12-15T00:00:00"/>
    <n v="1000000"/>
    <s v="Pulmajo S.R.L. CONCEPCION 14"/>
    <x v="917"/>
    <n v="1000000"/>
    <x v="154"/>
    <x v="1"/>
    <s v="pagado"/>
    <s v="pagado"/>
    <s v="excluir"/>
    <s v="no semana"/>
    <x v="0"/>
  </r>
  <r>
    <n v="3000001787"/>
    <d v="2025-12-15T00:00:00"/>
    <n v="2000000"/>
    <s v="Pulmajo S.R.L. CONCEPCION 14"/>
    <x v="918"/>
    <n v="2000000"/>
    <x v="154"/>
    <x v="1"/>
    <s v="pagado"/>
    <s v="pagado"/>
    <s v="excluir"/>
    <s v="no semana"/>
    <x v="0"/>
  </r>
  <r>
    <n v="3000001787"/>
    <d v="2025-12-15T00:00:00"/>
    <n v="2000000"/>
    <s v="Pulmajo S.R.L. CONCEPCION 14"/>
    <x v="919"/>
    <n v="2000000"/>
    <x v="154"/>
    <x v="1"/>
    <s v="pagado"/>
    <s v="pagado"/>
    <s v="excluir"/>
    <s v="no semana"/>
    <x v="0"/>
  </r>
  <r>
    <n v="3000001787"/>
    <d v="2025-12-15T00:00:00"/>
    <n v="2000000"/>
    <s v="Pulmajo S.R.L. CONCEPCION 14"/>
    <x v="920"/>
    <n v="2000000"/>
    <x v="154"/>
    <x v="1"/>
    <s v="pagado"/>
    <s v="pagado"/>
    <s v="excluir"/>
    <s v="no semana"/>
    <x v="0"/>
  </r>
  <r>
    <n v="3000001787"/>
    <d v="2025-12-15T00:00:00"/>
    <n v="2000000"/>
    <s v="Pulmajo S.R.L. CONCEPCION 14"/>
    <x v="921"/>
    <n v="2000000"/>
    <x v="154"/>
    <x v="1"/>
    <s v="pagado"/>
    <s v="pagado"/>
    <s v="excluir"/>
    <s v="no semana"/>
    <x v="0"/>
  </r>
  <r>
    <n v="3000001787"/>
    <d v="2025-12-15T00:00:00"/>
    <n v="2000000"/>
    <s v="Pulmajo S.R.L. CONCEPCION 14"/>
    <x v="922"/>
    <n v="2000000"/>
    <x v="154"/>
    <x v="1"/>
    <s v="pagado"/>
    <s v="pagado"/>
    <s v="excluir"/>
    <s v="no semana"/>
    <x v="0"/>
  </r>
  <r>
    <n v="3000001787"/>
    <d v="2025-12-15T00:00:00"/>
    <n v="3300000"/>
    <s v="Pulmajo S.R.L. CONCEPCION 14"/>
    <x v="923"/>
    <n v="3300000"/>
    <x v="154"/>
    <x v="1"/>
    <s v="pagado"/>
    <s v="pagado"/>
    <s v="excluir"/>
    <s v="no semana"/>
    <x v="0"/>
  </r>
  <r>
    <n v="3000001787"/>
    <d v="2025-12-15T00:00:00"/>
    <n v="3300000"/>
    <s v="Pulmajo S.R.L. CONCEPCION 14"/>
    <x v="924"/>
    <n v="3300000"/>
    <x v="154"/>
    <x v="1"/>
    <s v="pagado"/>
    <s v="pagado"/>
    <s v="excluir"/>
    <s v="no semana"/>
    <x v="0"/>
  </r>
  <r>
    <n v="3000001787"/>
    <d v="2025-12-15T00:00:00"/>
    <n v="3300000"/>
    <s v="Pulmajo S.R.L. CONCEPCION 14"/>
    <x v="925"/>
    <n v="3300000"/>
    <x v="154"/>
    <x v="1"/>
    <s v="pagado"/>
    <s v="pagado"/>
    <s v="excluir"/>
    <s v="no semana"/>
    <x v="0"/>
  </r>
  <r>
    <n v="3000001787"/>
    <d v="2025-12-15T00:00:00"/>
    <n v="5000000"/>
    <s v="Pulmajo S.R.L. CONCEPCION 14"/>
    <x v="926"/>
    <n v="5000000"/>
    <x v="155"/>
    <x v="1"/>
    <s v="pagado"/>
    <s v="pagado"/>
    <s v="excluir"/>
    <s v="no semana"/>
    <x v="0"/>
  </r>
  <r>
    <n v="3000001787"/>
    <d v="2025-12-15T00:00:00"/>
    <n v="5000000"/>
    <s v="Pulmajo S.R.L. CONCEPCION 14"/>
    <x v="927"/>
    <n v="5000000"/>
    <x v="155"/>
    <x v="1"/>
    <s v="pagado"/>
    <s v="pagado"/>
    <s v="excluir"/>
    <s v="no semana"/>
    <x v="0"/>
  </r>
  <r>
    <n v="3000001787"/>
    <d v="2025-12-15T00:00:00"/>
    <n v="5000000"/>
    <s v="Pulmajo S.R.L. CONCEPCION 14"/>
    <x v="928"/>
    <n v="5000000"/>
    <x v="155"/>
    <x v="1"/>
    <s v="pagado"/>
    <s v="pagado"/>
    <s v="excluir"/>
    <s v="no semana"/>
    <x v="0"/>
  </r>
  <r>
    <n v="3000001787"/>
    <d v="2025-12-15T00:00:00"/>
    <n v="5000000"/>
    <s v="Pulmajo S.R.L. CONCEPCION 14"/>
    <x v="929"/>
    <n v="5000000"/>
    <x v="155"/>
    <x v="1"/>
    <s v="pagado"/>
    <s v="pagado"/>
    <s v="excluir"/>
    <s v="no semana"/>
    <x v="0"/>
  </r>
  <r>
    <n v="3000001787"/>
    <d v="2025-12-15T00:00:00"/>
    <n v="5000000"/>
    <s v="Pulmajo S.R.L. CONCEPCION 14"/>
    <x v="930"/>
    <n v="5000000"/>
    <x v="155"/>
    <x v="1"/>
    <s v="pagado"/>
    <s v="pagado"/>
    <s v="excluir"/>
    <s v="no semana"/>
    <x v="0"/>
  </r>
  <r>
    <n v="3000001787"/>
    <d v="2025-12-15T00:00:00"/>
    <n v="5428324.0099999998"/>
    <s v="Pulmajo S.R.L. CONCEPCION 14"/>
    <x v="931"/>
    <n v="5428324.0099999998"/>
    <x v="155"/>
    <x v="1"/>
    <s v="pagado"/>
    <s v="pagado"/>
    <s v="excluir"/>
    <s v="no semana"/>
    <x v="0"/>
  </r>
  <r>
    <n v="3000001788"/>
    <d v="2025-12-16T00:00:00"/>
    <n v="17000000"/>
    <s v="TENSAC S.H. SAN MIGUEL DE TUCUMAN 14"/>
    <x v="932"/>
    <n v="17000000"/>
    <x v="156"/>
    <x v="1"/>
    <s v="pagado"/>
    <s v="pagado"/>
    <s v="excluir"/>
    <s v="no semana"/>
    <x v="0"/>
  </r>
  <r>
    <n v="3000001788"/>
    <d v="2025-12-16T00:00:00"/>
    <n v="16466702.5"/>
    <s v="TENSAC S.H. SAN MIGUEL DE TUCUMAN 14"/>
    <x v="933"/>
    <n v="16466702.5"/>
    <x v="131"/>
    <x v="1"/>
    <s v="pagado"/>
    <s v="pagado"/>
    <s v="excluir"/>
    <s v="no semana"/>
    <x v="0"/>
  </r>
  <r>
    <n v="1200002676"/>
    <d v="2025-12-17T00:00:00"/>
    <n v="17229080.260000002"/>
    <s v="Cheque de terceros tucumán"/>
    <x v="934"/>
    <n v="17229080.260000002"/>
    <x v="157"/>
    <x v="1"/>
    <s v="pagado"/>
    <s v="pagado"/>
    <s v="excluir"/>
    <s v="no semana"/>
    <x v="0"/>
  </r>
  <r>
    <n v="1200002676"/>
    <d v="2025-12-17T00:00:00"/>
    <n v="27781394.850000001"/>
    <s v="Cheque de terceros tucumán"/>
    <x v="935"/>
    <n v="27781394.850000001"/>
    <x v="157"/>
    <x v="1"/>
    <s v="pagado"/>
    <s v="pagado"/>
    <s v="excluir"/>
    <s v="no semana"/>
    <x v="0"/>
  </r>
  <r>
    <n v="1200002676"/>
    <d v="2025-12-17T00:00:00"/>
    <n v="31000000"/>
    <s v="Cheque de terceros tucumán"/>
    <x v="936"/>
    <n v="31000000"/>
    <x v="157"/>
    <x v="1"/>
    <s v="pagado"/>
    <s v="pagado"/>
    <s v="excluir"/>
    <s v="no semana"/>
    <x v="0"/>
  </r>
  <r>
    <n v="1200002676"/>
    <d v="2025-12-17T00:00:00"/>
    <n v="19448681.600000001"/>
    <s v="Cheque de terceros tucumán"/>
    <x v="937"/>
    <n v="19448681.600000001"/>
    <x v="157"/>
    <x v="1"/>
    <s v="pagado"/>
    <s v="pagado"/>
    <s v="excluir"/>
    <s v="no semana"/>
    <x v="0"/>
  </r>
  <r>
    <n v="1200002676"/>
    <d v="2025-12-17T00:00:00"/>
    <n v="18137576.620000001"/>
    <s v="Cheque de terceros tucumán"/>
    <x v="938"/>
    <n v="18137576.620000001"/>
    <x v="157"/>
    <x v="1"/>
    <s v="pagado"/>
    <s v="pagado"/>
    <s v="excluir"/>
    <s v="no semana"/>
    <x v="0"/>
  </r>
  <r>
    <n v="1200002676"/>
    <d v="2025-12-17T00:00:00"/>
    <n v="14843933.49"/>
    <s v="Cheque de terceros tucumán"/>
    <x v="939"/>
    <n v="14843933.49"/>
    <x v="157"/>
    <x v="1"/>
    <s v="pagado"/>
    <s v="pagado"/>
    <s v="excluir"/>
    <s v="no semana"/>
    <x v="0"/>
  </r>
  <r>
    <n v="3000001804"/>
    <d v="2025-12-17T00:00:00"/>
    <n v="4093400.44"/>
    <s v="ANTONACCI LUIS GABRIEL LA FLORIDA 14"/>
    <x v="940"/>
    <n v="4093400.44"/>
    <x v="158"/>
    <x v="1"/>
    <s v="pagado"/>
    <s v="pagado"/>
    <s v="excluir"/>
    <s v="no semana"/>
    <x v="0"/>
  </r>
  <r>
    <n v="3000001805"/>
    <d v="2025-12-17T00:00:00"/>
    <n v="8410329.9499999993"/>
    <s v="JAVIER EDUARDO PRADO FLORIDA 13"/>
    <x v="941"/>
    <n v="8410329.9499999993"/>
    <x v="158"/>
    <x v="1"/>
    <s v="pagado"/>
    <s v="pagado"/>
    <s v="excluir"/>
    <s v="no semana"/>
    <x v="0"/>
  </r>
  <r>
    <n v="3000001806"/>
    <d v="2025-12-17T00:00:00"/>
    <n v="4519074.93"/>
    <s v="LANGELLA JUAN RODOLFO ALDERETES 14"/>
    <x v="942"/>
    <n v="4519074.93"/>
    <x v="158"/>
    <x v="1"/>
    <s v="pagado"/>
    <s v="pagado"/>
    <s v="excluir"/>
    <s v="no semana"/>
    <x v="0"/>
  </r>
  <r>
    <n v="3000001807"/>
    <d v="2025-12-17T00:00:00"/>
    <n v="11036942.439999999"/>
    <s v="LOGISTICA CENTRO S.R.L CORONDA 12"/>
    <x v="943"/>
    <n v="11036942.439999999"/>
    <x v="158"/>
    <x v="1"/>
    <s v="pagado"/>
    <s v="pagado"/>
    <s v="excluir"/>
    <s v="no semana"/>
    <x v="0"/>
  </r>
  <r>
    <n v="1200002680"/>
    <d v="2025-12-19T00:00:00"/>
    <n v="180027680.33000001"/>
    <s v="Cheque de terceros tucumán"/>
    <x v="944"/>
    <n v="180027680.33000001"/>
    <x v="159"/>
    <x v="1"/>
    <s v="pagado"/>
    <s v="pagado"/>
    <s v="excluir"/>
    <s v="no semana"/>
    <x v="0"/>
  </r>
  <r>
    <n v="3000001832"/>
    <d v="2025-12-23T00:00:00"/>
    <n v="6248843.4000000004"/>
    <s v="ACOSTA EMILIA ROMINA JOAQUIN V GONZALEZ 09"/>
    <x v="945"/>
    <n v="6248843.4000000004"/>
    <x v="160"/>
    <x v="1"/>
    <s v="pagado"/>
    <s v="pagado"/>
    <s v="excluir"/>
    <s v="no semana"/>
    <x v="0"/>
  </r>
  <r>
    <n v="3000001833"/>
    <d v="2025-12-23T00:00:00"/>
    <n v="2584598.85"/>
    <s v="MOLINA JUAN F. Y MOLINA ROQUE Lastenia 14"/>
    <x v="946"/>
    <n v="2584598.85"/>
    <x v="150"/>
    <x v="1"/>
    <s v="pagado"/>
    <s v="pagado"/>
    <s v="excluir"/>
    <s v="no semana"/>
    <x v="0"/>
  </r>
  <r>
    <n v="3000001833"/>
    <d v="2025-12-23T00:00:00"/>
    <n v="10755712.380000001"/>
    <s v="MOLINA JUAN F. Y MOLINA ROQUE Lastenia 14"/>
    <x v="947"/>
    <n v="10755712.380000001"/>
    <x v="160"/>
    <x v="1"/>
    <s v="pagado"/>
    <s v="pagado"/>
    <s v="excluir"/>
    <s v="no semana"/>
    <x v="0"/>
  </r>
  <r>
    <n v="3000001834"/>
    <d v="2025-12-23T00:00:00"/>
    <n v="14084236.539999999"/>
    <s v="LIZONDO OSCAR FABIAN METAN 09"/>
    <x v="948"/>
    <n v="14084236.539999999"/>
    <x v="160"/>
    <x v="1"/>
    <s v="pagado"/>
    <s v="pagado"/>
    <s v="excluir"/>
    <s v="no semana"/>
    <x v="0"/>
  </r>
  <r>
    <n v="3000001835"/>
    <d v="2025-12-23T00:00:00"/>
    <n v="25000000"/>
    <s v="Medina Lauro Jose Las Cejas 14"/>
    <x v="949"/>
    <n v="25000000"/>
    <x v="160"/>
    <x v="1"/>
    <s v="pagado"/>
    <s v="pagado"/>
    <s v="excluir"/>
    <s v="no semana"/>
    <x v="0"/>
  </r>
  <r>
    <n v="3000001835"/>
    <d v="2025-12-23T00:00:00"/>
    <n v="30752840"/>
    <s v="Medina Lauro Jose Las Cejas 14"/>
    <x v="950"/>
    <n v="30752840"/>
    <x v="161"/>
    <x v="1"/>
    <s v="pagado"/>
    <s v="pagado"/>
    <s v="excluir"/>
    <s v="no semana"/>
    <x v="0"/>
  </r>
  <r>
    <n v="3000001836"/>
    <d v="2025-12-23T00:00:00"/>
    <n v="25000000"/>
    <s v="CARIGNANO RAUL JUAN YERBA BUENA 14"/>
    <x v="951"/>
    <n v="25000000"/>
    <x v="160"/>
    <x v="1"/>
    <s v="pagado"/>
    <s v="pagado"/>
    <s v="excluir"/>
    <s v="no semana"/>
    <x v="0"/>
  </r>
  <r>
    <n v="3000001836"/>
    <d v="2025-12-23T00:00:00"/>
    <n v="31893947.140000001"/>
    <s v="CARIGNANO RAUL JUAN YERBA BUENA 14"/>
    <x v="952"/>
    <n v="31893947.140000001"/>
    <x v="161"/>
    <x v="1"/>
    <s v="pagado"/>
    <s v="pagado"/>
    <s v="excluir"/>
    <s v="no semana"/>
    <x v="0"/>
  </r>
  <r>
    <n v="3000001837"/>
    <d v="2025-12-23T00:00:00"/>
    <n v="15000000"/>
    <s v="Aso, Eduardo SAN MIGUEL DE TUCUMAN 14"/>
    <x v="953"/>
    <n v="15000000"/>
    <x v="160"/>
    <x v="1"/>
    <s v="pagado"/>
    <s v="pagado"/>
    <s v="excluir"/>
    <s v="no semana"/>
    <x v="0"/>
  </r>
  <r>
    <n v="3000001837"/>
    <d v="2025-12-23T00:00:00"/>
    <n v="12565242.27"/>
    <s v="Aso, Eduardo SAN MIGUEL DE TUCUMAN 14"/>
    <x v="954"/>
    <n v="12565242.27"/>
    <x v="161"/>
    <x v="1"/>
    <s v="pagado"/>
    <s v="pagado"/>
    <s v="excluir"/>
    <s v="no semana"/>
    <x v="0"/>
  </r>
  <r>
    <n v="3000001838"/>
    <d v="2025-12-23T00:00:00"/>
    <n v="25000000"/>
    <s v="ROMAN BARCELO Y JORGE CARRERASLAS LAJITAS 09"/>
    <x v="955"/>
    <n v="25000000"/>
    <x v="160"/>
    <x v="1"/>
    <s v="pagado"/>
    <s v="pagado"/>
    <s v="excluir"/>
    <s v="no semana"/>
    <x v="0"/>
  </r>
  <r>
    <n v="3000001838"/>
    <d v="2025-12-23T00:00:00"/>
    <n v="27261846"/>
    <s v="ROMAN BARCELO Y JORGE CARRERASLAS LAJITAS 09"/>
    <x v="956"/>
    <n v="27261846"/>
    <x v="161"/>
    <x v="1"/>
    <s v="pagado"/>
    <s v="pagado"/>
    <s v="excluir"/>
    <s v="no semana"/>
    <x v="0"/>
  </r>
  <r>
    <n v="3000001839"/>
    <d v="2025-12-23T00:00:00"/>
    <n v="25000000"/>
    <s v="AYALA HERNAN OSVALDO SAN MIGUEL DE TUCUMAN 14"/>
    <x v="957"/>
    <n v="25000000"/>
    <x v="160"/>
    <x v="1"/>
    <s v="pagado"/>
    <s v="pagado"/>
    <s v="excluir"/>
    <s v="no semana"/>
    <x v="0"/>
  </r>
  <r>
    <n v="3000001839"/>
    <d v="2025-12-23T00:00:00"/>
    <n v="25710232.899999999"/>
    <s v="AYALA HERNAN OSVALDO SAN MIGUEL DE TUCUMAN 14"/>
    <x v="958"/>
    <n v="25710232.899999999"/>
    <x v="161"/>
    <x v="1"/>
    <s v="pagado"/>
    <s v="pagado"/>
    <s v="excluir"/>
    <s v="no semana"/>
    <x v="0"/>
  </r>
  <r>
    <n v="3000001840"/>
    <d v="2025-12-23T00:00:00"/>
    <n v="12757657.369999999"/>
    <s v="GOMEZ JESSICA NOELIA LAS TALITAS 14"/>
    <x v="959"/>
    <n v="12757657.369999999"/>
    <x v="160"/>
    <x v="1"/>
    <s v="pagado"/>
    <s v="pagado"/>
    <s v="excluir"/>
    <s v="no semana"/>
    <x v="0"/>
  </r>
  <r>
    <n v="3000001841"/>
    <d v="2025-12-23T00:00:00"/>
    <n v="15000000"/>
    <s v="TRANSPORTE BARBERAN HNOS SRL CHABAS 12"/>
    <x v="960"/>
    <n v="15000000"/>
    <x v="160"/>
    <x v="1"/>
    <s v="pagado"/>
    <s v="pagado"/>
    <s v="excluir"/>
    <s v="no semana"/>
    <x v="0"/>
  </r>
  <r>
    <n v="3000001841"/>
    <d v="2025-12-23T00:00:00"/>
    <n v="14841630.369999999"/>
    <s v="TRANSPORTE BARBERAN HNOS SRL CHABAS 12"/>
    <x v="961"/>
    <n v="14841630.369999999"/>
    <x v="161"/>
    <x v="1"/>
    <s v="pagado"/>
    <s v="pagado"/>
    <s v="excluir"/>
    <s v="no semana"/>
    <x v="0"/>
  </r>
  <r>
    <n v="3000001842"/>
    <d v="2025-12-23T00:00:00"/>
    <n v="20051653.399999999"/>
    <s v="GOMEZ MANUEL ARCENIO METAN 09"/>
    <x v="962"/>
    <n v="20051653.399999999"/>
    <x v="160"/>
    <x v="1"/>
    <s v="pagado"/>
    <s v="pagado"/>
    <s v="excluir"/>
    <s v="no semana"/>
    <x v="0"/>
  </r>
  <r>
    <n v="3000001843"/>
    <d v="2025-12-23T00:00:00"/>
    <n v="16372888.689999999"/>
    <s v="PAIS WALTER LUIS SAN MIGUEL DE TUCUMAN 14"/>
    <x v="963"/>
    <n v="16372888.689999999"/>
    <x v="161"/>
    <x v="1"/>
    <s v="pagado"/>
    <s v="pagado"/>
    <s v="excluir"/>
    <s v="no semana"/>
    <x v="0"/>
  </r>
  <r>
    <n v="3000001844"/>
    <d v="2025-12-26T00:00:00"/>
    <n v="8500000"/>
    <s v="TENSAC S.H."/>
    <x v="964"/>
    <n v="8500000"/>
    <x v="162"/>
    <x v="1"/>
    <s v="pagado"/>
    <s v="pagado"/>
    <s v="excluir"/>
    <s v="no semana"/>
    <x v="0"/>
  </r>
  <r>
    <n v="3000001844"/>
    <d v="2025-12-26T00:00:00"/>
    <n v="9222695.3699999992"/>
    <s v="TENSAC S.H."/>
    <x v="965"/>
    <n v="9222695.3699999992"/>
    <x v="163"/>
    <x v="1"/>
    <s v="pagado"/>
    <s v="pagado"/>
    <s v="excluir"/>
    <s v="no semana"/>
    <x v="0"/>
  </r>
  <r>
    <n v="3000001855"/>
    <d v="2025-12-29T00:00:00"/>
    <n v="8000000"/>
    <s v="RODRIGUEZ NESTOR HORACIO YERBA BUENA 14"/>
    <x v="966"/>
    <n v="8000000"/>
    <x v="162"/>
    <x v="1"/>
    <s v="pagado"/>
    <s v="pagado"/>
    <s v="excluir"/>
    <s v="no semana"/>
    <x v="0"/>
  </r>
  <r>
    <n v="3000001855"/>
    <d v="2025-12-29T00:00:00"/>
    <n v="5920445"/>
    <s v="RODRIGUEZ NESTOR HORACIO YERBA BUENA 14"/>
    <x v="967"/>
    <n v="5920445"/>
    <x v="164"/>
    <x v="1"/>
    <s v="pagado"/>
    <s v="pagado"/>
    <s v="excluir"/>
    <s v="no semana"/>
    <x v="0"/>
  </r>
  <r>
    <n v="3000001856"/>
    <d v="2025-12-29T00:00:00"/>
    <n v="10000000"/>
    <s v="Aso, Eduardo SAN MIGUEL DE TUCUMAN 14"/>
    <x v="968"/>
    <n v="10000000"/>
    <x v="162"/>
    <x v="1"/>
    <s v="pagado"/>
    <s v="pagado"/>
    <s v="excluir"/>
    <s v="no semana"/>
    <x v="0"/>
  </r>
  <r>
    <n v="3000001856"/>
    <d v="2025-12-29T00:00:00"/>
    <n v="5701870"/>
    <s v="Aso, Eduardo SAN MIGUEL DE TUCUMAN 14"/>
    <x v="969"/>
    <n v="5701870"/>
    <x v="164"/>
    <x v="1"/>
    <s v="pagado"/>
    <s v="pagado"/>
    <s v="excluir"/>
    <s v="no semana"/>
    <x v="0"/>
  </r>
  <r>
    <n v="3000001857"/>
    <d v="2025-12-29T00:00:00"/>
    <n v="6000000"/>
    <s v="VERON MARIANA BEATRIZ NUEVA ESPERANZA 13"/>
    <x v="970"/>
    <n v="6000000"/>
    <x v="162"/>
    <x v="1"/>
    <s v="pagado"/>
    <s v="pagado"/>
    <s v="excluir"/>
    <s v="no semana"/>
    <x v="0"/>
  </r>
  <r>
    <n v="3000001857"/>
    <d v="2025-12-29T00:00:00"/>
    <n v="6402344.5999999996"/>
    <s v="VERON MARIANA BEATRIZ NUEVA ESPERANZA 13"/>
    <x v="971"/>
    <n v="6402344.5999999996"/>
    <x v="164"/>
    <x v="1"/>
    <s v="pagado"/>
    <s v="pagado"/>
    <s v="excluir"/>
    <s v="no semana"/>
    <x v="0"/>
  </r>
  <r>
    <n v="3000001858"/>
    <d v="2025-12-29T00:00:00"/>
    <n v="4030715.5"/>
    <s v="AYALA WALTER DANIEL ALDERETES 14"/>
    <x v="972"/>
    <n v="4030715.5"/>
    <x v="162"/>
    <x v="1"/>
    <s v="pagado"/>
    <s v="pagado"/>
    <s v="excluir"/>
    <s v="no semana"/>
    <x v="0"/>
  </r>
  <r>
    <n v="3000001859"/>
    <d v="2025-12-29T00:00:00"/>
    <n v="6094396"/>
    <s v="Suc. de Ventimiglia Nelly IrmJesus Maria 03"/>
    <x v="973"/>
    <n v="6094396"/>
    <x v="162"/>
    <x v="1"/>
    <s v="pagado"/>
    <s v="pagado"/>
    <s v="excluir"/>
    <s v="no semana"/>
    <x v="0"/>
  </r>
  <r>
    <n v="3000000008"/>
    <d v="2026-01-06T00:00:00"/>
    <n v="4023691.09"/>
    <s v="PETROANDINA S.R.L SALTA 09"/>
    <x v="974"/>
    <n v="4023691.09"/>
    <x v="164"/>
    <x v="1"/>
    <s v="pagado"/>
    <s v="pagado"/>
    <s v="excluir"/>
    <s v="no semana"/>
    <x v="0"/>
  </r>
  <r>
    <n v="3000000009"/>
    <d v="2026-01-06T00:00:00"/>
    <n v="3571343.4"/>
    <s v="ACOSTA EMILIA ROMINA JOAQUIN V GONZALEZ 09"/>
    <x v="975"/>
    <n v="3571343.4"/>
    <x v="164"/>
    <x v="1"/>
    <s v="pagado"/>
    <s v="pagado"/>
    <s v="excluir"/>
    <s v="no semana"/>
    <x v="0"/>
  </r>
  <r>
    <n v="3000000010"/>
    <d v="2026-01-06T00:00:00"/>
    <n v="16622281.49"/>
    <s v="CRIADERO KLEIN SA PLA, PARTIDO DE ALBERTI 01"/>
    <x v="976"/>
    <n v="16622281.49"/>
    <x v="164"/>
    <x v="1"/>
    <s v="pagado"/>
    <s v="pagado"/>
    <s v="excluir"/>
    <s v="no semana"/>
    <x v="0"/>
  </r>
  <r>
    <n v="3000000011"/>
    <d v="2026-01-06T00:00:00"/>
    <n v="4987237.59"/>
    <s v="Syngenta Agro S.A. Vicente López 01"/>
    <x v="977"/>
    <n v="4987237.59"/>
    <x v="164"/>
    <x v="1"/>
    <s v="pagado"/>
    <s v="pagado"/>
    <s v="excluir"/>
    <s v="no semana"/>
    <x v="0"/>
  </r>
  <r>
    <n v="3000000012"/>
    <d v="2026-01-06T00:00:00"/>
    <n v="15000000"/>
    <s v="Medina Lauro Jose Las Cejas 14"/>
    <x v="978"/>
    <n v="15000000"/>
    <x v="164"/>
    <x v="1"/>
    <s v="pagado"/>
    <s v="pagado"/>
    <s v="excluir"/>
    <s v="no semana"/>
    <x v="0"/>
  </r>
  <r>
    <n v="3000000012"/>
    <d v="2026-01-06T00:00:00"/>
    <n v="14152558.9"/>
    <s v="Medina Lauro Jose Las Cejas 14"/>
    <x v="979"/>
    <n v="14152558.9"/>
    <x v="165"/>
    <x v="1"/>
    <s v="pagado"/>
    <s v="pagado"/>
    <s v="excluir"/>
    <s v="no semana"/>
    <x v="0"/>
  </r>
  <r>
    <n v="3000000013"/>
    <d v="2026-01-06T00:00:00"/>
    <n v="9679654.4100000001"/>
    <s v="BUSTOS EXEQUIEL ANTONIO BANDA DEL RIO SALI 14"/>
    <x v="980"/>
    <n v="9679654.4100000001"/>
    <x v="164"/>
    <x v="1"/>
    <s v="pagado"/>
    <s v="pagado"/>
    <s v="excluir"/>
    <s v="no semana"/>
    <x v="0"/>
  </r>
  <r>
    <n v="3000000014"/>
    <d v="2026-01-06T00:00:00"/>
    <n v="4926896.9000000004"/>
    <s v="AYALA WALTER DANIEL ALDERETES 14"/>
    <x v="981"/>
    <n v="4926896.9000000004"/>
    <x v="164"/>
    <x v="1"/>
    <s v="pagado"/>
    <s v="pagado"/>
    <s v="excluir"/>
    <s v="no semana"/>
    <x v="0"/>
  </r>
  <r>
    <n v="3000000007"/>
    <d v="2026-01-07T00:00:00"/>
    <n v="10000000"/>
    <s v="Pulmajo S.R.L. CONCEPCION 14"/>
    <x v="982"/>
    <n v="10000000"/>
    <x v="164"/>
    <x v="1"/>
    <s v="pagado"/>
    <s v="pagado"/>
    <s v="excluir"/>
    <s v="no semana"/>
    <x v="0"/>
  </r>
  <r>
    <n v="3000000007"/>
    <d v="2026-01-07T00:00:00"/>
    <n v="10000000"/>
    <s v="Pulmajo S.R.L. CONCEPCION 14"/>
    <x v="983"/>
    <n v="10000000"/>
    <x v="164"/>
    <x v="1"/>
    <s v="pagado"/>
    <s v="pagado"/>
    <s v="excluir"/>
    <s v="no semana"/>
    <x v="0"/>
  </r>
  <r>
    <n v="3000000007"/>
    <d v="2026-01-07T00:00:00"/>
    <n v="10000000"/>
    <s v="Pulmajo S.R.L. CONCEPCION 14"/>
    <x v="984"/>
    <n v="10000000"/>
    <x v="164"/>
    <x v="1"/>
    <s v="pagado"/>
    <s v="pagado"/>
    <s v="excluir"/>
    <s v="no semana"/>
    <x v="0"/>
  </r>
  <r>
    <n v="3000000007"/>
    <d v="2026-01-07T00:00:00"/>
    <n v="10000000"/>
    <s v="Pulmajo S.R.L. CONCEPCION 14"/>
    <x v="985"/>
    <n v="10000000"/>
    <x v="164"/>
    <x v="1"/>
    <s v="pagado"/>
    <s v="pagado"/>
    <s v="excluir"/>
    <s v="no semana"/>
    <x v="0"/>
  </r>
  <r>
    <n v="3000000007"/>
    <d v="2026-01-07T00:00:00"/>
    <n v="5000000"/>
    <s v="Pulmajo S.R.L. CONCEPCION 14"/>
    <x v="986"/>
    <n v="5000000"/>
    <x v="165"/>
    <x v="1"/>
    <s v="pagado"/>
    <s v="pagado"/>
    <s v="excluir"/>
    <s v="no semana"/>
    <x v="0"/>
  </r>
  <r>
    <n v="3000000007"/>
    <d v="2026-01-07T00:00:00"/>
    <n v="5000000"/>
    <s v="Pulmajo S.R.L. CONCEPCION 14"/>
    <x v="987"/>
    <n v="5000000"/>
    <x v="165"/>
    <x v="1"/>
    <s v="pagado"/>
    <s v="pagado"/>
    <s v="excluir"/>
    <s v="no semana"/>
    <x v="0"/>
  </r>
  <r>
    <n v="3000000007"/>
    <d v="2026-01-07T00:00:00"/>
    <n v="3350000"/>
    <s v="Pulmajo S.R.L. CONCEPCION 14"/>
    <x v="988"/>
    <n v="3350000"/>
    <x v="165"/>
    <x v="1"/>
    <s v="pagado"/>
    <s v="pagado"/>
    <s v="excluir"/>
    <s v="no semana"/>
    <x v="0"/>
  </r>
  <r>
    <n v="3000000007"/>
    <d v="2026-01-07T00:00:00"/>
    <n v="3350000"/>
    <s v="Pulmajo S.R.L. CONCEPCION 14"/>
    <x v="989"/>
    <n v="3350000"/>
    <x v="165"/>
    <x v="1"/>
    <s v="pagado"/>
    <s v="pagado"/>
    <s v="excluir"/>
    <s v="no semana"/>
    <x v="0"/>
  </r>
  <r>
    <n v="3000000007"/>
    <d v="2026-01-07T00:00:00"/>
    <n v="3350000"/>
    <s v="Pulmajo S.R.L. CONCEPCION 14"/>
    <x v="990"/>
    <n v="3350000"/>
    <x v="165"/>
    <x v="1"/>
    <s v="pagado"/>
    <s v="pagado"/>
    <s v="excluir"/>
    <s v="no semana"/>
    <x v="0"/>
  </r>
  <r>
    <n v="3000000007"/>
    <d v="2026-01-07T00:00:00"/>
    <n v="1318027.8999999999"/>
    <s v="Pulmajo S.R.L. CONCEPCION 14"/>
    <x v="991"/>
    <n v="1318027.8999999999"/>
    <x v="165"/>
    <x v="1"/>
    <s v="no pagado"/>
    <s v="fuera de fecha"/>
    <s v="excluir"/>
    <s v="no semana"/>
    <x v="0"/>
  </r>
  <r>
    <n v="3000000042"/>
    <d v="2026-01-09T00:00:00"/>
    <n v="5000000"/>
    <s v="Laborda Carlos SAN MIGUEL DE TUCUMAN 14"/>
    <x v="992"/>
    <n v="5000000"/>
    <x v="162"/>
    <x v="1"/>
    <s v="pagado"/>
    <s v="pagado"/>
    <s v="excluir"/>
    <s v="no semana"/>
    <x v="0"/>
  </r>
  <r>
    <n v="3000000042"/>
    <d v="2026-01-09T00:00:00"/>
    <n v="5000000"/>
    <s v="Laborda Carlos SAN MIGUEL DE TUCUMAN 14"/>
    <x v="993"/>
    <n v="5000000"/>
    <x v="162"/>
    <x v="1"/>
    <s v="no pagado"/>
    <s v="fuera de fecha"/>
    <s v="excluir"/>
    <s v="no semana"/>
    <x v="0"/>
  </r>
  <r>
    <n v="3000000042"/>
    <d v="2026-01-09T00:00:00"/>
    <n v="5000000"/>
    <s v="Laborda Carlos SAN MIGUEL DE TUCUMAN 14"/>
    <x v="994"/>
    <n v="5000000"/>
    <x v="164"/>
    <x v="1"/>
    <s v="pagado"/>
    <s v="pagado"/>
    <s v="excluir"/>
    <s v="no semana"/>
    <x v="0"/>
  </r>
  <r>
    <n v="3000000042"/>
    <d v="2026-01-09T00:00:00"/>
    <n v="4226252.9000000004"/>
    <s v="Laborda Carlos SAN MIGUEL DE TUCUMAN 14"/>
    <x v="995"/>
    <n v="4226252.9000000004"/>
    <x v="164"/>
    <x v="1"/>
    <s v="pagado"/>
    <s v="pagado"/>
    <s v="excluir"/>
    <s v="no semana"/>
    <x v="0"/>
  </r>
  <r>
    <n v="3000000047"/>
    <d v="2026-01-12T00:00:00"/>
    <n v="10000000"/>
    <s v="Suc. de Ventimiglia Nelly IrmJesus Maria 03"/>
    <x v="996"/>
    <n v="10000000"/>
    <x v="152"/>
    <x v="1"/>
    <s v="pagado"/>
    <s v="pagado"/>
    <s v="excluir"/>
    <s v="no semana"/>
    <x v="0"/>
  </r>
  <r>
    <n v="3000000047"/>
    <d v="2026-01-12T00:00:00"/>
    <n v="8794783.4000000004"/>
    <s v="Suc. de Ventimiglia Nelly IrmJesus Maria 03"/>
    <x v="997"/>
    <n v="8794783.4000000004"/>
    <x v="166"/>
    <x v="1"/>
    <s v="pagado"/>
    <s v="pagado"/>
    <s v="excluir"/>
    <s v="no semana"/>
    <x v="0"/>
  </r>
  <r>
    <n v="3000000048"/>
    <d v="2026-01-12T00:00:00"/>
    <n v="10000000"/>
    <s v="Pulverizaciones Tuninetti S.R.Las Rosas 01"/>
    <x v="998"/>
    <n v="10000000"/>
    <x v="152"/>
    <x v="1"/>
    <s v="pagado"/>
    <s v="pagado"/>
    <s v="excluir"/>
    <s v="no semana"/>
    <x v="0"/>
  </r>
  <r>
    <n v="3000000048"/>
    <d v="2026-01-12T00:00:00"/>
    <n v="7646047.4000000004"/>
    <s v="Pulverizaciones Tuninetti S.R.Las Rosas 01"/>
    <x v="999"/>
    <n v="7646047.4000000004"/>
    <x v="166"/>
    <x v="1"/>
    <s v="pagado"/>
    <s v="pagado"/>
    <s v="excluir"/>
    <s v="no semana"/>
    <x v="0"/>
  </r>
  <r>
    <n v="3000000052"/>
    <d v="2026-01-12T00:00:00"/>
    <n v="10000000"/>
    <s v="RODRIGUEZ NESTOR HORACIO YERBA BUENA 14"/>
    <x v="1000"/>
    <n v="10000000"/>
    <x v="152"/>
    <x v="1"/>
    <s v="pagado"/>
    <s v="pagado"/>
    <s v="excluir"/>
    <s v="no semana"/>
    <x v="0"/>
  </r>
  <r>
    <n v="3000000052"/>
    <d v="2026-01-12T00:00:00"/>
    <n v="10447097"/>
    <s v="RODRIGUEZ NESTOR HORACIO YERBA BUENA 14"/>
    <x v="1001"/>
    <n v="10447097"/>
    <x v="166"/>
    <x v="1"/>
    <s v="pagado"/>
    <s v="pagado"/>
    <s v="excluir"/>
    <s v="no semana"/>
    <x v="0"/>
  </r>
  <r>
    <n v="3000000054"/>
    <d v="2026-01-12T00:00:00"/>
    <n v="10000000"/>
    <s v="AYALA WALTER DANIEL ALDERETES 14"/>
    <x v="1002"/>
    <n v="10000000"/>
    <x v="152"/>
    <x v="1"/>
    <s v="pagado"/>
    <s v="pagado"/>
    <s v="excluir"/>
    <s v="no semana"/>
    <x v="0"/>
  </r>
  <r>
    <n v="3000000054"/>
    <d v="2026-01-12T00:00:00"/>
    <n v="13526153.74"/>
    <s v="AYALA WALTER DANIEL ALDERETES 14"/>
    <x v="1003"/>
    <n v="13526153.74"/>
    <x v="166"/>
    <x v="1"/>
    <s v="pagado"/>
    <s v="pagado"/>
    <s v="excluir"/>
    <s v="no semana"/>
    <x v="0"/>
  </r>
  <r>
    <n v="3000000055"/>
    <d v="2026-01-12T00:00:00"/>
    <n v="10000000"/>
    <s v="SUAREZ GABRIEL SEBASTIAN SANTIAGO DEL ESTERO 13"/>
    <x v="1004"/>
    <n v="10000000"/>
    <x v="152"/>
    <x v="1"/>
    <s v="pagado"/>
    <s v="pagado"/>
    <s v="excluir"/>
    <s v="no semana"/>
    <x v="0"/>
  </r>
  <r>
    <n v="3000000055"/>
    <d v="2026-01-12T00:00:00"/>
    <n v="8545078.4000000004"/>
    <s v="SUAREZ GABRIEL SEBASTIAN SANTIAGO DEL ESTERO 13"/>
    <x v="1005"/>
    <n v="8545078.4000000004"/>
    <x v="166"/>
    <x v="1"/>
    <s v="pagado"/>
    <s v="pagado"/>
    <s v="excluir"/>
    <s v="no semana"/>
    <x v="0"/>
  </r>
  <r>
    <n v="3000000057"/>
    <d v="2026-01-12T00:00:00"/>
    <n v="20000000"/>
    <s v="Medina Lauro Jose Las Cejas 14"/>
    <x v="1006"/>
    <n v="20000000"/>
    <x v="152"/>
    <x v="1"/>
    <s v="pagado"/>
    <s v="pagado"/>
    <s v="excluir"/>
    <s v="no semana"/>
    <x v="0"/>
  </r>
  <r>
    <n v="3000000057"/>
    <d v="2026-01-12T00:00:00"/>
    <n v="20797531.5"/>
    <s v="Medina Lauro Jose Las Cejas 14"/>
    <x v="1007"/>
    <n v="20797531.5"/>
    <x v="166"/>
    <x v="1"/>
    <s v="pagado"/>
    <s v="pagado"/>
    <s v="excluir"/>
    <s v="no semana"/>
    <x v="0"/>
  </r>
  <r>
    <n v="3000000044"/>
    <d v="2026-01-12T00:00:00"/>
    <n v="2217261.04"/>
    <s v="TRANSPORTE LAVENIA SAS LASTENIA 14"/>
    <x v="1008"/>
    <n v="2217261.04"/>
    <x v="152"/>
    <x v="1"/>
    <s v="pagado"/>
    <s v="pagado"/>
    <s v="excluir"/>
    <s v="no semana"/>
    <x v="0"/>
  </r>
  <r>
    <n v="3000000045"/>
    <d v="2026-01-12T00:00:00"/>
    <n v="2245699.48"/>
    <s v="PEREZ FABIAN ESTELIO ENTRE RIOS 05"/>
    <x v="1009"/>
    <n v="2245699.48"/>
    <x v="152"/>
    <x v="1"/>
    <s v="pagado"/>
    <s v="pagado"/>
    <s v="excluir"/>
    <s v="no semana"/>
    <x v="0"/>
  </r>
  <r>
    <n v="3000000046"/>
    <d v="2026-01-12T00:00:00"/>
    <n v="5783786.5999999996"/>
    <s v="TRANSPORTE GLOBAL SAS SAN MIGUEL DE TUCUMAN 14"/>
    <x v="1010"/>
    <n v="5783786.5999999996"/>
    <x v="152"/>
    <x v="1"/>
    <s v="pagado"/>
    <s v="pagado"/>
    <s v="excluir"/>
    <s v="no semana"/>
    <x v="0"/>
  </r>
  <r>
    <n v="3000000049"/>
    <d v="2026-01-12T00:00:00"/>
    <n v="4946688.4000000004"/>
    <s v="M.A.D Serv y mant eléctri SAN MIGUEL DE TUCUMAN 14"/>
    <x v="1011"/>
    <n v="4946688.4000000004"/>
    <x v="152"/>
    <x v="1"/>
    <s v="pagado"/>
    <s v="pagado"/>
    <s v="excluir"/>
    <s v="no semana"/>
    <x v="0"/>
  </r>
  <r>
    <n v="3000000050"/>
    <d v="2026-01-12T00:00:00"/>
    <n v="4435333.4000000004"/>
    <s v="Avila Carlos Alberto SAN MIGUEL DE TUCUMAN 14"/>
    <x v="1012"/>
    <n v="4435333.4000000004"/>
    <x v="152"/>
    <x v="1"/>
    <s v="pagado"/>
    <s v="pagado"/>
    <s v="excluir"/>
    <s v="no semana"/>
    <x v="0"/>
  </r>
  <r>
    <n v="3000000051"/>
    <d v="2026-01-12T00:00:00"/>
    <n v="6675943.4000000004"/>
    <s v="SERVICOM S.R.L SAN MIGUEL DE TUCUMAN 14"/>
    <x v="1013"/>
    <n v="6675943.4000000004"/>
    <x v="152"/>
    <x v="1"/>
    <s v="pagado"/>
    <s v="pagado"/>
    <s v="excluir"/>
    <s v="no semana"/>
    <x v="0"/>
  </r>
  <r>
    <n v="3000000053"/>
    <d v="2026-01-12T00:00:00"/>
    <n v="11405697.9"/>
    <s v="IBAÑEZ MAXIMILIANO DAVID JUAN BAUTISTA ALBERDI 14"/>
    <x v="1014"/>
    <n v="11405697.9"/>
    <x v="152"/>
    <x v="1"/>
    <s v="pagado"/>
    <s v="pagado"/>
    <s v="excluir"/>
    <s v="no semana"/>
    <x v="0"/>
  </r>
  <r>
    <n v="3000000056"/>
    <d v="2026-01-12T00:00:00"/>
    <n v="13279207.4"/>
    <s v="MARTO ALBERTO ANTONIO LA RAMADA DE ABAJO 14"/>
    <x v="1015"/>
    <n v="13279207.4"/>
    <x v="166"/>
    <x v="1"/>
    <s v="pagado"/>
    <s v="pagado"/>
    <s v="excluir"/>
    <s v="no semana"/>
    <x v="0"/>
  </r>
  <r>
    <n v="3000000071"/>
    <d v="2026-01-14T00:00:00"/>
    <n v="4124789.59"/>
    <s v="GOMEZ JESSICA NOELIA LAS TALITAS 14"/>
    <x v="1016"/>
    <n v="4124789.59"/>
    <x v="166"/>
    <x v="1"/>
    <s v="pagado"/>
    <s v="pagado"/>
    <s v="excluir"/>
    <s v="no semana"/>
    <x v="0"/>
  </r>
  <r>
    <n v="3000000072"/>
    <d v="2026-01-14T00:00:00"/>
    <n v="1582963.44"/>
    <s v="ALBORNOZ RODRIGO EZEQUIEL - PAMPA MAYO 14"/>
    <x v="1017"/>
    <n v="1582963.44"/>
    <x v="166"/>
    <x v="1"/>
    <s v="pagado"/>
    <s v="pagado"/>
    <s v="excluir"/>
    <s v="no semana"/>
    <x v="0"/>
  </r>
  <r>
    <n v="3000000077"/>
    <d v="2026-01-16T00:00:00"/>
    <n v="15379140"/>
    <s v="EDET S.A. SAN MIGUEL DE TUCUMAN 14"/>
    <x v="1018"/>
    <n v="15379140"/>
    <x v="135"/>
    <x v="1"/>
    <s v="pagado"/>
    <s v="pagado"/>
    <s v="excluir"/>
    <s v="no semana"/>
    <x v="0"/>
  </r>
  <r>
    <n v="3000000083"/>
    <d v="2026-01-20T00:00:00"/>
    <n v="20000000"/>
    <s v="DON KOKO S.R.L CAMILO ALDAO 03"/>
    <x v="1019"/>
    <n v="20000000"/>
    <x v="151"/>
    <x v="1"/>
    <s v="pagado"/>
    <s v="pagado"/>
    <s v="excluir"/>
    <s v="no semana"/>
    <x v="0"/>
  </r>
  <r>
    <n v="3000000083"/>
    <d v="2026-01-20T00:00:00"/>
    <n v="16591976"/>
    <s v="DON KOKO S.R.L CAMILO ALDAO 03"/>
    <x v="1020"/>
    <n v="16591976"/>
    <x v="167"/>
    <x v="1"/>
    <s v="pagado"/>
    <s v="pagado"/>
    <s v="excluir"/>
    <s v="no semana"/>
    <x v="0"/>
  </r>
  <r>
    <n v="3000000084"/>
    <d v="2026-01-20T00:00:00"/>
    <n v="22000000"/>
    <s v="SUAREZ GABRIEL SEBASTIAN SANTIAGO DEL ESTERO 13"/>
    <x v="1021"/>
    <n v="22000000"/>
    <x v="151"/>
    <x v="1"/>
    <s v="pagado"/>
    <s v="pagado"/>
    <s v="excluir"/>
    <s v="no semana"/>
    <x v="0"/>
  </r>
  <r>
    <n v="3000000084"/>
    <d v="2026-01-20T00:00:00"/>
    <n v="22546191"/>
    <s v="SUAREZ GABRIEL SEBASTIAN SANTIAGO DEL ESTERO 13"/>
    <x v="1022"/>
    <n v="22546191"/>
    <x v="167"/>
    <x v="1"/>
    <s v="pagado"/>
    <s v="pagado"/>
    <s v="excluir"/>
    <s v="no semana"/>
    <x v="0"/>
  </r>
  <r>
    <n v="3000000085"/>
    <d v="2026-01-20T00:00:00"/>
    <n v="20000000"/>
    <s v="LASTRINA CARMELO ALTO VERDE 14"/>
    <x v="1023"/>
    <n v="20000000"/>
    <x v="151"/>
    <x v="1"/>
    <s v="pagado"/>
    <s v="pagado"/>
    <s v="excluir"/>
    <s v="no semana"/>
    <x v="0"/>
  </r>
  <r>
    <n v="3000000085"/>
    <d v="2026-01-20T00:00:00"/>
    <n v="17008449.239999998"/>
    <s v="LASTRINA CARMELO ALTO VERDE 14"/>
    <x v="1024"/>
    <n v="17008449.239999998"/>
    <x v="167"/>
    <x v="1"/>
    <s v="pagado"/>
    <s v="pagado"/>
    <s v="excluir"/>
    <s v="no semana"/>
    <x v="0"/>
  </r>
  <r>
    <n v="3000000086"/>
    <d v="2026-01-20T00:00:00"/>
    <n v="10000000"/>
    <s v="GOMEZ MANUEL ARCENIO METAN 09"/>
    <x v="1025"/>
    <n v="10000000"/>
    <x v="151"/>
    <x v="1"/>
    <s v="pagado"/>
    <s v="pagado"/>
    <s v="excluir"/>
    <s v="no semana"/>
    <x v="0"/>
  </r>
  <r>
    <n v="3000000086"/>
    <d v="2026-01-20T00:00:00"/>
    <n v="11302343.4"/>
    <s v="GOMEZ MANUEL ARCENIO METAN 09"/>
    <x v="1026"/>
    <n v="11302343.4"/>
    <x v="167"/>
    <x v="1"/>
    <s v="pagado"/>
    <s v="pagado"/>
    <s v="excluir"/>
    <s v="no semana"/>
    <x v="0"/>
  </r>
  <r>
    <n v="3000000087"/>
    <d v="2026-01-20T00:00:00"/>
    <n v="15000000"/>
    <s v="Pulmajo S.R.L. CONCEPCION 14"/>
    <x v="1027"/>
    <n v="15000000"/>
    <x v="151"/>
    <x v="1"/>
    <s v="pagado"/>
    <s v="pagado"/>
    <s v="excluir"/>
    <s v="no semana"/>
    <x v="0"/>
  </r>
  <r>
    <n v="3000000087"/>
    <d v="2026-01-20T00:00:00"/>
    <n v="15000000"/>
    <s v="Pulmajo S.R.L. CONCEPCION 14"/>
    <x v="1028"/>
    <n v="15000000"/>
    <x v="167"/>
    <x v="1"/>
    <s v="pagado"/>
    <s v="pagado"/>
    <s v="excluir"/>
    <s v="no semana"/>
    <x v="0"/>
  </r>
  <r>
    <n v="3000000087"/>
    <d v="2026-01-20T00:00:00"/>
    <n v="15398065.869999999"/>
    <s v="Pulmajo S.R.L. CONCEPCION 14"/>
    <x v="1029"/>
    <n v="15398065.869999999"/>
    <x v="168"/>
    <x v="1"/>
    <s v="pagado"/>
    <s v="pagado"/>
    <s v="excluir"/>
    <s v="no semana"/>
    <x v="0"/>
  </r>
  <r>
    <n v="1200002351"/>
    <d v="2026-01-23T00:00:00"/>
    <n v="4432607.3"/>
    <s v="Cheque de terceros TUCUMAN"/>
    <x v="1030"/>
    <n v="4432607.3"/>
    <x v="151"/>
    <x v="1"/>
    <s v="pagado"/>
    <s v="pagado"/>
    <s v="excluir"/>
    <s v="no semana"/>
    <x v="0"/>
  </r>
  <r>
    <n v="3000000112"/>
    <d v="2026-01-27T00:00:00"/>
    <n v="20000000"/>
    <s v="MARIA FERNANDA SRL"/>
    <x v="1031"/>
    <n v="20000000"/>
    <x v="130"/>
    <x v="1"/>
    <s v="pagado"/>
    <s v="pagado"/>
    <s v="excluir"/>
    <s v="no semana"/>
    <x v="0"/>
  </r>
  <r>
    <n v="3000000112"/>
    <d v="2026-01-27T00:00:00"/>
    <n v="18478720.75"/>
    <s v="MARIA FERNANDA SRL"/>
    <x v="1032"/>
    <n v="18478720.75"/>
    <x v="163"/>
    <x v="1"/>
    <s v="pagado"/>
    <s v="pagado"/>
    <s v="excluir"/>
    <s v="no semana"/>
    <x v="0"/>
  </r>
  <r>
    <n v="3000000119"/>
    <d v="2026-01-27T00:00:00"/>
    <n v="10000000"/>
    <s v="AGROTRANSPORTE ALDAO S.A."/>
    <x v="1033"/>
    <n v="10000000"/>
    <x v="130"/>
    <x v="1"/>
    <s v="pagado"/>
    <s v="pagado"/>
    <s v="excluir"/>
    <s v="no semana"/>
    <x v="0"/>
  </r>
  <r>
    <n v="3000000119"/>
    <d v="2026-01-27T00:00:00"/>
    <n v="6817914.9800000004"/>
    <s v="AGROTRANSPORTE ALDAO S.A."/>
    <x v="1034"/>
    <n v="6817914.9800000004"/>
    <x v="163"/>
    <x v="1"/>
    <s v="pagado"/>
    <s v="pagado"/>
    <s v="excluir"/>
    <s v="no semana"/>
    <x v="0"/>
  </r>
  <r>
    <n v="3000000124"/>
    <d v="2026-01-27T00:00:00"/>
    <n v="15000000"/>
    <s v="TRANSPORTE BARBERAN HNOS SRL"/>
    <x v="1035"/>
    <n v="15000000"/>
    <x v="130"/>
    <x v="1"/>
    <s v="pagado"/>
    <s v="pagado"/>
    <s v="excluir"/>
    <s v="no semana"/>
    <x v="0"/>
  </r>
  <r>
    <n v="3000000124"/>
    <d v="2026-01-27T00:00:00"/>
    <n v="13473668.17"/>
    <s v="TRANSPORTE BARBERAN HNOS SRL"/>
    <x v="1036"/>
    <n v="13473668.17"/>
    <x v="163"/>
    <x v="1"/>
    <s v="pagado"/>
    <s v="pagado"/>
    <s v="excluir"/>
    <s v="no semana"/>
    <x v="0"/>
  </r>
  <r>
    <n v="3000000110"/>
    <d v="2026-01-27T00:00:00"/>
    <n v="15211936.24"/>
    <s v="Suc. de Ventimiglia Nelly  Irma"/>
    <x v="1037"/>
    <n v="15211936.24"/>
    <x v="130"/>
    <x v="1"/>
    <s v="pagado"/>
    <s v="pagado"/>
    <s v="excluir"/>
    <s v="no semana"/>
    <x v="0"/>
  </r>
  <r>
    <n v="3000000111"/>
    <d v="2026-01-27T00:00:00"/>
    <n v="2751100"/>
    <s v="FUNDACION ARGENINTA"/>
    <x v="1038"/>
    <n v="2751100"/>
    <x v="130"/>
    <x v="1"/>
    <s v="pagado"/>
    <s v="pagado"/>
    <s v="excluir"/>
    <s v="no semana"/>
    <x v="0"/>
  </r>
  <r>
    <n v="3000000113"/>
    <d v="2026-01-27T00:00:00"/>
    <n v="9442273.5399999991"/>
    <s v="AYALA WALTER DANIEL"/>
    <x v="1039"/>
    <n v="9442273.5399999991"/>
    <x v="130"/>
    <x v="1"/>
    <s v="pagado"/>
    <s v="pagado"/>
    <s v="excluir"/>
    <s v="no semana"/>
    <x v="0"/>
  </r>
  <r>
    <n v="3000000114"/>
    <d v="2026-01-27T00:00:00"/>
    <n v="4040144.98"/>
    <s v="KAPP ALEJANDRA MATILDE"/>
    <x v="1040"/>
    <n v="4040144.98"/>
    <x v="130"/>
    <x v="1"/>
    <s v="pagado"/>
    <s v="pagado"/>
    <s v="excluir"/>
    <s v="no semana"/>
    <x v="0"/>
  </r>
  <r>
    <n v="3000000115"/>
    <d v="2026-01-27T00:00:00"/>
    <n v="2392650.34"/>
    <s v="BOHL RENE"/>
    <x v="1041"/>
    <n v="2392650.34"/>
    <x v="130"/>
    <x v="1"/>
    <s v="pagado"/>
    <s v="pagado"/>
    <s v="excluir"/>
    <s v="no semana"/>
    <x v="0"/>
  </r>
  <r>
    <n v="3000000116"/>
    <d v="2026-01-27T00:00:00"/>
    <n v="3559796.7"/>
    <s v="BERNADAL SERGIO RODOLFO"/>
    <x v="1042"/>
    <n v="3559796.7"/>
    <x v="130"/>
    <x v="1"/>
    <s v="pagado"/>
    <s v="pagado"/>
    <s v="excluir"/>
    <s v="no semana"/>
    <x v="0"/>
  </r>
  <r>
    <n v="3000000117"/>
    <d v="2026-01-27T00:00:00"/>
    <n v="2321666.25"/>
    <s v="VENUTTI CESAR AGUSTIN ."/>
    <x v="1043"/>
    <n v="2321666.25"/>
    <x v="130"/>
    <x v="1"/>
    <s v="pagado"/>
    <s v="pagado"/>
    <s v="excluir"/>
    <s v="no semana"/>
    <x v="0"/>
  </r>
  <r>
    <n v="3000000118"/>
    <d v="2026-01-27T00:00:00"/>
    <n v="4942810.8600000003"/>
    <s v="JAVIER EDUARDO PRADO"/>
    <x v="1044"/>
    <n v="4942810.8600000003"/>
    <x v="130"/>
    <x v="1"/>
    <s v="pagado"/>
    <s v="pagado"/>
    <s v="excluir"/>
    <s v="no semana"/>
    <x v="0"/>
  </r>
  <r>
    <n v="3000000120"/>
    <d v="2026-01-27T00:00:00"/>
    <n v="7890673.6200000001"/>
    <s v="ANTONACCI LUIS GABRIEL"/>
    <x v="1045"/>
    <n v="7890673.6200000001"/>
    <x v="130"/>
    <x v="1"/>
    <s v="pagado"/>
    <s v="pagado"/>
    <s v="excluir"/>
    <s v="no semana"/>
    <x v="0"/>
  </r>
  <r>
    <n v="3000000121"/>
    <d v="2026-01-27T00:00:00"/>
    <n v="1964304.33"/>
    <s v="TRANS TRUCKS SRL"/>
    <x v="1046"/>
    <n v="1964304.33"/>
    <x v="130"/>
    <x v="1"/>
    <s v="pagado"/>
    <s v="pagado"/>
    <s v="excluir"/>
    <s v="no semana"/>
    <x v="0"/>
  </r>
  <r>
    <n v="3000000122"/>
    <d v="2026-01-27T00:00:00"/>
    <n v="1916336.22"/>
    <s v="WILLIAMS LOGISTICA SA"/>
    <x v="1047"/>
    <n v="1916336.22"/>
    <x v="130"/>
    <x v="1"/>
    <s v="pagado"/>
    <s v="pagado"/>
    <s v="excluir"/>
    <s v="no semana"/>
    <x v="0"/>
  </r>
  <r>
    <n v="3000000123"/>
    <d v="2026-01-27T00:00:00"/>
    <n v="5750565.1600000001"/>
    <s v="TRANSPORTE RAUL S.R.L"/>
    <x v="1048"/>
    <n v="5750565.1600000001"/>
    <x v="130"/>
    <x v="1"/>
    <s v="pagado"/>
    <s v="pagado"/>
    <s v="excluir"/>
    <s v="no semana"/>
    <x v="0"/>
  </r>
  <r>
    <n v="3000000125"/>
    <d v="2026-01-27T00:00:00"/>
    <n v="2374800.98"/>
    <s v="FLETES Y SERVICIOS PUJATO S.A"/>
    <x v="1049"/>
    <n v="2374800.98"/>
    <x v="130"/>
    <x v="1"/>
    <s v="pagado"/>
    <s v="pagado"/>
    <s v="excluir"/>
    <s v="no semana"/>
    <x v="0"/>
  </r>
  <r>
    <n v="3000000126"/>
    <d v="2026-01-27T00:00:00"/>
    <n v="4348143.24"/>
    <s v="ECONOMIC FUEL SRL"/>
    <x v="1050"/>
    <n v="4348143.24"/>
    <x v="130"/>
    <x v="1"/>
    <s v="pagado"/>
    <s v="pagado"/>
    <s v="excluir"/>
    <s v="no semana"/>
    <x v="0"/>
  </r>
  <r>
    <n v="3000000127"/>
    <d v="2026-01-27T00:00:00"/>
    <n v="2478343.7799999998"/>
    <s v="ALADIO SERGIO ANTONIO"/>
    <x v="1051"/>
    <n v="2478343.7799999998"/>
    <x v="130"/>
    <x v="1"/>
    <s v="pagado"/>
    <s v="pagado"/>
    <s v="excluir"/>
    <s v="no semana"/>
    <x v="0"/>
  </r>
  <r>
    <n v="3000000147"/>
    <d v="2026-02-03T00:00:00"/>
    <n v="11000000"/>
    <s v="Laborda Carlos SAN MIGUEL DE TUCUMAN 14"/>
    <x v="1052"/>
    <n v="11000000"/>
    <x v="169"/>
    <x v="1"/>
    <s v="pagado"/>
    <s v="pagado"/>
    <s v="excluir"/>
    <s v="no semana"/>
    <x v="0"/>
  </r>
  <r>
    <n v="3000000147"/>
    <d v="2026-02-03T00:00:00"/>
    <n v="11000000"/>
    <s v="Laborda Carlos SAN MIGUEL DE TUCUMAN 14"/>
    <x v="1053"/>
    <n v="11000000"/>
    <x v="169"/>
    <x v="1"/>
    <s v="pagado"/>
    <s v="pagado"/>
    <s v="excluir"/>
    <s v="no semana"/>
    <x v="0"/>
  </r>
  <r>
    <n v="3000000147"/>
    <d v="2026-02-03T00:00:00"/>
    <n v="11000000"/>
    <s v="Laborda Carlos SAN MIGUEL DE TUCUMAN 14"/>
    <x v="1054"/>
    <n v="11000000"/>
    <x v="170"/>
    <x v="1"/>
    <s v="pagado"/>
    <s v="pagado"/>
    <s v="excluir"/>
    <s v="no semana"/>
    <x v="0"/>
  </r>
  <r>
    <n v="3000000147"/>
    <d v="2026-02-03T00:00:00"/>
    <n v="11073173.4"/>
    <s v="Laborda Carlos SAN MIGUEL DE TUCUMAN 14"/>
    <x v="1055"/>
    <n v="11073173.4"/>
    <x v="170"/>
    <x v="1"/>
    <s v="pagado"/>
    <s v="pagado"/>
    <s v="excluir"/>
    <s v="no semana"/>
    <x v="0"/>
  </r>
  <r>
    <n v="3000000154"/>
    <d v="2026-02-03T00:00:00"/>
    <n v="10000000"/>
    <s v="Pulmajo S.R.L. CONCEPCION 14"/>
    <x v="1056"/>
    <n v="10000000"/>
    <x v="169"/>
    <x v="1"/>
    <s v="pagado"/>
    <s v="pagado"/>
    <s v="excluir"/>
    <s v="no semana"/>
    <x v="0"/>
  </r>
  <r>
    <n v="3000000154"/>
    <d v="2026-02-03T00:00:00"/>
    <n v="10000000"/>
    <s v="Pulmajo S.R.L. CONCEPCION 14"/>
    <x v="1057"/>
    <n v="10000000"/>
    <x v="169"/>
    <x v="1"/>
    <s v="pagado"/>
    <s v="pagado"/>
    <s v="excluir"/>
    <s v="no semana"/>
    <x v="0"/>
  </r>
  <r>
    <n v="3000000154"/>
    <d v="2026-02-03T00:00:00"/>
    <n v="10000000"/>
    <s v="Pulmajo S.R.L. CONCEPCION 14"/>
    <x v="1058"/>
    <n v="10000000"/>
    <x v="169"/>
    <x v="1"/>
    <s v="pagado"/>
    <s v="pagado"/>
    <s v="excluir"/>
    <s v="no semana"/>
    <x v="0"/>
  </r>
  <r>
    <n v="3000000154"/>
    <d v="2026-02-03T00:00:00"/>
    <n v="5000000"/>
    <s v="Pulmajo S.R.L. CONCEPCION 14"/>
    <x v="1059"/>
    <n v="5000000"/>
    <x v="170"/>
    <x v="1"/>
    <s v="pagado"/>
    <s v="pagado"/>
    <s v="excluir"/>
    <s v="no semana"/>
    <x v="0"/>
  </r>
  <r>
    <n v="3000000154"/>
    <d v="2026-02-03T00:00:00"/>
    <n v="5000000"/>
    <s v="Pulmajo S.R.L. CONCEPCION 14"/>
    <x v="1060"/>
    <n v="5000000"/>
    <x v="170"/>
    <x v="1"/>
    <s v="pagado"/>
    <s v="pagado"/>
    <s v="excluir"/>
    <s v="no semana"/>
    <x v="0"/>
  </r>
  <r>
    <n v="3000000154"/>
    <d v="2026-02-03T00:00:00"/>
    <n v="3000000"/>
    <s v="Pulmajo S.R.L. CONCEPCION 14"/>
    <x v="1061"/>
    <n v="3000000"/>
    <x v="170"/>
    <x v="1"/>
    <s v="pagado"/>
    <s v="pagado"/>
    <s v="excluir"/>
    <s v="no semana"/>
    <x v="0"/>
  </r>
  <r>
    <n v="3000000154"/>
    <d v="2026-02-03T00:00:00"/>
    <n v="3000000"/>
    <s v="Pulmajo S.R.L. CONCEPCION 14"/>
    <x v="1062"/>
    <n v="3000000"/>
    <x v="170"/>
    <x v="1"/>
    <s v="pagado"/>
    <s v="pagado"/>
    <s v="excluir"/>
    <s v="no semana"/>
    <x v="0"/>
  </r>
  <r>
    <n v="3000000154"/>
    <d v="2026-02-03T00:00:00"/>
    <n v="3459730.4"/>
    <s v="Pulmajo S.R.L. CONCEPCION 14"/>
    <x v="1063"/>
    <n v="3459730.4"/>
    <x v="170"/>
    <x v="1"/>
    <s v="pagado"/>
    <s v="pagado"/>
    <s v="excluir"/>
    <s v="no semana"/>
    <x v="0"/>
  </r>
  <r>
    <n v="3000000146"/>
    <d v="2026-02-03T00:00:00"/>
    <n v="10642233.449999999"/>
    <s v="Moraiz Pisarenko, Pedro I. SAN MIGUEL DE TUCUMAN 14"/>
    <x v="1064"/>
    <n v="10642233.449999999"/>
    <x v="169"/>
    <x v="1"/>
    <s v="pagado"/>
    <s v="pagado"/>
    <s v="excluir"/>
    <s v="no semana"/>
    <x v="0"/>
  </r>
  <r>
    <n v="3000000148"/>
    <d v="2026-02-03T00:00:00"/>
    <n v="13586447.9"/>
    <s v="Medina Lauro Jose Las Cejas 14"/>
    <x v="1065"/>
    <n v="13586447.9"/>
    <x v="170"/>
    <x v="1"/>
    <s v="pagado"/>
    <s v="pagado"/>
    <s v="excluir"/>
    <s v="no semana"/>
    <x v="0"/>
  </r>
  <r>
    <n v="3000000149"/>
    <d v="2026-02-03T00:00:00"/>
    <n v="28110285.800000001"/>
    <s v="LIZONDO OSCAR FABIAN METAN 09"/>
    <x v="1066"/>
    <n v="28110285.800000001"/>
    <x v="171"/>
    <x v="1"/>
    <s v="pagado"/>
    <s v="pagado"/>
    <s v="excluir"/>
    <s v="no semana"/>
    <x v="0"/>
  </r>
  <r>
    <n v="3000000150"/>
    <d v="2026-02-03T00:00:00"/>
    <n v="26281870.199999999"/>
    <s v="DON KOKO S.R.L CAMILO ALDAO 03"/>
    <x v="1067"/>
    <n v="26281870.199999999"/>
    <x v="171"/>
    <x v="1"/>
    <s v="pagado"/>
    <s v="pagado"/>
    <s v="excluir"/>
    <s v="no semana"/>
    <x v="0"/>
  </r>
  <r>
    <n v="3000000151"/>
    <d v="2026-02-03T00:00:00"/>
    <n v="14889062.4"/>
    <s v="Pulverizaciones Tuninetti S.R.Las Rosas 01"/>
    <x v="1068"/>
    <n v="14889062.4"/>
    <x v="170"/>
    <x v="1"/>
    <s v="pagado"/>
    <s v="pagado"/>
    <s v="excluir"/>
    <s v="no semana"/>
    <x v="0"/>
  </r>
  <r>
    <n v="3000000152"/>
    <d v="2026-02-03T00:00:00"/>
    <n v="14791343.4"/>
    <s v="SALTOS JOSUE GONZALO NUEVA ESPERANZA 13"/>
    <x v="1069"/>
    <n v="14791343.4"/>
    <x v="170"/>
    <x v="1"/>
    <s v="pagado"/>
    <s v="pagado"/>
    <s v="excluir"/>
    <s v="no semana"/>
    <x v="0"/>
  </r>
  <r>
    <n v="3000000153"/>
    <d v="2026-02-03T00:00:00"/>
    <n v="7085959.4000000004"/>
    <s v="ROMAN BARCELO Y JORGE CARRERASLAS LAJITAS 09"/>
    <x v="1070"/>
    <n v="7085959.4000000004"/>
    <x v="170"/>
    <x v="1"/>
    <s v="pagado"/>
    <s v="pagado"/>
    <s v="excluir"/>
    <s v="no semana"/>
    <x v="0"/>
  </r>
  <r>
    <n v="3000000155"/>
    <d v="2026-02-03T00:00:00"/>
    <n v="9609301.8200000003"/>
    <s v="ACOSTA EMILIA ROMINA JOAQUIN V GONZALEZ 09"/>
    <x v="1071"/>
    <n v="9609301.8200000003"/>
    <x v="169"/>
    <x v="1"/>
    <s v="pagado"/>
    <s v="pagado"/>
    <s v="excluir"/>
    <s v="no semana"/>
    <x v="0"/>
  </r>
  <r>
    <n v="3000000156"/>
    <d v="2026-02-03T00:00:00"/>
    <n v="12506622.779999999"/>
    <s v="SERVICOM S.R.L SAN MIGUEL DE TUCUMAN 14"/>
    <x v="1072"/>
    <n v="12506622.779999999"/>
    <x v="171"/>
    <x v="1"/>
    <s v="pagado"/>
    <s v="pagado"/>
    <s v="excluir"/>
    <s v="no semana"/>
    <x v="0"/>
  </r>
  <r>
    <n v="3000000157"/>
    <d v="2026-02-03T00:00:00"/>
    <n v="1923658.72"/>
    <s v="MAGLI FLORENCIA CAROLINA LAS TALITAS 14"/>
    <x v="1073"/>
    <n v="1923658.72"/>
    <x v="169"/>
    <x v="1"/>
    <s v="pagado"/>
    <s v="pagado"/>
    <s v="excluir"/>
    <s v="no semana"/>
    <x v="0"/>
  </r>
  <r>
    <n v="3000000158"/>
    <d v="2026-02-03T00:00:00"/>
    <n v="1931528.73"/>
    <s v="ENTREGAS SERDEN S.R.L SAN LORENZO 12"/>
    <x v="1074"/>
    <n v="1931528.73"/>
    <x v="169"/>
    <x v="1"/>
    <s v="pagado"/>
    <s v="pagado"/>
    <s v="excluir"/>
    <s v="no semana"/>
    <x v="0"/>
  </r>
  <r>
    <n v="3000000159"/>
    <d v="2026-02-03T00:00:00"/>
    <n v="8367460.4699999997"/>
    <s v="FLETES Y SERVICIOS PUJATO S.A PUJATO 12"/>
    <x v="1075"/>
    <n v="8367460.4699999997"/>
    <x v="170"/>
    <x v="1"/>
    <s v="pagado"/>
    <s v="pagado"/>
    <s v="excluir"/>
    <s v="no semana"/>
    <x v="0"/>
  </r>
  <r>
    <n v="3000000184"/>
    <d v="2026-02-10T00:00:00"/>
    <n v="9407167"/>
    <s v="Pulverizaciones Tuninetti S.R.Las Rosas 01"/>
    <x v="1076"/>
    <n v="9407167"/>
    <x v="172"/>
    <x v="1"/>
    <s v="pagado"/>
    <s v="pagado"/>
    <s v="excluir"/>
    <s v="no semana"/>
    <x v="0"/>
  </r>
  <r>
    <n v="3000000185"/>
    <d v="2026-02-10T00:00:00"/>
    <n v="3603557.4"/>
    <s v="IBAÑEZ MAXIMILIANO DAVID JUAN BAUTISTA ALBERDI 14"/>
    <x v="1077"/>
    <n v="3603557.4"/>
    <x v="173"/>
    <x v="1"/>
    <s v="pagado"/>
    <s v="pagado"/>
    <s v="excluir"/>
    <s v="no semana"/>
    <x v="0"/>
  </r>
  <r>
    <n v="3000000186"/>
    <d v="2026-02-10T00:00:00"/>
    <n v="5863484.4000000004"/>
    <s v="MARTO ALBERTO ANTONIO LA RAMADA DE ABAJO 14"/>
    <x v="1078"/>
    <n v="5863484.4000000004"/>
    <x v="173"/>
    <x v="1"/>
    <s v="pagado"/>
    <s v="pagado"/>
    <s v="excluir"/>
    <s v="no semana"/>
    <x v="0"/>
  </r>
  <r>
    <n v="3000000187"/>
    <d v="2026-02-10T00:00:00"/>
    <n v="15931309.16"/>
    <s v="SUAREZ GABRIEL SEBASTIAN SANTIAGO DEL ESTERO 13"/>
    <x v="1079"/>
    <n v="15931309.16"/>
    <x v="172"/>
    <x v="1"/>
    <s v="pagado"/>
    <s v="pagado"/>
    <s v="excluir"/>
    <s v="no semana"/>
    <x v="0"/>
  </r>
  <r>
    <n v="3000000188"/>
    <d v="2026-02-10T00:00:00"/>
    <n v="3287874.21"/>
    <s v="MOYANO SERGIO ESTEBAN BANDA DEL RIO SALI 14"/>
    <x v="1080"/>
    <n v="3287874.21"/>
    <x v="173"/>
    <x v="1"/>
    <s v="pagado"/>
    <s v="pagado"/>
    <s v="excluir"/>
    <s v="no semana"/>
    <x v="0"/>
  </r>
  <r>
    <n v="3000000176"/>
    <d v="2026-02-10T00:00:00"/>
    <n v="47910699"/>
    <s v="AYALA HERNAN OSVALDO SAN MIGUEL DE TUCUMAN 14"/>
    <x v="1081"/>
    <n v="47910699"/>
    <x v="172"/>
    <x v="1"/>
    <s v="pagado"/>
    <s v="pagado"/>
    <s v="excluir"/>
    <s v="no semana"/>
    <x v="0"/>
  </r>
  <r>
    <n v="3000000176"/>
    <d v="2026-02-10T00:00:00"/>
    <n v="509669.81"/>
    <s v="AYALA HERNAN OSVALDO SAN MIGUEL DE TUCUMAN 14"/>
    <x v="1082"/>
    <n v="509669.81"/>
    <x v="173"/>
    <x v="1"/>
    <s v="pagado"/>
    <s v="pagado"/>
    <s v="excluir"/>
    <s v="no semana"/>
    <x v="0"/>
  </r>
  <r>
    <n v="3000000177"/>
    <d v="2026-02-10T00:00:00"/>
    <n v="672767.27"/>
    <s v="GRUPO MARGEN DEL NOA SA YERBA BUENA 14"/>
    <x v="1083"/>
    <n v="672767.27"/>
    <x v="173"/>
    <x v="1"/>
    <s v="pagado"/>
    <s v="pagado"/>
    <s v="excluir"/>
    <s v="no semana"/>
    <x v="0"/>
  </r>
  <r>
    <n v="3000000178"/>
    <d v="2026-02-10T00:00:00"/>
    <n v="2551354.7999999998"/>
    <s v="DON KOKO S.R.L CAMILO ALDAO 03"/>
    <x v="1084"/>
    <n v="2551354.7999999998"/>
    <x v="173"/>
    <x v="1"/>
    <s v="pagado"/>
    <s v="pagado"/>
    <s v="excluir"/>
    <s v="no semana"/>
    <x v="0"/>
  </r>
  <r>
    <n v="3000000179"/>
    <d v="2026-02-10T00:00:00"/>
    <n v="1268765.8899999999"/>
    <s v="AYALA WALTER DANIEL ALDERETES 14"/>
    <x v="1085"/>
    <n v="1268765.8899999999"/>
    <x v="173"/>
    <x v="1"/>
    <s v="pagado"/>
    <s v="pagado"/>
    <s v="excluir"/>
    <s v="no semana"/>
    <x v="0"/>
  </r>
  <r>
    <n v="3000000189"/>
    <d v="2026-02-10T00:00:00"/>
    <n v="2150233.5499999998"/>
    <s v="MARIA FERNANDA SRL LA TRINIDAD 14"/>
    <x v="1086"/>
    <n v="2150233.5499999998"/>
    <x v="173"/>
    <x v="1"/>
    <s v="pagado"/>
    <s v="pagado"/>
    <s v="excluir"/>
    <s v="no semana"/>
    <x v="0"/>
  </r>
  <r>
    <n v="3000000190"/>
    <d v="2026-02-10T00:00:00"/>
    <n v="2531323.7400000002"/>
    <s v="TRANSPORTE BARBERAN HNOS SRL CHABAS 12"/>
    <x v="1087"/>
    <n v="2531323.7400000002"/>
    <x v="173"/>
    <x v="1"/>
    <s v="pagado"/>
    <s v="pagado"/>
    <s v="excluir"/>
    <s v="no semana"/>
    <x v="0"/>
  </r>
  <r>
    <n v="3000000191"/>
    <d v="2026-02-10T00:00:00"/>
    <n v="13554778.1"/>
    <s v="PETROANDINA S.R.L SALTA 09"/>
    <x v="1088"/>
    <n v="13554778.1"/>
    <x v="172"/>
    <x v="1"/>
    <s v="pagado"/>
    <s v="pagado"/>
    <s v="excluir"/>
    <s v="no semana"/>
    <x v="0"/>
  </r>
  <r>
    <n v="3000000181"/>
    <d v="2026-02-10T00:00:00"/>
    <n v="19373762.399999999"/>
    <s v="RODRIGUEZ NESTOR HORACIO YERBA BUENA 14"/>
    <x v="1089"/>
    <n v="19373762.399999999"/>
    <x v="172"/>
    <x v="1"/>
    <s v="pagado"/>
    <s v="pagado"/>
    <s v="excluir"/>
    <s v="no semana"/>
    <x v="0"/>
  </r>
  <r>
    <n v="3000000182"/>
    <d v="2026-02-10T00:00:00"/>
    <n v="7730178.5"/>
    <s v="Medina Lauro Jose Las Cejas 14"/>
    <x v="1090"/>
    <n v="7730178.5"/>
    <x v="172"/>
    <x v="1"/>
    <s v="pagado"/>
    <s v="pagado"/>
    <s v="excluir"/>
    <s v="no semana"/>
    <x v="0"/>
  </r>
  <r>
    <n v="3000000183"/>
    <d v="2026-02-10T00:00:00"/>
    <n v="12521883.4"/>
    <s v="Suc. de Ventimiglia Nelly IrmJesus Maria 03"/>
    <x v="1091"/>
    <n v="12521883.4"/>
    <x v="172"/>
    <x v="1"/>
    <s v="pagado"/>
    <s v="pagado"/>
    <s v="excluir"/>
    <s v="no semana"/>
    <x v="0"/>
  </r>
  <r>
    <n v="3000000213"/>
    <d v="2026-02-12T00:00:00"/>
    <n v="8357788.8700000001"/>
    <s v="MOYANO JULIO CESAR BANDA DEL RIO SALI 14"/>
    <x v="1092"/>
    <n v="8357788.8700000001"/>
    <x v="146"/>
    <x v="1"/>
    <s v="pagado"/>
    <s v="pagado"/>
    <s v="excluir"/>
    <s v="no semana"/>
    <x v="0"/>
  </r>
  <r>
    <n v="3000000214"/>
    <d v="2026-02-12T00:00:00"/>
    <n v="2510717.92"/>
    <s v="TRANSPORTE GLOBAL SAS SAN MIGUEL DE TUCUMAN 14"/>
    <x v="1093"/>
    <n v="2510717.92"/>
    <x v="172"/>
    <x v="1"/>
    <s v="pagado"/>
    <s v="pagado"/>
    <s v="excluir"/>
    <s v="no semana"/>
    <x v="0"/>
  </r>
  <r>
    <n v="3000000215"/>
    <d v="2026-02-12T00:00:00"/>
    <n v="7531817.9199999999"/>
    <s v="GOMEZ JOSE PATRICIO SAN MIGUEL DE TUCUMAN 14"/>
    <x v="1094"/>
    <n v="7531817.9199999999"/>
    <x v="146"/>
    <x v="1"/>
    <s v="pagado"/>
    <s v="pagado"/>
    <s v="excluir"/>
    <s v="no semana"/>
    <x v="0"/>
  </r>
  <r>
    <n v="3000000216"/>
    <d v="2026-02-12T00:00:00"/>
    <n v="11285687.92"/>
    <s v="JAVIER EDUARDO PRADO FLORIDA 13"/>
    <x v="1095"/>
    <n v="11285687.92"/>
    <x v="146"/>
    <x v="1"/>
    <s v="pagado"/>
    <s v="pagado"/>
    <s v="excluir"/>
    <s v="no semana"/>
    <x v="0"/>
  </r>
  <r>
    <n v="3000000218"/>
    <d v="2026-02-12T00:00:00"/>
    <n v="2333903.17"/>
    <s v="TOURNOUR ADRIAN LEONEL VILLA ELISA 05"/>
    <x v="1096"/>
    <n v="2333903.17"/>
    <x v="172"/>
    <x v="1"/>
    <s v="pagado"/>
    <s v="pagado"/>
    <s v="excluir"/>
    <s v="no semana"/>
    <x v="0"/>
  </r>
  <r>
    <n v="3000000221"/>
    <d v="2026-02-18T00:00:00"/>
    <n v="15958400"/>
    <s v="EDET S.A. SAN MIGUEL DE TUCUMAN 14"/>
    <x v="1097"/>
    <n v="15958400"/>
    <x v="173"/>
    <x v="1"/>
    <s v="pagado"/>
    <s v="pagado"/>
    <s v="excluir"/>
    <s v="no semana"/>
    <x v="0"/>
  </r>
  <r>
    <n v="3000000227"/>
    <d v="2026-02-18T00:00:00"/>
    <n v="5453317.1100000003"/>
    <s v="ILUZZI MIGUEL ANGEL CIUDAD AUTONOMA BUENOS AIRES 00"/>
    <x v="1098"/>
    <n v="5453317.1100000003"/>
    <x v="174"/>
    <x v="1"/>
    <s v="pagado"/>
    <s v="pagado"/>
    <s v="excluir"/>
    <s v="no semana"/>
    <x v="0"/>
  </r>
  <r>
    <n v="3000000228"/>
    <d v="2026-02-18T00:00:00"/>
    <n v="4907492.3"/>
    <s v="NAVYTRANS SA CAPITAL FEDERAL 00"/>
    <x v="1099"/>
    <n v="4907492.3"/>
    <x v="174"/>
    <x v="1"/>
    <s v="pagado"/>
    <s v="pagado"/>
    <s v="excluir"/>
    <s v="no semana"/>
    <x v="0"/>
  </r>
  <r>
    <n v="3000000229"/>
    <d v="2026-02-18T00:00:00"/>
    <n v="12558679.5"/>
    <s v="Suarez Elio Hernan Los altos 02"/>
    <x v="1100"/>
    <n v="12558679.5"/>
    <x v="174"/>
    <x v="1"/>
    <s v="pagado"/>
    <s v="pagado"/>
    <s v="excluir"/>
    <s v="no semana"/>
    <x v="0"/>
  </r>
  <r>
    <n v="3000000230"/>
    <d v="2026-02-18T00:00:00"/>
    <n v="6090000"/>
    <s v="SALTOS JOSUE GONZALO NUEVA ESPERANZA 13"/>
    <x v="1101"/>
    <n v="6090000"/>
    <x v="146"/>
    <x v="1"/>
    <s v="pagado"/>
    <s v="pagado"/>
    <s v="excluir"/>
    <s v="no semana"/>
    <x v="0"/>
  </r>
  <r>
    <n v="3000000231"/>
    <d v="2026-02-18T00:00:00"/>
    <n v="12614034.4"/>
    <s v="AGUERA CRISTIAN MARTIN CONCEPCION 14"/>
    <x v="1102"/>
    <n v="12614034.4"/>
    <x v="146"/>
    <x v="1"/>
    <s v="pagado"/>
    <s v="pagado"/>
    <s v="excluir"/>
    <s v="no semana"/>
    <x v="0"/>
  </r>
  <r>
    <n v="3000000232"/>
    <d v="2026-02-18T00:00:00"/>
    <n v="7230543.4000000004"/>
    <s v="LASTRINA CARMELO ALTO VERDE 14"/>
    <x v="1103"/>
    <n v="7230543.4000000004"/>
    <x v="174"/>
    <x v="1"/>
    <s v="pagado"/>
    <s v="pagado"/>
    <s v="excluir"/>
    <s v="no semana"/>
    <x v="0"/>
  </r>
  <r>
    <n v="3000001695"/>
    <d v="2026-02-18T00:00:00"/>
    <n v="5542675.0199999996"/>
    <s v="Medina Lauro Jose Las Cejas 14"/>
    <x v="1104"/>
    <n v="5542675.0199999996"/>
    <x v="146"/>
    <x v="1"/>
    <s v="pagado"/>
    <s v="pagado"/>
    <s v="excluir"/>
    <s v="no semana"/>
    <x v="0"/>
  </r>
  <r>
    <n v="3000000254"/>
    <d v="2026-02-23T00:00:00"/>
    <n v="9559194.0500000007"/>
    <s v="GOMEZ JESSICA NOELIA LAS TALITAS 14"/>
    <x v="1105"/>
    <n v="9559194.0500000007"/>
    <x v="175"/>
    <x v="1"/>
    <s v="pagado"/>
    <s v="pagado"/>
    <s v="excluir"/>
    <s v="no semana"/>
    <x v="0"/>
  </r>
  <r>
    <n v="3000000255"/>
    <d v="2026-02-23T00:00:00"/>
    <n v="6185979.0300000003"/>
    <s v="MOLINA JUAN F. Y MOLINA ROQUE Lastenia 14"/>
    <x v="1106"/>
    <n v="6185979.0300000003"/>
    <x v="175"/>
    <x v="1"/>
    <s v="pagado"/>
    <s v="pagado"/>
    <s v="excluir"/>
    <s v="no semana"/>
    <x v="0"/>
  </r>
  <r>
    <n v="3000000255"/>
    <d v="2026-02-23T00:00:00"/>
    <n v="7897178.8899999997"/>
    <s v="MOLINA JUAN F. Y MOLINA ROQUE Lastenia 14"/>
    <x v="1107"/>
    <n v="7897178.8899999997"/>
    <x v="176"/>
    <x v="1"/>
    <s v="pagado"/>
    <s v="pagado"/>
    <s v="excluir"/>
    <s v="no semana"/>
    <x v="0"/>
  </r>
  <r>
    <n v="3000000256"/>
    <d v="2026-02-23T00:00:00"/>
    <n v="24339630.539999999"/>
    <s v="PAIS WALTER LUIS SAN MIGUEL DE TUCUMAN 14"/>
    <x v="1108"/>
    <n v="24339630.539999999"/>
    <x v="176"/>
    <x v="1"/>
    <s v="pagado"/>
    <s v="pagado"/>
    <s v="excluir"/>
    <s v="no semana"/>
    <x v="0"/>
  </r>
  <r>
    <n v="3000000257"/>
    <d v="2026-02-23T00:00:00"/>
    <n v="20000000"/>
    <s v="AYALA HERNAN OSVALDO SAN MIGUEL DE TUCUMAN 14"/>
    <x v="1109"/>
    <n v="20000000"/>
    <x v="175"/>
    <x v="1"/>
    <s v="pagado"/>
    <s v="pagado"/>
    <s v="excluir"/>
    <s v="no semana"/>
    <x v="0"/>
  </r>
  <r>
    <n v="3000000257"/>
    <d v="2026-02-23T00:00:00"/>
    <n v="21726475.579999998"/>
    <s v="AYALA HERNAN OSVALDO SAN MIGUEL DE TUCUMAN 14"/>
    <x v="1110"/>
    <n v="21726475.579999998"/>
    <x v="176"/>
    <x v="1"/>
    <s v="pagado"/>
    <s v="pagado"/>
    <s v="excluir"/>
    <s v="no semana"/>
    <x v="0"/>
  </r>
  <r>
    <n v="3000000258"/>
    <d v="2026-02-23T00:00:00"/>
    <n v="4300000"/>
    <s v="FUNDACION INNOVA-T CIUDAD AUTONOMA DE BUENOS AIRES 01"/>
    <x v="1111"/>
    <n v="4300000"/>
    <x v="175"/>
    <x v="1"/>
    <s v="pagado"/>
    <s v="pagado"/>
    <s v="excluir"/>
    <s v="no semana"/>
    <x v="0"/>
  </r>
  <r>
    <n v="3000000259"/>
    <d v="2026-02-23T00:00:00"/>
    <n v="12225023.4"/>
    <s v="GOMEZ MANUEL ARCENIO METAN 09"/>
    <x v="1112"/>
    <n v="12225023.4"/>
    <x v="176"/>
    <x v="1"/>
    <s v="pagado"/>
    <s v="pagado"/>
    <s v="excluir"/>
    <s v="no semana"/>
    <x v="0"/>
  </r>
  <r>
    <n v="3000000260"/>
    <d v="2026-02-23T00:00:00"/>
    <n v="5364298.5"/>
    <s v="Medina Lauro Jose Las Cejas 14"/>
    <x v="1113"/>
    <n v="5364298.5"/>
    <x v="175"/>
    <x v="1"/>
    <s v="pagado"/>
    <s v="pagado"/>
    <s v="excluir"/>
    <s v="no semana"/>
    <x v="0"/>
  </r>
  <r>
    <n v="3000000261"/>
    <d v="2026-02-23T00:00:00"/>
    <n v="4653456.5"/>
    <s v="Pulverizaciones Tuninetti S.R.Las Rosas 01"/>
    <x v="1114"/>
    <n v="4653456.5"/>
    <x v="175"/>
    <x v="1"/>
    <s v="pagado"/>
    <s v="pagado"/>
    <s v="excluir"/>
    <s v="no semana"/>
    <x v="0"/>
  </r>
  <r>
    <n v="3000000262"/>
    <d v="2026-02-23T00:00:00"/>
    <n v="5000000"/>
    <s v="Pulmajo S.R.L. CONCEPCION 14"/>
    <x v="1115"/>
    <n v="5000000"/>
    <x v="175"/>
    <x v="1"/>
    <s v="pagado"/>
    <s v="pagado"/>
    <s v="excluir"/>
    <s v="no semana"/>
    <x v="0"/>
  </r>
  <r>
    <n v="3000000262"/>
    <d v="2026-02-23T00:00:00"/>
    <n v="5000000"/>
    <s v="Pulmajo S.R.L. CONCEPCION 14"/>
    <x v="1116"/>
    <n v="5000000"/>
    <x v="176"/>
    <x v="1"/>
    <s v="pagado"/>
    <s v="pagado"/>
    <s v="excluir"/>
    <s v="no semana"/>
    <x v="0"/>
  </r>
  <r>
    <n v="3000000262"/>
    <d v="2026-02-23T00:00:00"/>
    <n v="6894201.5"/>
    <s v="Pulmajo S.R.L. CONCEPCION 14"/>
    <x v="1117"/>
    <n v="6894201.5"/>
    <x v="177"/>
    <x v="1"/>
    <s v="pagado"/>
    <s v="pagado"/>
    <s v="excluir"/>
    <s v="no semana"/>
    <x v="0"/>
  </r>
  <r>
    <n v="3000000263"/>
    <d v="2026-02-23T00:00:00"/>
    <n v="18912411.870000001"/>
    <s v="ARPAFLU SRL CAPTAL FEDERAL 00"/>
    <x v="1118"/>
    <n v="18912411.870000001"/>
    <x v="177"/>
    <x v="1"/>
    <s v="pagado"/>
    <s v="pagado"/>
    <s v="excluir"/>
    <s v="no semana"/>
    <x v="0"/>
  </r>
  <r>
    <n v="1200000002"/>
    <d v="2026-02-24T00:00:00"/>
    <n v="3538847.92"/>
    <s v="Cheque de terceros TUCUMAN"/>
    <x v="1119"/>
    <n v="3538847.92"/>
    <x v="177"/>
    <x v="1"/>
    <s v="pagado"/>
    <s v="pagado"/>
    <s v="excluir"/>
    <s v="no semana"/>
    <x v="0"/>
  </r>
  <r>
    <n v="1200000002"/>
    <d v="2026-02-24T00:00:00"/>
    <n v="3573827.7"/>
    <s v="Cheque de terceros TUCUMAN"/>
    <x v="1120"/>
    <n v="3573827.7"/>
    <x v="177"/>
    <x v="1"/>
    <s v="pagado"/>
    <s v="pagado"/>
    <s v="excluir"/>
    <s v="no semana"/>
    <x v="0"/>
  </r>
  <r>
    <n v="1200000002"/>
    <d v="2026-02-24T00:00:00"/>
    <n v="21306087.300000001"/>
    <s v="Cheque de terceros TUCUMAN"/>
    <x v="1121"/>
    <n v="21306087.300000001"/>
    <x v="178"/>
    <x v="1"/>
    <s v="pagado"/>
    <s v="pagado"/>
    <s v="excluir"/>
    <s v="no semana"/>
    <x v="0"/>
  </r>
  <r>
    <n v="1200000002"/>
    <d v="2026-02-24T00:00:00"/>
    <n v="15098080.939999999"/>
    <s v="Cheque de terceros TUCUMAN"/>
    <x v="1122"/>
    <n v="15098080.939999999"/>
    <x v="178"/>
    <x v="1"/>
    <s v="pagado"/>
    <s v="pagado"/>
    <s v="excluir"/>
    <s v="no semana"/>
    <x v="0"/>
  </r>
  <r>
    <n v="1200000002"/>
    <d v="2026-02-24T00:00:00"/>
    <n v="26027334.530000001"/>
    <s v="Cheque de terceros TUCUMAN"/>
    <x v="1123"/>
    <n v="26027334.530000001"/>
    <x v="178"/>
    <x v="1"/>
    <s v="pagado"/>
    <s v="pagado"/>
    <s v="excluir"/>
    <s v="no semana"/>
    <x v="0"/>
  </r>
  <r>
    <n v="1200000002"/>
    <d v="2026-02-24T00:00:00"/>
    <n v="12309208.77"/>
    <s v="Cheque de terceros TUCUMAN"/>
    <x v="1124"/>
    <n v="12309208.77"/>
    <x v="178"/>
    <x v="1"/>
    <s v="pagado"/>
    <s v="pagado"/>
    <s v="excluir"/>
    <s v="no semana"/>
    <x v="0"/>
  </r>
  <r>
    <n v="1200000002"/>
    <d v="2026-02-24T00:00:00"/>
    <n v="28754292.609999999"/>
    <s v="Cheque de terceros TUCUMAN"/>
    <x v="1125"/>
    <n v="28754292.609999999"/>
    <x v="178"/>
    <x v="1"/>
    <s v="pagado"/>
    <s v="pagado"/>
    <s v="excluir"/>
    <s v="no semana"/>
    <x v="0"/>
  </r>
  <r>
    <n v="1200000002"/>
    <d v="2026-02-24T00:00:00"/>
    <n v="21242932.559999999"/>
    <s v="Cheque de terceros TUCUMAN"/>
    <x v="1126"/>
    <n v="21242932.559999999"/>
    <x v="178"/>
    <x v="1"/>
    <s v="pagado"/>
    <s v="pagado"/>
    <s v="excluir"/>
    <s v="no semana"/>
    <x v="0"/>
  </r>
  <r>
    <n v="1200000002"/>
    <d v="2026-02-24T00:00:00"/>
    <n v="18346186.690000001"/>
    <s v="Cheque de terceros TUCUMAN"/>
    <x v="1127"/>
    <n v="18346186.690000001"/>
    <x v="178"/>
    <x v="1"/>
    <s v="pagado"/>
    <s v="pagado"/>
    <s v="excluir"/>
    <s v="no semana"/>
    <x v="0"/>
  </r>
  <r>
    <n v="1200000002"/>
    <d v="2026-02-24T00:00:00"/>
    <n v="22363573"/>
    <s v="Cheque de terceros TUCUMAN"/>
    <x v="1128"/>
    <n v="22363573"/>
    <x v="178"/>
    <x v="1"/>
    <s v="pagado"/>
    <s v="pagado"/>
    <s v="excluir"/>
    <s v="no semana"/>
    <x v="0"/>
  </r>
  <r>
    <n v="3000000282"/>
    <d v="2026-02-25T00:00:00"/>
    <n v="1733718.71"/>
    <s v="AGROALAS SA Las Cejas 14"/>
    <x v="1129"/>
    <n v="1733718.71"/>
    <x v="175"/>
    <x v="1"/>
    <s v="pagado"/>
    <s v="pagado"/>
    <s v="excluir"/>
    <s v="no semana"/>
    <x v="0"/>
  </r>
  <r>
    <n v="3000000289"/>
    <d v="2026-02-26T00:00:00"/>
    <n v="28505707.989999998"/>
    <s v="TRANSPORTE BARBERAN HNOS SRL CHABAS 12"/>
    <x v="1130"/>
    <n v="28505707.989999998"/>
    <x v="179"/>
    <x v="1"/>
    <s v="pagado"/>
    <s v="pagado"/>
    <s v="excluir"/>
    <s v="no semana"/>
    <x v="0"/>
  </r>
  <r>
    <n v="3000000290"/>
    <d v="2026-02-26T00:00:00"/>
    <n v="10132835.619999999"/>
    <s v="ANTONACCI LUIS GABRIEL LA FLORIDA 14"/>
    <x v="1131"/>
    <n v="10132835.619999999"/>
    <x v="179"/>
    <x v="1"/>
    <s v="pagado"/>
    <s v="pagado"/>
    <s v="excluir"/>
    <s v="no semana"/>
    <x v="0"/>
  </r>
  <r>
    <n v="3000000291"/>
    <d v="2026-02-26T00:00:00"/>
    <n v="8983237.2899999991"/>
    <s v="LANGELLA JUAN RODOLFO ALDERETES 14"/>
    <x v="1132"/>
    <n v="8983237.2899999991"/>
    <x v="179"/>
    <x v="1"/>
    <s v="pagado"/>
    <s v="pagado"/>
    <s v="excluir"/>
    <s v="no semana"/>
    <x v="0"/>
  </r>
  <r>
    <n v="3000000292"/>
    <d v="2026-02-27T00:00:00"/>
    <n v="34521799.420000002"/>
    <s v="RODRIGUEZ NESTOR HORACIO YERBA BUENA 14"/>
    <x v="1133"/>
    <n v="34521799.420000002"/>
    <x v="179"/>
    <x v="1"/>
    <s v="pagado"/>
    <s v="pagado"/>
    <s v="excluir"/>
    <s v="no semana"/>
    <x v="0"/>
  </r>
  <r>
    <n v="3000000308"/>
    <d v="2026-03-03T00:00:00"/>
    <n v="4952303.4000000004"/>
    <s v="Suc. de Ventimiglia Nelly IrmJesus Maria 03"/>
    <x v="1134"/>
    <n v="4952303.4000000004"/>
    <x v="180"/>
    <x v="1"/>
    <s v="pagado"/>
    <s v="pagado"/>
    <s v="excluir"/>
    <s v="no semana"/>
    <x v="0"/>
  </r>
  <r>
    <n v="3000000309"/>
    <d v="2026-03-03T00:00:00"/>
    <n v="6441469.4000000004"/>
    <s v="Medina Lauro Jose Las Cejas 14"/>
    <x v="1135"/>
    <n v="6441469.4000000004"/>
    <x v="180"/>
    <x v="1"/>
    <s v="pagado"/>
    <s v="pagado"/>
    <s v="excluir"/>
    <s v="no semana"/>
    <x v="0"/>
  </r>
  <r>
    <n v="3000000310"/>
    <d v="2026-03-03T00:00:00"/>
    <n v="24362139.399999999"/>
    <s v="CARIGNANO RAUL JUAN YERBA BUENA 14"/>
    <x v="1136"/>
    <n v="24362139.399999999"/>
    <x v="180"/>
    <x v="1"/>
    <s v="pagado"/>
    <s v="pagado"/>
    <s v="excluir"/>
    <s v="no semana"/>
    <x v="0"/>
  </r>
  <r>
    <n v="3000000311"/>
    <d v="2026-03-03T00:00:00"/>
    <n v="8481160.9000000004"/>
    <s v="Pulverizaciones Tuninetti S.R.Las Rosas 01"/>
    <x v="1137"/>
    <n v="8481160.9000000004"/>
    <x v="180"/>
    <x v="1"/>
    <s v="pagado"/>
    <s v="pagado"/>
    <s v="excluir"/>
    <s v="no semana"/>
    <x v="0"/>
  </r>
  <r>
    <n v="3000000336"/>
    <d v="2026-03-09T00:00:00"/>
    <n v="1499280.78"/>
    <s v="ROMAN BARCELO Y JORGE CARRERASLAS LAJITAS 09"/>
    <x v="1138"/>
    <n v="1499280.78"/>
    <x v="181"/>
    <x v="1"/>
    <s v="pagado"/>
    <s v="pagado"/>
    <s v="excluir"/>
    <s v="no semana"/>
    <x v="0"/>
  </r>
  <r>
    <n v="3000000337"/>
    <d v="2026-03-09T00:00:00"/>
    <n v="10993371.48"/>
    <s v="AYALA WALTER DANIEL ALDERETES 14"/>
    <x v="1139"/>
    <n v="10993371.48"/>
    <x v="181"/>
    <x v="1"/>
    <s v="pagado"/>
    <s v="pagado"/>
    <s v="excluir"/>
    <s v="no semana"/>
    <x v="0"/>
  </r>
  <r>
    <n v="3000000338"/>
    <d v="2026-03-09T00:00:00"/>
    <n v="9202073.4000000004"/>
    <s v="MAZZA ERNESTO RODOLFO FAMAILLA - TUCUMAN 14"/>
    <x v="1140"/>
    <n v="9202073.4000000004"/>
    <x v="182"/>
    <x v="1"/>
    <s v="pagado"/>
    <s v="pagado"/>
    <s v="excluir"/>
    <s v="no semana"/>
    <x v="0"/>
  </r>
  <r>
    <n v="3000000339"/>
    <d v="2026-03-09T00:00:00"/>
    <n v="4003045.49"/>
    <s v="LIZONDO OSCAR FABIAN METAN 09"/>
    <x v="1141"/>
    <n v="4003045.49"/>
    <x v="182"/>
    <x v="1"/>
    <s v="pagado"/>
    <s v="pagado"/>
    <s v="excluir"/>
    <s v="no semana"/>
    <x v="0"/>
  </r>
  <r>
    <n v="3000000351"/>
    <d v="2026-03-12T00:00:00"/>
    <n v="88438.26"/>
    <s v="GRUPO MARGEN DEL NOA SA YERBA BUENA 14"/>
    <x v="1142"/>
    <n v="88438.26"/>
    <x v="182"/>
    <x v="1"/>
    <s v="pagado"/>
    <s v="pagado"/>
    <s v="excluir"/>
    <s v="no semana"/>
    <x v="0"/>
  </r>
  <r>
    <n v="3000000359"/>
    <d v="2026-03-16T00:00:00"/>
    <n v="17445110"/>
    <s v="EDET S.A. SAN MIGUEL DE TUCUMAN 14"/>
    <x v="1143"/>
    <n v="17445110"/>
    <x v="183"/>
    <x v="1"/>
    <s v="pagado"/>
    <s v="pagado"/>
    <s v="excluir"/>
    <s v="no semana"/>
    <x v="0"/>
  </r>
  <r>
    <n v="3000000361"/>
    <d v="2026-03-16T00:00:00"/>
    <n v="15990026.65"/>
    <s v="SUAREZ GABRIEL SEBASTIAN SANTIAGO DEL ESTERO 13"/>
    <x v="1144"/>
    <n v="15990026.65"/>
    <x v="184"/>
    <x v="1"/>
    <s v="pagado"/>
    <s v="pagado"/>
    <s v="excluir"/>
    <s v="no semana"/>
    <x v="0"/>
  </r>
  <r>
    <n v="3000000362"/>
    <d v="2026-03-16T00:00:00"/>
    <n v="18172637.100000001"/>
    <s v="MARTO ALBERTO ANTONIO LA RAMADA DE ABAJO 14"/>
    <x v="1145"/>
    <n v="18172637.100000001"/>
    <x v="184"/>
    <x v="1"/>
    <s v="pagado"/>
    <s v="pagado"/>
    <s v="excluir"/>
    <s v="no semana"/>
    <x v="0"/>
  </r>
  <r>
    <n v="3000000363"/>
    <d v="2026-03-16T00:00:00"/>
    <n v="18807493.140000001"/>
    <s v="TRANSPORTE BARBERAN HNOS SRL CHABAS 12"/>
    <x v="1146"/>
    <n v="18807493.140000001"/>
    <x v="184"/>
    <x v="1"/>
    <s v="pagado"/>
    <s v="pagado"/>
    <s v="excluir"/>
    <s v="no semana"/>
    <x v="0"/>
  </r>
  <r>
    <n v="3000000364"/>
    <d v="2026-03-16T00:00:00"/>
    <n v="4505254.78"/>
    <s v="MOLINA JUAN F. Y MOLINA ROQUE Lastenia 14"/>
    <x v="1147"/>
    <n v="4505254.78"/>
    <x v="184"/>
    <x v="1"/>
    <s v="pagado"/>
    <s v="pagado"/>
    <s v="excluir"/>
    <s v="no semana"/>
    <x v="0"/>
  </r>
  <r>
    <n v="3000000365"/>
    <d v="2026-03-16T00:00:00"/>
    <n v="6556879.9500000002"/>
    <s v="TRANSPORTE CLASON SRL ROSARIO 12"/>
    <x v="1148"/>
    <n v="6556879.9500000002"/>
    <x v="184"/>
    <x v="1"/>
    <s v="pagado"/>
    <s v="pagado"/>
    <s v="excluir"/>
    <s v="no semana"/>
    <x v="0"/>
  </r>
  <r>
    <n v="3000000366"/>
    <d v="2026-03-16T00:00:00"/>
    <n v="7301077.7199999997"/>
    <s v="PAIS WALTER LUIS SAN MIGUEL DE TUCUMAN 14"/>
    <x v="1149"/>
    <n v="7301077.7199999997"/>
    <x v="184"/>
    <x v="1"/>
    <s v="pagado"/>
    <s v="pagado"/>
    <s v="excluir"/>
    <s v="no semana"/>
    <x v="0"/>
  </r>
  <r>
    <n v="1200000395"/>
    <d v="2026-03-18T00:00:00"/>
    <n v="36759632.340000004"/>
    <s v="Cheque de terceros TUCUMAN"/>
    <x v="1150"/>
    <n v="36759632.340000004"/>
    <x v="185"/>
    <x v="1"/>
    <s v="pagado"/>
    <s v="pagado"/>
    <s v="excluir"/>
    <s v="no semana"/>
    <x v="0"/>
  </r>
  <r>
    <n v="3000000375"/>
    <d v="2026-03-18T00:00:00"/>
    <n v="782019.84"/>
    <s v="COSENTINO DROVETA AGUSTIN BANDA DEL RIO SALI 14"/>
    <x v="1151"/>
    <n v="782019.84"/>
    <x v="185"/>
    <x v="1"/>
    <s v="pagado"/>
    <s v="pagado"/>
    <s v="excluir"/>
    <s v="no semana"/>
    <x v="0"/>
  </r>
  <r>
    <n v="3000000379"/>
    <d v="2026-03-19T00:00:00"/>
    <n v="10179780"/>
    <s v="Suc. de Ventimiglia Nelly IrmJesus Maria 03"/>
    <x v="1152"/>
    <n v="10179780"/>
    <x v="185"/>
    <x v="1"/>
    <s v="pagado"/>
    <s v="pagado"/>
    <s v="excluir"/>
    <s v="no semana"/>
    <x v="0"/>
  </r>
  <r>
    <n v="3000000401"/>
    <d v="2026-03-25T00:00:00"/>
    <n v="25000000"/>
    <s v="CARIGNANO RAUL JUAN YERBA BUENA 14"/>
    <x v="1153"/>
    <n v="25000000"/>
    <x v="186"/>
    <x v="1"/>
    <s v="pagado"/>
    <s v="pagado"/>
    <s v="excluir"/>
    <s v="no semana"/>
    <x v="0"/>
  </r>
  <r>
    <n v="3000000401"/>
    <d v="2026-03-25T00:00:00"/>
    <n v="28832394"/>
    <s v="CARIGNANO RAUL JUAN YERBA BUENA 14"/>
    <x v="1154"/>
    <n v="28832394"/>
    <x v="187"/>
    <x v="1"/>
    <s v="pagado"/>
    <s v="pagado"/>
    <s v="excluir"/>
    <s v="no semana"/>
    <x v="0"/>
  </r>
  <r>
    <n v="3000000390"/>
    <d v="2026-03-25T00:00:00"/>
    <n v="10903534.35"/>
    <s v="SAN LORENZO CEREALES S.R.L SAN LORENZO 12"/>
    <x v="1155"/>
    <n v="10903534.35"/>
    <x v="187"/>
    <x v="1"/>
    <s v="pagado"/>
    <s v="pagado"/>
    <s v="excluir"/>
    <s v="no semana"/>
    <x v="0"/>
  </r>
  <r>
    <n v="3000000391"/>
    <d v="2026-03-25T00:00:00"/>
    <n v="4670665.7699999996"/>
    <s v="AYALA WALTER DANIEL ALDERETES 14"/>
    <x v="1156"/>
    <n v="4670665.7699999996"/>
    <x v="186"/>
    <x v="1"/>
    <s v="pagado"/>
    <s v="pagado"/>
    <s v="excluir"/>
    <s v="no semana"/>
    <x v="0"/>
  </r>
  <r>
    <n v="3000000392"/>
    <d v="2026-03-25T00:00:00"/>
    <n v="26716188.399999999"/>
    <s v="M.A.D Serv y mant eléctri SAN MIGUEL DE TUCUMAN 14"/>
    <x v="1157"/>
    <n v="26716188.399999999"/>
    <x v="187"/>
    <x v="1"/>
    <s v="pagado"/>
    <s v="pagado"/>
    <s v="excluir"/>
    <s v="no semana"/>
    <x v="0"/>
  </r>
  <r>
    <n v="3000000393"/>
    <d v="2026-03-25T00:00:00"/>
    <n v="18991343.399999999"/>
    <s v="SALTOS JOSUE GONZALO NUEVA ESPERANZA 13"/>
    <x v="1158"/>
    <n v="18991343.399999999"/>
    <x v="187"/>
    <x v="1"/>
    <s v="pagado"/>
    <s v="pagado"/>
    <s v="excluir"/>
    <s v="no semana"/>
    <x v="0"/>
  </r>
  <r>
    <n v="3000000394"/>
    <d v="2026-03-25T00:00:00"/>
    <n v="3940778.4"/>
    <s v="TRAPICHE SA BANDA DEL RIO SALI 14"/>
    <x v="1159"/>
    <n v="3940778.4"/>
    <x v="186"/>
    <x v="1"/>
    <s v="pagado"/>
    <s v="pagado"/>
    <s v="excluir"/>
    <s v="no semana"/>
    <x v="0"/>
  </r>
  <r>
    <n v="3000000395"/>
    <d v="2026-03-25T00:00:00"/>
    <n v="24563000"/>
    <s v="MAZZA ERNESTO RODOLFO FAMAILLA - TUCUMAN 14"/>
    <x v="1160"/>
    <n v="24563000"/>
    <x v="187"/>
    <x v="1"/>
    <s v="pagado"/>
    <s v="pagado"/>
    <s v="excluir"/>
    <s v="no semana"/>
    <x v="0"/>
  </r>
  <r>
    <n v="3000000396"/>
    <d v="2026-03-25T00:00:00"/>
    <n v="9145575"/>
    <s v="TRANSPORTE CLASON SRL ROSARIO 12"/>
    <x v="1161"/>
    <n v="9145575"/>
    <x v="186"/>
    <x v="1"/>
    <s v="pagado"/>
    <s v="pagado"/>
    <s v="excluir"/>
    <s v="no semana"/>
    <x v="0"/>
  </r>
  <r>
    <n v="3000000397"/>
    <d v="2026-03-25T00:00:00"/>
    <n v="5546690.1699999999"/>
    <s v="JAVIER EDUARDO PRADO FLORIDA 13"/>
    <x v="1162"/>
    <n v="5546690.1699999999"/>
    <x v="186"/>
    <x v="1"/>
    <s v="pagado"/>
    <s v="pagado"/>
    <s v="excluir"/>
    <s v="no semana"/>
    <x v="0"/>
  </r>
  <r>
    <n v="3000000398"/>
    <d v="2026-03-25T00:00:00"/>
    <n v="12714358.57"/>
    <s v="TRANSPORTE LAVENIA SAS LASTENIA 14"/>
    <x v="1163"/>
    <n v="12714358.57"/>
    <x v="187"/>
    <x v="1"/>
    <s v="pagado"/>
    <s v="pagado"/>
    <s v="excluir"/>
    <s v="no semana"/>
    <x v="0"/>
  </r>
  <r>
    <n v="3000000399"/>
    <d v="2026-03-25T00:00:00"/>
    <n v="25515660.5"/>
    <s v="Medina Lauro Jose Las Cejas 14"/>
    <x v="1164"/>
    <n v="25515660.5"/>
    <x v="187"/>
    <x v="1"/>
    <s v="pagado"/>
    <s v="pagado"/>
    <s v="excluir"/>
    <s v="no semana"/>
    <x v="0"/>
  </r>
  <r>
    <n v="3000000400"/>
    <d v="2026-03-25T00:00:00"/>
    <n v="18691063.899999999"/>
    <s v="Pulmajo S.R.L. CONCEPCION 14"/>
    <x v="1165"/>
    <n v="18691063.899999999"/>
    <x v="187"/>
    <x v="1"/>
    <s v="pagado"/>
    <s v="pagado"/>
    <s v="excluir"/>
    <s v="no semana"/>
    <x v="0"/>
  </r>
  <r>
    <n v="3000000402"/>
    <d v="2026-03-25T00:00:00"/>
    <n v="24560329.600000001"/>
    <s v="RODRIGUEZ NESTOR HORACIO YERBA BUENA 14"/>
    <x v="1166"/>
    <n v="24560329.600000001"/>
    <x v="187"/>
    <x v="1"/>
    <s v="pagado"/>
    <s v="pagado"/>
    <s v="excluir"/>
    <s v="no semana"/>
    <x v="0"/>
  </r>
  <r>
    <n v="3000000403"/>
    <d v="2026-03-25T00:00:00"/>
    <n v="7254347.0999999996"/>
    <s v="LIZONDO OSCAR FABIAN METAN 09"/>
    <x v="1167"/>
    <n v="7254347.0999999996"/>
    <x v="186"/>
    <x v="1"/>
    <s v="no pagado"/>
    <s v="fuera de fecha"/>
    <s v="excluir"/>
    <s v="no semana"/>
    <x v="0"/>
  </r>
  <r>
    <n v="3000000404"/>
    <d v="2026-03-25T00:00:00"/>
    <n v="18423701.949999999"/>
    <s v="ACOSTA EMILIA ROMINA JOAQUIN V GONZALEZ 09"/>
    <x v="1168"/>
    <n v="18423701.949999999"/>
    <x v="187"/>
    <x v="1"/>
    <s v="pagado"/>
    <s v="pagado"/>
    <s v="excluir"/>
    <s v="no semana"/>
    <x v="0"/>
  </r>
  <r>
    <n v="3000000434"/>
    <d v="2026-03-30T00:00:00"/>
    <n v="3487567.85"/>
    <s v="TRANSPORTE BARBERAN HNOS SRL CHABAS 12"/>
    <x v="1169"/>
    <n v="3487567.85"/>
    <x v="188"/>
    <x v="1"/>
    <s v="pagado"/>
    <s v="pagado"/>
    <s v="excluir"/>
    <s v="no semana"/>
    <x v="0"/>
  </r>
  <r>
    <n v="3000000435"/>
    <d v="2026-03-31T00:00:00"/>
    <n v="103101102"/>
    <s v="RIO CHICO SA CIUDADELA 01"/>
    <x v="1170"/>
    <n v="103101102"/>
    <x v="188"/>
    <x v="1"/>
    <s v="pagado"/>
    <s v="pagado"/>
    <s v="excluir"/>
    <s v="no semana"/>
    <x v="0"/>
  </r>
  <r>
    <n v="3000000435"/>
    <d v="2026-03-31T00:00:00"/>
    <n v="103101102"/>
    <s v="RIO CHICO SA CIUDADELA 01"/>
    <x v="1171"/>
    <n v="103101102"/>
    <x v="189"/>
    <x v="1"/>
    <s v="pagado"/>
    <s v="pagado"/>
    <s v="excluir"/>
    <s v="no semana"/>
    <x v="0"/>
  </r>
  <r>
    <n v="3000000007"/>
    <d v="2026-04-08T00:00:00"/>
    <n v="1318027.8999999999"/>
    <s v="Pulmajo S.R.L. CONCEPCION 14"/>
    <x v="1172"/>
    <n v="1318027.8999999999"/>
    <x v="190"/>
    <x v="1"/>
    <s v="pagado"/>
    <s v="pagado"/>
    <s v="excluir"/>
    <s v="no semana"/>
    <x v="0"/>
  </r>
  <r>
    <n v="1200000670"/>
    <d v="2026-04-08T00:00:00"/>
    <n v="59383219"/>
    <s v="Cheque de terceros TUCUMAN"/>
    <x v="1173"/>
    <n v="59383219"/>
    <x v="190"/>
    <x v="1"/>
    <s v="pagado"/>
    <s v="pagado"/>
    <s v="excluir"/>
    <s v="no semana"/>
    <x v="0"/>
  </r>
  <r>
    <n v="3000000451"/>
    <d v="2026-04-09T00:00:00"/>
    <n v="8694167.9199999999"/>
    <s v="TRANSPORTE BARBERAN HNOS SRL CHABAS 12"/>
    <x v="1174"/>
    <n v="8694167.9199999999"/>
    <x v="191"/>
    <x v="1"/>
    <s v="pagado"/>
    <s v="pagado"/>
    <s v="excluir"/>
    <s v="no semana"/>
    <x v="0"/>
  </r>
  <r>
    <n v="3000000452"/>
    <d v="2026-04-09T00:00:00"/>
    <n v="9472114.4199999999"/>
    <s v="PAIS WALTER LUIS SAN MIGUEL DE TUCUMAN 14"/>
    <x v="1175"/>
    <n v="9472114.4199999999"/>
    <x v="191"/>
    <x v="1"/>
    <s v="pagado"/>
    <s v="pagado"/>
    <s v="excluir"/>
    <s v="no semana"/>
    <x v="0"/>
  </r>
  <r>
    <n v="3000000453"/>
    <d v="2026-04-09T00:00:00"/>
    <n v="11118317.92"/>
    <s v="FLETES Y SERVICIOS PUJATO S.A PUJATO 12"/>
    <x v="1176"/>
    <n v="11118317.92"/>
    <x v="191"/>
    <x v="1"/>
    <s v="pagado"/>
    <s v="pagado"/>
    <s v="excluir"/>
    <s v="no semana"/>
    <x v="0"/>
  </r>
  <r>
    <n v="3000000454"/>
    <d v="2026-04-09T00:00:00"/>
    <n v="9468527.9199999999"/>
    <s v="TRANSPORTE LAVENIA SAS LASTENIA 14"/>
    <x v="1177"/>
    <n v="9468527.9199999999"/>
    <x v="191"/>
    <x v="1"/>
    <s v="pagado"/>
    <s v="pagado"/>
    <s v="excluir"/>
    <s v="no semana"/>
    <x v="0"/>
  </r>
  <r>
    <n v="3000000475"/>
    <d v="2026-04-13T00:00:00"/>
    <n v="8725117.3399999999"/>
    <s v="AGROGANADERA DEL NOA CEVIL POZO 14"/>
    <x v="1178"/>
    <n v="8725117.3399999999"/>
    <x v="192"/>
    <x v="1"/>
    <s v="pagado"/>
    <s v="pagado"/>
    <s v="excluir"/>
    <s v="no semana"/>
    <x v="0"/>
  </r>
  <r>
    <n v="3000000475"/>
    <d v="2026-04-13T00:00:00"/>
    <n v="2186958.2799999998"/>
    <s v="AGROGANADERA DEL NOA CEVIL POZO 14"/>
    <x v="1179"/>
    <n v="2186958.2799999998"/>
    <x v="192"/>
    <x v="1"/>
    <s v="pagado"/>
    <s v="pagado"/>
    <s v="excluir"/>
    <s v="no semana"/>
    <x v="0"/>
  </r>
  <r>
    <n v="3000000487"/>
    <d v="2026-04-14T00:00:00"/>
    <n v="5550156.4800000004"/>
    <s v="Suc. de Ventimiglia Nelly IrmJesus Maria 03"/>
    <x v="1180"/>
    <n v="5550156.4800000004"/>
    <x v="192"/>
    <x v="1"/>
    <s v="pagado"/>
    <s v="pagado"/>
    <s v="excluir"/>
    <s v="no semana"/>
    <x v="0"/>
  </r>
  <r>
    <n v="3000000488"/>
    <d v="2026-04-14T00:00:00"/>
    <n v="36141623.399999999"/>
    <s v="AYALA WALTER DANIEL ALDERETES 14"/>
    <x v="1181"/>
    <n v="36141623.399999999"/>
    <x v="192"/>
    <x v="1"/>
    <s v="pagado"/>
    <s v="pagado"/>
    <s v="excluir"/>
    <s v="no semana"/>
    <x v="0"/>
  </r>
  <r>
    <n v="3000000489"/>
    <d v="2026-04-14T00:00:00"/>
    <n v="36175327.399999999"/>
    <s v="CARIGNANO RAUL JUAN YERBA BUENA 14"/>
    <x v="1182"/>
    <n v="36175327.399999999"/>
    <x v="192"/>
    <x v="1"/>
    <s v="pagado"/>
    <s v="pagado"/>
    <s v="excluir"/>
    <s v="no semana"/>
    <x v="0"/>
  </r>
  <r>
    <n v="3000000490"/>
    <d v="2026-04-14T00:00:00"/>
    <n v="23947727.399999999"/>
    <s v="GRUPO MARGEN DEL NOA SA YERBA BUENA 14"/>
    <x v="1183"/>
    <n v="23947727.399999999"/>
    <x v="192"/>
    <x v="1"/>
    <s v="pagado"/>
    <s v="pagado"/>
    <s v="excluir"/>
    <s v="no semana"/>
    <x v="0"/>
  </r>
  <r>
    <n v="3000000491"/>
    <d v="2026-04-14T00:00:00"/>
    <n v="7274026.4699999997"/>
    <s v="Suarez Elio Hernan Los altos 02"/>
    <x v="1184"/>
    <n v="7274026.4699999997"/>
    <x v="192"/>
    <x v="1"/>
    <s v="pagado"/>
    <s v="pagado"/>
    <s v="excluir"/>
    <s v="no semana"/>
    <x v="0"/>
  </r>
  <r>
    <n v="3000000492"/>
    <d v="2026-04-14T00:00:00"/>
    <n v="6155999.8399999999"/>
    <s v="SANTOS JUAN ALBERTO SANTIAGO DEL ESTERO 13"/>
    <x v="1185"/>
    <n v="6155999.8399999999"/>
    <x v="192"/>
    <x v="1"/>
    <s v="pagado"/>
    <s v="pagado"/>
    <s v="excluir"/>
    <s v="no semana"/>
    <x v="0"/>
  </r>
  <r>
    <n v="3000000493"/>
    <d v="2026-04-14T00:00:00"/>
    <n v="5939616.8499999996"/>
    <s v="GUERRERO DANIEL MARCELO ALDERETES 14"/>
    <x v="1186"/>
    <n v="5939616.8499999996"/>
    <x v="192"/>
    <x v="1"/>
    <s v="pagado"/>
    <s v="pagado"/>
    <s v="excluir"/>
    <s v="no semana"/>
    <x v="0"/>
  </r>
  <r>
    <n v="3000000494"/>
    <d v="2026-04-14T00:00:00"/>
    <n v="10210542.4"/>
    <s v="Pulverizaciones Tuninetti S.R.Las Rosas 01"/>
    <x v="1187"/>
    <n v="10210542.4"/>
    <x v="192"/>
    <x v="1"/>
    <s v="pagado"/>
    <s v="pagado"/>
    <s v="excluir"/>
    <s v="no semana"/>
    <x v="0"/>
  </r>
  <r>
    <n v="3000000495"/>
    <d v="2026-04-14T00:00:00"/>
    <n v="17192470"/>
    <s v="EDET S.A. SAN MIGUEL DE TUCUMAN 14"/>
    <x v="1188"/>
    <n v="17192470"/>
    <x v="192"/>
    <x v="1"/>
    <s v="pagado"/>
    <s v="pagado"/>
    <s v="excluir"/>
    <s v="no semana"/>
    <x v="0"/>
  </r>
  <r>
    <n v="1200000671"/>
    <d v="2026-04-14T00:00:00"/>
    <n v="5551808.4400000004"/>
    <s v="Cheque de terceros TUCUMAN"/>
    <x v="1189"/>
    <n v="5551808.4400000004"/>
    <x v="192"/>
    <x v="1"/>
    <s v="pagado"/>
    <s v="pagado"/>
    <s v="excluir"/>
    <s v="no semana"/>
    <x v="0"/>
  </r>
  <r>
    <n v="1200000671"/>
    <d v="2026-04-14T00:00:00"/>
    <n v="35776848.380000003"/>
    <s v="Cheque de terceros TUCUMAN"/>
    <x v="1190"/>
    <n v="35776848.380000003"/>
    <x v="192"/>
    <x v="1"/>
    <s v="pagado"/>
    <s v="pagado"/>
    <s v="excluir"/>
    <s v="no semana"/>
    <x v="0"/>
  </r>
  <r>
    <n v="3000000510"/>
    <d v="2026-04-17T00:00:00"/>
    <n v="561372.24"/>
    <s v=". TUCUMAN"/>
    <x v="1191"/>
    <n v="561372.24"/>
    <x v="193"/>
    <x v="1"/>
    <s v="pagado"/>
    <s v="pagado"/>
    <s v="excluir"/>
    <s v="no semana"/>
    <x v="0"/>
  </r>
  <r>
    <n v="3000000511"/>
    <d v="2026-04-17T00:00:00"/>
    <n v="5399758.4199999999"/>
    <s v=". TUCUMAN"/>
    <x v="1192"/>
    <n v="5399758.4199999999"/>
    <x v="193"/>
    <x v="1"/>
    <s v="pagado"/>
    <s v="pagado"/>
    <s v="excluir"/>
    <s v="no semana"/>
    <x v="0"/>
  </r>
  <r>
    <n v="3000000519"/>
    <d v="2026-04-20T00:00:00"/>
    <n v="9542604.9800000004"/>
    <s v="AYALA WALTER DANIEL ALDERETES 14"/>
    <x v="1193"/>
    <n v="9542604.9800000004"/>
    <x v="194"/>
    <x v="1"/>
    <s v="pagado"/>
    <s v="pagado"/>
    <s v="excluir"/>
    <s v="no semana"/>
    <x v="0"/>
  </r>
  <r>
    <n v="3000000520"/>
    <d v="2026-04-20T00:00:00"/>
    <n v="8929576.6500000004"/>
    <s v="ALMIROTY E HIJOS SRL CABA 00"/>
    <x v="1194"/>
    <n v="8929576.6500000004"/>
    <x v="194"/>
    <x v="1"/>
    <s v="pagado"/>
    <s v="pagado"/>
    <s v="excluir"/>
    <s v="no semana"/>
    <x v="0"/>
  </r>
  <r>
    <n v="3000000521"/>
    <d v="2026-04-20T00:00:00"/>
    <n v="19514985.899999999"/>
    <s v="LOS LAURELES SERVICIOS AGRICOLSan Miguel De Tucuman 14"/>
    <x v="1195"/>
    <n v="19514985.899999999"/>
    <x v="194"/>
    <x v="1"/>
    <s v="pagado"/>
    <s v="pagado"/>
    <s v="excluir"/>
    <s v="no semana"/>
    <x v="0"/>
  </r>
  <r>
    <n v="3000000522"/>
    <d v="2026-04-20T00:00:00"/>
    <n v="6530503.4000000004"/>
    <s v="Medina Lauro Jose Las Cejas 14"/>
    <x v="1196"/>
    <n v="6530503.4000000004"/>
    <x v="194"/>
    <x v="1"/>
    <s v="pagado"/>
    <s v="pagado"/>
    <s v="excluir"/>
    <s v="no semana"/>
    <x v="0"/>
  </r>
  <r>
    <n v="3000000523"/>
    <d v="2026-04-20T00:00:00"/>
    <n v="9223368"/>
    <s v="Pulverizaciones Tuninetti S.R.Las Rosas 01"/>
    <x v="1197"/>
    <n v="9223368"/>
    <x v="194"/>
    <x v="1"/>
    <s v="pagado"/>
    <s v="pagado"/>
    <s v="excluir"/>
    <s v="no semana"/>
    <x v="0"/>
  </r>
  <r>
    <n v="3000000524"/>
    <d v="2026-04-20T00:00:00"/>
    <n v="6285659.9000000004"/>
    <s v="Pulmajo S.R.L. CONCEPCION 14"/>
    <x v="1198"/>
    <n v="6285659.9000000004"/>
    <x v="194"/>
    <x v="1"/>
    <s v="pagado"/>
    <s v="pagado"/>
    <s v="excluir"/>
    <s v="no semana"/>
    <x v="0"/>
  </r>
  <r>
    <n v="3000000525"/>
    <d v="2026-04-20T00:00:00"/>
    <n v="13655492.380000001"/>
    <s v="SANTOS JUAN ALBERTO SANTIAGO DEL ESTERO 13"/>
    <x v="1199"/>
    <n v="13655492.380000001"/>
    <x v="194"/>
    <x v="1"/>
    <s v="pagado"/>
    <s v="pagado"/>
    <s v="excluir"/>
    <s v="no semana"/>
    <x v="0"/>
  </r>
  <r>
    <n v="3000000526"/>
    <d v="2026-04-20T00:00:00"/>
    <n v="12146115.800000001"/>
    <s v="ACOSTA EMILIA ROMINA JOAQUIN V GONZALEZ 09"/>
    <x v="1200"/>
    <n v="12146115.800000001"/>
    <x v="194"/>
    <x v="1"/>
    <s v="pagado"/>
    <s v="pagado"/>
    <s v="excluir"/>
    <s v="no semana"/>
    <x v="0"/>
  </r>
  <r>
    <n v="1200000849"/>
    <d v="2026-04-22T00:00:00"/>
    <n v="25265784.289999999"/>
    <s v="Cheque de terceros TUCUMAN"/>
    <x v="1201"/>
    <n v="25265784.289999999"/>
    <x v="193"/>
    <x v="1"/>
    <s v="pagado"/>
    <s v="pagado"/>
    <s v="excluir"/>
    <s v="no semana"/>
    <x v="0"/>
  </r>
  <r>
    <n v="1200001122"/>
    <d v="2026-04-27T00:00:00"/>
    <n v="7425059.3200000003"/>
    <s v="Cheque de terceros TUCUMAN"/>
    <x v="1202"/>
    <n v="7425059.3200000003"/>
    <x v="195"/>
    <x v="1"/>
    <s v="pagado"/>
    <s v="pagado"/>
    <s v="excluir"/>
    <s v="no semana"/>
    <x v="0"/>
  </r>
  <r>
    <n v="1200001122"/>
    <d v="2026-04-27T00:00:00"/>
    <n v="9432485.7899999991"/>
    <s v="Cheque de terceros TUCUMAN"/>
    <x v="1203"/>
    <n v="9432485.7899999991"/>
    <x v="195"/>
    <x v="1"/>
    <s v="pagado"/>
    <s v="pagado"/>
    <s v="excluir"/>
    <s v="no semana"/>
    <x v="0"/>
  </r>
  <r>
    <n v="1200001122"/>
    <d v="2026-04-27T00:00:00"/>
    <n v="5265960.8"/>
    <s v="Cheque de terceros TUCUMAN"/>
    <x v="1204"/>
    <n v="5265960.8"/>
    <x v="195"/>
    <x v="1"/>
    <s v="pagado"/>
    <s v="pagado"/>
    <s v="excluir"/>
    <s v="no semana"/>
    <x v="0"/>
  </r>
  <r>
    <n v="3000000539"/>
    <d v="2026-04-27T00:00:00"/>
    <n v="10875733"/>
    <s v="GRUPO MARGEN DEL NOA SA YERBA BUENA 14"/>
    <x v="1205"/>
    <n v="10875733"/>
    <x v="195"/>
    <x v="1"/>
    <s v="pagado"/>
    <s v="pagado"/>
    <s v="excluir"/>
    <s v="no semana"/>
    <x v="0"/>
  </r>
  <r>
    <n v="3000000556"/>
    <d v="2026-04-27T00:00:00"/>
    <n v="3463900.79"/>
    <s v="TRANSPORTE BARBERAN HNOS SRL CHABAS 12"/>
    <x v="1206"/>
    <n v="3463900.79"/>
    <x v="195"/>
    <x v="1"/>
    <s v="pagado"/>
    <s v="pagado"/>
    <s v="excluir"/>
    <s v="no semana"/>
    <x v="0"/>
  </r>
  <r>
    <n v="3000000557"/>
    <d v="2026-04-27T00:00:00"/>
    <n v="9326088.1199999992"/>
    <s v="ILUZZI MIGUEL ANGEL CIUDAD AUTONOMA BUENOS AIRES 00"/>
    <x v="1207"/>
    <n v="9326088.1199999992"/>
    <x v="195"/>
    <x v="1"/>
    <s v="pagado"/>
    <s v="pagado"/>
    <s v="excluir"/>
    <s v="no semana"/>
    <x v="0"/>
  </r>
  <r>
    <n v="3000000558"/>
    <d v="2026-04-27T00:00:00"/>
    <n v="9301754"/>
    <s v="RODRIGUEZ NESTOR HORACIO YERBA BUENA 14"/>
    <x v="1208"/>
    <n v="9301754"/>
    <x v="195"/>
    <x v="1"/>
    <s v="pagado"/>
    <s v="pagado"/>
    <s v="excluir"/>
    <s v="no semana"/>
    <x v="0"/>
  </r>
  <r>
    <n v="3000000559"/>
    <d v="2026-04-27T00:00:00"/>
    <n v="5075501.34"/>
    <s v="CAMPOAGRO SRL YERBA BUENA 14"/>
    <x v="1209"/>
    <n v="5075501.34"/>
    <x v="195"/>
    <x v="1"/>
    <s v="pagado"/>
    <s v="pagado"/>
    <s v="excluir"/>
    <s v="no semana"/>
    <x v="0"/>
  </r>
  <r>
    <n v="3000000560"/>
    <d v="2026-04-27T00:00:00"/>
    <n v="10963120.4"/>
    <s v="ROMAN BARCELO Y JORGE CARRERASLAS LAJITAS 09"/>
    <x v="1210"/>
    <n v="10963120.4"/>
    <x v="195"/>
    <x v="1"/>
    <s v="pagado"/>
    <s v="pagado"/>
    <s v="excluir"/>
    <s v="no semana"/>
    <x v="0"/>
  </r>
  <r>
    <n v="3000000572"/>
    <d v="2026-04-30T00:00:00"/>
    <n v="5000000"/>
    <s v="AGROGANADERA DEL NOA CEVIL POZO 14"/>
    <x v="1211"/>
    <n v="5000000"/>
    <x v="196"/>
    <x v="1"/>
    <s v="pagado"/>
    <s v="pagado"/>
    <s v="excluir"/>
    <s v="no semana"/>
    <x v="0"/>
  </r>
  <r>
    <n v="3000000572"/>
    <d v="2026-04-30T00:00:00"/>
    <n v="5000000"/>
    <s v="AGROGANADERA DEL NOA CEVIL POZO 14"/>
    <x v="1212"/>
    <n v="5000000"/>
    <x v="196"/>
    <x v="1"/>
    <s v="pagado"/>
    <s v="pagado"/>
    <s v="excluir"/>
    <s v="no semana"/>
    <x v="0"/>
  </r>
  <r>
    <n v="3000000572"/>
    <d v="2026-04-30T00:00:00"/>
    <n v="5271843.6500000004"/>
    <s v="AGROGANADERA DEL NOA CEVIL POZO 14"/>
    <x v="1213"/>
    <n v="5271843.6500000004"/>
    <x v="196"/>
    <x v="1"/>
    <s v="pagado"/>
    <s v="pagado"/>
    <s v="excluir"/>
    <s v="no semana"/>
    <x v="0"/>
  </r>
  <r>
    <n v="3000000579"/>
    <d v="2026-05-04T00:00:00"/>
    <n v="18060803.399999999"/>
    <s v="DON KOKO S.R.L CAMILO ALDAO 03"/>
    <x v="1214"/>
    <n v="18060803.399999999"/>
    <x v="197"/>
    <x v="1"/>
    <s v="pagado"/>
    <s v="pagado"/>
    <s v="excluir"/>
    <s v="no semana"/>
    <x v="0"/>
  </r>
  <r>
    <n v="3000000580"/>
    <d v="2026-05-04T00:00:00"/>
    <n v="15017429.57"/>
    <s v="LUBRE S.R.L. LOS NOGALES 14"/>
    <x v="1215"/>
    <n v="15017429.57"/>
    <x v="197"/>
    <x v="1"/>
    <s v="pagado"/>
    <s v="pagado"/>
    <s v="excluir"/>
    <s v="no semana"/>
    <x v="0"/>
  </r>
  <r>
    <n v="3000000581"/>
    <d v="2026-05-04T00:00:00"/>
    <n v="24232803.399999999"/>
    <s v="GRUPO MARGEN DEL NOA SA YERBA BUENA 14"/>
    <x v="1216"/>
    <n v="24232803.399999999"/>
    <x v="197"/>
    <x v="1"/>
    <s v="pagado"/>
    <s v="pagado"/>
    <s v="excluir"/>
    <s v="no semana"/>
    <x v="0"/>
  </r>
  <r>
    <n v="3000000582"/>
    <d v="2026-05-04T00:00:00"/>
    <n v="40857330.399999999"/>
    <s v="Medina Lauro Jose Las Cejas 14"/>
    <x v="1217"/>
    <n v="40857330.399999999"/>
    <x v="197"/>
    <x v="1"/>
    <s v="pagado"/>
    <s v="pagado"/>
    <s v="excluir"/>
    <s v="no semana"/>
    <x v="0"/>
  </r>
  <r>
    <n v="3000000583"/>
    <d v="2026-05-04T00:00:00"/>
    <n v="6316267.4000000004"/>
    <s v="CARIGNANO RAUL JUAN YERBA BUENA 14"/>
    <x v="1218"/>
    <n v="6316267.4000000004"/>
    <x v="197"/>
    <x v="1"/>
    <s v="pagado"/>
    <s v="pagado"/>
    <s v="excluir"/>
    <s v="no semana"/>
    <x v="0"/>
  </r>
  <r>
    <n v="3000000584"/>
    <d v="2026-05-04T00:00:00"/>
    <n v="8875288.9900000002"/>
    <s v="ACOSTA EMILIA ROMINA JOAQUIN V GONZALEZ 09"/>
    <x v="1219"/>
    <n v="8875288.9900000002"/>
    <x v="197"/>
    <x v="1"/>
    <s v="pagado"/>
    <s v="pagado"/>
    <s v="excluir"/>
    <s v="no semana"/>
    <x v="0"/>
  </r>
  <r>
    <n v="3000000590"/>
    <d v="2026-05-05T00:00:00"/>
    <n v="30109014.800000001"/>
    <s v="TRANSPORTE BARBERAN HNOS SRL CHABAS 12"/>
    <x v="1220"/>
    <n v="30109014.800000001"/>
    <x v="197"/>
    <x v="1"/>
    <s v="pagado"/>
    <s v="pagado"/>
    <s v="excluir"/>
    <s v="no semana"/>
    <x v="0"/>
  </r>
  <r>
    <n v="3000000591"/>
    <d v="2026-05-05T00:00:00"/>
    <n v="23535376.43"/>
    <s v="LOGISTICA CENTRO S.R.L CORONDA 12"/>
    <x v="1221"/>
    <n v="23535376.43"/>
    <x v="197"/>
    <x v="1"/>
    <s v="pagado"/>
    <s v="pagado"/>
    <s v="excluir"/>
    <s v="no semana"/>
    <x v="0"/>
  </r>
  <r>
    <n v="3000000592"/>
    <d v="2026-05-05T00:00:00"/>
    <n v="4458306.43"/>
    <s v="JAVIER EDUARDO PRADO FLORIDA 13"/>
    <x v="1222"/>
    <n v="4458306.43"/>
    <x v="197"/>
    <x v="1"/>
    <s v="pagado"/>
    <s v="pagado"/>
    <s v="excluir"/>
    <s v="no semana"/>
    <x v="0"/>
  </r>
  <r>
    <n v="3000000593"/>
    <d v="2026-05-05T00:00:00"/>
    <n v="5550532.9400000004"/>
    <s v="FLETES Y SERVICIOS PUJATO S.A PUJATO 12"/>
    <x v="1223"/>
    <n v="5550532.9400000004"/>
    <x v="197"/>
    <x v="1"/>
    <s v="pagado"/>
    <s v="pagado"/>
    <s v="excluir"/>
    <s v="no semana"/>
    <x v="0"/>
  </r>
  <r>
    <n v="3000000607"/>
    <d v="2026-05-11T00:00:00"/>
    <n v="4647459.4400000004"/>
    <s v="AACREA BUENOS AIRES 01"/>
    <x v="1224"/>
    <n v="4647459.4400000004"/>
    <x v="198"/>
    <x v="1"/>
    <s v="pagado"/>
    <s v="pagado"/>
    <s v="excluir"/>
    <s v="no semana"/>
    <x v="0"/>
  </r>
  <r>
    <n v="3000000608"/>
    <d v="2026-05-11T00:00:00"/>
    <n v="25323832.899999999"/>
    <s v="ROMAN BARCELO Y JORGE CARRERASLAS LAJITAS 09"/>
    <x v="1225"/>
    <n v="25323832.899999999"/>
    <x v="198"/>
    <x v="1"/>
    <s v="pagado"/>
    <s v="pagado"/>
    <s v="excluir"/>
    <s v="no semana"/>
    <x v="0"/>
  </r>
  <r>
    <n v="3000000609"/>
    <d v="2026-05-11T00:00:00"/>
    <n v="6127444.5"/>
    <s v="LOS LAURELES SERVICIOS AGRICOLSan Miguel De Tucuman 14"/>
    <x v="1226"/>
    <n v="6127444.5"/>
    <x v="198"/>
    <x v="1"/>
    <s v="no pagado"/>
    <s v="fuera de fecha"/>
    <s v="excluir"/>
    <s v="no semana"/>
    <x v="0"/>
  </r>
  <r>
    <n v="3000000610"/>
    <d v="2026-05-11T00:00:00"/>
    <n v="4108613.36"/>
    <s v="VERON MARIANA BEATRIZ NUEVA ESPERANZA 13"/>
    <x v="1227"/>
    <n v="4108613.36"/>
    <x v="198"/>
    <x v="1"/>
    <s v="pagado"/>
    <s v="pagado"/>
    <s v="excluir"/>
    <s v="no semana"/>
    <x v="0"/>
  </r>
  <r>
    <n v="3000000611"/>
    <d v="2026-05-11T00:00:00"/>
    <n v="10515583.4"/>
    <s v="SALTOS JOSUE GONZALO NUEVA ESPERANZA 13"/>
    <x v="1228"/>
    <n v="10515583.4"/>
    <x v="198"/>
    <x v="1"/>
    <s v="pagado"/>
    <s v="pagado"/>
    <s v="excluir"/>
    <s v="no semana"/>
    <x v="0"/>
  </r>
  <r>
    <n v="3000000612"/>
    <d v="2026-05-11T00:00:00"/>
    <n v="24626487.789999999"/>
    <s v="THEAUX AGUSTIN LA COCHA 14"/>
    <x v="1229"/>
    <n v="24626487.789999999"/>
    <x v="198"/>
    <x v="1"/>
    <s v="pagado"/>
    <s v="pagado"/>
    <s v="excluir"/>
    <s v="no semana"/>
    <x v="0"/>
  </r>
  <r>
    <n v="3000000613"/>
    <d v="2026-05-11T00:00:00"/>
    <n v="6905805.8399999999"/>
    <s v="SANTOS JUAN ALBERTO SANTIAGO DEL ESTERO 13"/>
    <x v="1230"/>
    <n v="6905805.8399999999"/>
    <x v="198"/>
    <x v="1"/>
    <s v="pagado"/>
    <s v="pagado"/>
    <s v="excluir"/>
    <s v="no semana"/>
    <x v="0"/>
  </r>
  <r>
    <n v="3000000614"/>
    <d v="2026-05-11T00:00:00"/>
    <n v="10480658.4"/>
    <s v="SUAREZ GABRIEL SEBASTIAN SANTIAGO DEL ESTERO 13"/>
    <x v="1231"/>
    <n v="10480658.4"/>
    <x v="198"/>
    <x v="1"/>
    <s v="pagado"/>
    <s v="pagado"/>
    <s v="excluir"/>
    <s v="no semana"/>
    <x v="0"/>
  </r>
  <r>
    <n v="3000000615"/>
    <d v="2026-05-11T00:00:00"/>
    <n v="4954841.78"/>
    <s v="AYALA HERNAN OSVALDO SAN MIGUEL DE TUCUMAN 14"/>
    <x v="1232"/>
    <n v="4954841.78"/>
    <x v="198"/>
    <x v="1"/>
    <s v="pagado"/>
    <s v="pagado"/>
    <s v="excluir"/>
    <s v="no semana"/>
    <x v="0"/>
  </r>
  <r>
    <n v="3000000616"/>
    <d v="2026-05-12T00:00:00"/>
    <n v="17940355.829999998"/>
    <s v="SIGMA AGRO SA MERCEDES 01"/>
    <x v="1233"/>
    <n v="17940355.829999998"/>
    <x v="199"/>
    <x v="1"/>
    <s v="pagado"/>
    <s v="pagado"/>
    <s v="excluir"/>
    <s v="no semana"/>
    <x v="0"/>
  </r>
  <r>
    <n v="3000000403"/>
    <d v="2026-03-25T00:00:00"/>
    <n v="0"/>
    <s v="invalidado med.EOLIVERA -Vencimiento BCRA"/>
    <x v="1167"/>
    <n v="0"/>
    <x v="186"/>
    <x v="1"/>
    <s v="no pagado"/>
    <s v="fuera de fecha"/>
    <s v="excluir"/>
    <s v="no semana"/>
    <x v="0"/>
  </r>
  <r>
    <n v="3000000633"/>
    <d v="2026-05-13T00:00:00"/>
    <n v="18464270"/>
    <s v="EDET S.A. SAN MIGUEL DE TUCUMAN 14"/>
    <x v="1234"/>
    <n v="18464270"/>
    <x v="198"/>
    <x v="1"/>
    <s v="pagado"/>
    <s v="pagado"/>
    <s v="excluir"/>
    <s v="no semana"/>
    <x v="0"/>
  </r>
  <r>
    <n v="3000000403"/>
    <d v="2026-05-13T00:00:00"/>
    <n v="7254347.0999999996"/>
    <s v="LIZONDO OSCAR FABIAN METAN 09"/>
    <x v="1235"/>
    <n v="7254347.0999999996"/>
    <x v="200"/>
    <x v="1"/>
    <s v="pagado"/>
    <s v="pagado"/>
    <s v="excluir"/>
    <s v="no semana"/>
    <x v="0"/>
  </r>
  <r>
    <n v="3000000651"/>
    <d v="2026-05-19T00:00:00"/>
    <n v="8328689.8499999996"/>
    <s v="LOGISTICA CENTRO S.R.L CORONDA 12"/>
    <x v="1236"/>
    <n v="8328689.8499999996"/>
    <x v="201"/>
    <x v="1"/>
    <s v="no pagado"/>
    <s v="fuera de fecha"/>
    <s v="excluir"/>
    <s v="no semana"/>
    <x v="0"/>
  </r>
  <r>
    <n v="3000000652"/>
    <d v="2026-05-19T00:00:00"/>
    <n v="5502512.3200000003"/>
    <s v="TRANS TRUCKS SRL SOLDINI 12"/>
    <x v="1237"/>
    <n v="5502512.3200000003"/>
    <x v="201"/>
    <x v="1"/>
    <s v="no pagado"/>
    <s v="fuera de fecha"/>
    <s v="excluir"/>
    <s v="no semana"/>
    <x v="0"/>
  </r>
  <r>
    <n v="3000000686"/>
    <d v="2026-05-26T00:00:00"/>
    <n v="22000000"/>
    <s v="JAVIER EDUARDO PRADO FLORIDA 13"/>
    <x v="1238"/>
    <n v="22000000"/>
    <x v="202"/>
    <x v="1"/>
    <s v="pagado"/>
    <s v="pagado"/>
    <s v="excluir"/>
    <s v="no semana"/>
    <x v="0"/>
  </r>
  <r>
    <n v="3000000686"/>
    <d v="2026-05-26T00:00:00"/>
    <n v="22845348.390000001"/>
    <s v="JAVIER EDUARDO PRADO FLORIDA 13"/>
    <x v="1239"/>
    <n v="22845348.390000001"/>
    <x v="203"/>
    <x v="1"/>
    <s v="pagado"/>
    <s v="pagado"/>
    <s v="excluir"/>
    <s v="no semana"/>
    <x v="0"/>
  </r>
  <r>
    <n v="3000000688"/>
    <d v="2026-05-26T00:00:00"/>
    <n v="20000000"/>
    <s v="TRANSPORTE BARBERAN HNOS SRL CHABAS 12"/>
    <x v="1240"/>
    <n v="20000000"/>
    <x v="202"/>
    <x v="1"/>
    <s v="pagado"/>
    <s v="pagado"/>
    <s v="excluir"/>
    <s v="no semana"/>
    <x v="0"/>
  </r>
  <r>
    <n v="3000000688"/>
    <d v="2026-05-26T00:00:00"/>
    <n v="17568570.309999999"/>
    <s v="TRANSPORTE BARBERAN HNOS SRL CHABAS 12"/>
    <x v="1241"/>
    <n v="17568570.309999999"/>
    <x v="203"/>
    <x v="1"/>
    <s v="pagado"/>
    <s v="pagado"/>
    <s v="excluir"/>
    <s v="no semana"/>
    <x v="0"/>
  </r>
  <r>
    <n v="3000000679"/>
    <d v="2026-05-26T00:00:00"/>
    <n v="7999281.9299999997"/>
    <s v="MAGLI FLORENCIA CAROLINA LAS TALITAS 14"/>
    <x v="1242"/>
    <n v="7999281.9299999997"/>
    <x v="202"/>
    <x v="1"/>
    <s v="pagado"/>
    <s v="pagado"/>
    <s v="excluir"/>
    <s v="no semana"/>
    <x v="0"/>
  </r>
  <r>
    <n v="3000000680"/>
    <d v="2026-05-26T00:00:00"/>
    <n v="6231435.5999999996"/>
    <s v="LANGELLA JUAN RODOLFO ALDERETES 14"/>
    <x v="1243"/>
    <n v="6231435.5999999996"/>
    <x v="202"/>
    <x v="1"/>
    <s v="pagado"/>
    <s v="pagado"/>
    <s v="excluir"/>
    <s v="no semana"/>
    <x v="0"/>
  </r>
  <r>
    <n v="3000000681"/>
    <d v="2026-05-26T00:00:00"/>
    <n v="4206842.33"/>
    <s v="TRANSPORTE RAUL S.R.L SAN MIGUEL DE TUCUMAN 14"/>
    <x v="1244"/>
    <n v="4206842.33"/>
    <x v="202"/>
    <x v="1"/>
    <s v="pagado"/>
    <s v="pagado"/>
    <s v="excluir"/>
    <s v="no semana"/>
    <x v="0"/>
  </r>
  <r>
    <n v="3000000682"/>
    <d v="2026-05-26T00:00:00"/>
    <n v="15800091.18"/>
    <s v="BLEXA S. A. SALTA 09"/>
    <x v="1245"/>
    <n v="15800091.18"/>
    <x v="202"/>
    <x v="1"/>
    <s v="pagado"/>
    <s v="pagado"/>
    <s v="excluir"/>
    <s v="no semana"/>
    <x v="0"/>
  </r>
  <r>
    <n v="3000000683"/>
    <d v="2026-05-26T00:00:00"/>
    <n v="19170614.399999999"/>
    <s v="Pulmajo S.R.L. CONCEPCION 14"/>
    <x v="1246"/>
    <n v="19170614.399999999"/>
    <x v="202"/>
    <x v="1"/>
    <s v="pagado"/>
    <s v="pagado"/>
    <s v="excluir"/>
    <s v="no semana"/>
    <x v="0"/>
  </r>
  <r>
    <n v="3000000684"/>
    <d v="2026-05-26T00:00:00"/>
    <n v="21325187.800000001"/>
    <s v="RODRIGUEZ NESTOR HORACIO YERBA BUENA 14"/>
    <x v="1247"/>
    <n v="21325187.800000001"/>
    <x v="202"/>
    <x v="1"/>
    <s v="pagado"/>
    <s v="pagado"/>
    <s v="excluir"/>
    <s v="no semana"/>
    <x v="0"/>
  </r>
  <r>
    <n v="3000000685"/>
    <d v="2026-05-26T00:00:00"/>
    <n v="16986475"/>
    <s v="Suc. de Ventimiglia Nelly IrmJesus Maria 03"/>
    <x v="1248"/>
    <n v="16986475"/>
    <x v="202"/>
    <x v="1"/>
    <s v="pagado"/>
    <s v="pagado"/>
    <s v="excluir"/>
    <s v="no semana"/>
    <x v="0"/>
  </r>
  <r>
    <n v="3000000687"/>
    <d v="2026-05-26T00:00:00"/>
    <n v="13230926.49"/>
    <s v="GOMEZ JESSICA NOELIA LAS TALITAS 14"/>
    <x v="1249"/>
    <n v="13230926.49"/>
    <x v="202"/>
    <x v="1"/>
    <s v="pagado"/>
    <s v="pagado"/>
    <s v="excluir"/>
    <s v="no semana"/>
    <x v="0"/>
  </r>
  <r>
    <n v="3000000689"/>
    <d v="2026-05-26T00:00:00"/>
    <n v="7851768.5499999998"/>
    <s v="TRANSPORTE GLOBAL SAS SAN MIGUEL DE TUCUMAN 14"/>
    <x v="1250"/>
    <n v="7851768.5499999998"/>
    <x v="202"/>
    <x v="1"/>
    <s v="pagado"/>
    <s v="pagado"/>
    <s v="excluir"/>
    <s v="no semana"/>
    <x v="0"/>
  </r>
  <r>
    <n v="3000000690"/>
    <d v="2026-05-26T00:00:00"/>
    <n v="25082412.280000001"/>
    <s v="GUERRERO DANIEL MARCELO ALDERETES 14"/>
    <x v="1251"/>
    <n v="25082412.280000001"/>
    <x v="203"/>
    <x v="1"/>
    <s v="pagado"/>
    <s v="pagado"/>
    <s v="excluir"/>
    <s v="no semana"/>
    <x v="0"/>
  </r>
  <r>
    <n v="3000000691"/>
    <d v="2026-05-26T00:00:00"/>
    <n v="27931324.600000001"/>
    <s v="PAIS WALTER LUIS SAN MIGUEL DE TUCUMAN 14"/>
    <x v="1252"/>
    <n v="27931324.600000001"/>
    <x v="203"/>
    <x v="1"/>
    <s v="pagado"/>
    <s v="pagado"/>
    <s v="excluir"/>
    <s v="no semana"/>
    <x v="0"/>
  </r>
  <r>
    <n v="3000000708"/>
    <d v="2026-05-28T00:00:00"/>
    <n v="1729418.55"/>
    <s v="AGROGANADERA DEL NOA CEVIL POZO 14"/>
    <x v="1253"/>
    <n v="1729418.55"/>
    <x v="204"/>
    <x v="1"/>
    <s v="pagado"/>
    <s v="pagado"/>
    <s v="excluir"/>
    <s v="no semana"/>
    <x v="0"/>
  </r>
  <r>
    <n v="3000000714"/>
    <d v="2026-06-01T00:00:00"/>
    <n v="39510383.93"/>
    <s v="AYALA WALTER DANIEL ALDERETES 14"/>
    <x v="1254"/>
    <n v="39510383.93"/>
    <x v="205"/>
    <x v="1"/>
    <s v="pagado"/>
    <s v="pagado"/>
    <s v="excluir"/>
    <s v="no semana"/>
    <x v="0"/>
  </r>
  <r>
    <n v="3000000715"/>
    <d v="2026-06-01T00:00:00"/>
    <n v="11421078.9"/>
    <s v="LOS LAURELES SERVICIOS AGRICOLSan Miguel De Tucuman 14"/>
    <x v="1255"/>
    <n v="11421078.9"/>
    <x v="205"/>
    <x v="1"/>
    <s v="pagado"/>
    <s v="pagado"/>
    <s v="excluir"/>
    <s v="no semana"/>
    <x v="0"/>
  </r>
  <r>
    <n v="3000000716"/>
    <d v="2026-06-01T00:00:00"/>
    <n v="24707948.550000001"/>
    <s v="DON KOKO S.R.L CAMILO ALDAO 03"/>
    <x v="1256"/>
    <n v="24707948.550000001"/>
    <x v="205"/>
    <x v="1"/>
    <s v="pagado"/>
    <s v="pagado"/>
    <s v="excluir"/>
    <s v="no semana"/>
    <x v="0"/>
  </r>
  <r>
    <n v="3000000717"/>
    <d v="2026-06-01T00:00:00"/>
    <n v="16760426.4"/>
    <s v="Medina Lauro Jose Las Cejas 14"/>
    <x v="1257"/>
    <n v="16760426.4"/>
    <x v="205"/>
    <x v="1"/>
    <s v="pagado"/>
    <s v="pagado"/>
    <s v="excluir"/>
    <s v="no semana"/>
    <x v="0"/>
  </r>
  <r>
    <n v="3000000718"/>
    <d v="2026-06-01T00:00:00"/>
    <n v="5347592.75"/>
    <s v="TRT SA SANTA FE 12"/>
    <x v="1258"/>
    <n v="5347592.75"/>
    <x v="205"/>
    <x v="1"/>
    <s v="pagado"/>
    <s v="pagado"/>
    <s v="excluir"/>
    <s v="no semana"/>
    <x v="0"/>
  </r>
  <r>
    <n v="3000000719"/>
    <d v="2026-06-01T00:00:00"/>
    <n v="6045237.5800000001"/>
    <s v="TRANSPORTE Y LOG VIENTO NORTE LAS TALITAS 14"/>
    <x v="1259"/>
    <n v="6045237.5800000001"/>
    <x v="205"/>
    <x v="1"/>
    <s v="pagado"/>
    <s v="pagado"/>
    <s v="excluir"/>
    <s v="no semana"/>
    <x v="0"/>
  </r>
  <r>
    <n v="3000000720"/>
    <d v="2026-06-01T00:00:00"/>
    <n v="20749620.039999999"/>
    <s v="JAVIER EDUARDO PRADO FLORIDA 13"/>
    <x v="1260"/>
    <n v="20749620.039999999"/>
    <x v="205"/>
    <x v="1"/>
    <s v="pagado"/>
    <s v="pagado"/>
    <s v="excluir"/>
    <s v="no semana"/>
    <x v="0"/>
  </r>
  <r>
    <n v="3000000721"/>
    <d v="2026-06-01T00:00:00"/>
    <n v="47956213.560000002"/>
    <s v="DANIEL MARCELO GUERRERO ALDERETES 14"/>
    <x v="1261"/>
    <n v="47956213.560000002"/>
    <x v="205"/>
    <x v="1"/>
    <s v="pagado"/>
    <s v="pagado"/>
    <s v="excluir"/>
    <s v="no semana"/>
    <x v="0"/>
  </r>
  <r>
    <n v="3000000722"/>
    <d v="2026-06-01T00:00:00"/>
    <n v="27326253.989999998"/>
    <s v="GOMEZ JESSICA NOELIA LAS TALITAS 14"/>
    <x v="1262"/>
    <n v="27326253.989999998"/>
    <x v="205"/>
    <x v="1"/>
    <s v="pagado"/>
    <s v="pagado"/>
    <s v="excluir"/>
    <s v="no semana"/>
    <x v="0"/>
  </r>
  <r>
    <n v="3000000723"/>
    <d v="2026-06-02T00:00:00"/>
    <n v="26125000"/>
    <s v="GRUPO MARGEN DEL NOA SA YERBA BUENA 14"/>
    <x v="1263"/>
    <n v="26125000"/>
    <x v="205"/>
    <x v="1"/>
    <s v="pagado"/>
    <s v="pagado"/>
    <s v="excluir"/>
    <s v="no semana"/>
    <x v="0"/>
  </r>
  <r>
    <n v="3000000723"/>
    <d v="2026-06-02T00:00:00"/>
    <n v="26125000"/>
    <s v="GRUPO MARGEN DEL NOA SA YERBA BUENA 14"/>
    <x v="1264"/>
    <n v="26125000"/>
    <x v="205"/>
    <x v="1"/>
    <s v="pagado"/>
    <s v="pagado"/>
    <s v="excluir"/>
    <s v="no semana"/>
    <x v="0"/>
  </r>
  <r>
    <n v="3000000723"/>
    <d v="2026-06-02T00:00:00"/>
    <n v="26125000"/>
    <s v="GRUPO MARGEN DEL NOA SA YERBA BUENA 14"/>
    <x v="1265"/>
    <n v="26125000"/>
    <x v="205"/>
    <x v="1"/>
    <s v="pagado"/>
    <s v="pagado"/>
    <s v="excluir"/>
    <s v="no semana"/>
    <x v="0"/>
  </r>
  <r>
    <n v="3000000723"/>
    <d v="2026-06-02T00:00:00"/>
    <n v="26125000"/>
    <s v="GRUPO MARGEN DEL NOA SA YERBA BUENA 14"/>
    <x v="1266"/>
    <n v="26125000"/>
    <x v="205"/>
    <x v="1"/>
    <s v="pagado"/>
    <s v="pagado"/>
    <s v="excluir"/>
    <s v="no semana"/>
    <x v="0"/>
  </r>
  <r>
    <n v="3000000723"/>
    <d v="2026-06-02T00:00:00"/>
    <n v="26125000"/>
    <s v="GRUPO MARGEN DEL NOA SA YERBA BUENA 14"/>
    <x v="1267"/>
    <n v="26125000"/>
    <x v="205"/>
    <x v="1"/>
    <s v="pagado"/>
    <s v="pagado"/>
    <s v="excluir"/>
    <s v="no semana"/>
    <x v="0"/>
  </r>
  <r>
    <n v="3000000723"/>
    <d v="2026-06-02T00:00:00"/>
    <n v="26126343.399999999"/>
    <s v="GRUPO MARGEN DEL NOA SA YERBA BUENA 14"/>
    <x v="1268"/>
    <n v="26126343.399999999"/>
    <x v="205"/>
    <x v="1"/>
    <s v="pagado"/>
    <s v="pagado"/>
    <s v="excluir"/>
    <s v="no semana"/>
    <x v="0"/>
  </r>
  <r>
    <n v="3000000727"/>
    <d v="2026-06-03T00:00:00"/>
    <n v="13223336.6"/>
    <s v="SAN LORENZO CEREALES S.R.L SAN LORENZO 12"/>
    <x v="1269"/>
    <n v="13223336.6"/>
    <x v="206"/>
    <x v="1"/>
    <s v="pagado"/>
    <s v="pagado"/>
    <s v="excluir"/>
    <s v="no semana"/>
    <x v="0"/>
  </r>
  <r>
    <n v="3000000727"/>
    <d v="2026-06-03T00:00:00"/>
    <n v="10000000"/>
    <s v="SAN LORENZO CEREALES S.R.L SAN LORENZO 12"/>
    <x v="1270"/>
    <n v="10000000"/>
    <x v="207"/>
    <x v="1"/>
    <s v="pagado"/>
    <s v="pagado"/>
    <s v="excluir"/>
    <s v="no semana"/>
    <x v="0"/>
  </r>
  <r>
    <n v="3000000728"/>
    <d v="2026-06-03T00:00:00"/>
    <n v="18325012.579999998"/>
    <s v="MOLINA JUAN F. Y MOLINA ROQUE Lastenia 14"/>
    <x v="1271"/>
    <n v="18325012.579999998"/>
    <x v="206"/>
    <x v="1"/>
    <s v="pagado"/>
    <s v="pagado"/>
    <s v="excluir"/>
    <s v="no semana"/>
    <x v="0"/>
  </r>
  <r>
    <n v="3000000728"/>
    <d v="2026-06-03T00:00:00"/>
    <n v="10000000"/>
    <s v="MOLINA JUAN F. Y MOLINA ROQUE Lastenia 14"/>
    <x v="1272"/>
    <n v="10000000"/>
    <x v="207"/>
    <x v="1"/>
    <s v="pagado"/>
    <s v="pagado"/>
    <s v="excluir"/>
    <s v="no semana"/>
    <x v="0"/>
  </r>
  <r>
    <n v="3000000728"/>
    <d v="2026-06-03T00:00:00"/>
    <n v="10000000"/>
    <s v="MOLINA JUAN F. Y MOLINA ROQUE Lastenia 14"/>
    <x v="1273"/>
    <n v="10000000"/>
    <x v="207"/>
    <x v="1"/>
    <s v="pagado"/>
    <s v="pagado"/>
    <s v="excluir"/>
    <s v="no semana"/>
    <x v="0"/>
  </r>
  <r>
    <n v="3000000729"/>
    <d v="2026-06-03T00:00:00"/>
    <n v="8666567.9199999999"/>
    <s v="ARAGON CARLOS DANIEL LA BANDA 13"/>
    <x v="1274"/>
    <n v="8666567.9199999999"/>
    <x v="207"/>
    <x v="1"/>
    <s v="pagado"/>
    <s v="pagado"/>
    <s v="excluir"/>
    <s v="no semana"/>
    <x v="0"/>
  </r>
  <r>
    <n v="3000000730"/>
    <d v="2026-06-03T00:00:00"/>
    <n v="8848172.2400000002"/>
    <s v="RUIZ CRISTIAN ALEJANDRO . LA FLORIDA 14"/>
    <x v="1275"/>
    <n v="8848172.2400000002"/>
    <x v="207"/>
    <x v="1"/>
    <s v="pagado"/>
    <s v="pagado"/>
    <s v="excluir"/>
    <s v="no semana"/>
    <x v="0"/>
  </r>
  <r>
    <n v="3000000731"/>
    <d v="2026-06-03T00:00:00"/>
    <n v="8566961.3000000007"/>
    <s v="MEDINA DISTRIBUCIONES SAS TAFI VIEJO 14"/>
    <x v="1276"/>
    <n v="8566961.3000000007"/>
    <x v="207"/>
    <x v="1"/>
    <s v="pagado"/>
    <s v="pagado"/>
    <s v="excluir"/>
    <s v="no semana"/>
    <x v="0"/>
  </r>
  <r>
    <n v="3000000748"/>
    <d v="2026-06-09T00:00:00"/>
    <n v="386632.5"/>
    <s v="ALGOSERVICIOS SA CAPTAL FEDERAL 00"/>
    <x v="1277"/>
    <n v="386632.5"/>
    <x v="208"/>
    <x v="1"/>
    <s v="pagado"/>
    <s v="pagado"/>
    <s v="excluir"/>
    <s v="no semana"/>
    <x v="0"/>
  </r>
  <r>
    <n v="3000000750"/>
    <d v="2026-06-09T00:00:00"/>
    <n v="3930543.4"/>
    <s v="Pulmajo S.R.L. CONCEPCION 14"/>
    <x v="1278"/>
    <n v="3930543.4"/>
    <x v="209"/>
    <x v="1"/>
    <s v="pagado"/>
    <s v="pagado"/>
    <s v="excluir"/>
    <s v="no semana"/>
    <x v="0"/>
  </r>
  <r>
    <n v="3000000751"/>
    <d v="2026-06-09T00:00:00"/>
    <n v="4029520"/>
    <s v="Medina Lauro Jose Las Cejas 14"/>
    <x v="1279"/>
    <n v="4029520"/>
    <x v="209"/>
    <x v="1"/>
    <s v="pagado"/>
    <s v="pagado"/>
    <s v="excluir"/>
    <s v="no semana"/>
    <x v="0"/>
  </r>
  <r>
    <n v="3000000752"/>
    <d v="2026-06-09T00:00:00"/>
    <n v="7160429.4000000004"/>
    <s v="RODRIGUEZ NESTOR HORACIO YERBA BUENA 14"/>
    <x v="1280"/>
    <n v="7160429.4000000004"/>
    <x v="209"/>
    <x v="1"/>
    <s v="pagado"/>
    <s v="pagado"/>
    <s v="excluir"/>
    <s v="no semana"/>
    <x v="0"/>
  </r>
  <r>
    <n v="3000000753"/>
    <d v="2026-06-09T00:00:00"/>
    <n v="30975818.530000001"/>
    <s v="DON KOKO S.R.L CAMILO ALDAO 03"/>
    <x v="1281"/>
    <n v="30975818.530000001"/>
    <x v="209"/>
    <x v="1"/>
    <s v="pagado"/>
    <s v="pagado"/>
    <s v="excluir"/>
    <s v="no semana"/>
    <x v="0"/>
  </r>
  <r>
    <n v="3000000767"/>
    <d v="2026-06-11T00:00:00"/>
    <n v="6266927.9400000004"/>
    <s v="SAN LORENZO CEREALES S.R.L SAN LORENZO 12"/>
    <x v="1282"/>
    <n v="6266927.9400000004"/>
    <x v="210"/>
    <x v="1"/>
    <s v="pagado"/>
    <s v="pagado"/>
    <s v="excluir"/>
    <s v="no semana"/>
    <x v="0"/>
  </r>
  <r>
    <n v="3000000768"/>
    <d v="2026-06-11T00:00:00"/>
    <n v="22805764.469999999"/>
    <s v="JAVIER EDUARDO PRADO FLORIDA 13"/>
    <x v="1283"/>
    <n v="22805764.469999999"/>
    <x v="211"/>
    <x v="1"/>
    <s v="pagado"/>
    <s v="pagado"/>
    <s v="excluir"/>
    <s v="no semana"/>
    <x v="0"/>
  </r>
  <r>
    <n v="3000000769"/>
    <d v="2026-06-11T00:00:00"/>
    <n v="11180191.359999999"/>
    <s v="MAGLI FLORENCIA CAROLINA LAS TALITAS 14"/>
    <x v="1284"/>
    <n v="11180191.359999999"/>
    <x v="210"/>
    <x v="1"/>
    <s v="pagado"/>
    <s v="pagado"/>
    <s v="excluir"/>
    <s v="no semana"/>
    <x v="0"/>
  </r>
  <r>
    <n v="3000000770"/>
    <d v="2026-06-12T00:00:00"/>
    <n v="12469246.310000001"/>
    <s v="TRANSPORTE BARBERAN HNOS SRL CHABAS 12"/>
    <x v="1285"/>
    <n v="12469246.310000001"/>
    <x v="211"/>
    <x v="1"/>
    <s v="pagado"/>
    <s v="pagado"/>
    <s v="excluir"/>
    <s v="no semana"/>
    <x v="0"/>
  </r>
  <r>
    <n v="3000000771"/>
    <d v="2026-06-12T00:00:00"/>
    <n v="5559589.7300000004"/>
    <s v="RUIZ CRISTIAN ALEJANDRO . LA FLORIDA 14"/>
    <x v="1286"/>
    <n v="5559589.7300000004"/>
    <x v="210"/>
    <x v="1"/>
    <s v="pagado"/>
    <s v="pagado"/>
    <s v="excluir"/>
    <s v="no semana"/>
    <x v="0"/>
  </r>
  <r>
    <n v="3000000772"/>
    <d v="2026-06-12T00:00:00"/>
    <n v="14191958.359999999"/>
    <s v="ANTONACCI LUIS GABRIEL LA FLORIDA 14"/>
    <x v="1287"/>
    <n v="14191958.359999999"/>
    <x v="210"/>
    <x v="1"/>
    <s v="pagado"/>
    <s v="pagado"/>
    <s v="excluir"/>
    <s v="no semana"/>
    <x v="0"/>
  </r>
  <r>
    <n v="3000000784"/>
    <d v="2026-06-16T00:00:00"/>
    <n v="10897105"/>
    <s v="RASUK JORGE LUIS YERBA BUENA 14"/>
    <x v="1288"/>
    <n v="10897105"/>
    <x v="212"/>
    <x v="1"/>
    <s v="pagado"/>
    <s v="pagado"/>
    <s v="excluir"/>
    <s v="no semana"/>
    <x v="0"/>
  </r>
  <r>
    <n v="3000000785"/>
    <d v="2026-06-16T00:00:00"/>
    <n v="6774027.6399999997"/>
    <s v="BLEXA S. A. SALTA 09"/>
    <x v="1289"/>
    <n v="6774027.6399999997"/>
    <x v="212"/>
    <x v="1"/>
    <s v="pagado"/>
    <s v="pagado"/>
    <s v="excluir"/>
    <s v="no semana"/>
    <x v="0"/>
  </r>
  <r>
    <n v="3000000786"/>
    <d v="2026-06-16T00:00:00"/>
    <n v="11517045.15"/>
    <s v="ROMAN BARCELO Y JORGE CARRERASLAS LAJITAS 09"/>
    <x v="1290"/>
    <n v="11517045.15"/>
    <x v="212"/>
    <x v="1"/>
    <s v="pagado"/>
    <s v="pagado"/>
    <s v="excluir"/>
    <s v="no semana"/>
    <x v="0"/>
  </r>
  <r>
    <n v="3000000787"/>
    <d v="2026-06-16T00:00:00"/>
    <n v="11485588.4"/>
    <s v="M.A.D Serv y mant eléctri SAN MIGUEL DE TUCUMAN 14"/>
    <x v="1291"/>
    <n v="11485588.4"/>
    <x v="212"/>
    <x v="1"/>
    <s v="pagado"/>
    <s v="pagado"/>
    <s v="excluir"/>
    <s v="no semana"/>
    <x v="0"/>
  </r>
  <r>
    <n v="3000000788"/>
    <d v="2026-06-16T00:00:00"/>
    <n v="20517150.07"/>
    <s v="AYALA HERNAN OSVALDO SAN MIGUEL DE TUCUMAN 14"/>
    <x v="1292"/>
    <n v="20517150.07"/>
    <x v="212"/>
    <x v="1"/>
    <s v="pagado"/>
    <s v="pagado"/>
    <s v="excluir"/>
    <s v="no semana"/>
    <x v="0"/>
  </r>
  <r>
    <n v="3000000789"/>
    <d v="2026-06-16T00:00:00"/>
    <n v="25452864.899999999"/>
    <s v="GRUPO MARGEN DEL NOA SA YERBA BUENA 14"/>
    <x v="1293"/>
    <n v="25452864.899999999"/>
    <x v="212"/>
    <x v="1"/>
    <s v="pagado"/>
    <s v="pagado"/>
    <s v="excluir"/>
    <s v="no semana"/>
    <x v="0"/>
  </r>
  <r>
    <n v="3000000790"/>
    <d v="2026-06-16T00:00:00"/>
    <n v="8802519.6999999993"/>
    <s v="RODRIGUEZ NESTOR HORACIO YERBA BUENA 14"/>
    <x v="1294"/>
    <n v="8802519.6999999993"/>
    <x v="212"/>
    <x v="1"/>
    <s v="pagado"/>
    <s v="pagado"/>
    <s v="excluir"/>
    <s v="no semana"/>
    <x v="0"/>
  </r>
  <r>
    <n v="3000000791"/>
    <d v="2026-06-16T00:00:00"/>
    <n v="21621949.449999999"/>
    <s v="Medina Lauro Jose Las Cejas 14"/>
    <x v="1295"/>
    <n v="21621949.449999999"/>
    <x v="212"/>
    <x v="1"/>
    <s v="pagado"/>
    <s v="pagado"/>
    <s v="excluir"/>
    <s v="no semana"/>
    <x v="0"/>
  </r>
  <r>
    <n v="3000000793"/>
    <d v="2026-06-17T00:00:00"/>
    <n v="6035817.04"/>
    <s v="LANGELLA JUAN RODOLFO ALDERETES 14"/>
    <x v="1296"/>
    <n v="6035817.04"/>
    <x v="113"/>
    <x v="1"/>
    <s v="pagado"/>
    <s v="pagado"/>
    <s v="excluir"/>
    <s v="no semana"/>
    <x v="0"/>
  </r>
  <r>
    <n v="3000000794"/>
    <d v="2026-06-17T00:00:00"/>
    <n v="41101116.460000001"/>
    <s v="TRANSPORTE LUIS SANDOVAL S.A.SLOS VALLISTOS 14"/>
    <x v="1297"/>
    <n v="41101116.460000001"/>
    <x v="113"/>
    <x v="1"/>
    <s v="pagado"/>
    <s v="pagado"/>
    <s v="excluir"/>
    <s v="no semana"/>
    <x v="0"/>
  </r>
  <r>
    <n v="3000000795"/>
    <d v="2026-06-17T00:00:00"/>
    <n v="10343247.779999999"/>
    <s v="ABUT TRANSPORTES SA CENTENO 12"/>
    <x v="1298"/>
    <n v="10343247.779999999"/>
    <x v="113"/>
    <x v="1"/>
    <s v="pagado"/>
    <s v="pagado"/>
    <s v="excluir"/>
    <s v="no semana"/>
    <x v="0"/>
  </r>
  <r>
    <n v="3000000796"/>
    <d v="2026-06-17T00:00:00"/>
    <n v="11355557.26"/>
    <s v="LOGISTICA CENTRO S.R.L CORONDA 12"/>
    <x v="1299"/>
    <n v="11355557.26"/>
    <x v="113"/>
    <x v="1"/>
    <s v="pagado"/>
    <s v="pagado"/>
    <s v="excluir"/>
    <s v="no semana"/>
    <x v="0"/>
  </r>
  <r>
    <n v="3000000797"/>
    <d v="2026-06-17T00:00:00"/>
    <n v="37723375.840000004"/>
    <s v="DANIEL MARCELO GUERRERO ALDERETES 14"/>
    <x v="1300"/>
    <n v="37723375.840000004"/>
    <x v="113"/>
    <x v="1"/>
    <s v="pagado"/>
    <s v="pagado"/>
    <s v="excluir"/>
    <s v="no semana"/>
    <x v="0"/>
  </r>
  <r>
    <n v="3000000798"/>
    <d v="2026-06-17T00:00:00"/>
    <n v="7284326.3700000001"/>
    <s v="TRANSPORTE BARBERAN HNOS SRL CHABAS 12"/>
    <x v="1301"/>
    <n v="7284326.3700000001"/>
    <x v="113"/>
    <x v="1"/>
    <s v="pagado"/>
    <s v="pagado"/>
    <s v="excluir"/>
    <s v="no semana"/>
    <x v="0"/>
  </r>
  <r>
    <n v="3000000799"/>
    <d v="2026-06-17T00:00:00"/>
    <n v="14125784.199999999"/>
    <s v="MOYANO SERGIO ESTEBAN BANDA DEL RIO SALI 14"/>
    <x v="1302"/>
    <n v="14125784.199999999"/>
    <x v="113"/>
    <x v="1"/>
    <s v="pagado"/>
    <s v="pagado"/>
    <s v="excluir"/>
    <s v="no semana"/>
    <x v="0"/>
  </r>
  <r>
    <n v="3000000800"/>
    <d v="2026-06-17T00:00:00"/>
    <n v="8687299.3599999994"/>
    <s v="LOGISTICA DEL NORTE S.R.L. SAN MIGUEL DE TUCUMAN 14"/>
    <x v="1303"/>
    <n v="8687299.3599999994"/>
    <x v="113"/>
    <x v="1"/>
    <s v="pagado"/>
    <s v="pagado"/>
    <s v="excluir"/>
    <s v="no semana"/>
    <x v="0"/>
  </r>
  <r>
    <n v="3000000824"/>
    <d v="2026-06-22T00:00:00"/>
    <n v="14822176.32"/>
    <s v="LOS LAURELES SERVICIOS AGRICOLSan Miguel De Tucuman 14"/>
    <x v="1304"/>
    <n v="14822176.32"/>
    <x v="213"/>
    <x v="1"/>
    <s v="pagado"/>
    <s v="pagado"/>
    <s v="excluir"/>
    <s v="no semana"/>
    <x v="0"/>
  </r>
  <r>
    <n v="3000000825"/>
    <d v="2026-06-22T00:00:00"/>
    <n v="5539094.4299999997"/>
    <s v="GARCIA JORGE LUIS METAN 09"/>
    <x v="1305"/>
    <n v="5539094.4299999997"/>
    <x v="213"/>
    <x v="1"/>
    <s v="pagado"/>
    <s v="pagado"/>
    <s v="excluir"/>
    <s v="no semana"/>
    <x v="0"/>
  </r>
  <r>
    <n v="3000000826"/>
    <d v="2026-06-22T00:00:00"/>
    <n v="9873160"/>
    <s v="Pulmajo S.R.L. CONCEPCION 14"/>
    <x v="1306"/>
    <n v="9873160"/>
    <x v="213"/>
    <x v="1"/>
    <s v="pagado"/>
    <s v="pagado"/>
    <s v="excluir"/>
    <s v="no semana"/>
    <x v="0"/>
  </r>
  <r>
    <n v="3000000827"/>
    <d v="2026-06-22T00:00:00"/>
    <n v="9808121.3300000001"/>
    <s v="AYALA WALTER DANIEL ALDERETES 14"/>
    <x v="1307"/>
    <n v="9808121.3300000001"/>
    <x v="213"/>
    <x v="1"/>
    <s v="pagado"/>
    <s v="pagado"/>
    <s v="excluir"/>
    <s v="no semana"/>
    <x v="0"/>
  </r>
  <r>
    <n v="3000000828"/>
    <d v="2026-06-22T00:00:00"/>
    <n v="2097127.05"/>
    <s v="BLEXA S. A. SALTA 09"/>
    <x v="1308"/>
    <n v="2097127.05"/>
    <x v="213"/>
    <x v="1"/>
    <s v="pagado"/>
    <s v="pagado"/>
    <s v="excluir"/>
    <s v="no semana"/>
    <x v="0"/>
  </r>
  <r>
    <n v="3000000836"/>
    <d v="2026-06-23T00:00:00"/>
    <n v="3385381.52"/>
    <s v="CITRUSVIL S.A. CEVIL POZO 14"/>
    <x v="1309"/>
    <n v="3385381.52"/>
    <x v="214"/>
    <x v="1"/>
    <s v="pagado"/>
    <s v="pagado"/>
    <s v="excluir"/>
    <s v="no semana"/>
    <x v="0"/>
  </r>
  <r>
    <n v="3000000836"/>
    <d v="2026-06-23T00:00:00"/>
    <n v="3077021.59"/>
    <s v="CITRUSVIL S.A. CEVIL POZO 14"/>
    <x v="1310"/>
    <n v="3077021.59"/>
    <x v="214"/>
    <x v="1"/>
    <s v="pagado"/>
    <s v="pagado"/>
    <s v="excluir"/>
    <s v="no semana"/>
    <x v="0"/>
  </r>
  <r>
    <n v="3000000837"/>
    <d v="2026-06-23T00:00:00"/>
    <n v="22174245.18"/>
    <s v="AGROGANADERA DEL NOA CEVIL POZO 14"/>
    <x v="1311"/>
    <n v="22174245.18"/>
    <x v="214"/>
    <x v="1"/>
    <s v="pagado"/>
    <s v="pagado"/>
    <s v="excluir"/>
    <s v="no semana"/>
    <x v="0"/>
  </r>
  <r>
    <n v="3000000842"/>
    <d v="2026-06-24T00:00:00"/>
    <n v="1805517.4"/>
    <s v="Consorcio de Propietarios SPCLLules 14"/>
    <x v="1312"/>
    <n v="1805517.4"/>
    <x v="96"/>
    <x v="1"/>
    <s v="pagado"/>
    <s v="pagado"/>
    <s v="excluir"/>
    <s v="no semana"/>
    <x v="0"/>
  </r>
  <r>
    <n v="3000000842"/>
    <d v="2026-06-24T00:00:00"/>
    <n v="15829312.57"/>
    <s v="Consorcio de Propietarios SPCLLules 14"/>
    <x v="1313"/>
    <n v="15829312.57"/>
    <x v="96"/>
    <x v="1"/>
    <s v="pagado"/>
    <s v="pagado"/>
    <s v="excluir"/>
    <s v="no semana"/>
    <x v="0"/>
  </r>
  <r>
    <n v="3000000859"/>
    <d v="2026-06-29T00:00:00"/>
    <n v="7812295"/>
    <s v="M.A.D Serv y mant eléctri SAN MIGUEL DE TUCUMAN 14"/>
    <x v="1314"/>
    <n v="7812295"/>
    <x v="215"/>
    <x v="1"/>
    <s v="pagado"/>
    <s v="pagado"/>
    <s v="excluir"/>
    <s v="no semana"/>
    <x v="0"/>
  </r>
  <r>
    <n v="3000000860"/>
    <d v="2026-06-29T00:00:00"/>
    <n v="10861100.939999999"/>
    <s v="JAVIER EDUARDO FLORIDA 13"/>
    <x v="1315"/>
    <n v="10861100.939999999"/>
    <x v="215"/>
    <x v="1"/>
    <s v="pagado"/>
    <s v="pagado"/>
    <s v="excluir"/>
    <s v="no semana"/>
    <x v="0"/>
  </r>
  <r>
    <n v="3000000861"/>
    <d v="2026-06-29T00:00:00"/>
    <n v="7269071.96"/>
    <s v="AGROTRANSPORTE ALDAO S.A. CAMILO ALDAO 03"/>
    <x v="1316"/>
    <n v="7269071.96"/>
    <x v="215"/>
    <x v="1"/>
    <s v="pagado"/>
    <s v="pagado"/>
    <s v="excluir"/>
    <s v="no semana"/>
    <x v="0"/>
  </r>
  <r>
    <n v="3000000862"/>
    <d v="2026-06-29T00:00:00"/>
    <n v="7771500"/>
    <s v="ARAGON CARLOS DANIEL LA BANDA 13"/>
    <x v="1317"/>
    <n v="7771500"/>
    <x v="215"/>
    <x v="1"/>
    <s v="pagado"/>
    <s v="pagado"/>
    <s v="excluir"/>
    <s v="no semana"/>
    <x v="0"/>
  </r>
  <r>
    <n v="3000000863"/>
    <d v="2026-06-29T00:00:00"/>
    <n v="20747224.84"/>
    <s v="PAIS WALTER LUIS SAN MIGUEL DE TUCUMAN 14"/>
    <x v="1318"/>
    <n v="20747224.84"/>
    <x v="215"/>
    <x v="1"/>
    <s v="pagado"/>
    <s v="pagado"/>
    <s v="excluir"/>
    <s v="no semana"/>
    <x v="0"/>
  </r>
  <r>
    <n v="3000000864"/>
    <d v="2026-06-29T00:00:00"/>
    <n v="11348690.77"/>
    <s v="MOYANO JULIO CESAR BANDA DEL RIO SALI 14"/>
    <x v="1319"/>
    <n v="11348690.77"/>
    <x v="215"/>
    <x v="1"/>
    <s v="pagado"/>
    <s v="pagado"/>
    <s v="excluir"/>
    <s v="no semana"/>
    <x v="0"/>
  </r>
  <r>
    <n v="3000000865"/>
    <d v="2026-06-29T00:00:00"/>
    <n v="8193693.7199999997"/>
    <s v="ECONOMIC FUEL SRL JUJUY 08"/>
    <x v="1320"/>
    <n v="8193693.7199999997"/>
    <x v="215"/>
    <x v="1"/>
    <s v="pagado"/>
    <s v="pagado"/>
    <s v="excluir"/>
    <s v="no semana"/>
    <x v="0"/>
  </r>
  <r>
    <n v="3000000866"/>
    <d v="2026-06-29T00:00:00"/>
    <n v="6782084.4500000002"/>
    <s v="ADVANTA SEMILLAS SAIC JUNIN 01"/>
    <x v="1321"/>
    <n v="6782084.4500000002"/>
    <x v="215"/>
    <x v="1"/>
    <s v="pagado"/>
    <s v="pagado"/>
    <s v="excluir"/>
    <s v="no semana"/>
    <x v="0"/>
  </r>
  <r>
    <n v="3000000867"/>
    <d v="2026-06-29T00:00:00"/>
    <n v="9006315.8900000006"/>
    <s v="LASTRINA CARMELO ALTO VERDE 14"/>
    <x v="1322"/>
    <n v="9006315.8900000006"/>
    <x v="215"/>
    <x v="1"/>
    <s v="pagado"/>
    <s v="pagado"/>
    <s v="excluir"/>
    <s v="no semana"/>
    <x v="0"/>
  </r>
  <r>
    <n v="3000000868"/>
    <d v="2026-06-29T00:00:00"/>
    <n v="9031874.2599999998"/>
    <s v="AGUERA CRISTIAN MARTIN CONCEPCION 14"/>
    <x v="1323"/>
    <n v="9031874.2599999998"/>
    <x v="215"/>
    <x v="1"/>
    <s v="pagado"/>
    <s v="pagado"/>
    <s v="excluir"/>
    <s v="no semana"/>
    <x v="0"/>
  </r>
  <r>
    <n v="3000000875"/>
    <d v="2026-07-01T00:00:00"/>
    <n v="7897880.0199999996"/>
    <s v="BUSTOS CESAR ANIBAL BANDAL DE RIO SALI 14"/>
    <x v="1324"/>
    <n v="7897880.0199999996"/>
    <x v="216"/>
    <x v="1"/>
    <s v="pagado"/>
    <s v="pagado"/>
    <s v="excluir"/>
    <s v="no semana"/>
    <x v="0"/>
  </r>
  <r>
    <n v="3000000876"/>
    <d v="2026-07-01T00:00:00"/>
    <n v="13435725.32"/>
    <s v="LOGISTICA CENTRO S.R.L CORONDA 12"/>
    <x v="1325"/>
    <n v="13435725.32"/>
    <x v="216"/>
    <x v="1"/>
    <s v="pagado"/>
    <s v="pagado"/>
    <s v="excluir"/>
    <s v="no semana"/>
    <x v="0"/>
  </r>
  <r>
    <n v="3000000877"/>
    <d v="2026-07-01T00:00:00"/>
    <n v="14261542.75"/>
    <s v="DANIEL MARCELO GUERRERO ALDERETES 14"/>
    <x v="1326"/>
    <n v="14261542.75"/>
    <x v="216"/>
    <x v="1"/>
    <s v="pagado"/>
    <s v="pagado"/>
    <s v="excluir"/>
    <s v="no semana"/>
    <x v="0"/>
  </r>
  <r>
    <n v="3000000878"/>
    <d v="2026-07-01T00:00:00"/>
    <n v="11987886.460000001"/>
    <s v="ANTONACCI LUIS GABRIEL LA FLORIDA 14"/>
    <x v="1327"/>
    <n v="11987886.460000001"/>
    <x v="216"/>
    <x v="1"/>
    <s v="pagado"/>
    <s v="pagado"/>
    <s v="excluir"/>
    <s v="no semana"/>
    <x v="0"/>
  </r>
  <r>
    <n v="3000000879"/>
    <d v="2026-07-01T00:00:00"/>
    <n v="16382120.58"/>
    <s v="TRANSPORTE BARBERAN HNOS SRL CHABAS 12"/>
    <x v="1328"/>
    <n v="16382120.58"/>
    <x v="216"/>
    <x v="1"/>
    <s v="pagado"/>
    <s v="pagado"/>
    <s v="excluir"/>
    <s v="no semana"/>
    <x v="0"/>
  </r>
  <r>
    <n v="3000000880"/>
    <d v="2026-07-01T00:00:00"/>
    <n v="19203466.359999999"/>
    <s v="TRANSPORTE LUIS SANDOVAL S.A.SLOS VALLISTOS 14"/>
    <x v="1329"/>
    <n v="19203466.359999999"/>
    <x v="216"/>
    <x v="1"/>
    <s v="pagado"/>
    <s v="pagado"/>
    <s v="excluir"/>
    <s v="no semana"/>
    <x v="0"/>
  </r>
  <r>
    <n v="3000000905"/>
    <d v="2026-07-06T00:00:00"/>
    <n v="30141525.699999999"/>
    <s v="LASTRINA CARMELO ALTO VERDE 14"/>
    <x v="1330"/>
    <n v="30141525.699999999"/>
    <x v="217"/>
    <x v="1"/>
    <s v="pagado"/>
    <s v="pagado"/>
    <s v="excluir"/>
    <s v="no semana"/>
    <x v="0"/>
  </r>
  <r>
    <n v="3000000906"/>
    <d v="2026-07-06T00:00:00"/>
    <n v="15720081.48"/>
    <s v="AYALA HERNAN OSVALDO SAN MIGUEL DE TUCUMAN 14"/>
    <x v="1331"/>
    <n v="15720081.48"/>
    <x v="217"/>
    <x v="1"/>
    <s v="pagado"/>
    <s v="pagado"/>
    <s v="excluir"/>
    <s v="no semana"/>
    <x v="0"/>
  </r>
  <r>
    <n v="3000000907"/>
    <d v="2026-07-06T00:00:00"/>
    <n v="5805977.9299999997"/>
    <s v="COMBUSTIBLES DEL NORTE S.A. LAS LAJITAS 09"/>
    <x v="1332"/>
    <n v="5805977.9299999997"/>
    <x v="217"/>
    <x v="1"/>
    <s v="pagado"/>
    <s v="pagado"/>
    <s v="excluir"/>
    <s v="no semana"/>
    <x v="0"/>
  </r>
  <r>
    <n v="3000000908"/>
    <d v="2026-07-06T00:00:00"/>
    <n v="13423667.92"/>
    <s v="ARAGON CARLOS DANIEL LA BANDA 13"/>
    <x v="1333"/>
    <n v="13423667.92"/>
    <x v="217"/>
    <x v="1"/>
    <s v="pagado"/>
    <s v="pagado"/>
    <s v="excluir"/>
    <s v="no semana"/>
    <x v="0"/>
  </r>
  <r>
    <n v="3000000909"/>
    <d v="2026-07-06T00:00:00"/>
    <n v="5858098.1500000004"/>
    <s v="Laborda Carlos SAN MIGUEL DE TUCUMAN 14"/>
    <x v="1334"/>
    <n v="5858098.1500000004"/>
    <x v="217"/>
    <x v="1"/>
    <s v="pagado"/>
    <s v="pagado"/>
    <s v="excluir"/>
    <s v="no semana"/>
    <x v="0"/>
  </r>
  <r>
    <n v="3000000910"/>
    <d v="2026-07-06T00:00:00"/>
    <n v="10319600.529999999"/>
    <s v="AYALA WALTER DANIEL ALDERETES 14"/>
    <x v="1335"/>
    <n v="10319600.529999999"/>
    <x v="217"/>
    <x v="1"/>
    <s v="pagado"/>
    <s v="pagado"/>
    <s v="excluir"/>
    <s v="no semana"/>
    <x v="0"/>
  </r>
  <r>
    <n v="3000000911"/>
    <d v="2026-07-06T00:00:00"/>
    <n v="23154483.899999999"/>
    <s v="ROMAN BARCELO Y JORGE CARRERASLAS LAJITAS 09"/>
    <x v="1336"/>
    <n v="23154483.899999999"/>
    <x v="217"/>
    <x v="1"/>
    <s v="pagado"/>
    <s v="pagado"/>
    <s v="excluir"/>
    <s v="no semana"/>
    <x v="0"/>
  </r>
  <r>
    <n v="3000000912"/>
    <d v="2026-07-06T00:00:00"/>
    <n v="10485049.050000001"/>
    <s v="MARIA FERNANDA SRL LA TRINIDAD 14"/>
    <x v="1337"/>
    <n v="10485049.050000001"/>
    <x v="217"/>
    <x v="1"/>
    <s v="pagado"/>
    <s v="pagado"/>
    <s v="excluir"/>
    <s v="no semana"/>
    <x v="0"/>
  </r>
  <r>
    <n v="3000000929"/>
    <d v="2026-07-13T00:00:00"/>
    <n v="10981812.15"/>
    <s v="RASUK JORGE LUIS YERBA BUENA 14"/>
    <x v="1338"/>
    <n v="10981812.15"/>
    <x v="218"/>
    <x v="1"/>
    <s v="pagado"/>
    <s v="pagado"/>
    <s v="excluir"/>
    <s v="no semana"/>
    <x v="0"/>
  </r>
  <r>
    <n v="3000000930"/>
    <d v="2026-07-13T00:00:00"/>
    <n v="9825984.3399999999"/>
    <s v="AGUERA CRISTIAN MARTIN CONCEPCION 14"/>
    <x v="1339"/>
    <n v="9825984.3399999999"/>
    <x v="218"/>
    <x v="1"/>
    <s v="pagado"/>
    <s v="pagado"/>
    <s v="excluir"/>
    <s v="no semana"/>
    <x v="0"/>
  </r>
  <r>
    <n v="3000000931"/>
    <d v="2026-07-14T00:00:00"/>
    <n v="30000000"/>
    <s v="CERGEN SRL CAPITAL FEDERAL 00"/>
    <x v="1340"/>
    <n v="30000000"/>
    <x v="219"/>
    <x v="1"/>
    <s v="pagado"/>
    <s v="pagado"/>
    <s v="excluir"/>
    <s v="no semana"/>
    <x v="0"/>
  </r>
  <r>
    <n v="3000000931"/>
    <d v="2026-07-14T00:00:00"/>
    <n v="30262600"/>
    <s v="CERGEN SRL CAPITAL FEDERAL 00"/>
    <x v="1341"/>
    <n v="30262600"/>
    <x v="220"/>
    <x v="1"/>
    <s v="pagado"/>
    <s v="pagado"/>
    <s v="excluir"/>
    <s v="no semana"/>
    <x v="0"/>
  </r>
  <r>
    <n v="3000000945"/>
    <d v="2026-07-15T00:00:00"/>
    <n v="8371185.4900000002"/>
    <s v="PAIS WALTER LUIS SAN MIGUEL DE TUCUMAN 14"/>
    <x v="1342"/>
    <n v="8371185.4900000002"/>
    <x v="218"/>
    <x v="1"/>
    <s v="pagado"/>
    <s v="pagado"/>
    <s v="excluir"/>
    <s v="no semana"/>
    <x v="0"/>
  </r>
  <r>
    <n v="3000000960"/>
    <d v="2026-07-20T00:00:00"/>
    <n v="8579684.5299999993"/>
    <s v="MOYANO SERGIO ESTEBAN BANDA DEL RIO SALI 14"/>
    <x v="1343"/>
    <n v="8579684.5299999993"/>
    <x v="221"/>
    <x v="1"/>
    <s v="pagado"/>
    <s v="pagado"/>
    <s v="excluir"/>
    <s v="no semana"/>
    <x v="0"/>
  </r>
  <r>
    <n v="3000000961"/>
    <d v="2026-07-20T00:00:00"/>
    <n v="6423589.4199999999"/>
    <s v="AGROTRANSPORTE ALDAO S.A. CAMILO ALDAO 03"/>
    <x v="1344"/>
    <n v="6423589.4199999999"/>
    <x v="221"/>
    <x v="1"/>
    <s v="pagado"/>
    <s v="pagado"/>
    <s v="excluir"/>
    <s v="no semana"/>
    <x v="0"/>
  </r>
  <r>
    <n v="3000000962"/>
    <d v="2026-07-20T00:00:00"/>
    <n v="22608000"/>
    <s v="ARAGON CARLOS DANIEL LA BANDA 13"/>
    <x v="1345"/>
    <n v="22608000"/>
    <x v="221"/>
    <x v="1"/>
    <s v="pagado"/>
    <s v="pagado"/>
    <s v="excluir"/>
    <s v="no semana"/>
    <x v="0"/>
  </r>
  <r>
    <n v="3000000963"/>
    <d v="2026-07-20T00:00:00"/>
    <n v="10141885.949999999"/>
    <s v="TRANSPORTE BARBERAN HNOS SRL CHABAS 12"/>
    <x v="1346"/>
    <n v="10141885.949999999"/>
    <x v="221"/>
    <x v="1"/>
    <s v="pagado"/>
    <s v="pagado"/>
    <s v="excluir"/>
    <s v="no semana"/>
    <x v="0"/>
  </r>
  <r>
    <n v="3000000964"/>
    <d v="2026-07-20T00:00:00"/>
    <n v="7630354.5099999998"/>
    <s v="ANTONACCI LUIS GABRIEL LA FLORIDA 14"/>
    <x v="1347"/>
    <n v="7630354.5099999998"/>
    <x v="221"/>
    <x v="1"/>
    <s v="pagado"/>
    <s v="pagado"/>
    <s v="excluir"/>
    <s v="no semana"/>
    <x v="0"/>
  </r>
  <r>
    <n v="3000000965"/>
    <d v="2026-07-20T00:00:00"/>
    <n v="20509347.620000001"/>
    <s v="FLETES Y SERVICIOS PUJATO S.A PUJATO 12"/>
    <x v="1348"/>
    <n v="20509347.620000001"/>
    <x v="221"/>
    <x v="1"/>
    <s v="pagado"/>
    <s v="pagado"/>
    <s v="excluir"/>
    <s v="no semana"/>
    <x v="0"/>
  </r>
  <r>
    <n v="3000000966"/>
    <d v="2026-07-20T00:00:00"/>
    <n v="11830993.4"/>
    <s v="GEOTECNOLOGIA S.R.L SAN MIGUEL DE TUCUMAN 14"/>
    <x v="1349"/>
    <n v="11830993.4"/>
    <x v="221"/>
    <x v="1"/>
    <s v="pagado"/>
    <s v="pagado"/>
    <s v="excluir"/>
    <s v="no semana"/>
    <x v="0"/>
  </r>
  <r>
    <n v="3000000967"/>
    <d v="2026-07-20T00:00:00"/>
    <n v="5802305.3799999999"/>
    <s v="COMBUSTIBLES DEL NORTE S.A. LAS LAJITAS 09"/>
    <x v="1350"/>
    <n v="5802305.3799999999"/>
    <x v="221"/>
    <x v="1"/>
    <s v="pagado"/>
    <s v="pagado"/>
    <s v="excluir"/>
    <s v="no semana"/>
    <x v="0"/>
  </r>
  <r>
    <n v="3000000968"/>
    <d v="2026-07-20T00:00:00"/>
    <n v="6200993.4000000004"/>
    <s v="M.A.D Serv y mant eléctri SAN MIGUEL DE TUCUMAN 14"/>
    <x v="1351"/>
    <n v="6200993.4000000004"/>
    <x v="221"/>
    <x v="1"/>
    <s v="pagado"/>
    <s v="pagado"/>
    <s v="excluir"/>
    <s v="no semana"/>
    <x v="0"/>
  </r>
  <r>
    <n v="3000000969"/>
    <d v="2026-07-20T00:00:00"/>
    <n v="11050117.720000001"/>
    <s v="Medina Lauro Jose Las Cejas 14"/>
    <x v="1352"/>
    <n v="11050117.720000001"/>
    <x v="221"/>
    <x v="1"/>
    <s v="pagado"/>
    <s v="pagado"/>
    <s v="excluir"/>
    <s v="no semana"/>
    <x v="0"/>
  </r>
  <r>
    <n v="3000000992"/>
    <d v="2026-07-22T00:00:00"/>
    <n v="3160406.72"/>
    <s v="BUSTOS EXEQUIEL ANTONIO BANDA DEL RIO SALI 14"/>
    <x v="1353"/>
    <n v="3160406.72"/>
    <x v="221"/>
    <x v="1"/>
    <s v="pagado"/>
    <s v="pagado"/>
    <s v="excluir"/>
    <s v="no semana"/>
    <x v="0"/>
  </r>
  <r>
    <n v="3000000994"/>
    <d v="2026-07-23T00:00:00"/>
    <n v="470000000"/>
    <s v="PROFERTIL S.A. Bahia Blanca 01"/>
    <x v="1354"/>
    <n v="470000000"/>
    <x v="222"/>
    <x v="1"/>
    <s v="pagado"/>
    <s v="pagado"/>
    <s v="excluir"/>
    <s v="no semana"/>
    <x v="0"/>
  </r>
  <r>
    <n v="3000000994"/>
    <d v="2026-07-23T00:00:00"/>
    <n v="468216094.19999999"/>
    <s v="PROFERTIL S.A. Bahia Blanca 01"/>
    <x v="1355"/>
    <n v="468216094.19999999"/>
    <x v="223"/>
    <x v="1"/>
    <s v="pagado"/>
    <s v="pagado"/>
    <s v="excluir"/>
    <s v="no semana"/>
    <x v="0"/>
  </r>
  <r>
    <n v="3000001005"/>
    <d v="2026-07-27T00:00:00"/>
    <n v="26777571.600000001"/>
    <s v="LASTRINA CARMELO ALTO VERDE 14"/>
    <x v="1356"/>
    <n v="26777571.600000001"/>
    <x v="224"/>
    <x v="1"/>
    <s v="pagado"/>
    <s v="pagado"/>
    <s v="excluir"/>
    <s v="no semana"/>
    <x v="0"/>
  </r>
  <r>
    <n v="3000001006"/>
    <d v="2026-07-27T00:00:00"/>
    <n v="23348431.379999999"/>
    <s v="Medina Lauro Jose Las Cejas 14"/>
    <x v="1357"/>
    <n v="23348431.379999999"/>
    <x v="224"/>
    <x v="1"/>
    <s v="pagado"/>
    <s v="pagado"/>
    <s v="excluir"/>
    <s v="no semana"/>
    <x v="0"/>
  </r>
  <r>
    <n v="3000001032"/>
    <d v="2026-07-29T00:00:00"/>
    <n v="10000000"/>
    <s v="CITRUSVIL S.A. CEVIL POZO 14"/>
    <x v="1358"/>
    <n v="10000000"/>
    <x v="225"/>
    <x v="1"/>
    <s v="pagado"/>
    <s v="pagado"/>
    <s v="excluir"/>
    <s v="no semana"/>
    <x v="0"/>
  </r>
  <r>
    <n v="3000001032"/>
    <d v="2026-07-29T00:00:00"/>
    <n v="10000000"/>
    <s v="CITRUSVIL S.A. CEVIL POZO 14"/>
    <x v="1359"/>
    <n v="10000000"/>
    <x v="225"/>
    <x v="1"/>
    <s v="pagado"/>
    <s v="pagado"/>
    <s v="excluir"/>
    <s v="no semana"/>
    <x v="0"/>
  </r>
  <r>
    <n v="3000001032"/>
    <d v="2026-07-29T00:00:00"/>
    <n v="10000000"/>
    <s v="CITRUSVIL S.A. CEVIL POZO 14"/>
    <x v="1360"/>
    <n v="10000000"/>
    <x v="225"/>
    <x v="1"/>
    <s v="pagado"/>
    <s v="pagado"/>
    <s v="excluir"/>
    <s v="no semana"/>
    <x v="0"/>
  </r>
  <r>
    <n v="3000001032"/>
    <d v="2026-07-29T00:00:00"/>
    <n v="9744627.7200000007"/>
    <s v="CITRUSVIL S.A. CEVIL POZO 14"/>
    <x v="1361"/>
    <n v="9744627.7200000007"/>
    <x v="225"/>
    <x v="1"/>
    <s v="pagado"/>
    <s v="pagado"/>
    <s v="excluir"/>
    <s v="no semana"/>
    <x v="0"/>
  </r>
  <r>
    <n v="3000001023"/>
    <d v="2026-07-29T00:00:00"/>
    <n v="5720868.3700000001"/>
    <s v="LOGISTICA CENTRO S.R.L CORONDA 12"/>
    <x v="1362"/>
    <n v="5720868.3700000001"/>
    <x v="226"/>
    <x v="1"/>
    <s v="pagado"/>
    <s v="pagado"/>
    <s v="excluir"/>
    <s v="no semana"/>
    <x v="0"/>
  </r>
  <r>
    <n v="3000001024"/>
    <d v="2026-07-29T00:00:00"/>
    <n v="5670205.5499999998"/>
    <s v="FLETES Y SERVICIOS PUJATO S.A PUJATO 12"/>
    <x v="1363"/>
    <n v="5670205.5499999998"/>
    <x v="226"/>
    <x v="1"/>
    <s v="pagado"/>
    <s v="pagado"/>
    <s v="excluir"/>
    <s v="no semana"/>
    <x v="0"/>
  </r>
  <r>
    <n v="3000001025"/>
    <d v="2026-07-29T00:00:00"/>
    <n v="15126590.32"/>
    <s v="BERNADAL SERGIO RODOLFO BANDA DEL RIO SALI- TUCUMAN 14"/>
    <x v="1364"/>
    <n v="15126590.32"/>
    <x v="226"/>
    <x v="1"/>
    <s v="pagado"/>
    <s v="pagado"/>
    <s v="excluir"/>
    <s v="no semana"/>
    <x v="0"/>
  </r>
  <r>
    <n v="3000001026"/>
    <d v="2026-07-29T00:00:00"/>
    <n v="13223837.07"/>
    <s v="GOMEZ JESSICA NOELIA LAS TALITAS 14"/>
    <x v="1365"/>
    <n v="13223837.07"/>
    <x v="226"/>
    <x v="1"/>
    <s v="pagado"/>
    <s v="pagado"/>
    <s v="excluir"/>
    <s v="no semana"/>
    <x v="0"/>
  </r>
  <r>
    <n v="3000001027"/>
    <d v="2026-07-29T00:00:00"/>
    <n v="17022511.420000002"/>
    <s v="LOGISTICA DEL NORTE S.R.L. SAN MIGUEL DE TUCUMAN 14"/>
    <x v="1366"/>
    <n v="17022511.420000002"/>
    <x v="226"/>
    <x v="1"/>
    <s v="pagado"/>
    <s v="pagado"/>
    <s v="excluir"/>
    <s v="no semana"/>
    <x v="0"/>
  </r>
  <r>
    <n v="3000001028"/>
    <d v="2026-07-29T00:00:00"/>
    <n v="7294060.7199999997"/>
    <s v="ARAGON CARLOS DANIEL LA BANDA 13"/>
    <x v="1367"/>
    <n v="7294060.7199999997"/>
    <x v="226"/>
    <x v="1"/>
    <s v="pagado"/>
    <s v="pagado"/>
    <s v="excluir"/>
    <s v="no semana"/>
    <x v="0"/>
  </r>
  <r>
    <n v="3000001029"/>
    <d v="2026-07-29T00:00:00"/>
    <n v="7595580.4800000004"/>
    <s v="RAMIREZ CECILIA LORENA LAS LAJITAS 09"/>
    <x v="1368"/>
    <n v="7595580.4800000004"/>
    <x v="226"/>
    <x v="1"/>
    <s v="pagado"/>
    <s v="pagado"/>
    <s v="excluir"/>
    <s v="no semana"/>
    <x v="0"/>
  </r>
  <r>
    <n v="3000001030"/>
    <d v="2026-07-29T00:00:00"/>
    <n v="792616.06"/>
    <s v="ANTONACCI LUIS GABRIEL LA FLORIDA 14"/>
    <x v="1369"/>
    <n v="792616.06"/>
    <x v="226"/>
    <x v="1"/>
    <s v="pagado"/>
    <s v="pagado"/>
    <s v="excluir"/>
    <s v="no semana"/>
    <x v="0"/>
  </r>
  <r>
    <n v="3000001031"/>
    <d v="2026-07-29T00:00:00"/>
    <n v="23411119.449999999"/>
    <s v="TRANSPORTE BARBERAN HNOS SRL CHABAS 12"/>
    <x v="1370"/>
    <n v="23411119.449999999"/>
    <x v="226"/>
    <x v="1"/>
    <s v="pagado"/>
    <s v="pagado"/>
    <s v="excluir"/>
    <s v="no semana"/>
    <x v="0"/>
  </r>
  <r>
    <n v="3000001043"/>
    <d v="2026-08-03T00:00:00"/>
    <n v="6956819.2800000003"/>
    <s v="Establecimiento Minero Sofia SElena 03"/>
    <x v="1371"/>
    <n v="6956819.2800000003"/>
    <x v="227"/>
    <x v="1"/>
    <s v="pagado"/>
    <s v="pagado"/>
    <s v="excluir"/>
    <s v="no semana"/>
    <x v="0"/>
  </r>
  <r>
    <n v="3000001044"/>
    <d v="2026-08-03T00:00:00"/>
    <n v="7547084.4000000004"/>
    <s v="ROMAN BARCELO Y JORGE CARRERASLAS LAJITAS 09"/>
    <x v="1372"/>
    <n v="7547084.4000000004"/>
    <x v="227"/>
    <x v="1"/>
    <s v="pagado"/>
    <s v="pagado"/>
    <s v="excluir"/>
    <s v="no semana"/>
    <x v="0"/>
  </r>
  <r>
    <n v="3000001045"/>
    <d v="2026-08-03T00:00:00"/>
    <n v="45921778.399999999"/>
    <s v="Medina Lauro Jose Las Cejas 14"/>
    <x v="1373"/>
    <n v="45921778.399999999"/>
    <x v="227"/>
    <x v="1"/>
    <s v="pagado"/>
    <s v="pagado"/>
    <s v="excluir"/>
    <s v="no semana"/>
    <x v="0"/>
  </r>
  <r>
    <n v="3000001046"/>
    <d v="2026-08-03T00:00:00"/>
    <n v="10167538.4"/>
    <s v="AYALA HERNAN OSVALDO SAN MIGUEL DE TUCUMAN 14"/>
    <x v="1374"/>
    <n v="10167538.4"/>
    <x v="227"/>
    <x v="1"/>
    <s v="pagado"/>
    <s v="pagado"/>
    <s v="excluir"/>
    <s v="no semana"/>
    <x v="0"/>
  </r>
  <r>
    <n v="1200001909"/>
    <d v="2026-08-03T00:00:00"/>
    <n v="600002.55000000005"/>
    <s v=". TUCUMAN"/>
    <x v="1375"/>
    <n v="600002.55000000005"/>
    <x v="226"/>
    <x v="1"/>
    <s v="pagado"/>
    <s v="pagado"/>
    <s v="excluir"/>
    <s v="no semana"/>
    <x v="0"/>
  </r>
  <r>
    <n v="3000001064"/>
    <d v="2026-08-05T00:00:00"/>
    <n v="5733803.6500000004"/>
    <s v="LENARDUZZI DIEGO LEONARDO SAN JUSTO 12"/>
    <x v="1376"/>
    <n v="5733803.6500000004"/>
    <x v="228"/>
    <x v="1"/>
    <s v="pagado"/>
    <s v="pagado"/>
    <s v="excluir"/>
    <s v="no semana"/>
    <x v="0"/>
  </r>
  <r>
    <n v="3000001065"/>
    <d v="2026-08-05T00:00:00"/>
    <n v="17772649.149999999"/>
    <s v="TRANSPORTE LUIS SANDOVAL S.A.SLOS VALLISTOS 14"/>
    <x v="1377"/>
    <n v="17772649.149999999"/>
    <x v="228"/>
    <x v="1"/>
    <s v="pagado"/>
    <s v="pagado"/>
    <s v="excluir"/>
    <s v="no semana"/>
    <x v="0"/>
  </r>
  <r>
    <n v="3000001066"/>
    <d v="2026-08-05T00:00:00"/>
    <n v="9539475.5399999991"/>
    <s v="EDUARDO SAN ROMAN TUCUMN 14"/>
    <x v="1378"/>
    <n v="9539475.5399999991"/>
    <x v="228"/>
    <x v="1"/>
    <s v="pagado"/>
    <s v="pagado"/>
    <s v="excluir"/>
    <s v="no semana"/>
    <x v="0"/>
  </r>
  <r>
    <n v="3000001067"/>
    <d v="2026-08-05T00:00:00"/>
    <n v="8291483.7599999998"/>
    <s v="JAVIER EDUARDO PRADO FLORIDA 13"/>
    <x v="1379"/>
    <n v="8291483.7599999998"/>
    <x v="228"/>
    <x v="1"/>
    <s v="pagado"/>
    <s v="pagado"/>
    <s v="excluir"/>
    <s v="no semana"/>
    <x v="0"/>
  </r>
  <r>
    <n v="3000001068"/>
    <d v="2026-08-05T00:00:00"/>
    <n v="3757704"/>
    <s v="CASAS GERMAN DAVID YERBA BENA 14"/>
    <x v="1380"/>
    <n v="3757704"/>
    <x v="228"/>
    <x v="1"/>
    <s v="pagado"/>
    <s v="pagado"/>
    <s v="excluir"/>
    <s v="no semana"/>
    <x v="0"/>
  </r>
  <r>
    <n v="3000001069"/>
    <d v="2026-08-05T00:00:00"/>
    <n v="7471579.0899999999"/>
    <s v="TRANSPORTE RAUL S.R.L SAN MIGUEL DE TUCUMAN 14"/>
    <x v="1381"/>
    <n v="7471579.0899999999"/>
    <x v="228"/>
    <x v="1"/>
    <s v="pagado"/>
    <s v="pagado"/>
    <s v="excluir"/>
    <s v="no semana"/>
    <x v="0"/>
  </r>
  <r>
    <n v="3000001088"/>
    <d v="2026-08-10T00:00:00"/>
    <n v="4730418.83"/>
    <s v="AYALA WALTER DANIEL ALDERETES 14"/>
    <x v="1382"/>
    <n v="4730418.83"/>
    <x v="229"/>
    <x v="1"/>
    <s v="pagado"/>
    <s v="pagado"/>
    <s v="excluir"/>
    <s v="no semana"/>
    <x v="0"/>
  </r>
  <r>
    <n v="3000001089"/>
    <d v="2026-08-10T00:00:00"/>
    <n v="24462703.399999999"/>
    <s v="Pulmajo S.R.L. CONCEPCION 14"/>
    <x v="1383"/>
    <n v="24462703.399999999"/>
    <x v="112"/>
    <x v="1"/>
    <s v="no pagado"/>
    <s v="en periodo de pago"/>
    <s v="a pagar"/>
    <s v="no semana"/>
    <x v="0"/>
  </r>
  <r>
    <n v="3000001090"/>
    <d v="2026-08-10T00:00:00"/>
    <n v="6068600.8799999999"/>
    <s v="Medina Lauro Jose Las Cejas 14"/>
    <x v="1384"/>
    <n v="6068600.8799999999"/>
    <x v="112"/>
    <x v="1"/>
    <s v="pagado"/>
    <s v="pagado"/>
    <s v="excluir"/>
    <s v="no semana"/>
    <x v="0"/>
  </r>
  <r>
    <n v="3000001091"/>
    <d v="2026-08-10T00:00:00"/>
    <n v="1945285.65"/>
    <s v="RODRIGUEZ NESTOR HORACIO YERBA BUENA 14"/>
    <x v="1385"/>
    <n v="1945285.65"/>
    <x v="112"/>
    <x v="1"/>
    <s v="pagado"/>
    <s v="pagado"/>
    <s v="excluir"/>
    <s v="no semana"/>
    <x v="0"/>
  </r>
  <r>
    <n v="3000001092"/>
    <d v="2026-08-10T00:00:00"/>
    <n v="6995139.4100000001"/>
    <s v="LIZONDO OSCAR FABIAN METAN 09"/>
    <x v="1386"/>
    <n v="6995139.4100000001"/>
    <x v="112"/>
    <x v="1"/>
    <s v="pagado"/>
    <s v="pagado"/>
    <s v="excluir"/>
    <s v="no semana"/>
    <x v="0"/>
  </r>
  <r>
    <n v="3000001093"/>
    <d v="2026-08-11T00:00:00"/>
    <n v="14076451.49"/>
    <s v="RAMIREZ CECILIA LORENA LAS LAJITAS 09"/>
    <x v="1387"/>
    <n v="14076451.49"/>
    <x v="112"/>
    <x v="1"/>
    <s v="pagado"/>
    <s v="pagado"/>
    <s v="excluir"/>
    <s v="no semana"/>
    <x v="0"/>
  </r>
  <r>
    <n v="3000001094"/>
    <d v="2026-08-11T00:00:00"/>
    <n v="19033404.379999999"/>
    <s v="LOGISTICA CENTRO S.R.L CORONDA 12"/>
    <x v="1388"/>
    <n v="19033404.379999999"/>
    <x v="112"/>
    <x v="1"/>
    <s v="pagado"/>
    <s v="pagado"/>
    <s v="excluir"/>
    <s v="no semana"/>
    <x v="0"/>
  </r>
  <r>
    <n v="3000001095"/>
    <d v="2026-08-11T00:00:00"/>
    <n v="14938322.109999999"/>
    <s v="OLIVA DANIEL DAVID PICHANAL 09"/>
    <x v="1389"/>
    <n v="14938322.109999999"/>
    <x v="112"/>
    <x v="1"/>
    <s v="pagado"/>
    <s v="pagado"/>
    <s v="excluir"/>
    <s v="no semana"/>
    <x v="0"/>
  </r>
  <r>
    <n v="1200002000"/>
    <d v="2026-08-12T00:00:00"/>
    <n v="961845.52"/>
    <s v="Cheque de terceros TUCUMAN"/>
    <x v="1390"/>
    <n v="961845.52"/>
    <x v="230"/>
    <x v="1"/>
    <s v="pagado"/>
    <s v="pagado"/>
    <s v="excluir"/>
    <s v="no semana"/>
    <x v="0"/>
  </r>
  <r>
    <n v="1200002000"/>
    <d v="2026-08-12T00:00:00"/>
    <n v="1005454.13"/>
    <s v="Cheque de terceros TUCUMAN"/>
    <x v="1391"/>
    <n v="1005454.13"/>
    <x v="230"/>
    <x v="1"/>
    <s v="pagado"/>
    <s v="pagado"/>
    <s v="excluir"/>
    <s v="no semana"/>
    <x v="0"/>
  </r>
  <r>
    <n v="1200002000"/>
    <d v="2026-08-12T00:00:00"/>
    <n v="986143.72"/>
    <s v="Cheque de terceros TUCUMAN"/>
    <x v="1392"/>
    <n v="986143.72"/>
    <x v="230"/>
    <x v="1"/>
    <s v="pagado"/>
    <s v="pagado"/>
    <s v="excluir"/>
    <s v="no semana"/>
    <x v="0"/>
  </r>
  <r>
    <n v="1200002000"/>
    <d v="2026-08-12T00:00:00"/>
    <n v="2517703.4"/>
    <s v="Cheque de terceros TUCUMAN"/>
    <x v="1393"/>
    <n v="2517703.4"/>
    <x v="230"/>
    <x v="1"/>
    <s v="pagado"/>
    <s v="pagado"/>
    <s v="excluir"/>
    <s v="no semana"/>
    <x v="0"/>
  </r>
  <r>
    <n v="1200002000"/>
    <d v="2026-08-12T00:00:00"/>
    <n v="1700000"/>
    <s v="Cheque de terceros TUCUMAN"/>
    <x v="1394"/>
    <n v="1700000"/>
    <x v="230"/>
    <x v="1"/>
    <s v="pagado"/>
    <s v="pagado"/>
    <s v="excluir"/>
    <s v="no semana"/>
    <x v="0"/>
  </r>
  <r>
    <n v="1200002000"/>
    <d v="2026-08-12T00:00:00"/>
    <n v="1454760.61"/>
    <s v="Cheque de terceros TUCUMAN"/>
    <x v="1395"/>
    <n v="1454760.61"/>
    <x v="230"/>
    <x v="1"/>
    <s v="pagado"/>
    <s v="pagado"/>
    <s v="excluir"/>
    <s v="no semana"/>
    <x v="0"/>
  </r>
  <r>
    <n v="1200002000"/>
    <d v="2026-08-12T00:00:00"/>
    <n v="2128465.09"/>
    <s v="Cheque de terceros TUCUMAN"/>
    <x v="1396"/>
    <n v="2128465.09"/>
    <x v="230"/>
    <x v="1"/>
    <s v="pagado"/>
    <s v="pagado"/>
    <s v="excluir"/>
    <s v="no semana"/>
    <x v="0"/>
  </r>
  <r>
    <n v="1200002000"/>
    <d v="2026-08-12T00:00:00"/>
    <n v="2307494.96"/>
    <s v="Cheque de terceros TUCUMAN"/>
    <x v="1397"/>
    <n v="2307494.96"/>
    <x v="230"/>
    <x v="1"/>
    <s v="pagado"/>
    <s v="pagado"/>
    <s v="excluir"/>
    <s v="no semana"/>
    <x v="0"/>
  </r>
  <r>
    <n v="1200002000"/>
    <d v="2026-08-12T00:00:00"/>
    <n v="2199922.09"/>
    <s v="Cheque de terceros TUCUMAN"/>
    <x v="1398"/>
    <n v="2199922.09"/>
    <x v="230"/>
    <x v="1"/>
    <s v="pagado"/>
    <s v="pagado"/>
    <s v="excluir"/>
    <s v="no semana"/>
    <x v="0"/>
  </r>
  <r>
    <n v="1200002000"/>
    <d v="2026-08-12T00:00:00"/>
    <n v="1798877.51"/>
    <s v="Cheque de terceros TUCUMAN"/>
    <x v="1399"/>
    <n v="1798877.51"/>
    <x v="230"/>
    <x v="1"/>
    <s v="pagado"/>
    <s v="pagado"/>
    <s v="excluir"/>
    <s v="no semana"/>
    <x v="0"/>
  </r>
  <r>
    <n v="1200002000"/>
    <d v="2026-08-12T00:00:00"/>
    <n v="27642343.399999999"/>
    <s v="Cheque de terceros TUCUMAN"/>
    <x v="1400"/>
    <n v="27642343.399999999"/>
    <x v="230"/>
    <x v="1"/>
    <s v="pagado"/>
    <s v="pagado"/>
    <s v="excluir"/>
    <s v="no semana"/>
    <x v="0"/>
  </r>
  <r>
    <n v="1200002000"/>
    <d v="2026-08-12T00:00:00"/>
    <n v="5085818.84"/>
    <s v="Cheque de terceros TUCUMAN"/>
    <x v="1401"/>
    <n v="5085818.84"/>
    <x v="230"/>
    <x v="1"/>
    <s v="pagado"/>
    <s v="pagado"/>
    <s v="excluir"/>
    <s v="no semana"/>
    <x v="0"/>
  </r>
  <r>
    <n v="1200002000"/>
    <d v="2026-08-12T00:00:00"/>
    <n v="4094806.23"/>
    <s v="Cheque de terceros TUCUMAN"/>
    <x v="1402"/>
    <n v="4094806.23"/>
    <x v="230"/>
    <x v="1"/>
    <s v="pagado"/>
    <s v="pagado"/>
    <s v="excluir"/>
    <s v="no semana"/>
    <x v="0"/>
  </r>
  <r>
    <n v="1200002000"/>
    <d v="2026-08-12T00:00:00"/>
    <n v="20231172.510000002"/>
    <s v="Cheque de terceros TUCUMAN"/>
    <x v="1403"/>
    <n v="20231172.510000002"/>
    <x v="230"/>
    <x v="1"/>
    <s v="pagado"/>
    <s v="pagado"/>
    <s v="excluir"/>
    <s v="no semana"/>
    <x v="0"/>
  </r>
  <r>
    <n v="1200002000"/>
    <d v="2026-08-12T00:00:00"/>
    <n v="4908915.92"/>
    <s v="Cheque de terceros TUCUMAN"/>
    <x v="1404"/>
    <n v="4908915.92"/>
    <x v="230"/>
    <x v="1"/>
    <s v="pagado"/>
    <s v="pagado"/>
    <s v="excluir"/>
    <s v="no semana"/>
    <x v="0"/>
  </r>
  <r>
    <n v="1200002000"/>
    <d v="2026-08-12T00:00:00"/>
    <n v="11198543.4"/>
    <s v="Cheque de terceros TUCUMAN"/>
    <x v="1405"/>
    <n v="11198543.4"/>
    <x v="230"/>
    <x v="1"/>
    <s v="pagado"/>
    <s v="pagado"/>
    <s v="excluir"/>
    <s v="no semana"/>
    <x v="0"/>
  </r>
  <r>
    <n v="1200002000"/>
    <d v="2026-08-12T00:00:00"/>
    <n v="13217657.550000001"/>
    <s v="Cheque de terceros TUCUMAN"/>
    <x v="1406"/>
    <n v="13217657.550000001"/>
    <x v="230"/>
    <x v="1"/>
    <s v="pagado"/>
    <s v="pagado"/>
    <s v="excluir"/>
    <s v="no semana"/>
    <x v="0"/>
  </r>
  <r>
    <n v="1200002000"/>
    <d v="2026-08-12T00:00:00"/>
    <n v="15651790"/>
    <s v="Cheque de terceros TUCUMAN"/>
    <x v="1407"/>
    <n v="15651790"/>
    <x v="230"/>
    <x v="1"/>
    <s v="pagado"/>
    <s v="pagado"/>
    <s v="excluir"/>
    <s v="no semana"/>
    <x v="0"/>
  </r>
  <r>
    <n v="1200002000"/>
    <d v="2026-08-12T00:00:00"/>
    <n v="27154458.43"/>
    <s v="Cheque de terceros TUCUMAN"/>
    <x v="1408"/>
    <n v="27154458.43"/>
    <x v="230"/>
    <x v="1"/>
    <s v="pagado"/>
    <s v="pagado"/>
    <s v="excluir"/>
    <s v="no semana"/>
    <x v="0"/>
  </r>
  <r>
    <n v="1200002000"/>
    <d v="2026-08-12T00:00:00"/>
    <n v="9061038.2300000004"/>
    <s v="Cheque de terceros TUCUMAN"/>
    <x v="1409"/>
    <n v="9061038.2300000004"/>
    <x v="230"/>
    <x v="1"/>
    <s v="pagado"/>
    <s v="pagado"/>
    <s v="excluir"/>
    <s v="no semana"/>
    <x v="0"/>
  </r>
  <r>
    <n v="1200002000"/>
    <d v="2026-08-12T00:00:00"/>
    <n v="29610909.670000002"/>
    <s v="Cheque de terceros TUCUMAN"/>
    <x v="1410"/>
    <n v="29610909.670000002"/>
    <x v="230"/>
    <x v="1"/>
    <s v="pagado"/>
    <s v="pagado"/>
    <s v="excluir"/>
    <s v="no semana"/>
    <x v="0"/>
  </r>
  <r>
    <n v="1200002000"/>
    <d v="2026-08-12T00:00:00"/>
    <n v="3504787.91"/>
    <s v="Cheque de terceros TUCUMAN"/>
    <x v="1411"/>
    <n v="3504787.91"/>
    <x v="230"/>
    <x v="1"/>
    <s v="pagado"/>
    <s v="pagado"/>
    <s v="excluir"/>
    <s v="no semana"/>
    <x v="0"/>
  </r>
  <r>
    <n v="1200002000"/>
    <d v="2026-08-12T00:00:00"/>
    <n v="17057543.399999999"/>
    <s v="Cheque de terceros TUCUMAN"/>
    <x v="1412"/>
    <n v="17057543.399999999"/>
    <x v="230"/>
    <x v="1"/>
    <s v="pagado"/>
    <s v="pagado"/>
    <s v="excluir"/>
    <s v="no semana"/>
    <x v="0"/>
  </r>
  <r>
    <n v="1200002001"/>
    <d v="2026-08-12T00:00:00"/>
    <n v="4380397.5199999996"/>
    <s v="Cheque de terceros TUCUMAN"/>
    <x v="1413"/>
    <n v="4380397.5199999996"/>
    <x v="230"/>
    <x v="1"/>
    <s v="pagado"/>
    <s v="pagado"/>
    <s v="excluir"/>
    <s v="no semana"/>
    <x v="0"/>
  </r>
  <r>
    <n v="1200002001"/>
    <d v="2026-08-12T00:00:00"/>
    <n v="28482262.600000001"/>
    <s v="Cheque de terceros TUCUMAN"/>
    <x v="1414"/>
    <n v="28482262.600000001"/>
    <x v="230"/>
    <x v="1"/>
    <s v="pagado"/>
    <s v="pagado"/>
    <s v="excluir"/>
    <s v="no semana"/>
    <x v="0"/>
  </r>
  <r>
    <n v="1200002001"/>
    <d v="2026-08-12T00:00:00"/>
    <n v="1522501.04"/>
    <s v="Cheque de terceros TUCUMAN"/>
    <x v="1415"/>
    <n v="1522501.04"/>
    <x v="230"/>
    <x v="1"/>
    <s v="pagado"/>
    <s v="pagado"/>
    <s v="excluir"/>
    <s v="no semana"/>
    <x v="0"/>
  </r>
  <r>
    <n v="1200002005"/>
    <d v="2026-08-19T00:00:00"/>
    <n v="4285746.5999999996"/>
    <s v="Cheque de terceros TUCUMAN"/>
    <x v="1416"/>
    <n v="4285746.5999999996"/>
    <x v="231"/>
    <x v="1"/>
    <s v="pagado"/>
    <s v="pagado"/>
    <s v="excluir"/>
    <s v="no semana"/>
    <x v="0"/>
  </r>
  <r>
    <n v="1200002005"/>
    <d v="2026-08-19T00:00:00"/>
    <n v="3639813.28"/>
    <s v="Cheque de terceros TUCUMAN"/>
    <x v="1417"/>
    <n v="3639813.28"/>
    <x v="231"/>
    <x v="1"/>
    <s v="pagado"/>
    <s v="pagado"/>
    <s v="excluir"/>
    <s v="no semana"/>
    <x v="0"/>
  </r>
  <r>
    <n v="1200002005"/>
    <d v="2026-08-19T00:00:00"/>
    <n v="13415875.960000001"/>
    <s v="Cheque de terceros TUCUMAN"/>
    <x v="1418"/>
    <n v="13415875.960000001"/>
    <x v="231"/>
    <x v="1"/>
    <s v="pagado"/>
    <s v="pagado"/>
    <s v="excluir"/>
    <s v="no semana"/>
    <x v="0"/>
  </r>
  <r>
    <n v="1200002005"/>
    <d v="2026-08-19T00:00:00"/>
    <n v="11901343.4"/>
    <s v="Cheque de terceros TUCUMAN"/>
    <x v="1419"/>
    <n v="11901343.4"/>
    <x v="231"/>
    <x v="1"/>
    <s v="pagado"/>
    <s v="pagado"/>
    <s v="excluir"/>
    <s v="no semana"/>
    <x v="0"/>
  </r>
  <r>
    <n v="1200002005"/>
    <d v="2026-08-19T00:00:00"/>
    <n v="21703321.93"/>
    <s v="Cheque de terceros TUCUMAN"/>
    <x v="1420"/>
    <n v="21703321.93"/>
    <x v="231"/>
    <x v="1"/>
    <s v="pagado"/>
    <s v="pagado"/>
    <s v="excluir"/>
    <s v="no semana"/>
    <x v="0"/>
  </r>
  <r>
    <n v="1200002005"/>
    <d v="2026-08-19T00:00:00"/>
    <n v="9122652.75"/>
    <s v="Cheque de terceros TUCUMAN"/>
    <x v="1421"/>
    <n v="9122652.75"/>
    <x v="231"/>
    <x v="1"/>
    <s v="pagado"/>
    <s v="pagado"/>
    <s v="excluir"/>
    <s v="no semana"/>
    <x v="0"/>
  </r>
  <r>
    <n v="1200002005"/>
    <d v="2026-08-19T00:00:00"/>
    <n v="6740095.9500000002"/>
    <s v="Cheque de terceros TUCUMAN"/>
    <x v="1422"/>
    <n v="6740095.9500000002"/>
    <x v="231"/>
    <x v="1"/>
    <s v="pagado"/>
    <s v="pagado"/>
    <s v="excluir"/>
    <s v="no semana"/>
    <x v="0"/>
  </r>
  <r>
    <n v="1200002005"/>
    <d v="2026-08-19T00:00:00"/>
    <n v="8269643.5499999998"/>
    <s v="Cheque de terceros TUCUMAN"/>
    <x v="1423"/>
    <n v="8269643.5499999998"/>
    <x v="231"/>
    <x v="1"/>
    <s v="pagado"/>
    <s v="pagado"/>
    <s v="excluir"/>
    <s v="no semana"/>
    <x v="0"/>
  </r>
  <r>
    <n v="1200002005"/>
    <d v="2026-08-19T00:00:00"/>
    <n v="8145986.96"/>
    <s v="Cheque de terceros TUCUMAN"/>
    <x v="1424"/>
    <n v="8145986.96"/>
    <x v="231"/>
    <x v="1"/>
    <s v="pagado"/>
    <s v="pagado"/>
    <s v="excluir"/>
    <s v="no semana"/>
    <x v="0"/>
  </r>
  <r>
    <n v="3000001131"/>
    <d v="2026-08-19T00:00:00"/>
    <n v="3901560.17"/>
    <s v=". TUCUMAN"/>
    <x v="1425"/>
    <n v="3901560.17"/>
    <x v="232"/>
    <x v="1"/>
    <s v="pagado"/>
    <s v="pagado"/>
    <s v="excluir"/>
    <s v="no semana"/>
    <x v="0"/>
  </r>
  <r>
    <n v="3000001132"/>
    <d v="2026-08-19T00:00:00"/>
    <n v="6614654.2300000004"/>
    <s v="Establecimiento Minero Sofia SElena 03"/>
    <x v="1426"/>
    <n v="6614654.2300000004"/>
    <x v="220"/>
    <x v="1"/>
    <s v="pagado"/>
    <s v="pagado"/>
    <s v="excluir"/>
    <s v="no semana"/>
    <x v="0"/>
  </r>
  <r>
    <n v="3000001133"/>
    <d v="2026-08-19T00:00:00"/>
    <n v="32516843.399999999"/>
    <s v="La Cosecha S.R.L. Las Parejas 12"/>
    <x v="1427"/>
    <n v="32516843.399999999"/>
    <x v="220"/>
    <x v="1"/>
    <s v="pagado"/>
    <s v="pagado"/>
    <s v="excluir"/>
    <s v="no semana"/>
    <x v="0"/>
  </r>
  <r>
    <n v="3000001134"/>
    <d v="2026-08-19T00:00:00"/>
    <n v="16771441.75"/>
    <s v="ROMAN BARCELO Y JORGE CARRERASLAS LAJITAS 09"/>
    <x v="1428"/>
    <n v="16771441.75"/>
    <x v="220"/>
    <x v="1"/>
    <s v="pagado"/>
    <s v="pagado"/>
    <s v="excluir"/>
    <s v="no semana"/>
    <x v="0"/>
  </r>
  <r>
    <n v="3000001135"/>
    <d v="2026-08-19T00:00:00"/>
    <n v="26695988"/>
    <s v="Medina Lauro Jose Las Cejas 14"/>
    <x v="1429"/>
    <n v="26695988"/>
    <x v="220"/>
    <x v="1"/>
    <s v="pagado"/>
    <s v="pagado"/>
    <s v="excluir"/>
    <s v="no semana"/>
    <x v="0"/>
  </r>
  <r>
    <n v="3000001136"/>
    <d v="2026-08-19T00:00:00"/>
    <n v="5355577.2699999996"/>
    <s v="GARCIA JORGE LUIS METAN 09"/>
    <x v="1430"/>
    <n v="5355577.2699999996"/>
    <x v="220"/>
    <x v="1"/>
    <s v="pagado"/>
    <s v="pagado"/>
    <s v="excluir"/>
    <s v="no semana"/>
    <x v="0"/>
  </r>
  <r>
    <n v="3000001137"/>
    <d v="2026-08-19T00:00:00"/>
    <n v="10153294.92"/>
    <s v="SERRANO GUERRERO GERARDO FRANCSAN MIGUEL DE TUCUMAN 14"/>
    <x v="1431"/>
    <n v="10153294.92"/>
    <x v="220"/>
    <x v="1"/>
    <s v="pagado"/>
    <s v="pagado"/>
    <s v="excluir"/>
    <s v="no semana"/>
    <x v="0"/>
  </r>
  <r>
    <n v="3000001138"/>
    <d v="2026-08-19T00:00:00"/>
    <n v="13320893.58"/>
    <s v="TRANSPORTE LUIS SANDOVAL S.A.SLOS VALLISTOS 14"/>
    <x v="1432"/>
    <n v="13320893.58"/>
    <x v="220"/>
    <x v="1"/>
    <s v="pagado"/>
    <s v="pagado"/>
    <s v="excluir"/>
    <s v="no semana"/>
    <x v="0"/>
  </r>
  <r>
    <n v="3000001139"/>
    <d v="2026-08-19T00:00:00"/>
    <n v="8475041.1199999992"/>
    <s v="BERNADAL SERGIO RODOLFO BANDA DEL RIO SALI- TUCUMAN 14"/>
    <x v="1433"/>
    <n v="8475041.1199999992"/>
    <x v="220"/>
    <x v="1"/>
    <s v="pagado"/>
    <s v="pagado"/>
    <s v="excluir"/>
    <s v="no semana"/>
    <x v="0"/>
  </r>
  <r>
    <n v="3000001140"/>
    <d v="2026-08-19T00:00:00"/>
    <n v="13387257.369999999"/>
    <s v="WILLIAMS LOGISTICA SA CIUDAD AUTONOMA BUENOS AIRES 00"/>
    <x v="1434"/>
    <n v="13387257.369999999"/>
    <x v="220"/>
    <x v="1"/>
    <s v="pagado"/>
    <s v="pagado"/>
    <s v="excluir"/>
    <s v="no semana"/>
    <x v="0"/>
  </r>
  <r>
    <n v="3000001141"/>
    <d v="2026-08-19T00:00:00"/>
    <n v="25651738.300000001"/>
    <s v="JAVIER EDUARDO PRADO FLORIDA 13"/>
    <x v="1435"/>
    <n v="25651738.300000001"/>
    <x v="220"/>
    <x v="1"/>
    <s v="pagado"/>
    <s v="pagado"/>
    <s v="excluir"/>
    <s v="no semana"/>
    <x v="0"/>
  </r>
  <r>
    <n v="3000001165"/>
    <d v="2026-08-24T00:00:00"/>
    <n v="39119079.82"/>
    <s v="MOYANO SERGIO ESTEBAN BANDA DEL RIO SALI 14"/>
    <x v="1436"/>
    <n v="39119079.82"/>
    <x v="220"/>
    <x v="1"/>
    <s v="pagado"/>
    <s v="pagado"/>
    <s v="excluir"/>
    <s v="no semana"/>
    <x v="0"/>
  </r>
  <r>
    <n v="3000001166"/>
    <d v="2026-08-24T00:00:00"/>
    <n v="5112382.3499999996"/>
    <s v="RODRIGUEZ NESTOR HORACIO YERBA BUENA 14"/>
    <x v="1437"/>
    <n v="5112382.3499999996"/>
    <x v="233"/>
    <x v="1"/>
    <s v="pagado"/>
    <s v="pagado"/>
    <s v="excluir"/>
    <s v="no semana"/>
    <x v="0"/>
  </r>
  <r>
    <n v="3000001167"/>
    <d v="2026-08-24T00:00:00"/>
    <n v="13745643.689999999"/>
    <s v="TRANSPORTE CLASON SRL ROSARIO 12"/>
    <x v="1438"/>
    <n v="13745643.689999999"/>
    <x v="233"/>
    <x v="1"/>
    <s v="pagado"/>
    <s v="pagado"/>
    <s v="excluir"/>
    <s v="no semana"/>
    <x v="0"/>
  </r>
  <r>
    <n v="3000001168"/>
    <d v="2026-08-24T00:00:00"/>
    <n v="23961670.82"/>
    <s v="TRANSPORTE BARBERAN HNOS SRL CHABAS 12"/>
    <x v="1439"/>
    <n v="23961670.82"/>
    <x v="233"/>
    <x v="1"/>
    <s v="pagado"/>
    <s v="pagado"/>
    <s v="excluir"/>
    <s v="no semana"/>
    <x v="0"/>
  </r>
  <r>
    <n v="3000001169"/>
    <d v="2026-08-24T00:00:00"/>
    <n v="16518800.85"/>
    <s v="GOMEZ JESSICA NOELIA LAS TALITAS 14"/>
    <x v="1440"/>
    <n v="16518800.85"/>
    <x v="233"/>
    <x v="1"/>
    <s v="pagado"/>
    <s v="pagado"/>
    <s v="excluir"/>
    <s v="no semana"/>
    <x v="0"/>
  </r>
  <r>
    <n v="3000001170"/>
    <d v="2026-08-24T00:00:00"/>
    <n v="7201730.7199999997"/>
    <s v="LOGISTICA DEL NORTE S.R.L. SAN MIGUEL DE TUCUMAN 14"/>
    <x v="1441"/>
    <n v="7201730.7199999997"/>
    <x v="233"/>
    <x v="1"/>
    <s v="pagado"/>
    <s v="pagado"/>
    <s v="excluir"/>
    <s v="no semana"/>
    <x v="0"/>
  </r>
  <r>
    <n v="3000001171"/>
    <d v="2026-08-24T00:00:00"/>
    <n v="15852618.869999999"/>
    <s v="TRANSPORTE Y LOG VIENTO NORTE LAS TALITAS 14"/>
    <x v="1442"/>
    <n v="15852618.869999999"/>
    <x v="233"/>
    <x v="1"/>
    <s v="pagado"/>
    <s v="pagado"/>
    <s v="excluir"/>
    <s v="no semana"/>
    <x v="0"/>
  </r>
  <r>
    <n v="3000001172"/>
    <d v="2026-08-24T00:00:00"/>
    <n v="21422548.719999999"/>
    <s v="BUENA RUTA SA YERBA BUENA 14"/>
    <x v="1443"/>
    <n v="21422548.719999999"/>
    <x v="233"/>
    <x v="1"/>
    <s v="pagado"/>
    <s v="pagado"/>
    <s v="excluir"/>
    <s v="no semana"/>
    <x v="0"/>
  </r>
  <r>
    <n v="3000001173"/>
    <d v="2026-08-24T00:00:00"/>
    <n v="19715626.260000002"/>
    <s v="TRANSPORTE RAUL S.R.L SAN MIGUEL DE TUCUMAN 14"/>
    <x v="1444"/>
    <n v="19715626.260000002"/>
    <x v="233"/>
    <x v="1"/>
    <s v="pagado"/>
    <s v="pagado"/>
    <s v="excluir"/>
    <s v="no semana"/>
    <x v="0"/>
  </r>
  <r>
    <n v="3000001174"/>
    <d v="2026-08-24T00:00:00"/>
    <n v="8602316.4399999995"/>
    <s v="MOYANO JULIO CESAR BANDA DEL RIO SALI 14"/>
    <x v="1445"/>
    <n v="8602316.4399999995"/>
    <x v="233"/>
    <x v="1"/>
    <s v="pagado"/>
    <s v="pagado"/>
    <s v="excluir"/>
    <s v="no semana"/>
    <x v="0"/>
  </r>
  <r>
    <n v="3000001175"/>
    <d v="2026-08-24T00:00:00"/>
    <n v="23213701.489999998"/>
    <s v="COMBUSTIBLES DEL NORTE S.A. LAS LAJITAS 09"/>
    <x v="1446"/>
    <n v="23213701.489999998"/>
    <x v="233"/>
    <x v="1"/>
    <s v="pagado"/>
    <s v="pagado"/>
    <s v="excluir"/>
    <s v="no semana"/>
    <x v="0"/>
  </r>
  <r>
    <n v="3000001176"/>
    <d v="2026-08-24T00:00:00"/>
    <n v="12117029.67"/>
    <s v="AGROQUIMICA ALBERDI S.R.L. CONCEPCION 14"/>
    <x v="1447"/>
    <n v="12117029.67"/>
    <x v="233"/>
    <x v="1"/>
    <s v="pagado"/>
    <s v="pagado"/>
    <s v="excluir"/>
    <s v="no semana"/>
    <x v="0"/>
  </r>
  <r>
    <n v="3000001177"/>
    <d v="2026-08-24T00:00:00"/>
    <n v="5434059.75"/>
    <s v="Pulverizaciones Tuninetti S.R.Las Rosas 01"/>
    <x v="1448"/>
    <n v="5434059.75"/>
    <x v="233"/>
    <x v="1"/>
    <s v="pagado"/>
    <s v="pagado"/>
    <s v="excluir"/>
    <s v="no semana"/>
    <x v="0"/>
  </r>
  <r>
    <n v="3000001178"/>
    <d v="2026-08-24T00:00:00"/>
    <n v="21597500"/>
    <s v="La Cosecha S.R.L. Las Parejas 12"/>
    <x v="1449"/>
    <n v="21597500"/>
    <x v="233"/>
    <x v="1"/>
    <s v="pagado"/>
    <s v="pagado"/>
    <s v="excluir"/>
    <s v="no semana"/>
    <x v="0"/>
  </r>
  <r>
    <n v="3000001179"/>
    <d v="2026-08-24T00:00:00"/>
    <n v="17915480"/>
    <s v="Pulmajo S.R.L. CONCEPCION 14"/>
    <x v="1450"/>
    <n v="17915480"/>
    <x v="233"/>
    <x v="1"/>
    <s v="pagado"/>
    <s v="pagado"/>
    <s v="excluir"/>
    <s v="no semana"/>
    <x v="0"/>
  </r>
  <r>
    <n v="3000001180"/>
    <d v="2026-08-24T00:00:00"/>
    <n v="15403763.08"/>
    <s v="AYALA HERNAN OSVALDO SAN MIGUEL DE TUCUMAN 14"/>
    <x v="1451"/>
    <n v="15403763.08"/>
    <x v="233"/>
    <x v="1"/>
    <s v="no pagado"/>
    <s v="en periodo de pago"/>
    <s v="a pagar"/>
    <s v="no semana"/>
    <x v="0"/>
  </r>
  <r>
    <n v="3000001181"/>
    <d v="2026-08-24T00:00:00"/>
    <n v="4239167.92"/>
    <s v="ARAGON CARLOS DANIEL LA BANDA 13"/>
    <x v="1452"/>
    <n v="4239167.92"/>
    <x v="233"/>
    <x v="1"/>
    <s v="pagado"/>
    <s v="pagado"/>
    <s v="excluir"/>
    <s v="no semana"/>
    <x v="0"/>
  </r>
  <r>
    <n v="3000001182"/>
    <d v="2026-08-24T00:00:00"/>
    <n v="1896020.5"/>
    <s v="EDUARDO SAN ROMAN TUCUMN 14"/>
    <x v="1453"/>
    <n v="1896020.5"/>
    <x v="233"/>
    <x v="1"/>
    <s v="pagado"/>
    <s v="pagado"/>
    <s v="excluir"/>
    <s v="no semana"/>
    <x v="0"/>
  </r>
  <r>
    <n v="3000001183"/>
    <d v="2026-08-24T00:00:00"/>
    <n v="5268011"/>
    <s v="DANIEL MARCELO GUERRERO ALDERETES 14"/>
    <x v="1454"/>
    <n v="5268011"/>
    <x v="233"/>
    <x v="1"/>
    <s v="pagado"/>
    <s v="pagado"/>
    <s v="excluir"/>
    <s v="no semana"/>
    <x v="0"/>
  </r>
  <r>
    <n v="3000001193"/>
    <d v="2026-08-25T00:00:00"/>
    <n v="9622132.0299999993"/>
    <s v="Agro Yutuyaco S.R.L. Laferrere 01"/>
    <x v="1455"/>
    <n v="9622132.0299999993"/>
    <x v="234"/>
    <x v="1"/>
    <s v="pagado"/>
    <s v="pagado"/>
    <s v="excluir"/>
    <s v="no semana"/>
    <x v="0"/>
  </r>
  <r>
    <n v="3000001194"/>
    <d v="2026-08-25T00:00:00"/>
    <n v="7168098.4500000002"/>
    <s v="JAVIER EDUARDO PRADO FLORIDA 13"/>
    <x v="1456"/>
    <n v="7168098.4500000002"/>
    <x v="234"/>
    <x v="1"/>
    <s v="pagado"/>
    <s v="pagado"/>
    <s v="excluir"/>
    <s v="no semana"/>
    <x v="0"/>
  </r>
  <r>
    <n v="3000001195"/>
    <d v="2026-08-25T00:00:00"/>
    <n v="12445216.41"/>
    <s v="ANTONACCI LUIS GABRIEL LA FLORIDA 14"/>
    <x v="1457"/>
    <n v="12445216.41"/>
    <x v="234"/>
    <x v="1"/>
    <s v="pagado"/>
    <s v="pagado"/>
    <s v="excluir"/>
    <s v="no semana"/>
    <x v="0"/>
  </r>
  <r>
    <n v="3000001212"/>
    <d v="2026-08-31T00:00:00"/>
    <n v="44935981.170000002"/>
    <s v="LOGISTICA CENTRO S.R.L CORONDA 12"/>
    <x v="1458"/>
    <n v="44935981.170000002"/>
    <x v="235"/>
    <x v="1"/>
    <s v="no pagado"/>
    <s v="en periodo de pago"/>
    <s v="a pagar"/>
    <s v="no semana"/>
    <x v="1"/>
  </r>
  <r>
    <n v="3000001213"/>
    <d v="2026-08-31T00:00:00"/>
    <n v="6617092.5"/>
    <s v="WILLIAMS LOGISTICA SA CIUDAD AUTONOMA BUENOS AIRES 00"/>
    <x v="1459"/>
    <n v="6617092.5"/>
    <x v="235"/>
    <x v="1"/>
    <s v="no pagado"/>
    <s v="en periodo de pago"/>
    <s v="a pagar"/>
    <s v="no semana"/>
    <x v="1"/>
  </r>
  <r>
    <n v="3000001214"/>
    <d v="2026-08-31T00:00:00"/>
    <n v="9242374.6300000008"/>
    <s v="DANIEL MARCELO GUERRERO ALDERETES 14"/>
    <x v="1460"/>
    <n v="9242374.6300000008"/>
    <x v="235"/>
    <x v="1"/>
    <s v="no pagado"/>
    <s v="en periodo de pago"/>
    <s v="a pagar"/>
    <s v="no semana"/>
    <x v="1"/>
  </r>
  <r>
    <n v="3000001215"/>
    <d v="2026-08-31T00:00:00"/>
    <n v="6838598.46"/>
    <s v="TRANSPORTE LUIS SANDOVAL S.A.SLOS VALLISTOS 14"/>
    <x v="1461"/>
    <n v="6838598.46"/>
    <x v="235"/>
    <x v="1"/>
    <s v="no pagado"/>
    <s v="en periodo de pago"/>
    <s v="a pagar"/>
    <s v="no semana"/>
    <x v="1"/>
  </r>
  <r>
    <n v="3000001216"/>
    <d v="2026-08-31T00:00:00"/>
    <n v="11569820.039999999"/>
    <s v="RAMIREZ CECILIA LORENA LAS LAJITAS 09"/>
    <x v="1462"/>
    <n v="11569820.039999999"/>
    <x v="235"/>
    <x v="1"/>
    <s v="no pagado"/>
    <s v="en periodo de pago"/>
    <s v="a pagar"/>
    <s v="no semana"/>
    <x v="1"/>
  </r>
  <r>
    <n v="3000001217"/>
    <d v="2026-08-31T00:00:00"/>
    <n v="12163459.77"/>
    <s v="GARCIA JORGE LUIS METAN 09"/>
    <x v="1463"/>
    <n v="12163459.77"/>
    <x v="235"/>
    <x v="1"/>
    <s v="no pagado"/>
    <s v="en periodo de pago"/>
    <s v="a pagar"/>
    <s v="no semana"/>
    <x v="1"/>
  </r>
  <r>
    <n v="3000001228"/>
    <d v="2026-09-02T00:00:00"/>
    <n v="6682500.8799999999"/>
    <s v=". TUCUMAN"/>
    <x v="1464"/>
    <n v="6682500.8799999999"/>
    <x v="235"/>
    <x v="1"/>
    <s v="pagado"/>
    <s v="pagado"/>
    <s v="excluir"/>
    <s v="no semana"/>
    <x v="0"/>
  </r>
  <r>
    <n v="3000001229"/>
    <d v="2026-09-02T00:00:00"/>
    <n v="14441329.720000001"/>
    <s v="TRANSPORTE Y LOG VIENTO NORTE LAS TALITAS 14"/>
    <x v="1465"/>
    <n v="14441329.720000001"/>
    <x v="236"/>
    <x v="1"/>
    <s v="no pagado"/>
    <s v="en periodo de pago"/>
    <s v="proximo a vencer"/>
    <s v="para la semana"/>
    <x v="0"/>
  </r>
  <r>
    <n v="3000001230"/>
    <d v="2026-09-02T00:00:00"/>
    <n v="9377491.0399999991"/>
    <s v="Paz Pablo Jose SAN MIGUEL DE TUCUMAN 14"/>
    <x v="1466"/>
    <n v="9377491.0399999991"/>
    <x v="236"/>
    <x v="1"/>
    <s v="no pagado"/>
    <s v="en periodo de pago"/>
    <s v="proximo a vencer"/>
    <s v="para la semana"/>
    <x v="0"/>
  </r>
  <r>
    <n v="3000001231"/>
    <d v="2026-09-02T00:00:00"/>
    <n v="8437567.5600000005"/>
    <s v="SAN LORENZO CEREALES S.R.L SAN LORENZO 12"/>
    <x v="1467"/>
    <n v="8437567.5600000005"/>
    <x v="236"/>
    <x v="1"/>
    <s v="no pagado"/>
    <s v="en periodo de pago"/>
    <s v="proximo a vencer"/>
    <s v="para la semana"/>
    <x v="0"/>
  </r>
  <r>
    <n v="3000001232"/>
    <d v="2026-09-02T00:00:00"/>
    <n v="22752607.420000002"/>
    <s v="TRANSPORTE BARBERAN HNOS SRL CHABAS 12"/>
    <x v="1468"/>
    <n v="22752607.420000002"/>
    <x v="236"/>
    <x v="1"/>
    <s v="no pagado"/>
    <s v="en periodo de pago"/>
    <s v="proximo a vencer"/>
    <s v="para la semana"/>
    <x v="0"/>
  </r>
  <r>
    <n v="3000001233"/>
    <d v="2026-09-02T00:00:00"/>
    <n v="8576316.9199999999"/>
    <s v="SERRANO GUERRERO GERARDO FRANCSAN MIGUEL DE TUCUMAN 14"/>
    <x v="1469"/>
    <n v="8576316.9199999999"/>
    <x v="236"/>
    <x v="1"/>
    <s v="no pagado"/>
    <s v="en periodo de pago"/>
    <s v="proximo a vencer"/>
    <s v="para la semana"/>
    <x v="0"/>
  </r>
  <r>
    <n v="3000001234"/>
    <d v="2026-09-02T00:00:00"/>
    <n v="9846655.1999999993"/>
    <s v="CASAS GERMAN DAVID YERBA BENA 14"/>
    <x v="1470"/>
    <n v="9846655.1999999993"/>
    <x v="236"/>
    <x v="1"/>
    <s v="no pagado"/>
    <s v="en periodo de pago"/>
    <s v="proximo a vencer"/>
    <s v="para la semana"/>
    <x v="0"/>
  </r>
  <r>
    <n v="3000001235"/>
    <d v="2026-09-02T00:00:00"/>
    <n v="5962450.4199999999"/>
    <s v="ALBORNOZ RODRIGO EZEQUIEL - PAMPA MAYO 14"/>
    <x v="1471"/>
    <n v="5962450.4199999999"/>
    <x v="236"/>
    <x v="1"/>
    <s v="no pagado"/>
    <s v="en periodo de pago"/>
    <s v="proximo a vencer"/>
    <s v="para la semana"/>
    <x v="0"/>
  </r>
  <r>
    <n v="3000001236"/>
    <d v="2026-09-02T00:00:00"/>
    <n v="7573756.0599999996"/>
    <s v="ANTONACCI LUIS GABRIEL LA FLORIDA 14"/>
    <x v="1472"/>
    <n v="7573756.0599999996"/>
    <x v="236"/>
    <x v="1"/>
    <s v="no pagado"/>
    <s v="en periodo de pago"/>
    <s v="proximo a vencer"/>
    <s v="para la semana"/>
    <x v="0"/>
  </r>
  <r>
    <n v="3000001237"/>
    <d v="2026-09-02T00:00:00"/>
    <n v="44769025.859999999"/>
    <s v="GOMEZ JESSICA NOELIA LAS TALITAS 14"/>
    <x v="1473"/>
    <n v="44769025.859999999"/>
    <x v="236"/>
    <x v="1"/>
    <s v="no pagado"/>
    <s v="en periodo de pago"/>
    <s v="proximo a vencer"/>
    <s v="para la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s v="no pagado"/>
    <s v="fuera de fecha"/>
    <s v="excluir"/>
    <s v="no semana"/>
    <x v="0"/>
  </r>
  <r>
    <m/>
    <m/>
    <m/>
    <m/>
    <x v="1474"/>
    <m/>
    <x v="237"/>
    <x v="2"/>
    <m/>
    <m/>
    <m/>
    <m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3">
  <r>
    <n v="3000000005"/>
    <d v="2025-01-03T00:00:00"/>
    <n v="1996725.84"/>
    <s v="ASOC.ARG.PROT.OBTENCIONES VEGECIUDAD AUTONOMA DE BUENOS AIRES 01"/>
    <x v="0"/>
    <n v="1996725.84"/>
    <x v="0"/>
    <x v="0"/>
    <s v="pagado"/>
    <s v="pagado"/>
    <x v="0"/>
  </r>
  <r>
    <n v="3000000006"/>
    <d v="2025-01-03T00:00:00"/>
    <n v="3586921.37"/>
    <s v="YUNGAS AGROINSUMOS S.A YERBA BUENA 14"/>
    <x v="1"/>
    <n v="3586921.37"/>
    <x v="0"/>
    <x v="0"/>
    <s v="pagado"/>
    <s v="pagado"/>
    <x v="0"/>
  </r>
  <r>
    <n v="3000000034"/>
    <d v="2025-01-08T00:00:00"/>
    <n v="2000000"/>
    <s v="Pulmajo S.R.L. CONCEPCION 14"/>
    <x v="2"/>
    <n v="2000000"/>
    <x v="1"/>
    <x v="0"/>
    <s v="pagado"/>
    <s v="pagado"/>
    <x v="0"/>
  </r>
  <r>
    <n v="3000000034"/>
    <d v="2025-01-08T00:00:00"/>
    <n v="2000000"/>
    <s v="Pulmajo S.R.L. CONCEPCION 14"/>
    <x v="3"/>
    <n v="2000000"/>
    <x v="1"/>
    <x v="0"/>
    <s v="pagado"/>
    <s v="pagado"/>
    <x v="0"/>
  </r>
  <r>
    <n v="3000000034"/>
    <d v="2025-01-08T00:00:00"/>
    <n v="2000000"/>
    <s v="Pulmajo S.R.L. CONCEPCION 14"/>
    <x v="4"/>
    <n v="2000000"/>
    <x v="1"/>
    <x v="0"/>
    <s v="pagado"/>
    <s v="pagado"/>
    <x v="0"/>
  </r>
  <r>
    <n v="3000000034"/>
    <d v="2025-01-08T00:00:00"/>
    <n v="3000000"/>
    <s v="Pulmajo S.R.L. CONCEPCION 14"/>
    <x v="5"/>
    <n v="3000000"/>
    <x v="1"/>
    <x v="0"/>
    <s v="pagado"/>
    <s v="pagado"/>
    <x v="0"/>
  </r>
  <r>
    <n v="3000000034"/>
    <d v="2025-01-08T00:00:00"/>
    <n v="3000000"/>
    <s v="Pulmajo S.R.L. CONCEPCION 14"/>
    <x v="6"/>
    <n v="3000000"/>
    <x v="1"/>
    <x v="0"/>
    <s v="pagado"/>
    <s v="pagado"/>
    <x v="0"/>
  </r>
  <r>
    <n v="3000000034"/>
    <d v="2025-01-08T00:00:00"/>
    <n v="3000000"/>
    <s v="Pulmajo S.R.L. CONCEPCION 14"/>
    <x v="7"/>
    <n v="3000000"/>
    <x v="1"/>
    <x v="0"/>
    <s v="pagado"/>
    <s v="pagado"/>
    <x v="0"/>
  </r>
  <r>
    <n v="3000000034"/>
    <d v="2025-01-08T00:00:00"/>
    <n v="3846551.55"/>
    <s v="Pulmajo S.R.L. CONCEPCION 14"/>
    <x v="8"/>
    <n v="3846551.55"/>
    <x v="2"/>
    <x v="0"/>
    <s v="pagado"/>
    <s v="pagado"/>
    <x v="0"/>
  </r>
  <r>
    <n v="3000000034"/>
    <d v="2025-01-08T00:00:00"/>
    <n v="5000000"/>
    <s v="Pulmajo S.R.L. CONCEPCION 14"/>
    <x v="9"/>
    <n v="5000000"/>
    <x v="2"/>
    <x v="0"/>
    <s v="pagado"/>
    <s v="pagado"/>
    <x v="0"/>
  </r>
  <r>
    <n v="3000000034"/>
    <d v="2025-01-08T00:00:00"/>
    <n v="5000000"/>
    <s v="Pulmajo S.R.L. CONCEPCION 14"/>
    <x v="10"/>
    <n v="5000000"/>
    <x v="2"/>
    <x v="0"/>
    <s v="pagado"/>
    <s v="pagado"/>
    <x v="0"/>
  </r>
  <r>
    <n v="3000000030"/>
    <d v="2025-01-08T00:00:00"/>
    <n v="5005406.93"/>
    <s v="MOYANO JULIO CESAR BANDA DEL RIO SALI 14"/>
    <x v="11"/>
    <n v="5005406.93"/>
    <x v="1"/>
    <x v="1"/>
    <s v="pagado"/>
    <s v="pagado"/>
    <x v="0"/>
  </r>
  <r>
    <n v="3000000031"/>
    <d v="2025-01-08T00:00:00"/>
    <n v="2452021.27"/>
    <s v="LANGELLA JUAN RODOLFO ALDERETES 14"/>
    <x v="12"/>
    <n v="2452021.27"/>
    <x v="1"/>
    <x v="1"/>
    <s v="pagado"/>
    <s v="pagado"/>
    <x v="0"/>
  </r>
  <r>
    <n v="3000000032"/>
    <d v="2025-01-08T00:00:00"/>
    <n v="5036570.32"/>
    <s v="CAMPOSTRINI S R L VILLAGUAY 05"/>
    <x v="13"/>
    <n v="5036570.32"/>
    <x v="1"/>
    <x v="1"/>
    <s v="pagado"/>
    <s v="pagado"/>
    <x v="0"/>
  </r>
  <r>
    <n v="3000000033"/>
    <d v="2025-01-08T00:00:00"/>
    <n v="3151742.92"/>
    <s v="TRANSPORTE BARBERAN HNOS SRL CHABAS 12"/>
    <x v="14"/>
    <n v="3151742.92"/>
    <x v="1"/>
    <x v="1"/>
    <s v="pagado"/>
    <s v="pagado"/>
    <x v="0"/>
  </r>
  <r>
    <n v="3000000037"/>
    <d v="2025-01-09T00:00:00"/>
    <n v="13000000"/>
    <s v="TRANSPORTE Y LOGISTICA DEL ESTLAS CEJAS 14"/>
    <x v="15"/>
    <n v="13000000"/>
    <x v="3"/>
    <x v="1"/>
    <s v="pagado"/>
    <s v="pagado"/>
    <x v="0"/>
  </r>
  <r>
    <n v="3000000037"/>
    <d v="2025-01-09T00:00:00"/>
    <n v="10991765.83"/>
    <s v="TRANSPORTE Y LOGISTICA DEL ESTLAS CEJAS 14"/>
    <x v="16"/>
    <n v="10991765.83"/>
    <x v="4"/>
    <x v="1"/>
    <s v="pagado"/>
    <s v="pagado"/>
    <x v="0"/>
  </r>
  <r>
    <n v="3000000038"/>
    <d v="2025-01-09T00:00:00"/>
    <n v="11000000"/>
    <s v="LOGISTICA CENTRO S.R.L CORONDA 12"/>
    <x v="17"/>
    <n v="11000000"/>
    <x v="3"/>
    <x v="1"/>
    <s v="pagado"/>
    <s v="pagado"/>
    <x v="0"/>
  </r>
  <r>
    <n v="3000000038"/>
    <d v="2025-01-09T00:00:00"/>
    <n v="10929172.970000001"/>
    <s v="LOGISTICA CENTRO S.R.L CORONDA 12"/>
    <x v="18"/>
    <n v="10929172.970000001"/>
    <x v="4"/>
    <x v="1"/>
    <s v="pagado"/>
    <s v="pagado"/>
    <x v="0"/>
  </r>
  <r>
    <n v="3000000042"/>
    <d v="2025-01-09T00:00:00"/>
    <n v="10000000"/>
    <s v="PRADO JAVIER EDUARDO - FLORIDA 13"/>
    <x v="19"/>
    <n v="10000000"/>
    <x v="3"/>
    <x v="1"/>
    <s v="pagado"/>
    <s v="pagado"/>
    <x v="0"/>
  </r>
  <r>
    <n v="3000000042"/>
    <d v="2025-01-09T00:00:00"/>
    <n v="10139779.18"/>
    <s v="PRADO JAVIER EDUARDO - FLORIDA 13"/>
    <x v="20"/>
    <n v="10139779.18"/>
    <x v="4"/>
    <x v="1"/>
    <s v="pagado"/>
    <s v="pagado"/>
    <x v="0"/>
  </r>
  <r>
    <n v="3000000036"/>
    <d v="2025-01-09T00:00:00"/>
    <n v="7098663.9100000001"/>
    <s v="PAIS WALTER LUIS SAN MIGUEL DE TUCUMAN 14"/>
    <x v="21"/>
    <n v="7098663.9100000001"/>
    <x v="3"/>
    <x v="1"/>
    <s v="pagado"/>
    <s v="pagado"/>
    <x v="0"/>
  </r>
  <r>
    <n v="3000000039"/>
    <d v="2025-01-09T00:00:00"/>
    <n v="4483078.24"/>
    <s v="TRANSPORTE PRINCE SRL ROSARIO NORTE 12"/>
    <x v="22"/>
    <n v="4483078.24"/>
    <x v="3"/>
    <x v="1"/>
    <s v="pagado"/>
    <s v="pagado"/>
    <x v="0"/>
  </r>
  <r>
    <n v="3000000040"/>
    <d v="2025-01-09T00:00:00"/>
    <n v="4488596.37"/>
    <s v="TRANSPORTE QUERANDIES SRL SANTA FE 12"/>
    <x v="23"/>
    <n v="4488596.37"/>
    <x v="3"/>
    <x v="1"/>
    <s v="pagado"/>
    <s v="pagado"/>
    <x v="0"/>
  </r>
  <r>
    <n v="3000000041"/>
    <d v="2025-01-09T00:00:00"/>
    <n v="7956945.7800000003"/>
    <s v="TRANS TRUCKS SRL SOLDINI 12"/>
    <x v="24"/>
    <n v="7956945.7800000003"/>
    <x v="3"/>
    <x v="1"/>
    <s v="pagado"/>
    <s v="pagado"/>
    <x v="0"/>
  </r>
  <r>
    <n v="3000000044"/>
    <d v="2025-01-10T00:00:00"/>
    <n v="34636482.159999996"/>
    <s v="Monsanto Argentina SRL CAPITAL FEDERAL 00"/>
    <x v="25"/>
    <n v="34636482.159999996"/>
    <x v="1"/>
    <x v="0"/>
    <s v="pagado"/>
    <s v="pagado"/>
    <x v="0"/>
  </r>
  <r>
    <n v="3000000063"/>
    <d v="2025-01-15T00:00:00"/>
    <n v="6992278.7800000003"/>
    <s v="MOLINA JUAN F. Y MOLINA ROQUE Lastenia 14"/>
    <x v="26"/>
    <n v="6992278.7800000003"/>
    <x v="5"/>
    <x v="0"/>
    <s v="pagado"/>
    <s v="pagado"/>
    <x v="0"/>
  </r>
  <r>
    <n v="3000000064"/>
    <d v="2025-01-15T00:00:00"/>
    <n v="5084776.4000000004"/>
    <s v="MARTO ALBERTO ANTONIO LA RAMADA DE ABAJO 14"/>
    <x v="27"/>
    <n v="5084776.4000000004"/>
    <x v="5"/>
    <x v="0"/>
    <s v="pagado"/>
    <s v="pagado"/>
    <x v="0"/>
  </r>
  <r>
    <n v="3000001431"/>
    <d v="2025-01-15T00:00:00"/>
    <n v="12595484.16"/>
    <s v="AYALA HERNAN OSVALDO SAN MIGUEL DE TUCUMAN 14"/>
    <x v="28"/>
    <n v="12595484.16"/>
    <x v="5"/>
    <x v="0"/>
    <s v="pagado"/>
    <s v="pagado"/>
    <x v="0"/>
  </r>
  <r>
    <n v="3000000059"/>
    <d v="2025-01-15T00:00:00"/>
    <n v="12000000"/>
    <s v="AYALA WALTER DANIEL ALDERETES 14"/>
    <x v="29"/>
    <n v="12000000"/>
    <x v="5"/>
    <x v="0"/>
    <s v="pagado"/>
    <s v="pagado"/>
    <x v="0"/>
  </r>
  <r>
    <n v="3000000059"/>
    <d v="2025-01-15T00:00:00"/>
    <n v="11246166.65"/>
    <s v="AYALA WALTER DANIEL ALDERETES 14"/>
    <x v="30"/>
    <n v="11246166.65"/>
    <x v="6"/>
    <x v="0"/>
    <s v="pagado"/>
    <s v="pagado"/>
    <x v="0"/>
  </r>
  <r>
    <n v="3000000061"/>
    <d v="2025-01-15T00:00:00"/>
    <n v="10000000"/>
    <s v="Pulverizaciones Tuninetti S.R.Las Rosas 01"/>
    <x v="31"/>
    <n v="10000000"/>
    <x v="5"/>
    <x v="0"/>
    <s v="pagado"/>
    <s v="pagado"/>
    <x v="0"/>
  </r>
  <r>
    <n v="3000000061"/>
    <d v="2025-01-15T00:00:00"/>
    <n v="9009501.8000000007"/>
    <s v="Pulverizaciones Tuninetti S.R.Las Rosas 01"/>
    <x v="32"/>
    <n v="9009501.8000000007"/>
    <x v="6"/>
    <x v="0"/>
    <s v="pagado"/>
    <s v="pagado"/>
    <x v="0"/>
  </r>
  <r>
    <n v="3000000062"/>
    <d v="2025-01-15T00:00:00"/>
    <n v="7000000"/>
    <s v="LIZONDO OSCAR FABIAN METAN 09"/>
    <x v="33"/>
    <n v="7000000"/>
    <x v="5"/>
    <x v="0"/>
    <s v="pagado"/>
    <s v="pagado"/>
    <x v="0"/>
  </r>
  <r>
    <n v="3000000062"/>
    <d v="2025-01-15T00:00:00"/>
    <n v="7648843.4000000004"/>
    <s v="LIZONDO OSCAR FABIAN METAN 09"/>
    <x v="34"/>
    <n v="7648843.4000000004"/>
    <x v="6"/>
    <x v="0"/>
    <s v="pagado"/>
    <s v="pagado"/>
    <x v="0"/>
  </r>
  <r>
    <n v="3000000052"/>
    <d v="2025-01-15T00:00:00"/>
    <n v="192107.1"/>
    <s v="VERON,MARIANA BEATRIZ NUEVA ESPERANZA 13"/>
    <x v="35"/>
    <n v="192107.1"/>
    <x v="3"/>
    <x v="0"/>
    <s v="pagado"/>
    <s v="pagado"/>
    <x v="0"/>
  </r>
  <r>
    <n v="3000000053"/>
    <d v="2025-01-15T00:00:00"/>
    <n v="458773.42"/>
    <s v="Medina Lauro Jose Las Cejas 14"/>
    <x v="36"/>
    <n v="458773.42"/>
    <x v="3"/>
    <x v="0"/>
    <s v="pagado"/>
    <s v="pagado"/>
    <x v="0"/>
  </r>
  <r>
    <n v="3000000060"/>
    <d v="2025-01-15T00:00:00"/>
    <n v="12799179.15"/>
    <s v="SUAREZ GABRIEL SEBASTIAN SANTIAGO DEL ESTERO 13"/>
    <x v="37"/>
    <n v="12799179.15"/>
    <x v="5"/>
    <x v="0"/>
    <s v="pagado"/>
    <s v="pagado"/>
    <x v="0"/>
  </r>
  <r>
    <n v="1200000001"/>
    <d v="2025-01-17T00:00:00"/>
    <n v="13410435.199999999"/>
    <s v="Cheque de terceros tucumán"/>
    <x v="38"/>
    <n v="13410435.199999999"/>
    <x v="7"/>
    <x v="0"/>
    <s v="pagado"/>
    <s v="pagado"/>
    <x v="0"/>
  </r>
  <r>
    <n v="3000000086"/>
    <d v="2025-01-17T00:00:00"/>
    <n v="11200155.33"/>
    <s v="MALATINI SRL GRAL DEHEZA 03"/>
    <x v="39"/>
    <n v="11200155.33"/>
    <x v="5"/>
    <x v="0"/>
    <s v="pagado"/>
    <s v="pagado"/>
    <x v="0"/>
  </r>
  <r>
    <n v="3000000093"/>
    <d v="2025-01-21T00:00:00"/>
    <n v="3366630.7"/>
    <s v="RODRIGUEZ NESTOR HORACIO YERBA BUENA 14"/>
    <x v="40"/>
    <n v="3366630.7"/>
    <x v="8"/>
    <x v="0"/>
    <s v="pagado"/>
    <s v="pagado"/>
    <x v="0"/>
  </r>
  <r>
    <n v="3000000094"/>
    <d v="2025-01-21T00:00:00"/>
    <n v="4709104.5"/>
    <s v="GRUPO MARGEN DEL NOA SA YERBA BUENA 14"/>
    <x v="41"/>
    <n v="4709104.5"/>
    <x v="8"/>
    <x v="0"/>
    <s v="pagado"/>
    <s v="pagado"/>
    <x v="0"/>
  </r>
  <r>
    <n v="3000000095"/>
    <d v="2025-01-22T00:00:00"/>
    <n v="28667147.739999998"/>
    <s v="ESTANCIA EL AZUL S.A SAN MIGUEL DE TUCUMAN 14"/>
    <x v="42"/>
    <n v="28667147.739999998"/>
    <x v="9"/>
    <x v="0"/>
    <s v="pagado"/>
    <s v="pagado"/>
    <x v="0"/>
  </r>
  <r>
    <n v="3000000099"/>
    <d v="2025-01-22T00:00:00"/>
    <n v="8807343.4000000004"/>
    <s v="GOMEZ MANUEL ARCENIO METAN 09"/>
    <x v="43"/>
    <n v="8807343.4000000004"/>
    <x v="10"/>
    <x v="0"/>
    <s v="pagado"/>
    <s v="pagado"/>
    <x v="0"/>
  </r>
  <r>
    <n v="3000000100"/>
    <d v="2025-01-22T00:00:00"/>
    <n v="11658151.119999999"/>
    <s v="AYALA HERNAN OSVALDO SAN MIGUEL DE TUCUMAN 14"/>
    <x v="44"/>
    <n v="11658151.119999999"/>
    <x v="10"/>
    <x v="0"/>
    <s v="pagado"/>
    <s v="pagado"/>
    <x v="0"/>
  </r>
  <r>
    <n v="3000000100"/>
    <d v="2025-01-22T00:00:00"/>
    <n v="4000060.08"/>
    <s v="AYALA HERNAN OSVALDO SAN MIGUEL DE TUCUMAN 14"/>
    <x v="45"/>
    <n v="4000060.08"/>
    <x v="10"/>
    <x v="0"/>
    <s v="pagado"/>
    <s v="pagado"/>
    <x v="0"/>
  </r>
  <r>
    <n v="3000000101"/>
    <d v="2025-01-22T00:00:00"/>
    <n v="16000000"/>
    <s v="Medina Lauro Jose Las Cejas 14"/>
    <x v="46"/>
    <n v="16000000"/>
    <x v="10"/>
    <x v="0"/>
    <s v="pagado"/>
    <s v="pagado"/>
    <x v="0"/>
  </r>
  <r>
    <n v="3000000101"/>
    <d v="2025-01-22T00:00:00"/>
    <n v="15648232.550000001"/>
    <s v="Medina Lauro Jose Las Cejas 14"/>
    <x v="47"/>
    <n v="15648232.550000001"/>
    <x v="9"/>
    <x v="0"/>
    <s v="pagado"/>
    <s v="pagado"/>
    <x v="0"/>
  </r>
  <r>
    <n v="3000000102"/>
    <d v="2025-01-22T00:00:00"/>
    <n v="4066706"/>
    <s v="SAN LORENZO CEREALES S.R.L SAN LORENZO 12"/>
    <x v="48"/>
    <n v="4066706"/>
    <x v="10"/>
    <x v="0"/>
    <s v="pagado"/>
    <s v="pagado"/>
    <x v="0"/>
  </r>
  <r>
    <n v="3000000103"/>
    <d v="2025-01-22T00:00:00"/>
    <n v="2906983.8"/>
    <s v="TRANS TRUCKS SRL SOLDINI 12"/>
    <x v="49"/>
    <n v="2906983.8"/>
    <x v="10"/>
    <x v="0"/>
    <s v="pagado"/>
    <s v="pagado"/>
    <x v="0"/>
  </r>
  <r>
    <n v="3000000104"/>
    <d v="2025-01-22T00:00:00"/>
    <n v="6137336.0999999996"/>
    <s v="LOGISTICA CENTRO S.R.L CORONDA 12"/>
    <x v="50"/>
    <n v="6137336.0999999996"/>
    <x v="10"/>
    <x v="0"/>
    <s v="pagado"/>
    <s v="pagado"/>
    <x v="0"/>
  </r>
  <r>
    <n v="3000000105"/>
    <d v="2025-01-22T00:00:00"/>
    <n v="100000"/>
    <s v="Laborda Carlos SAN MIGUEL DE TUCUMAN 14"/>
    <x v="51"/>
    <n v="100000"/>
    <x v="8"/>
    <x v="0"/>
    <s v="pagado"/>
    <s v="pagado"/>
    <x v="0"/>
  </r>
  <r>
    <n v="3000000105"/>
    <d v="2025-01-22T00:00:00"/>
    <n v="100000"/>
    <s v="Laborda Carlos SAN MIGUEL DE TUCUMAN 14"/>
    <x v="52"/>
    <n v="100000"/>
    <x v="8"/>
    <x v="0"/>
    <s v="pagado"/>
    <s v="pagado"/>
    <x v="0"/>
  </r>
  <r>
    <n v="3000000105"/>
    <d v="2025-01-22T00:00:00"/>
    <n v="100000"/>
    <s v="Laborda Carlos SAN MIGUEL DE TUCUMAN 14"/>
    <x v="53"/>
    <n v="100000"/>
    <x v="8"/>
    <x v="0"/>
    <s v="pagado"/>
    <s v="pagado"/>
    <x v="0"/>
  </r>
  <r>
    <n v="3000000105"/>
    <d v="2025-01-22T00:00:00"/>
    <n v="100000"/>
    <s v="Laborda Carlos SAN MIGUEL DE TUCUMAN 14"/>
    <x v="54"/>
    <n v="100000"/>
    <x v="8"/>
    <x v="0"/>
    <s v="pagado"/>
    <s v="pagado"/>
    <x v="0"/>
  </r>
  <r>
    <n v="3000000105"/>
    <d v="2025-01-22T00:00:00"/>
    <n v="300000"/>
    <s v="Laborda Carlos SAN MIGUEL DE TUCUMAN 14"/>
    <x v="55"/>
    <n v="300000"/>
    <x v="8"/>
    <x v="0"/>
    <s v="pagado"/>
    <s v="pagado"/>
    <x v="0"/>
  </r>
  <r>
    <n v="3000000105"/>
    <d v="2025-01-22T00:00:00"/>
    <n v="300000"/>
    <s v="Laborda Carlos SAN MIGUEL DE TUCUMAN 14"/>
    <x v="56"/>
    <n v="300000"/>
    <x v="8"/>
    <x v="0"/>
    <s v="pagado"/>
    <s v="pagado"/>
    <x v="0"/>
  </r>
  <r>
    <n v="3000000105"/>
    <d v="2025-01-22T00:00:00"/>
    <n v="300000"/>
    <s v="Laborda Carlos SAN MIGUEL DE TUCUMAN 14"/>
    <x v="57"/>
    <n v="300000"/>
    <x v="8"/>
    <x v="0"/>
    <s v="pagado"/>
    <s v="pagado"/>
    <x v="0"/>
  </r>
  <r>
    <n v="3000000105"/>
    <d v="2025-01-22T00:00:00"/>
    <n v="300000"/>
    <s v="Laborda Carlos SAN MIGUEL DE TUCUMAN 14"/>
    <x v="58"/>
    <n v="300000"/>
    <x v="8"/>
    <x v="0"/>
    <s v="pagado"/>
    <s v="pagado"/>
    <x v="0"/>
  </r>
  <r>
    <n v="3000000105"/>
    <d v="2025-01-22T00:00:00"/>
    <n v="500000"/>
    <s v="Laborda Carlos SAN MIGUEL DE TUCUMAN 14"/>
    <x v="59"/>
    <n v="500000"/>
    <x v="10"/>
    <x v="0"/>
    <s v="pagado"/>
    <s v="pagado"/>
    <x v="0"/>
  </r>
  <r>
    <n v="3000000105"/>
    <d v="2025-01-22T00:00:00"/>
    <n v="500000"/>
    <s v="Laborda Carlos SAN MIGUEL DE TUCUMAN 14"/>
    <x v="60"/>
    <n v="500000"/>
    <x v="10"/>
    <x v="0"/>
    <s v="pagado"/>
    <s v="pagado"/>
    <x v="0"/>
  </r>
  <r>
    <n v="3000000105"/>
    <d v="2025-01-22T00:00:00"/>
    <n v="500000"/>
    <s v="Laborda Carlos SAN MIGUEL DE TUCUMAN 14"/>
    <x v="61"/>
    <n v="500000"/>
    <x v="10"/>
    <x v="0"/>
    <s v="pagado"/>
    <s v="pagado"/>
    <x v="0"/>
  </r>
  <r>
    <n v="3000000105"/>
    <d v="2025-01-22T00:00:00"/>
    <n v="500000"/>
    <s v="Laborda Carlos SAN MIGUEL DE TUCUMAN 14"/>
    <x v="62"/>
    <n v="500000"/>
    <x v="10"/>
    <x v="0"/>
    <s v="pagado"/>
    <s v="pagado"/>
    <x v="0"/>
  </r>
  <r>
    <n v="3000000105"/>
    <d v="2025-01-22T00:00:00"/>
    <n v="500000"/>
    <s v="Laborda Carlos SAN MIGUEL DE TUCUMAN 14"/>
    <x v="63"/>
    <n v="500000"/>
    <x v="10"/>
    <x v="0"/>
    <s v="pagado"/>
    <s v="pagado"/>
    <x v="0"/>
  </r>
  <r>
    <n v="3000000105"/>
    <d v="2025-01-22T00:00:00"/>
    <n v="500000"/>
    <s v="Laborda Carlos SAN MIGUEL DE TUCUMAN 14"/>
    <x v="64"/>
    <n v="500000"/>
    <x v="10"/>
    <x v="0"/>
    <s v="pagado"/>
    <s v="pagado"/>
    <x v="0"/>
  </r>
  <r>
    <n v="3000000105"/>
    <d v="2025-01-22T00:00:00"/>
    <n v="500000"/>
    <s v="Laborda Carlos SAN MIGUEL DE TUCUMAN 14"/>
    <x v="65"/>
    <n v="500000"/>
    <x v="10"/>
    <x v="0"/>
    <s v="pagado"/>
    <s v="pagado"/>
    <x v="0"/>
  </r>
  <r>
    <n v="3000000105"/>
    <d v="2025-01-22T00:00:00"/>
    <n v="1200000"/>
    <s v="Laborda Carlos SAN MIGUEL DE TUCUMAN 14"/>
    <x v="66"/>
    <n v="1200000"/>
    <x v="9"/>
    <x v="0"/>
    <s v="pagado"/>
    <s v="pagado"/>
    <x v="0"/>
  </r>
  <r>
    <n v="3000000105"/>
    <d v="2025-01-22T00:00:00"/>
    <n v="30000000"/>
    <s v="Laborda Carlos SAN MIGUEL DE TUCUMAN 14"/>
    <x v="67"/>
    <n v="30000000"/>
    <x v="9"/>
    <x v="0"/>
    <s v="pagado"/>
    <s v="pagado"/>
    <x v="0"/>
  </r>
  <r>
    <n v="3000000105"/>
    <d v="2025-01-22T00:00:00"/>
    <n v="3000000"/>
    <s v="Laborda Carlos SAN MIGUEL DE TUCUMAN 14"/>
    <x v="68"/>
    <n v="3000000"/>
    <x v="9"/>
    <x v="0"/>
    <s v="pagado"/>
    <s v="pagado"/>
    <x v="0"/>
  </r>
  <r>
    <n v="3000000105"/>
    <d v="2025-01-22T00:00:00"/>
    <n v="3169268.9"/>
    <s v="Laborda Carlos SAN MIGUEL DE TUCUMAN 14"/>
    <x v="69"/>
    <n v="3169268.9"/>
    <x v="9"/>
    <x v="0"/>
    <s v="pagado"/>
    <s v="pagado"/>
    <x v="0"/>
  </r>
  <r>
    <n v="3000000121"/>
    <d v="2025-01-23T00:00:00"/>
    <n v="1000000"/>
    <s v="Pulmajo S.R.L. CONCEPCION 14"/>
    <x v="70"/>
    <n v="1000000"/>
    <x v="8"/>
    <x v="0"/>
    <s v="pagado"/>
    <s v="pagado"/>
    <x v="0"/>
  </r>
  <r>
    <n v="3000000121"/>
    <d v="2025-01-23T00:00:00"/>
    <n v="1000000"/>
    <s v="Pulmajo S.R.L. CONCEPCION 14"/>
    <x v="71"/>
    <n v="1000000"/>
    <x v="8"/>
    <x v="0"/>
    <s v="pagado"/>
    <s v="pagado"/>
    <x v="0"/>
  </r>
  <r>
    <n v="3000000121"/>
    <d v="2025-01-23T00:00:00"/>
    <n v="2000000"/>
    <s v="Pulmajo S.R.L. CONCEPCION 14"/>
    <x v="72"/>
    <n v="2000000"/>
    <x v="8"/>
    <x v="0"/>
    <s v="pagado"/>
    <s v="pagado"/>
    <x v="0"/>
  </r>
  <r>
    <n v="3000000121"/>
    <d v="2025-01-23T00:00:00"/>
    <n v="2000000"/>
    <s v="Pulmajo S.R.L. CONCEPCION 14"/>
    <x v="73"/>
    <n v="2000000"/>
    <x v="8"/>
    <x v="0"/>
    <s v="pagado"/>
    <s v="pagado"/>
    <x v="0"/>
  </r>
  <r>
    <n v="3000000121"/>
    <d v="2025-01-23T00:00:00"/>
    <n v="3000000"/>
    <s v="Pulmajo S.R.L. CONCEPCION 14"/>
    <x v="74"/>
    <n v="3000000"/>
    <x v="8"/>
    <x v="0"/>
    <s v="pagado"/>
    <s v="pagado"/>
    <x v="0"/>
  </r>
  <r>
    <n v="3000000121"/>
    <d v="2025-01-23T00:00:00"/>
    <n v="3000000"/>
    <s v="Pulmajo S.R.L. CONCEPCION 14"/>
    <x v="75"/>
    <n v="3000000"/>
    <x v="8"/>
    <x v="0"/>
    <s v="pagado"/>
    <s v="pagado"/>
    <x v="0"/>
  </r>
  <r>
    <n v="3000000121"/>
    <d v="2025-01-23T00:00:00"/>
    <n v="5000000"/>
    <s v="Pulmajo S.R.L. CONCEPCION 14"/>
    <x v="76"/>
    <n v="5000000"/>
    <x v="10"/>
    <x v="0"/>
    <s v="pagado"/>
    <s v="pagado"/>
    <x v="0"/>
  </r>
  <r>
    <n v="3000000121"/>
    <d v="2025-01-23T00:00:00"/>
    <n v="5000000"/>
    <s v="Pulmajo S.R.L. CONCEPCION 14"/>
    <x v="77"/>
    <n v="5000000"/>
    <x v="10"/>
    <x v="0"/>
    <s v="pagado"/>
    <s v="pagado"/>
    <x v="0"/>
  </r>
  <r>
    <n v="3000000121"/>
    <d v="2025-01-23T00:00:00"/>
    <n v="5000000"/>
    <s v="Pulmajo S.R.L. CONCEPCION 14"/>
    <x v="78"/>
    <n v="5000000"/>
    <x v="10"/>
    <x v="0"/>
    <s v="pagado"/>
    <s v="pagado"/>
    <x v="0"/>
  </r>
  <r>
    <n v="3000000121"/>
    <d v="2025-01-23T00:00:00"/>
    <n v="5000000"/>
    <s v="Pulmajo S.R.L. CONCEPCION 14"/>
    <x v="79"/>
    <n v="5000000"/>
    <x v="10"/>
    <x v="0"/>
    <s v="pagado"/>
    <s v="pagado"/>
    <x v="0"/>
  </r>
  <r>
    <n v="3000000121"/>
    <d v="2025-01-23T00:00:00"/>
    <n v="5000000"/>
    <s v="Pulmajo S.R.L. CONCEPCION 14"/>
    <x v="80"/>
    <n v="5000000"/>
    <x v="10"/>
    <x v="0"/>
    <s v="pagado"/>
    <s v="pagado"/>
    <x v="0"/>
  </r>
  <r>
    <n v="3000000121"/>
    <d v="2025-01-23T00:00:00"/>
    <n v="5000000"/>
    <s v="Pulmajo S.R.L. CONCEPCION 14"/>
    <x v="81"/>
    <n v="5000000"/>
    <x v="9"/>
    <x v="0"/>
    <s v="pagado"/>
    <s v="pagado"/>
    <x v="0"/>
  </r>
  <r>
    <n v="3000000121"/>
    <d v="2025-01-23T00:00:00"/>
    <n v="5000000"/>
    <s v="Pulmajo S.R.L. CONCEPCION 14"/>
    <x v="82"/>
    <n v="5000000"/>
    <x v="9"/>
    <x v="0"/>
    <s v="pagado"/>
    <s v="pagado"/>
    <x v="0"/>
  </r>
  <r>
    <n v="3000000121"/>
    <d v="2025-01-23T00:00:00"/>
    <n v="5000000"/>
    <s v="Pulmajo S.R.L. CONCEPCION 14"/>
    <x v="83"/>
    <n v="5000000"/>
    <x v="9"/>
    <x v="0"/>
    <s v="pagado"/>
    <s v="pagado"/>
    <x v="0"/>
  </r>
  <r>
    <n v="3000000121"/>
    <d v="2025-01-23T00:00:00"/>
    <n v="5000000"/>
    <s v="Pulmajo S.R.L. CONCEPCION 14"/>
    <x v="84"/>
    <n v="5000000"/>
    <x v="9"/>
    <x v="0"/>
    <s v="pagado"/>
    <s v="pagado"/>
    <x v="0"/>
  </r>
  <r>
    <n v="3000000121"/>
    <d v="2025-01-23T00:00:00"/>
    <n v="5897766.25"/>
    <s v="Pulmajo S.R.L. CONCEPCION 14"/>
    <x v="85"/>
    <n v="5897766.25"/>
    <x v="9"/>
    <x v="0"/>
    <s v="pagado"/>
    <s v="pagado"/>
    <x v="0"/>
  </r>
  <r>
    <n v="3000000137"/>
    <d v="2025-01-28T00:00:00"/>
    <n v="10000000"/>
    <s v="Pulverizaciones Tuninetti S.R.Las Rosas 01"/>
    <x v="86"/>
    <n v="10000000"/>
    <x v="11"/>
    <x v="0"/>
    <s v="pagado"/>
    <s v="pagado"/>
    <x v="0"/>
  </r>
  <r>
    <n v="3000000137"/>
    <d v="2025-01-28T00:00:00"/>
    <n v="10058167.15"/>
    <s v="Pulverizaciones Tuninetti S.R.Las Rosas 01"/>
    <x v="87"/>
    <n v="10058167.15"/>
    <x v="12"/>
    <x v="0"/>
    <s v="pagado"/>
    <s v="pagado"/>
    <x v="0"/>
  </r>
  <r>
    <n v="3000000139"/>
    <d v="2025-01-28T00:00:00"/>
    <n v="10000000"/>
    <s v="MARIA FERNANDA SRL LA TRINIDAD 14"/>
    <x v="88"/>
    <n v="10000000"/>
    <x v="11"/>
    <x v="0"/>
    <s v="pagado"/>
    <s v="pagado"/>
    <x v="0"/>
  </r>
  <r>
    <n v="3000000139"/>
    <d v="2025-01-28T00:00:00"/>
    <n v="10351673.4"/>
    <s v="MARIA FERNANDA SRL LA TRINIDAD 14"/>
    <x v="89"/>
    <n v="10351673.4"/>
    <x v="12"/>
    <x v="0"/>
    <s v="pagado"/>
    <s v="pagado"/>
    <x v="0"/>
  </r>
  <r>
    <n v="3000000136"/>
    <d v="2025-01-28T00:00:00"/>
    <n v="12503219.4"/>
    <s v="AYALA HERNAN OSVALDO SAN MIGUEL DE TUCUMAN 14"/>
    <x v="90"/>
    <n v="12503219.4"/>
    <x v="11"/>
    <x v="0"/>
    <s v="pagado"/>
    <s v="pagado"/>
    <x v="0"/>
  </r>
  <r>
    <n v="3000000138"/>
    <d v="2025-01-28T00:00:00"/>
    <n v="6705396.2999999998"/>
    <s v="IBAÑEZ MAXIMILIANO DAVID JUAN BAUTISTA ALBERDI 14"/>
    <x v="91"/>
    <n v="6705396.2999999998"/>
    <x v="11"/>
    <x v="0"/>
    <s v="pagado"/>
    <s v="pagado"/>
    <x v="0"/>
  </r>
  <r>
    <n v="3000000140"/>
    <d v="2025-01-28T00:00:00"/>
    <n v="7096905.2999999998"/>
    <s v="PETROANDINA S.R.L SALTA 09"/>
    <x v="92"/>
    <n v="7096905.2999999998"/>
    <x v="11"/>
    <x v="0"/>
    <s v="pagado"/>
    <s v="pagado"/>
    <x v="0"/>
  </r>
  <r>
    <n v="3000000141"/>
    <d v="2025-01-28T00:00:00"/>
    <n v="7715669.8200000003"/>
    <s v="SERVICOM S.R.L SAN MIGUEL DE TUCUMAN 14"/>
    <x v="93"/>
    <n v="7715669.8200000003"/>
    <x v="11"/>
    <x v="0"/>
    <s v="pagado"/>
    <s v="pagado"/>
    <x v="0"/>
  </r>
  <r>
    <n v="3000000144"/>
    <d v="2025-01-29T00:00:00"/>
    <n v="12333090"/>
    <s v="EDET S.A. SAN MIGUEL DE TUCUMAN 14"/>
    <x v="94"/>
    <n v="12333090"/>
    <x v="13"/>
    <x v="0"/>
    <s v="pagado"/>
    <s v="pagado"/>
    <x v="0"/>
  </r>
  <r>
    <n v="3000000151"/>
    <d v="2025-01-30T00:00:00"/>
    <n v="447098.88"/>
    <s v="Ventimiglia Nelly Irma Jesus Maria 03"/>
    <x v="95"/>
    <n v="447098.88"/>
    <x v="11"/>
    <x v="0"/>
    <s v="pagado"/>
    <s v="pagado"/>
    <x v="0"/>
  </r>
  <r>
    <n v="3000000152"/>
    <d v="2025-01-30T00:00:00"/>
    <n v="670237.47"/>
    <s v="RODRIGUEZ NESTOR HORACIO YERBA BUENA 14"/>
    <x v="96"/>
    <n v="670237.47"/>
    <x v="11"/>
    <x v="0"/>
    <s v="pagado"/>
    <s v="pagado"/>
    <x v="0"/>
  </r>
  <r>
    <n v="3000000162"/>
    <d v="2025-01-31T00:00:00"/>
    <n v="11090156.210000001"/>
    <s v="SAN LORENZO CEREALES S.R.L SAN LORENZO 12"/>
    <x v="97"/>
    <n v="11090156.210000001"/>
    <x v="14"/>
    <x v="0"/>
    <s v="pagado"/>
    <s v="pagado"/>
    <x v="0"/>
  </r>
  <r>
    <n v="3000000163"/>
    <d v="2025-01-31T00:00:00"/>
    <n v="16676986.76"/>
    <s v="JAVIER EDUARDO PRADO FLORIDA 13"/>
    <x v="98"/>
    <n v="16676986.76"/>
    <x v="14"/>
    <x v="0"/>
    <s v="pagado"/>
    <s v="pagado"/>
    <x v="0"/>
  </r>
  <r>
    <n v="3000000176"/>
    <d v="2025-02-04T00:00:00"/>
    <n v="1000000"/>
    <s v="Pulmajo S.R.L. CONCEPCION 14"/>
    <x v="99"/>
    <n v="1000000"/>
    <x v="15"/>
    <x v="0"/>
    <s v="pagado"/>
    <s v="pagado"/>
    <x v="0"/>
  </r>
  <r>
    <n v="3000000176"/>
    <d v="2025-02-04T00:00:00"/>
    <n v="1000000"/>
    <s v="Pulmajo S.R.L. CONCEPCION 14"/>
    <x v="100"/>
    <n v="1000000"/>
    <x v="15"/>
    <x v="0"/>
    <s v="pagado"/>
    <s v="pagado"/>
    <x v="0"/>
  </r>
  <r>
    <n v="3000000176"/>
    <d v="2025-02-04T00:00:00"/>
    <n v="2000000"/>
    <s v="Pulmajo S.R.L. CONCEPCION 14"/>
    <x v="101"/>
    <n v="2000000"/>
    <x v="15"/>
    <x v="0"/>
    <s v="pagado"/>
    <s v="pagado"/>
    <x v="0"/>
  </r>
  <r>
    <n v="3000000176"/>
    <d v="2025-02-04T00:00:00"/>
    <n v="2000000"/>
    <s v="Pulmajo S.R.L. CONCEPCION 14"/>
    <x v="102"/>
    <n v="2000000"/>
    <x v="15"/>
    <x v="0"/>
    <s v="pagado"/>
    <s v="pagado"/>
    <x v="0"/>
  </r>
  <r>
    <n v="3000000176"/>
    <d v="2025-02-04T00:00:00"/>
    <n v="5000000"/>
    <s v="Pulmajo S.R.L. CONCEPCION 14"/>
    <x v="103"/>
    <n v="5000000"/>
    <x v="16"/>
    <x v="0"/>
    <s v="pagado"/>
    <s v="pagado"/>
    <x v="0"/>
  </r>
  <r>
    <n v="3000000176"/>
    <d v="2025-02-04T00:00:00"/>
    <n v="5000000"/>
    <s v="Pulmajo S.R.L. CONCEPCION 14"/>
    <x v="104"/>
    <n v="5000000"/>
    <x v="16"/>
    <x v="0"/>
    <s v="pagado"/>
    <s v="pagado"/>
    <x v="0"/>
  </r>
  <r>
    <n v="3000000176"/>
    <d v="2025-02-04T00:00:00"/>
    <n v="5000000"/>
    <s v="Pulmajo S.R.L. CONCEPCION 14"/>
    <x v="105"/>
    <n v="5000000"/>
    <x v="16"/>
    <x v="0"/>
    <s v="pagado"/>
    <s v="pagado"/>
    <x v="0"/>
  </r>
  <r>
    <n v="3000000176"/>
    <d v="2025-02-04T00:00:00"/>
    <n v="112652.85"/>
    <s v="Pulmajo S.R.L. CONCEPCION 14"/>
    <x v="106"/>
    <n v="112652.85"/>
    <x v="16"/>
    <x v="0"/>
    <s v="no pagado"/>
    <s v="fuera de fecha"/>
    <x v="0"/>
  </r>
  <r>
    <n v="3000000182"/>
    <d v="2025-02-05T00:00:00"/>
    <n v="7560293.4000000004"/>
    <s v="LOS LAURELES SERVICIOS AGRICOLSan Miguel De Tucuman 14"/>
    <x v="107"/>
    <n v="7560293.4000000004"/>
    <x v="16"/>
    <x v="1"/>
    <s v="pagado"/>
    <s v="pagado"/>
    <x v="0"/>
  </r>
  <r>
    <n v="3000000183"/>
    <d v="2025-02-05T00:00:00"/>
    <n v="12297143.4"/>
    <s v="CARIGNANO RAUL JUAN YERBA BUENA 14"/>
    <x v="108"/>
    <n v="12297143.4"/>
    <x v="16"/>
    <x v="1"/>
    <s v="pagado"/>
    <s v="pagado"/>
    <x v="0"/>
  </r>
  <r>
    <n v="3000000184"/>
    <d v="2025-02-05T00:00:00"/>
    <n v="5724935.4000000004"/>
    <s v="EL CERRITO SRL CERRILLOS 09"/>
    <x v="109"/>
    <n v="5724935.4000000004"/>
    <x v="16"/>
    <x v="1"/>
    <s v="pagado"/>
    <s v="pagado"/>
    <x v="0"/>
  </r>
  <r>
    <n v="3000000185"/>
    <d v="2025-02-05T00:00:00"/>
    <n v="11745311.539999999"/>
    <s v="BUSTOS EXEQUIEL ANTONIO BANDA DEL RIO SALI 14"/>
    <x v="110"/>
    <n v="11745311.539999999"/>
    <x v="17"/>
    <x v="1"/>
    <s v="pagado"/>
    <s v="pagado"/>
    <x v="0"/>
  </r>
  <r>
    <n v="3000000186"/>
    <d v="2025-02-05T00:00:00"/>
    <n v="8495499.3399999999"/>
    <s v="AGROTRANSPORTE ALDAO S.A. CAMILO ALDAO 03"/>
    <x v="111"/>
    <n v="8495499.3399999999"/>
    <x v="17"/>
    <x v="1"/>
    <s v="pagado"/>
    <s v="pagado"/>
    <x v="0"/>
  </r>
  <r>
    <n v="3000000187"/>
    <d v="2025-02-05T00:00:00"/>
    <n v="1569578.57"/>
    <s v="CAMPOSTRINI S R L VILLAGUAY 05"/>
    <x v="112"/>
    <n v="1569578.57"/>
    <x v="16"/>
    <x v="1"/>
    <s v="pagado"/>
    <s v="pagado"/>
    <x v="0"/>
  </r>
  <r>
    <n v="3000000188"/>
    <d v="2025-02-05T00:00:00"/>
    <n v="15715717.939999999"/>
    <s v="LAVENIA VITO CARMELO LASTENIA 14"/>
    <x v="113"/>
    <n v="15715717.939999999"/>
    <x v="17"/>
    <x v="1"/>
    <s v="pagado"/>
    <s v="pagado"/>
    <x v="0"/>
  </r>
  <r>
    <n v="3000000189"/>
    <d v="2025-02-05T00:00:00"/>
    <n v="4418438.22"/>
    <s v="TRANS TRUCKS SRL SOLDINI 12"/>
    <x v="114"/>
    <n v="4418438.22"/>
    <x v="16"/>
    <x v="1"/>
    <s v="pagado"/>
    <s v="pagado"/>
    <x v="0"/>
  </r>
  <r>
    <n v="3000000190"/>
    <d v="2025-02-05T00:00:00"/>
    <n v="9950269.6699999999"/>
    <s v="TRANSPORTE Y LOGISTICA DEL ESTLAS CEJAS 14"/>
    <x v="115"/>
    <n v="9950269.6699999999"/>
    <x v="16"/>
    <x v="1"/>
    <s v="pagado"/>
    <s v="pagado"/>
    <x v="0"/>
  </r>
  <r>
    <n v="3000000191"/>
    <d v="2025-02-05T00:00:00"/>
    <n v="5148588.67"/>
    <s v="MOYANO JULIO CESAR BANDA DEL RIO SALI 14"/>
    <x v="116"/>
    <n v="5148588.67"/>
    <x v="16"/>
    <x v="1"/>
    <s v="pagado"/>
    <s v="pagado"/>
    <x v="0"/>
  </r>
  <r>
    <n v="3000000192"/>
    <d v="2025-02-05T00:00:00"/>
    <n v="1265258.33"/>
    <s v="CAJAL JUAN MARTIN SAN MIGUEL DE TUCUMAN 14"/>
    <x v="117"/>
    <n v="1265258.33"/>
    <x v="16"/>
    <x v="1"/>
    <s v="pagado"/>
    <s v="pagado"/>
    <x v="0"/>
  </r>
  <r>
    <n v="3000000193"/>
    <d v="2025-02-05T00:00:00"/>
    <n v="1714036.72"/>
    <s v="GIRAUD SILVIA DEL CARMEN RAMONCRESPO 05"/>
    <x v="118"/>
    <n v="1714036.72"/>
    <x v="16"/>
    <x v="1"/>
    <s v="pagado"/>
    <s v="pagado"/>
    <x v="0"/>
  </r>
  <r>
    <n v="3000000194"/>
    <d v="2025-02-05T00:00:00"/>
    <n v="4207024.83"/>
    <s v="PAIS WALTER LUIS SAN MIGUEL DE TUCUMAN 14"/>
    <x v="119"/>
    <n v="4207024.83"/>
    <x v="16"/>
    <x v="1"/>
    <s v="pagado"/>
    <s v="pagado"/>
    <x v="0"/>
  </r>
  <r>
    <n v="3000000195"/>
    <d v="2025-02-05T00:00:00"/>
    <n v="18115857.57"/>
    <s v="FLETES Y SERVICIOS PUJATO S.A PUJATO 12"/>
    <x v="120"/>
    <n v="18115857.57"/>
    <x v="18"/>
    <x v="1"/>
    <s v="pagado"/>
    <s v="pagado"/>
    <x v="0"/>
  </r>
  <r>
    <n v="3000000196"/>
    <d v="2025-02-05T00:00:00"/>
    <n v="19483734.969999999"/>
    <s v="TRANSPORTE BARBERAN HNOS SRL CHABAS 12"/>
    <x v="121"/>
    <n v="19483734.969999999"/>
    <x v="18"/>
    <x v="1"/>
    <s v="pagado"/>
    <s v="pagado"/>
    <x v="0"/>
  </r>
  <r>
    <n v="3000000218"/>
    <d v="2025-02-11T00:00:00"/>
    <n v="1553117.04"/>
    <s v="ROMAN BARCELO Y JORGE CARRERASLAS LAJITAS 09"/>
    <x v="122"/>
    <n v="1553117.04"/>
    <x v="19"/>
    <x v="0"/>
    <s v="pagado"/>
    <s v="pagado"/>
    <x v="0"/>
  </r>
  <r>
    <n v="3000000224"/>
    <d v="2025-02-11T00:00:00"/>
    <n v="5000000"/>
    <s v="Ventimiglia Nelly Irma Jesus Maria 03"/>
    <x v="123"/>
    <n v="5000000"/>
    <x v="20"/>
    <x v="1"/>
    <s v="pagado"/>
    <s v="pagado"/>
    <x v="0"/>
  </r>
  <r>
    <n v="3000000224"/>
    <d v="2025-02-11T00:00:00"/>
    <n v="4642304.7699999996"/>
    <s v="Ventimiglia Nelly Irma Jesus Maria 03"/>
    <x v="124"/>
    <n v="4642304.7699999996"/>
    <x v="20"/>
    <x v="1"/>
    <s v="pagado"/>
    <s v="pagado"/>
    <x v="0"/>
  </r>
  <r>
    <n v="3000000227"/>
    <d v="2025-02-11T00:00:00"/>
    <n v="8000000"/>
    <s v="AYALA WALTER DANIEL ALDERETES 14"/>
    <x v="125"/>
    <n v="8000000"/>
    <x v="21"/>
    <x v="1"/>
    <s v="pagado"/>
    <s v="pagado"/>
    <x v="0"/>
  </r>
  <r>
    <n v="3000000227"/>
    <d v="2025-02-11T00:00:00"/>
    <n v="8745327.6400000006"/>
    <s v="AYALA WALTER DANIEL ALDERETES 14"/>
    <x v="126"/>
    <n v="8745327.6400000006"/>
    <x v="20"/>
    <x v="1"/>
    <s v="pagado"/>
    <s v="pagado"/>
    <x v="0"/>
  </r>
  <r>
    <n v="3000000228"/>
    <d v="2025-02-11T00:00:00"/>
    <n v="3371689.67"/>
    <s v="AYALA HERNAN OSVALDO SAN MIGUEL DE TUCUMAN 14"/>
    <x v="127"/>
    <n v="3371689.67"/>
    <x v="21"/>
    <x v="1"/>
    <s v="pagado"/>
    <s v="pagado"/>
    <x v="0"/>
  </r>
  <r>
    <n v="3000000228"/>
    <d v="2025-02-11T00:00:00"/>
    <n v="3371689.67"/>
    <s v="AYALA HERNAN OSVALDO SAN MIGUEL DE TUCUMAN 14"/>
    <x v="128"/>
    <n v="3371689.67"/>
    <x v="21"/>
    <x v="1"/>
    <s v="pagado"/>
    <s v="pagado"/>
    <x v="0"/>
  </r>
  <r>
    <n v="3000000228"/>
    <d v="2025-02-11T00:00:00"/>
    <n v="7722248.1600000001"/>
    <s v="AYALA HERNAN OSVALDO SAN MIGUEL DE TUCUMAN 14"/>
    <x v="129"/>
    <n v="7722248.1600000001"/>
    <x v="20"/>
    <x v="1"/>
    <s v="pagado"/>
    <s v="pagado"/>
    <x v="0"/>
  </r>
  <r>
    <n v="3000000229"/>
    <d v="2025-02-11T00:00:00"/>
    <n v="15000000"/>
    <s v="CARIGNANO RAUL JUAN YERBA BUENA 14"/>
    <x v="130"/>
    <n v="15000000"/>
    <x v="20"/>
    <x v="1"/>
    <s v="pagado"/>
    <s v="pagado"/>
    <x v="0"/>
  </r>
  <r>
    <n v="3000000229"/>
    <d v="2025-02-11T00:00:00"/>
    <n v="12768015"/>
    <s v="CARIGNANO RAUL JUAN YERBA BUENA 14"/>
    <x v="131"/>
    <n v="12768015"/>
    <x v="22"/>
    <x v="1"/>
    <s v="pagado"/>
    <s v="pagado"/>
    <x v="0"/>
  </r>
  <r>
    <n v="3000000222"/>
    <d v="2025-02-11T00:00:00"/>
    <n v="9238792.0299999993"/>
    <s v="BERCOVICH COMERCIAL SAS SAN MIGUEL DE TUCUMAN 14"/>
    <x v="132"/>
    <n v="9238792.0299999993"/>
    <x v="21"/>
    <x v="1"/>
    <s v="pagado"/>
    <s v="pagado"/>
    <x v="0"/>
  </r>
  <r>
    <n v="3000000223"/>
    <d v="2025-02-11T00:00:00"/>
    <n v="5225008.0999999996"/>
    <s v="YOMEL S.A. 9 de Julio 01"/>
    <x v="133"/>
    <n v="5225008.0999999996"/>
    <x v="21"/>
    <x v="1"/>
    <s v="pagado"/>
    <s v="pagado"/>
    <x v="0"/>
  </r>
  <r>
    <n v="3000000225"/>
    <d v="2025-02-11T00:00:00"/>
    <n v="5407820.4000000004"/>
    <s v="MARTO ALBERTO ANTONIO LA RAMADA DE ABAJO 14"/>
    <x v="134"/>
    <n v="5407820.4000000004"/>
    <x v="20"/>
    <x v="1"/>
    <s v="pagado"/>
    <s v="pagado"/>
    <x v="0"/>
  </r>
  <r>
    <n v="3000000226"/>
    <d v="2025-02-11T00:00:00"/>
    <n v="8089410.7999999998"/>
    <s v="Pulverizaciones Tuninetti S.R.Las Rosas 01"/>
    <x v="135"/>
    <n v="8089410.7999999998"/>
    <x v="20"/>
    <x v="1"/>
    <s v="pagado"/>
    <s v="pagado"/>
    <x v="0"/>
  </r>
  <r>
    <n v="3000000240"/>
    <d v="2025-02-12T00:00:00"/>
    <n v="20000000"/>
    <s v="Medina Lauro Jose Las Cejas 14"/>
    <x v="136"/>
    <n v="20000000"/>
    <x v="20"/>
    <x v="0"/>
    <s v="pagado"/>
    <s v="pagado"/>
    <x v="0"/>
  </r>
  <r>
    <n v="3000000240"/>
    <d v="2025-02-12T00:00:00"/>
    <n v="21376519.550000001"/>
    <s v="Medina Lauro Jose Las Cejas 14"/>
    <x v="137"/>
    <n v="21376519.550000001"/>
    <x v="22"/>
    <x v="0"/>
    <s v="pagado"/>
    <s v="pagado"/>
    <x v="0"/>
  </r>
  <r>
    <n v="3000000241"/>
    <d v="2025-02-12T00:00:00"/>
    <n v="20000000"/>
    <s v="MARIA FERNANDA SRL LA TRINIDAD 14"/>
    <x v="138"/>
    <n v="20000000"/>
    <x v="20"/>
    <x v="0"/>
    <s v="pagado"/>
    <s v="pagado"/>
    <x v="0"/>
  </r>
  <r>
    <n v="3000000241"/>
    <d v="2025-02-12T00:00:00"/>
    <n v="16793507.399999999"/>
    <s v="MARIA FERNANDA SRL LA TRINIDAD 14"/>
    <x v="139"/>
    <n v="16793507.399999999"/>
    <x v="22"/>
    <x v="0"/>
    <s v="pagado"/>
    <s v="pagado"/>
    <x v="0"/>
  </r>
  <r>
    <n v="3000000242"/>
    <d v="2025-02-12T00:00:00"/>
    <n v="20000000"/>
    <s v="JAVIER EDUARDO PRADO FLORIDA 13"/>
    <x v="140"/>
    <n v="20000000"/>
    <x v="20"/>
    <x v="0"/>
    <s v="pagado"/>
    <s v="pagado"/>
    <x v="0"/>
  </r>
  <r>
    <n v="3000000242"/>
    <d v="2025-02-12T00:00:00"/>
    <n v="14668643.17"/>
    <s v="JAVIER EDUARDO PRADO FLORIDA 13"/>
    <x v="141"/>
    <n v="14668643.17"/>
    <x v="22"/>
    <x v="0"/>
    <s v="pagado"/>
    <s v="pagado"/>
    <x v="0"/>
  </r>
  <r>
    <n v="3000000259"/>
    <d v="2025-02-17T00:00:00"/>
    <n v="4000000"/>
    <s v="Ventimiglia Nelly Irma Jesus Maria 03"/>
    <x v="142"/>
    <n v="4000000"/>
    <x v="23"/>
    <x v="0"/>
    <s v="pagado"/>
    <s v="pagado"/>
    <x v="0"/>
  </r>
  <r>
    <n v="3000000259"/>
    <d v="2025-02-17T00:00:00"/>
    <n v="3746526.25"/>
    <s v="Ventimiglia Nelly Irma Jesus Maria 03"/>
    <x v="143"/>
    <n v="3746526.25"/>
    <x v="24"/>
    <x v="0"/>
    <s v="pagado"/>
    <s v="pagado"/>
    <x v="0"/>
  </r>
  <r>
    <n v="3000000260"/>
    <d v="2025-02-17T00:00:00"/>
    <n v="2000000"/>
    <s v="AYALA WALTER DANIEL ALDERETES 14"/>
    <x v="144"/>
    <n v="2000000"/>
    <x v="23"/>
    <x v="0"/>
    <s v="pagado"/>
    <s v="pagado"/>
    <x v="0"/>
  </r>
  <r>
    <n v="3000000260"/>
    <d v="2025-02-17T00:00:00"/>
    <n v="2147288.7000000002"/>
    <s v="AYALA WALTER DANIEL ALDERETES 14"/>
    <x v="145"/>
    <n v="2147288.7000000002"/>
    <x v="24"/>
    <x v="0"/>
    <s v="pagado"/>
    <s v="pagado"/>
    <x v="0"/>
  </r>
  <r>
    <n v="3000000263"/>
    <d v="2025-02-17T00:00:00"/>
    <n v="8000000"/>
    <s v="DON KOKO S.R.L CAMILO ALDAO 03"/>
    <x v="146"/>
    <n v="8000000"/>
    <x v="23"/>
    <x v="0"/>
    <s v="pagado"/>
    <s v="pagado"/>
    <x v="0"/>
  </r>
  <r>
    <n v="3000000263"/>
    <d v="2025-02-17T00:00:00"/>
    <n v="7745430.4000000004"/>
    <s v="DON KOKO S.R.L CAMILO ALDAO 03"/>
    <x v="147"/>
    <n v="7745430.4000000004"/>
    <x v="24"/>
    <x v="0"/>
    <s v="pagado"/>
    <s v="pagado"/>
    <x v="0"/>
  </r>
  <r>
    <n v="3000000264"/>
    <d v="2025-02-17T00:00:00"/>
    <n v="6000000"/>
    <s v="CARIGNANO RAUL JUAN YERBA BUENA 14"/>
    <x v="148"/>
    <n v="6000000"/>
    <x v="23"/>
    <x v="0"/>
    <s v="pagado"/>
    <s v="pagado"/>
    <x v="0"/>
  </r>
  <r>
    <n v="3000000264"/>
    <d v="2025-02-17T00:00:00"/>
    <n v="6477960"/>
    <s v="CARIGNANO RAUL JUAN YERBA BUENA 14"/>
    <x v="149"/>
    <n v="6477960"/>
    <x v="24"/>
    <x v="0"/>
    <s v="pagado"/>
    <s v="pagado"/>
    <x v="0"/>
  </r>
  <r>
    <n v="3000000253"/>
    <d v="2025-02-17T00:00:00"/>
    <n v="15897070"/>
    <s v="EDET S.A. SAN MIGUEL DE TUCUMAN 14"/>
    <x v="150"/>
    <n v="15897070"/>
    <x v="22"/>
    <x v="0"/>
    <s v="pagado"/>
    <s v="pagado"/>
    <x v="0"/>
  </r>
  <r>
    <n v="3000000261"/>
    <d v="2025-02-17T00:00:00"/>
    <n v="7884065.7000000002"/>
    <s v="Pulverizaciones Tuninetti S.R.Las Rosas 01"/>
    <x v="151"/>
    <n v="7884065.7000000002"/>
    <x v="23"/>
    <x v="0"/>
    <s v="pagado"/>
    <s v="pagado"/>
    <x v="0"/>
  </r>
  <r>
    <n v="3000000262"/>
    <d v="2025-02-17T00:00:00"/>
    <n v="3536793.02"/>
    <s v="VERON MARIANA BEATRIZ NUEVA ESPERANZA 13"/>
    <x v="152"/>
    <n v="3536793.02"/>
    <x v="23"/>
    <x v="0"/>
    <s v="pagado"/>
    <s v="pagado"/>
    <x v="0"/>
  </r>
  <r>
    <n v="3000000265"/>
    <d v="2025-02-17T00:00:00"/>
    <n v="7516060.4000000004"/>
    <s v="IBAÑEZ MAXIMILIANO DAVID JUAN BAUTISTA ALBERDI 14"/>
    <x v="153"/>
    <n v="7516060.4000000004"/>
    <x v="23"/>
    <x v="0"/>
    <s v="pagado"/>
    <s v="pagado"/>
    <x v="0"/>
  </r>
  <r>
    <n v="3000000266"/>
    <d v="2025-02-17T00:00:00"/>
    <n v="13947208.59"/>
    <s v="LIZONDO OSCAR FABIAN METAN 09"/>
    <x v="154"/>
    <n v="13947208.59"/>
    <x v="24"/>
    <x v="0"/>
    <s v="pagado"/>
    <s v="pagado"/>
    <x v="0"/>
  </r>
  <r>
    <n v="3000000279"/>
    <d v="2025-02-19T00:00:00"/>
    <n v="16000000"/>
    <s v="SUAREZ GABRIEL SEBASTIAN SANTIAGO DEL ESTERO 13"/>
    <x v="155"/>
    <n v="16000000"/>
    <x v="25"/>
    <x v="0"/>
    <s v="pagado"/>
    <s v="pagado"/>
    <x v="0"/>
  </r>
  <r>
    <n v="3000000279"/>
    <d v="2025-02-19T00:00:00"/>
    <n v="16009838.5"/>
    <s v="SUAREZ GABRIEL SEBASTIAN SANTIAGO DEL ESTERO 13"/>
    <x v="156"/>
    <n v="16009838.5"/>
    <x v="26"/>
    <x v="0"/>
    <s v="pagado"/>
    <s v="pagado"/>
    <x v="0"/>
  </r>
  <r>
    <n v="3000000287"/>
    <d v="2025-02-20T00:00:00"/>
    <n v="4673964.62"/>
    <s v="TRANSPORTE PRINCE SRL ROSARIO NORTE 12"/>
    <x v="157"/>
    <n v="4673964.62"/>
    <x v="27"/>
    <x v="0"/>
    <s v="pagado"/>
    <s v="pagado"/>
    <x v="0"/>
  </r>
  <r>
    <n v="3000000288"/>
    <d v="2025-02-20T00:00:00"/>
    <n v="9975778"/>
    <s v="TRANS TRUCKS SRL SOLDINI 12"/>
    <x v="158"/>
    <n v="9975778"/>
    <x v="27"/>
    <x v="0"/>
    <s v="pagado"/>
    <s v="pagado"/>
    <x v="0"/>
  </r>
  <r>
    <n v="3000000289"/>
    <d v="2025-02-20T00:00:00"/>
    <n v="6995270.25"/>
    <s v="BUSTOS EXEQUIEL ANTONIO BANDA DEL RIO SALI 14"/>
    <x v="159"/>
    <n v="6995270.25"/>
    <x v="27"/>
    <x v="0"/>
    <s v="pagado"/>
    <s v="pagado"/>
    <x v="0"/>
  </r>
  <r>
    <n v="3000000284"/>
    <d v="2025-02-20T00:00:00"/>
    <n v="5000000"/>
    <s v="MOLINA JUAN F. Y MOLINA ROQUE Lastenia 14"/>
    <x v="160"/>
    <n v="5000000"/>
    <x v="27"/>
    <x v="0"/>
    <s v="pagado"/>
    <s v="pagado"/>
    <x v="0"/>
  </r>
  <r>
    <n v="3000000284"/>
    <d v="2025-02-20T00:00:00"/>
    <n v="12029813.48"/>
    <s v="MOLINA JUAN F. Y MOLINA ROQUE Lastenia 14"/>
    <x v="161"/>
    <n v="12029813.48"/>
    <x v="28"/>
    <x v="0"/>
    <s v="pagado"/>
    <s v="pagado"/>
    <x v="0"/>
  </r>
  <r>
    <n v="3000000290"/>
    <d v="2025-02-20T00:00:00"/>
    <n v="10000000"/>
    <s v="PAIS WALTER LUIS SAN MIGUEL DE TUCUMAN 14"/>
    <x v="162"/>
    <n v="10000000"/>
    <x v="27"/>
    <x v="0"/>
    <s v="pagado"/>
    <s v="pagado"/>
    <x v="0"/>
  </r>
  <r>
    <n v="3000000290"/>
    <d v="2025-02-20T00:00:00"/>
    <n v="7771700.1900000004"/>
    <s v="PAIS WALTER LUIS SAN MIGUEL DE TUCUMAN 14"/>
    <x v="163"/>
    <n v="7771700.1900000004"/>
    <x v="28"/>
    <x v="0"/>
    <s v="pagado"/>
    <s v="pagado"/>
    <x v="0"/>
  </r>
  <r>
    <n v="3000000291"/>
    <d v="2025-02-20T00:00:00"/>
    <n v="10000000"/>
    <s v="MOYANO SERGIO ESTEBAN BANDA DEL RIO SALI 14"/>
    <x v="164"/>
    <n v="10000000"/>
    <x v="27"/>
    <x v="0"/>
    <s v="pagado"/>
    <s v="pagado"/>
    <x v="0"/>
  </r>
  <r>
    <n v="3000000291"/>
    <d v="2025-02-20T00:00:00"/>
    <n v="8357138.4199999999"/>
    <s v="MOYANO SERGIO ESTEBAN BANDA DEL RIO SALI 14"/>
    <x v="165"/>
    <n v="8357138.4199999999"/>
    <x v="28"/>
    <x v="0"/>
    <s v="pagado"/>
    <s v="pagado"/>
    <x v="0"/>
  </r>
  <r>
    <n v="3000000285"/>
    <d v="2025-02-20T00:00:00"/>
    <n v="9630656.3300000001"/>
    <s v="LANGELLA JUAN RODOLFO ALDERETES 14"/>
    <x v="166"/>
    <n v="9630656.3300000001"/>
    <x v="27"/>
    <x v="0"/>
    <s v="pagado"/>
    <s v="pagado"/>
    <x v="0"/>
  </r>
  <r>
    <n v="3000000286"/>
    <d v="2025-02-20T00:00:00"/>
    <n v="4404589.04"/>
    <s v="MOYANO JULIO CESAR BANDA DEL RIO SALI 14"/>
    <x v="167"/>
    <n v="4404589.04"/>
    <x v="27"/>
    <x v="0"/>
    <s v="pagado"/>
    <s v="pagado"/>
    <x v="0"/>
  </r>
  <r>
    <n v="3000000287"/>
    <d v="2025-02-20T00:00:00"/>
    <n v="4673964.62"/>
    <s v="TRANSPORTE PRINCE SRL ROSARIO NORTE 12                                      "/>
    <x v="157"/>
    <n v="4673964.62"/>
    <x v="27"/>
    <x v="0"/>
    <s v="pagado"/>
    <s v="pagado"/>
    <x v="0"/>
  </r>
  <r>
    <n v="3000000288"/>
    <d v="2025-02-20T00:00:00"/>
    <n v="9975778"/>
    <s v="TRANS TRUCKS SRL SOLDINI 12                                                 "/>
    <x v="158"/>
    <n v="9975778"/>
    <x v="27"/>
    <x v="0"/>
    <s v="pagado"/>
    <s v="pagado"/>
    <x v="0"/>
  </r>
  <r>
    <n v="3000000289"/>
    <d v="2025-02-20T00:00:00"/>
    <n v="6995270.25"/>
    <s v="BUSTOS EXEQUIEL ANTONIO BANDA DEL RIO SALI 14                            "/>
    <x v="159"/>
    <n v="6995270.25"/>
    <x v="27"/>
    <x v="0"/>
    <s v="pagado"/>
    <s v="pagado"/>
    <x v="0"/>
  </r>
  <r>
    <n v="3000000307"/>
    <d v="2025-02-25T00:00:00"/>
    <n v="1000000"/>
    <s v="Pulmajo S.R.L. CONCEPCION 14"/>
    <x v="168"/>
    <n v="1000000"/>
    <x v="29"/>
    <x v="0"/>
    <s v="pagado"/>
    <s v="pagado"/>
    <x v="0"/>
  </r>
  <r>
    <n v="3000000307"/>
    <d v="2025-02-25T00:00:00"/>
    <n v="1000000"/>
    <s v="Pulmajo S.R.L. CONCEPCION 14"/>
    <x v="169"/>
    <n v="1000000"/>
    <x v="29"/>
    <x v="0"/>
    <s v="pagado"/>
    <s v="pagado"/>
    <x v="0"/>
  </r>
  <r>
    <n v="3000000307"/>
    <d v="2025-02-25T00:00:00"/>
    <n v="2000000"/>
    <s v="Pulmajo S.R.L. CONCEPCION 14"/>
    <x v="170"/>
    <n v="2000000"/>
    <x v="29"/>
    <x v="0"/>
    <s v="pagado"/>
    <s v="pagado"/>
    <x v="0"/>
  </r>
  <r>
    <n v="3000000307"/>
    <d v="2025-02-25T00:00:00"/>
    <n v="2000000"/>
    <s v="Pulmajo S.R.L. CONCEPCION 14"/>
    <x v="171"/>
    <n v="2000000"/>
    <x v="29"/>
    <x v="0"/>
    <s v="pagado"/>
    <s v="pagado"/>
    <x v="0"/>
  </r>
  <r>
    <n v="3000000307"/>
    <d v="2025-02-25T00:00:00"/>
    <n v="2000000"/>
    <s v="Pulmajo S.R.L. CONCEPCION 14"/>
    <x v="172"/>
    <n v="2000000"/>
    <x v="29"/>
    <x v="0"/>
    <s v="pagado"/>
    <s v="pagado"/>
    <x v="0"/>
  </r>
  <r>
    <n v="3000000307"/>
    <d v="2025-02-25T00:00:00"/>
    <n v="5000000"/>
    <s v="Pulmajo S.R.L. CONCEPCION 14"/>
    <x v="173"/>
    <n v="5000000"/>
    <x v="30"/>
    <x v="0"/>
    <s v="pagado"/>
    <s v="pagado"/>
    <x v="0"/>
  </r>
  <r>
    <n v="3000000307"/>
    <d v="2025-02-25T00:00:00"/>
    <n v="5000000"/>
    <s v="Pulmajo S.R.L. CONCEPCION 14"/>
    <x v="174"/>
    <n v="5000000"/>
    <x v="30"/>
    <x v="0"/>
    <s v="pagado"/>
    <s v="pagado"/>
    <x v="0"/>
  </r>
  <r>
    <n v="3000000307"/>
    <d v="2025-02-25T00:00:00"/>
    <n v="2981564.25"/>
    <s v="Pulmajo S.R.L. CONCEPCION 14"/>
    <x v="175"/>
    <n v="2981564.25"/>
    <x v="30"/>
    <x v="0"/>
    <s v="pagado"/>
    <s v="pagado"/>
    <x v="0"/>
  </r>
  <r>
    <n v="3000000309"/>
    <d v="2025-02-25T00:00:00"/>
    <n v="4423276"/>
    <s v="SURIAGRO SRL SAN MIGUEL DE TUCUMAN 14"/>
    <x v="176"/>
    <n v="4423276"/>
    <x v="28"/>
    <x v="0"/>
    <s v="pagado"/>
    <s v="pagado"/>
    <x v="0"/>
  </r>
  <r>
    <n v="3000000309"/>
    <d v="2025-02-25T00:00:00"/>
    <n v="1831370.3"/>
    <s v="SURIAGRO SRL SAN MIGUEL DE TUCUMAN 14"/>
    <x v="177"/>
    <n v="1831370.3"/>
    <x v="28"/>
    <x v="0"/>
    <s v="pagado"/>
    <s v="pagado"/>
    <x v="0"/>
  </r>
  <r>
    <n v="3000000310"/>
    <d v="2025-02-25T00:00:00"/>
    <n v="8000000"/>
    <s v="Medina Lauro Jose Las Cejas 14"/>
    <x v="178"/>
    <n v="8000000"/>
    <x v="31"/>
    <x v="0"/>
    <s v="pagado"/>
    <s v="pagado"/>
    <x v="0"/>
  </r>
  <r>
    <n v="3000000310"/>
    <d v="2025-02-25T00:00:00"/>
    <n v="8582958.6999999993"/>
    <s v="Medina Lauro Jose Las Cejas 14"/>
    <x v="179"/>
    <n v="8582958.6999999993"/>
    <x v="29"/>
    <x v="0"/>
    <s v="pagado"/>
    <s v="pagado"/>
    <x v="0"/>
  </r>
  <r>
    <n v="3000000311"/>
    <d v="2025-02-25T00:00:00"/>
    <n v="5000000"/>
    <s v="Suarez Elio Hernan Los altos 02"/>
    <x v="180"/>
    <n v="5000000"/>
    <x v="31"/>
    <x v="0"/>
    <s v="pagado"/>
    <s v="pagado"/>
    <x v="0"/>
  </r>
  <r>
    <n v="3000000311"/>
    <d v="2025-02-25T00:00:00"/>
    <n v="5777436.9000000004"/>
    <s v="Suarez Elio Hernan Los altos 02"/>
    <x v="181"/>
    <n v="5777436.9000000004"/>
    <x v="29"/>
    <x v="0"/>
    <s v="pagado"/>
    <s v="pagado"/>
    <x v="0"/>
  </r>
  <r>
    <n v="3000000308"/>
    <d v="2025-02-25T00:00:00"/>
    <n v="464138.31"/>
    <s v="MARTO ALBERTO ANTONIO LA RAMADA DE ABAJO 14"/>
    <x v="182"/>
    <n v="464138.31"/>
    <x v="29"/>
    <x v="0"/>
    <s v="pagado"/>
    <s v="pagado"/>
    <x v="0"/>
  </r>
  <r>
    <n v="3000000312"/>
    <d v="2025-02-25T00:00:00"/>
    <n v="7758064.6500000004"/>
    <s v="Pulverizaciones Tuninetti S.R.Las Rosas 01"/>
    <x v="183"/>
    <n v="7758064.6500000004"/>
    <x v="29"/>
    <x v="0"/>
    <s v="pagado"/>
    <s v="pagado"/>
    <x v="0"/>
  </r>
  <r>
    <n v="3000000313"/>
    <d v="2025-02-25T00:00:00"/>
    <n v="2694022.45"/>
    <s v="ROMAN BARCELO Y JORGE CARRERASLAS LAJITAS 09"/>
    <x v="184"/>
    <n v="2694022.45"/>
    <x v="29"/>
    <x v="0"/>
    <s v="pagado"/>
    <s v="pagado"/>
    <x v="0"/>
  </r>
  <r>
    <n v="3000000314"/>
    <d v="2025-02-25T00:00:00"/>
    <n v="4439047.0599999996"/>
    <s v="TRANSPORTE Y LOGISTICA DEL ESTLAS CEJAS 14"/>
    <x v="185"/>
    <n v="4439047.0599999996"/>
    <x v="29"/>
    <x v="0"/>
    <s v="pagado"/>
    <s v="pagado"/>
    <x v="0"/>
  </r>
  <r>
    <n v="3000000315"/>
    <d v="2025-02-25T00:00:00"/>
    <n v="6104379.1299999999"/>
    <s v="LOGISTICA DEL NORTE S.R.L. SAN MIGUEL DE TUCUMAN 14"/>
    <x v="186"/>
    <n v="6104379.1299999999"/>
    <x v="29"/>
    <x v="0"/>
    <s v="pagado"/>
    <s v="pagado"/>
    <x v="0"/>
  </r>
  <r>
    <n v="3000000316"/>
    <d v="2025-02-25T00:00:00"/>
    <n v="2914278.75"/>
    <s v="WILLIAMS LOGISTICA SA CIUDAD AUTONOMA BUENOS AIRES 00"/>
    <x v="187"/>
    <n v="2914278.75"/>
    <x v="29"/>
    <x v="0"/>
    <s v="pagado"/>
    <s v="pagado"/>
    <x v="0"/>
  </r>
  <r>
    <n v="3000000317"/>
    <d v="2025-02-25T00:00:00"/>
    <n v="4926343.4000000004"/>
    <s v="ZALAZAR ATTIS LOURDES NOEMI NUEVA ESPERANZA 13"/>
    <x v="188"/>
    <n v="4926343.4000000004"/>
    <x v="31"/>
    <x v="0"/>
    <s v="pagado"/>
    <s v="pagado"/>
    <x v="0"/>
  </r>
  <r>
    <n v="3000000327"/>
    <d v="2025-02-26T00:00:00"/>
    <n v="515024"/>
    <s v="COSENTINO DROVETA AGUSTIN BANDA DEL RIO SALI 14"/>
    <x v="189"/>
    <n v="515024"/>
    <x v="31"/>
    <x v="0"/>
    <s v="pagado"/>
    <s v="pagado"/>
    <x v="0"/>
  </r>
  <r>
    <n v="3000000329"/>
    <d v="2025-02-26T00:00:00"/>
    <n v="10037035.439999999"/>
    <s v="JAVIER EDUARDO PRADO FLORIDA 13"/>
    <x v="190"/>
    <n v="10037035.439999999"/>
    <x v="30"/>
    <x v="0"/>
    <s v="pagado"/>
    <s v="pagado"/>
    <x v="0"/>
  </r>
  <r>
    <n v="3000000340"/>
    <d v="2025-02-27T00:00:00"/>
    <n v="1289536.05"/>
    <s v="TRANSPORTE BARBERAN HNOS SRL CHABAS 12"/>
    <x v="191"/>
    <n v="1289536.05"/>
    <x v="30"/>
    <x v="0"/>
    <s v="pagado"/>
    <s v="pagado"/>
    <x v="0"/>
  </r>
  <r>
    <n v="3000000341"/>
    <d v="2025-02-27T00:00:00"/>
    <n v="4903650.8099999996"/>
    <s v="NOVA SAU Cañada de Gomez 03"/>
    <x v="192"/>
    <n v="4903650.8099999996"/>
    <x v="30"/>
    <x v="0"/>
    <s v="pagado"/>
    <s v="pagado"/>
    <x v="0"/>
  </r>
  <r>
    <n v="3000000356"/>
    <d v="2025-03-07T00:00:00"/>
    <n v="14397858.050000001"/>
    <s v="TRANSPORTE BARBERAN HNOS SRL CHABAS 12"/>
    <x v="193"/>
    <n v="14397858.050000001"/>
    <x v="32"/>
    <x v="0"/>
    <s v="pagado"/>
    <s v="pagado"/>
    <x v="0"/>
  </r>
  <r>
    <n v="3000000357"/>
    <d v="2025-03-07T00:00:00"/>
    <n v="13016615.41"/>
    <s v="LOGISTICA CENTRO S.R.L CORONDA 12"/>
    <x v="194"/>
    <n v="13016615.41"/>
    <x v="32"/>
    <x v="0"/>
    <s v="pagado"/>
    <s v="pagado"/>
    <x v="0"/>
  </r>
  <r>
    <n v="1200000122"/>
    <d v="2025-03-07T00:00:00"/>
    <n v="11343092.050000001"/>
    <s v="Cheque de terceros tucumán"/>
    <x v="195"/>
    <n v="11343092.050000001"/>
    <x v="32"/>
    <x v="0"/>
    <s v="pagado"/>
    <s v="pagado"/>
    <x v="0"/>
  </r>
  <r>
    <n v="1200000124"/>
    <d v="2025-03-07T00:00:00"/>
    <n v="11365218.630000001"/>
    <s v="Cheque de terceros tucumán"/>
    <x v="196"/>
    <n v="11365218.630000001"/>
    <x v="32"/>
    <x v="0"/>
    <s v="pagado"/>
    <s v="pagado"/>
    <x v="0"/>
  </r>
  <r>
    <n v="3000000415"/>
    <d v="2025-03-18T00:00:00"/>
    <n v="13371410"/>
    <s v="EDET S.A. SAN MIGUEL DE TUCUMAN 14"/>
    <x v="197"/>
    <n v="13371410"/>
    <x v="33"/>
    <x v="0"/>
    <s v="pagado"/>
    <s v="pagado"/>
    <x v="0"/>
  </r>
  <r>
    <n v="3000000394"/>
    <d v="2025-03-17T00:00:00"/>
    <n v="13000000"/>
    <s v="Medina Lauro Jose Las Cejas 14"/>
    <x v="198"/>
    <n v="13000000"/>
    <x v="33"/>
    <x v="1"/>
    <s v="pagado"/>
    <s v="pagado"/>
    <x v="0"/>
  </r>
  <r>
    <n v="3000000394"/>
    <d v="2025-03-17T00:00:00"/>
    <n v="12866828.1"/>
    <s v="Medina Lauro Jose Las Cejas 14"/>
    <x v="199"/>
    <n v="12866828.1"/>
    <x v="34"/>
    <x v="1"/>
    <s v="pagado"/>
    <s v="pagado"/>
    <x v="0"/>
  </r>
  <r>
    <n v="3000000398"/>
    <d v="2025-03-17T00:00:00"/>
    <n v="23000000"/>
    <s v="ROMAN BARCELO Y JORGE CARRERASLAS LAJITAS 09"/>
    <x v="200"/>
    <n v="23000000"/>
    <x v="33"/>
    <x v="1"/>
    <s v="pagado"/>
    <s v="pagado"/>
    <x v="0"/>
  </r>
  <r>
    <n v="3000000398"/>
    <d v="2025-03-17T00:00:00"/>
    <n v="23741732.899999999"/>
    <s v="ROMAN BARCELO Y JORGE CARRERASLAS LAJITAS 09"/>
    <x v="201"/>
    <n v="23741732.899999999"/>
    <x v="34"/>
    <x v="1"/>
    <s v="pagado"/>
    <s v="pagado"/>
    <x v="0"/>
  </r>
  <r>
    <n v="3000000399"/>
    <d v="2025-03-17T00:00:00"/>
    <n v="15000000"/>
    <s v="CARIGNANO RAUL JUAN YERBA BUENA 14"/>
    <x v="202"/>
    <n v="15000000"/>
    <x v="33"/>
    <x v="1"/>
    <s v="pagado"/>
    <s v="pagado"/>
    <x v="0"/>
  </r>
  <r>
    <n v="3000000399"/>
    <d v="2025-03-17T00:00:00"/>
    <n v="15017868.4"/>
    <s v="CARIGNANO RAUL JUAN YERBA BUENA 14"/>
    <x v="203"/>
    <n v="15017868.4"/>
    <x v="34"/>
    <x v="1"/>
    <s v="pagado"/>
    <s v="pagado"/>
    <x v="0"/>
  </r>
  <r>
    <n v="3000000400"/>
    <d v="2025-03-17T00:00:00"/>
    <n v="18000000"/>
    <s v="AYALA WALTER DANIEL ALDERETES 14"/>
    <x v="204"/>
    <n v="18000000"/>
    <x v="33"/>
    <x v="1"/>
    <s v="pagado"/>
    <s v="pagado"/>
    <x v="0"/>
  </r>
  <r>
    <n v="3000000400"/>
    <d v="2025-03-17T00:00:00"/>
    <n v="15839448.83"/>
    <s v="AYALA WALTER DANIEL ALDERETES 14"/>
    <x v="205"/>
    <n v="15839448.83"/>
    <x v="34"/>
    <x v="1"/>
    <s v="pagado"/>
    <s v="pagado"/>
    <x v="0"/>
  </r>
  <r>
    <n v="3000000401"/>
    <d v="2025-03-17T00:00:00"/>
    <n v="10000000"/>
    <s v="TRANSPORTE Y LOGISTICA DEL ESTLAS CEJAS 14"/>
    <x v="206"/>
    <n v="10000000"/>
    <x v="33"/>
    <x v="1"/>
    <s v="pagado"/>
    <s v="pagado"/>
    <x v="0"/>
  </r>
  <r>
    <n v="3000000401"/>
    <d v="2025-03-17T00:00:00"/>
    <n v="9215558.9700000007"/>
    <s v="TRANSPORTE Y LOGISTICA DEL ESTLAS CEJAS 14"/>
    <x v="207"/>
    <n v="9215558.9700000007"/>
    <x v="34"/>
    <x v="1"/>
    <s v="pagado"/>
    <s v="pagado"/>
    <x v="0"/>
  </r>
  <r>
    <n v="3000000403"/>
    <d v="2025-03-17T00:00:00"/>
    <n v="13000000"/>
    <s v="FLETES Y SERVICIOS PUJATO S.A PUJATO 12"/>
    <x v="208"/>
    <n v="13000000"/>
    <x v="33"/>
    <x v="1"/>
    <s v="pagado"/>
    <s v="pagado"/>
    <x v="0"/>
  </r>
  <r>
    <n v="3000000403"/>
    <d v="2025-03-17T00:00:00"/>
    <n v="12146623.310000001"/>
    <s v="FLETES Y SERVICIOS PUJATO S.A PUJATO 12"/>
    <x v="209"/>
    <n v="12146623.310000001"/>
    <x v="34"/>
    <x v="1"/>
    <s v="pagado"/>
    <s v="pagado"/>
    <x v="0"/>
  </r>
  <r>
    <n v="3000000405"/>
    <d v="2025-03-17T00:00:00"/>
    <n v="7208101"/>
    <s v="AYALA HERNAN OSVALDO SAN MIGUEL DE TUCUMAN 14"/>
    <x v="210"/>
    <n v="7208101"/>
    <x v="33"/>
    <x v="1"/>
    <s v="pagado"/>
    <s v="pagado"/>
    <x v="0"/>
  </r>
  <r>
    <n v="3000000405"/>
    <d v="2025-03-17T00:00:00"/>
    <n v="18687162.399999999"/>
    <s v="AYALA HERNAN OSVALDO SAN MIGUEL DE TUCUMAN 14"/>
    <x v="211"/>
    <n v="18687162.399999999"/>
    <x v="34"/>
    <x v="1"/>
    <s v="pagado"/>
    <s v="pagado"/>
    <x v="0"/>
  </r>
  <r>
    <n v="3000000395"/>
    <d v="2025-03-17T00:00:00"/>
    <n v="3640830.9"/>
    <s v="PIAZZA OSCAR ESTEBAN SAN MIGUEL DE TUCUMAN 14"/>
    <x v="212"/>
    <n v="3640830.9"/>
    <x v="33"/>
    <x v="1"/>
    <s v="pagado"/>
    <s v="pagado"/>
    <x v="0"/>
  </r>
  <r>
    <n v="3000000396"/>
    <d v="2025-03-17T00:00:00"/>
    <n v="9457422.1999999993"/>
    <s v="Pulverizaciones Tuninetti S.R.Las Rosas 01"/>
    <x v="213"/>
    <n v="9457422.1999999993"/>
    <x v="33"/>
    <x v="1"/>
    <s v="pagado"/>
    <s v="pagado"/>
    <x v="0"/>
  </r>
  <r>
    <n v="3000000397"/>
    <d v="2025-03-17T00:00:00"/>
    <n v="5586407.9000000004"/>
    <s v="SUAREZ GABRIEL SEBASTIAN SANTIAGO DEL ESTERO 13"/>
    <x v="214"/>
    <n v="5586407.9000000004"/>
    <x v="33"/>
    <x v="1"/>
    <s v="pagado"/>
    <s v="pagado"/>
    <x v="0"/>
  </r>
  <r>
    <n v="3000000402"/>
    <d v="2025-03-17T00:00:00"/>
    <n v="8531433.1500000004"/>
    <s v="SAN LORENZO CEREALES S.R.L SAN LORENZO 12"/>
    <x v="215"/>
    <n v="8531433.1500000004"/>
    <x v="33"/>
    <x v="1"/>
    <s v="pagado"/>
    <s v="pagado"/>
    <x v="0"/>
  </r>
  <r>
    <n v="3000000404"/>
    <d v="2025-03-17T00:00:00"/>
    <n v="14011767.74"/>
    <s v="TRANSPORTE BARBERAN HNOS SRL CHABAS 12"/>
    <x v="216"/>
    <n v="14011767.74"/>
    <x v="33"/>
    <x v="1"/>
    <s v="pagado"/>
    <s v="pagado"/>
    <x v="0"/>
  </r>
  <r>
    <n v="3000000414"/>
    <d v="2025-03-18T00:00:00"/>
    <n v="42816564.740000002"/>
    <s v="RODRIGUEZ NESTOR HORACIO YERBA BUENA 14"/>
    <x v="217"/>
    <n v="42816564.740000002"/>
    <x v="35"/>
    <x v="1"/>
    <s v="pagado"/>
    <s v="pagado"/>
    <x v="0"/>
  </r>
  <r>
    <n v="3000000420"/>
    <d v="2025-03-20T00:00:00"/>
    <n v="6561563"/>
    <s v="AGROTRANSPORTE ALDAO S.A. CAMILO ALDAO 03"/>
    <x v="218"/>
    <n v="6561563"/>
    <x v="36"/>
    <x v="1"/>
    <s v="pagado"/>
    <s v="pagado"/>
    <x v="0"/>
  </r>
  <r>
    <n v="3000000421"/>
    <d v="2025-03-20T00:00:00"/>
    <n v="3108226.38"/>
    <s v="TRANSPORTE Y LOGISTICA DEL ESTLAS CEJAS 14"/>
    <x v="219"/>
    <n v="3108226.38"/>
    <x v="36"/>
    <x v="1"/>
    <s v="pagado"/>
    <s v="pagado"/>
    <x v="0"/>
  </r>
  <r>
    <n v="3000000422"/>
    <d v="2025-03-20T00:00:00"/>
    <n v="2945459.8"/>
    <s v="LANGELLA JUAN RODOLFO ALDERETES 14"/>
    <x v="220"/>
    <n v="2945459.8"/>
    <x v="36"/>
    <x v="1"/>
    <s v="pagado"/>
    <s v="pagado"/>
    <x v="0"/>
  </r>
  <r>
    <n v="3000000423"/>
    <d v="2025-03-20T00:00:00"/>
    <n v="2968761.24"/>
    <s v="MOYANO JULIO CESAR BANDA DEL RIO SALI 14"/>
    <x v="221"/>
    <n v="2968761.24"/>
    <x v="36"/>
    <x v="1"/>
    <s v="pagado"/>
    <s v="pagado"/>
    <x v="0"/>
  </r>
  <r>
    <n v="3000000424"/>
    <d v="2025-03-20T00:00:00"/>
    <n v="7046108.5"/>
    <s v="TRANSPORTE BARBERAN HNOS SRL CHABAS 12"/>
    <x v="222"/>
    <n v="7046108.5"/>
    <x v="36"/>
    <x v="1"/>
    <s v="pagado"/>
    <s v="pagado"/>
    <x v="0"/>
  </r>
  <r>
    <n v="3000000436"/>
    <d v="2025-03-25T00:00:00"/>
    <n v="8000000"/>
    <s v="ZALAZAR ATTIS LOURDES NOEMI NUEVA ESPERANZA 13"/>
    <x v="223"/>
    <n v="8000000"/>
    <x v="37"/>
    <x v="1"/>
    <s v="pagado"/>
    <s v="pagado"/>
    <x v="0"/>
  </r>
  <r>
    <n v="3000000436"/>
    <d v="2025-03-25T00:00:00"/>
    <n v="8226073.7199999997"/>
    <s v="ZALAZAR ATTIS LOURDES NOEMI NUEVA ESPERANZA 13"/>
    <x v="224"/>
    <n v="8226073.7199999997"/>
    <x v="38"/>
    <x v="1"/>
    <s v="pagado"/>
    <s v="pagado"/>
    <x v="0"/>
  </r>
  <r>
    <n v="3000000439"/>
    <d v="2025-03-25T00:00:00"/>
    <n v="7000000"/>
    <s v="OLGUIN MARIO ROBERTO ETRURIA 03"/>
    <x v="225"/>
    <n v="7000000"/>
    <x v="37"/>
    <x v="1"/>
    <s v="pagado"/>
    <s v="pagado"/>
    <x v="0"/>
  </r>
  <r>
    <n v="3000000439"/>
    <d v="2025-03-25T00:00:00"/>
    <n v="7865003.4000000004"/>
    <s v="OLGUIN MARIO ROBERTO ETRURIA 03"/>
    <x v="226"/>
    <n v="7865003.4000000004"/>
    <x v="38"/>
    <x v="1"/>
    <s v="pagado"/>
    <s v="pagado"/>
    <x v="0"/>
  </r>
  <r>
    <n v="3000000441"/>
    <d v="2025-03-25T00:00:00"/>
    <n v="8000000"/>
    <s v="Romero, Hector Ruben Alpachiri 14"/>
    <x v="227"/>
    <n v="8000000"/>
    <x v="37"/>
    <x v="1"/>
    <s v="pagado"/>
    <s v="pagado"/>
    <x v="0"/>
  </r>
  <r>
    <n v="3000000441"/>
    <d v="2025-03-25T00:00:00"/>
    <n v="8096328.8700000001"/>
    <s v="Romero, Hector Ruben Alpachiri 14"/>
    <x v="228"/>
    <n v="8096328.8700000001"/>
    <x v="38"/>
    <x v="1"/>
    <s v="pagado"/>
    <s v="pagado"/>
    <x v="0"/>
  </r>
  <r>
    <n v="3000000437"/>
    <d v="2025-03-25T00:00:00"/>
    <n v="7214873.04"/>
    <s v="RODRIGUEZ NESTOR HORACIO YERBA BUENA 14"/>
    <x v="229"/>
    <n v="7214873.04"/>
    <x v="37"/>
    <x v="1"/>
    <s v="pagado"/>
    <s v="pagado"/>
    <x v="0"/>
  </r>
  <r>
    <n v="3000000438"/>
    <d v="2025-03-25T00:00:00"/>
    <n v="6814140.4199999999"/>
    <s v="AYALA WALTER DANIEL ALDERETES 14"/>
    <x v="230"/>
    <n v="6814140.4199999999"/>
    <x v="37"/>
    <x v="1"/>
    <s v="pagado"/>
    <s v="pagado"/>
    <x v="0"/>
  </r>
  <r>
    <n v="3000000440"/>
    <d v="2025-03-25T00:00:00"/>
    <n v="8236282.5700000003"/>
    <s v="E y Po SRL CONCEPCION 14"/>
    <x v="231"/>
    <n v="8236282.5700000003"/>
    <x v="37"/>
    <x v="1"/>
    <s v="pagado"/>
    <s v="pagado"/>
    <x v="0"/>
  </r>
  <r>
    <n v="3000000453"/>
    <d v="2025-03-27T00:00:00"/>
    <n v="2000000"/>
    <s v="Pulmajo S.R.L. CONCEPCION 14"/>
    <x v="232"/>
    <n v="2000000"/>
    <x v="39"/>
    <x v="0"/>
    <s v="pagado"/>
    <s v="pagado"/>
    <x v="0"/>
  </r>
  <r>
    <n v="3000000453"/>
    <d v="2025-03-27T00:00:00"/>
    <n v="2000000"/>
    <s v="Pulmajo S.R.L. CONCEPCION 14"/>
    <x v="233"/>
    <n v="2000000"/>
    <x v="39"/>
    <x v="0"/>
    <s v="pagado"/>
    <s v="pagado"/>
    <x v="0"/>
  </r>
  <r>
    <n v="3000000453"/>
    <d v="2025-03-27T00:00:00"/>
    <n v="2000000"/>
    <s v="Pulmajo S.R.L. CONCEPCION 14"/>
    <x v="234"/>
    <n v="2000000"/>
    <x v="39"/>
    <x v="0"/>
    <s v="pagado"/>
    <s v="pagado"/>
    <x v="0"/>
  </r>
  <r>
    <n v="3000000453"/>
    <d v="2025-03-27T00:00:00"/>
    <n v="1357589.55"/>
    <s v="Pulmajo S.R.L. CONCEPCION 14"/>
    <x v="235"/>
    <n v="1357589.55"/>
    <x v="39"/>
    <x v="0"/>
    <s v="pagado"/>
    <s v="pagado"/>
    <x v="0"/>
  </r>
  <r>
    <n v="3000000454"/>
    <d v="2025-03-31T00:00:00"/>
    <n v="1078222"/>
    <s v="Ruiz Bejar SRL SAN MIGUEL DE TUCUMAN 14"/>
    <x v="236"/>
    <n v="1078222"/>
    <x v="40"/>
    <x v="1"/>
    <s v="pagado"/>
    <s v="pagado"/>
    <x v="0"/>
  </r>
  <r>
    <n v="3000000455"/>
    <d v="2025-03-31T00:00:00"/>
    <n v="2471040"/>
    <s v="PAIS WALTER LUIS SAN MIGUEL DE TUCUMAN 14"/>
    <x v="237"/>
    <n v="2471040"/>
    <x v="40"/>
    <x v="1"/>
    <s v="pagado"/>
    <s v="pagado"/>
    <x v="0"/>
  </r>
  <r>
    <n v="3000000456"/>
    <d v="2025-03-31T00:00:00"/>
    <n v="2086875"/>
    <s v="FERNANDEZ HECTOR JOSE SIMOCA 14"/>
    <x v="238"/>
    <n v="2086875"/>
    <x v="40"/>
    <x v="1"/>
    <s v="pagado"/>
    <s v="pagado"/>
    <x v="0"/>
  </r>
  <r>
    <n v="3000000457"/>
    <d v="2025-03-31T00:00:00"/>
    <n v="10623911.189999999"/>
    <s v="JAVIER EDUARDO PRADO FLORIDA 13"/>
    <x v="239"/>
    <n v="10623911.189999999"/>
    <x v="40"/>
    <x v="1"/>
    <s v="pagado"/>
    <s v="pagado"/>
    <x v="0"/>
  </r>
  <r>
    <n v="3000000458"/>
    <d v="2025-03-31T00:00:00"/>
    <n v="3424976"/>
    <s v="LOGISTICA DEL NORTE S.R.L. SAN MIGUEL DE TUCUMAN 14"/>
    <x v="240"/>
    <n v="3424976"/>
    <x v="40"/>
    <x v="1"/>
    <s v="pagado"/>
    <s v="pagado"/>
    <x v="0"/>
  </r>
  <r>
    <n v="3000000459"/>
    <d v="2025-04-01T00:00:00"/>
    <n v="20000000"/>
    <s v="Gulf Oil Argentina SA Lomas Del Mirador 01"/>
    <x v="241"/>
    <n v="20000000"/>
    <x v="41"/>
    <x v="1"/>
    <s v="pagado"/>
    <s v="pagado"/>
    <x v="0"/>
  </r>
  <r>
    <n v="3000000459"/>
    <d v="2025-04-01T00:00:00"/>
    <n v="19829946.559999999"/>
    <s v="Gulf Oil Argentina SA Lomas Del Mirador 01"/>
    <x v="242"/>
    <n v="19829946.559999999"/>
    <x v="42"/>
    <x v="1"/>
    <s v="pagado"/>
    <s v="pagado"/>
    <x v="0"/>
  </r>
  <r>
    <n v="3000000478"/>
    <d v="2025-04-07T00:00:00"/>
    <n v="8391143.0899999999"/>
    <s v="EMPRENDIMIENTOS ASSUN S.A. SANTIAGO DEL ESTERO 13"/>
    <x v="243"/>
    <n v="8391143.0899999999"/>
    <x v="43"/>
    <x v="1"/>
    <s v="pagado"/>
    <s v="pagado"/>
    <x v="0"/>
  </r>
  <r>
    <n v="3000000479"/>
    <d v="2025-04-07T00:00:00"/>
    <n v="3490589.04"/>
    <s v="Monsanto Argentina SRL CAPITAL FEDERAL 00"/>
    <x v="244"/>
    <n v="3490589.04"/>
    <x v="43"/>
    <x v="1"/>
    <s v="pagado"/>
    <s v="pagado"/>
    <x v="0"/>
  </r>
  <r>
    <n v="3000000480"/>
    <d v="2025-04-07T00:00:00"/>
    <n v="2701185.4"/>
    <s v="VERON MARIANA BEATRIZ NUEVA ESPERANZA 13"/>
    <x v="245"/>
    <n v="2701185.4"/>
    <x v="43"/>
    <x v="1"/>
    <s v="no pagado"/>
    <s v="fuera de fecha"/>
    <x v="0"/>
  </r>
  <r>
    <n v="3000000481"/>
    <d v="2025-04-07T00:00:00"/>
    <n v="2150060.8199999998"/>
    <s v="CORTEVA AGRISCIENCE ARGENTINA CIUDAD AUTONOMA DE BUENOS AIRES 01"/>
    <x v="246"/>
    <n v="2150060.8199999998"/>
    <x v="43"/>
    <x v="1"/>
    <s v="pagado"/>
    <s v="pagado"/>
    <x v="0"/>
  </r>
  <r>
    <n v="3000000482"/>
    <d v="2025-04-08T00:00:00"/>
    <n v="2981417.92"/>
    <s v="FERNANDEZ HECTOR JOSE SIMOCA 14"/>
    <x v="247"/>
    <n v="2981417.92"/>
    <x v="44"/>
    <x v="1"/>
    <s v="pagado"/>
    <s v="pagado"/>
    <x v="0"/>
  </r>
  <r>
    <n v="3000000483"/>
    <d v="2025-04-08T00:00:00"/>
    <n v="2751183.98"/>
    <s v="LANGELLA JUAN RODOLFO ALDERETES 14"/>
    <x v="248"/>
    <n v="2751183.98"/>
    <x v="44"/>
    <x v="1"/>
    <s v="pagado"/>
    <s v="pagado"/>
    <x v="0"/>
  </r>
  <r>
    <n v="3000000484"/>
    <d v="2025-04-08T00:00:00"/>
    <n v="6948188.6900000004"/>
    <s v="FLETES Y SERVICIOS PUJATO S.A PUJATO 12"/>
    <x v="249"/>
    <n v="6948188.6900000004"/>
    <x v="44"/>
    <x v="1"/>
    <s v="pagado"/>
    <s v="pagado"/>
    <x v="0"/>
  </r>
  <r>
    <n v="3000000471"/>
    <d v="2025-04-07T00:00:00"/>
    <n v="8000000"/>
    <s v="Laborda Carlos SAN MIGUEL DE TUCUMAN 14"/>
    <x v="250"/>
    <n v="8000000"/>
    <x v="43"/>
    <x v="0"/>
    <s v="pagado"/>
    <s v="pagado"/>
    <x v="0"/>
  </r>
  <r>
    <n v="3000000471"/>
    <d v="2025-04-07T00:00:00"/>
    <n v="500000"/>
    <s v="Laborda Carlos SAN MIGUEL DE TUCUMAN 14"/>
    <x v="251"/>
    <n v="500000"/>
    <x v="43"/>
    <x v="0"/>
    <s v="pagado"/>
    <s v="pagado"/>
    <x v="0"/>
  </r>
  <r>
    <n v="3000000471"/>
    <d v="2025-04-07T00:00:00"/>
    <n v="500000"/>
    <s v="Laborda Carlos SAN MIGUEL DE TUCUMAN 14"/>
    <x v="252"/>
    <n v="500000"/>
    <x v="43"/>
    <x v="0"/>
    <s v="pagado"/>
    <s v="pagado"/>
    <x v="0"/>
  </r>
  <r>
    <n v="3000000471"/>
    <d v="2025-04-07T00:00:00"/>
    <n v="500000"/>
    <s v="Laborda Carlos SAN MIGUEL DE TUCUMAN 14"/>
    <x v="253"/>
    <n v="500000"/>
    <x v="43"/>
    <x v="0"/>
    <s v="pagado"/>
    <s v="pagado"/>
    <x v="0"/>
  </r>
  <r>
    <n v="3000000471"/>
    <d v="2025-04-07T00:00:00"/>
    <n v="500000"/>
    <s v="Laborda Carlos SAN MIGUEL DE TUCUMAN 14"/>
    <x v="254"/>
    <n v="500000"/>
    <x v="43"/>
    <x v="0"/>
    <s v="pagado"/>
    <s v="pagado"/>
    <x v="0"/>
  </r>
  <r>
    <n v="3000000471"/>
    <d v="2025-04-07T00:00:00"/>
    <n v="500000"/>
    <s v="Laborda Carlos SAN MIGUEL DE TUCUMAN 14"/>
    <x v="255"/>
    <n v="500000"/>
    <x v="43"/>
    <x v="0"/>
    <s v="pagado"/>
    <s v="pagado"/>
    <x v="0"/>
  </r>
  <r>
    <n v="3000000471"/>
    <d v="2025-04-07T00:00:00"/>
    <n v="300000"/>
    <s v="Laborda Carlos SAN MIGUEL DE TUCUMAN 14"/>
    <x v="256"/>
    <n v="300000"/>
    <x v="43"/>
    <x v="0"/>
    <s v="pagado"/>
    <s v="pagado"/>
    <x v="0"/>
  </r>
  <r>
    <n v="3000000471"/>
    <d v="2025-04-07T00:00:00"/>
    <n v="300000"/>
    <s v="Laborda Carlos SAN MIGUEL DE TUCUMAN 14"/>
    <x v="257"/>
    <n v="300000"/>
    <x v="43"/>
    <x v="0"/>
    <s v="pagado"/>
    <s v="pagado"/>
    <x v="0"/>
  </r>
  <r>
    <n v="3000000471"/>
    <d v="2025-04-07T00:00:00"/>
    <n v="300000"/>
    <s v="Laborda Carlos SAN MIGUEL DE TUCUMAN 14"/>
    <x v="258"/>
    <n v="300000"/>
    <x v="43"/>
    <x v="0"/>
    <s v="pagado"/>
    <s v="pagado"/>
    <x v="0"/>
  </r>
  <r>
    <n v="3000000471"/>
    <d v="2025-04-07T00:00:00"/>
    <n v="300000"/>
    <s v="Laborda Carlos SAN MIGUEL DE TUCUMAN 14"/>
    <x v="259"/>
    <n v="300000"/>
    <x v="43"/>
    <x v="0"/>
    <s v="pagado"/>
    <s v="pagado"/>
    <x v="0"/>
  </r>
  <r>
    <n v="3000000471"/>
    <d v="2025-04-07T00:00:00"/>
    <n v="300000"/>
    <s v="Laborda Carlos SAN MIGUEL DE TUCUMAN 14"/>
    <x v="260"/>
    <n v="300000"/>
    <x v="43"/>
    <x v="0"/>
    <s v="pagado"/>
    <s v="pagado"/>
    <x v="0"/>
  </r>
  <r>
    <n v="3000000471"/>
    <d v="2025-04-07T00:00:00"/>
    <n v="113443.4"/>
    <s v="Laborda Carlos SAN MIGUEL DE TUCUMAN 14"/>
    <x v="261"/>
    <n v="113443.4"/>
    <x v="43"/>
    <x v="0"/>
    <s v="pagado"/>
    <s v="pagado"/>
    <x v="0"/>
  </r>
  <r>
    <n v="3000000499"/>
    <d v="2025-04-11T00:00:00"/>
    <n v="670042.30000000005"/>
    <s v=". tucumán"/>
    <x v="262"/>
    <n v="670042.30000000005"/>
    <x v="45"/>
    <x v="0"/>
    <s v="pagado"/>
    <s v="pagado"/>
    <x v="0"/>
  </r>
  <r>
    <n v="3000000512"/>
    <d v="2025-04-15T00:00:00"/>
    <n v="12698470"/>
    <s v="EDET S.A. SAN MIGUEL DE TUCUMAN 14"/>
    <x v="263"/>
    <n v="12698470"/>
    <x v="46"/>
    <x v="0"/>
    <s v="pagado"/>
    <s v="pagado"/>
    <x v="0"/>
  </r>
  <r>
    <n v="3000000525"/>
    <d v="2025-04-16T00:00:00"/>
    <n v="193651920"/>
    <s v="GRUPO MARGEN DEL NOA SA YERBA BUENA 14"/>
    <x v="264"/>
    <n v="193651920"/>
    <x v="47"/>
    <x v="1"/>
    <s v="pagado"/>
    <s v="pagado"/>
    <x v="0"/>
  </r>
  <r>
    <n v="3000000525"/>
    <d v="2025-04-16T00:00:00"/>
    <n v="30000000"/>
    <s v="GRUPO MARGEN DEL NOA SA YERBA BUENA 14"/>
    <x v="265"/>
    <n v="30000000"/>
    <x v="47"/>
    <x v="1"/>
    <s v="pagado"/>
    <s v="pagado"/>
    <x v="0"/>
  </r>
  <r>
    <n v="3000000525"/>
    <d v="2025-04-16T00:00:00"/>
    <n v="29623928.539999999"/>
    <s v="GRUPO MARGEN DEL NOA SA YERBA BUENA 14"/>
    <x v="266"/>
    <n v="29623928.539999999"/>
    <x v="48"/>
    <x v="1"/>
    <s v="pagado"/>
    <s v="pagado"/>
    <x v="0"/>
  </r>
  <r>
    <n v="3000000528"/>
    <d v="2025-04-16T00:00:00"/>
    <n v="15000000"/>
    <s v="VERON MARIANA BEATRIZ NUEVA ESPERANZA 13"/>
    <x v="267"/>
    <n v="15000000"/>
    <x v="47"/>
    <x v="1"/>
    <s v="pagado"/>
    <s v="pagado"/>
    <x v="0"/>
  </r>
  <r>
    <n v="3000000528"/>
    <d v="2025-04-16T00:00:00"/>
    <n v="15857316.6"/>
    <s v="VERON MARIANA BEATRIZ NUEVA ESPERANZA 13"/>
    <x v="268"/>
    <n v="15857316.6"/>
    <x v="48"/>
    <x v="1"/>
    <s v="pagado"/>
    <s v="pagado"/>
    <x v="0"/>
  </r>
  <r>
    <n v="3000000529"/>
    <d v="2025-04-16T00:00:00"/>
    <n v="15000000"/>
    <s v="Medina Lauro Jose Las Cejas 14"/>
    <x v="269"/>
    <n v="15000000"/>
    <x v="47"/>
    <x v="1"/>
    <s v="pagado"/>
    <s v="pagado"/>
    <x v="0"/>
  </r>
  <r>
    <n v="3000000529"/>
    <d v="2025-04-16T00:00:00"/>
    <n v="10899797.85"/>
    <s v="Medina Lauro Jose Las Cejas 14"/>
    <x v="270"/>
    <n v="10899797.85"/>
    <x v="48"/>
    <x v="1"/>
    <s v="pagado"/>
    <s v="pagado"/>
    <x v="0"/>
  </r>
  <r>
    <n v="3000000526"/>
    <d v="2025-04-16T00:00:00"/>
    <n v="11465296.449999999"/>
    <s v="RODRIGUEZ NESTOR HORACIO YERBA BUENA 14"/>
    <x v="271"/>
    <n v="11465296.449999999"/>
    <x v="47"/>
    <x v="1"/>
    <s v="pagado"/>
    <s v="pagado"/>
    <x v="0"/>
  </r>
  <r>
    <n v="3000000527"/>
    <d v="2025-04-16T00:00:00"/>
    <n v="4633382"/>
    <s v="ROMAN BARCELO Y JORGE CARRERASLAS LAJITAS 09"/>
    <x v="272"/>
    <n v="4633382"/>
    <x v="47"/>
    <x v="1"/>
    <s v="pagado"/>
    <s v="pagado"/>
    <x v="0"/>
  </r>
  <r>
    <n v="3000000530"/>
    <d v="2025-04-16T00:00:00"/>
    <n v="4305453"/>
    <s v="IBAÑEZ MAXIMILIANO DAVID JUAN BAUTISTA ALBERDI 14"/>
    <x v="273"/>
    <n v="4305453"/>
    <x v="47"/>
    <x v="1"/>
    <s v="pagado"/>
    <s v="pagado"/>
    <x v="0"/>
  </r>
  <r>
    <n v="3000000531"/>
    <d v="2025-04-16T00:00:00"/>
    <n v="11306156.9"/>
    <s v="SUAREZ GABRIEL SEBASTIAN SANTIAGO DEL ESTERO 13"/>
    <x v="274"/>
    <n v="11306156.9"/>
    <x v="47"/>
    <x v="1"/>
    <s v="pagado"/>
    <s v="pagado"/>
    <x v="0"/>
  </r>
  <r>
    <n v="3000000532"/>
    <d v="2025-04-16T00:00:00"/>
    <n v="28087500"/>
    <s v="DON KOKO S.R.L CAMILO ALDAO 03"/>
    <x v="275"/>
    <n v="28087500"/>
    <x v="46"/>
    <x v="0"/>
    <s v="pagado"/>
    <s v="pagado"/>
    <x v="0"/>
  </r>
  <r>
    <n v="3000000532"/>
    <d v="2025-04-16T00:00:00"/>
    <n v="28087500"/>
    <s v="DON KOKO S.R.L CAMILO ALDAO 03"/>
    <x v="276"/>
    <n v="28087500"/>
    <x v="46"/>
    <x v="0"/>
    <s v="pagado"/>
    <s v="pagado"/>
    <x v="0"/>
  </r>
  <r>
    <n v="3000000543"/>
    <d v="2025-04-22T00:00:00"/>
    <n v="8000000"/>
    <s v="Pulmajo S.R.L. CONCEPCION 14"/>
    <x v="277"/>
    <n v="8000000"/>
    <x v="48"/>
    <x v="1"/>
    <s v="pagado"/>
    <s v="pagado"/>
    <x v="0"/>
  </r>
  <r>
    <n v="3000000543"/>
    <d v="2025-04-22T00:00:00"/>
    <n v="8314869.75"/>
    <s v="Pulmajo S.R.L. CONCEPCION 14"/>
    <x v="278"/>
    <n v="8314869.75"/>
    <x v="49"/>
    <x v="1"/>
    <s v="pagado"/>
    <s v="pagado"/>
    <x v="0"/>
  </r>
  <r>
    <n v="3000000540"/>
    <d v="2025-04-22T00:00:00"/>
    <n v="6487780.1900000004"/>
    <s v="Medina Lauro Jose Las Cejas 14"/>
    <x v="279"/>
    <n v="6487780.1900000004"/>
    <x v="48"/>
    <x v="1"/>
    <s v="pagado"/>
    <s v="pagado"/>
    <x v="0"/>
  </r>
  <r>
    <n v="3000000541"/>
    <d v="2025-04-22T00:00:00"/>
    <n v="13665667.15"/>
    <s v="LIZONDO OSCAR FABIAN METAN 09"/>
    <x v="280"/>
    <n v="13665667.15"/>
    <x v="48"/>
    <x v="1"/>
    <s v="pagado"/>
    <s v="pagado"/>
    <x v="0"/>
  </r>
  <r>
    <n v="3000000542"/>
    <d v="2025-04-22T00:00:00"/>
    <n v="14987333.4"/>
    <s v="ZALAZAR ATTIS LOURDES NOEMI NUEVA ESPERANZA 13"/>
    <x v="281"/>
    <n v="14987333.4"/>
    <x v="48"/>
    <x v="1"/>
    <s v="pagado"/>
    <s v="pagado"/>
    <x v="0"/>
  </r>
  <r>
    <n v="3000000544"/>
    <d v="2025-04-22T00:00:00"/>
    <n v="2845691.75"/>
    <s v="Pulmajo S.R.L. CONCEPCION 14"/>
    <x v="282"/>
    <n v="2845691.75"/>
    <x v="48"/>
    <x v="1"/>
    <s v="pagado"/>
    <s v="pagado"/>
    <x v="0"/>
  </r>
  <r>
    <n v="3000000582"/>
    <d v="2025-04-29T00:00:00"/>
    <n v="474400"/>
    <s v="Laborda Carlos SAN MIGUEL DE TUCUMAN 14"/>
    <x v="283"/>
    <n v="474400"/>
    <x v="50"/>
    <x v="0"/>
    <s v="pagado"/>
    <s v="pagado"/>
    <x v="0"/>
  </r>
  <r>
    <n v="3000000582"/>
    <d v="2025-04-29T00:00:00"/>
    <n v="474400"/>
    <s v="Laborda Carlos SAN MIGUEL DE TUCUMAN 14"/>
    <x v="284"/>
    <n v="474400"/>
    <x v="50"/>
    <x v="0"/>
    <s v="pagado"/>
    <s v="pagado"/>
    <x v="0"/>
  </r>
  <r>
    <n v="3000000582"/>
    <d v="2025-04-29T00:00:00"/>
    <n v="170000"/>
    <s v="Laborda Carlos SAN MIGUEL DE TUCUMAN 14"/>
    <x v="285"/>
    <n v="170000"/>
    <x v="50"/>
    <x v="0"/>
    <s v="pagado"/>
    <s v="pagado"/>
    <x v="0"/>
  </r>
  <r>
    <n v="3000000582"/>
    <d v="2025-04-29T00:00:00"/>
    <n v="200000"/>
    <s v="Laborda Carlos SAN MIGUEL DE TUCUMAN 14"/>
    <x v="286"/>
    <n v="200000"/>
    <x v="50"/>
    <x v="0"/>
    <s v="pagado"/>
    <s v="pagado"/>
    <x v="0"/>
  </r>
  <r>
    <n v="1200000414"/>
    <d v="2025-04-29T00:00:00"/>
    <n v="3411298.5"/>
    <s v="Cheque de terceros tucumán"/>
    <x v="287"/>
    <n v="3411298.5"/>
    <x v="51"/>
    <x v="1"/>
    <s v="pagado"/>
    <s v="pagado"/>
    <x v="0"/>
  </r>
  <r>
    <n v="1200000414"/>
    <d v="2025-04-29T00:00:00"/>
    <n v="4288213.4000000004"/>
    <s v="Cheque de terceros tucumán"/>
    <x v="288"/>
    <n v="4288213.4000000004"/>
    <x v="51"/>
    <x v="1"/>
    <s v="pagado"/>
    <s v="pagado"/>
    <x v="0"/>
  </r>
  <r>
    <n v="1200000414"/>
    <d v="2025-04-29T00:00:00"/>
    <n v="12641535.58"/>
    <s v="Cheque de terceros tucumán"/>
    <x v="289"/>
    <n v="12641535.58"/>
    <x v="52"/>
    <x v="1"/>
    <s v="pagado"/>
    <s v="pagado"/>
    <x v="0"/>
  </r>
  <r>
    <n v="1200000414"/>
    <d v="2025-04-29T00:00:00"/>
    <n v="45991454.549999997"/>
    <s v="Cheque de terceros tucumán"/>
    <x v="290"/>
    <n v="45991454.549999997"/>
    <x v="52"/>
    <x v="1"/>
    <s v="pagado"/>
    <s v="pagado"/>
    <x v="0"/>
  </r>
  <r>
    <n v="3000000583"/>
    <d v="2025-04-29T00:00:00"/>
    <n v="14296925.4"/>
    <s v="LOS LAURELES SERVICIOS AGRICOLSan Miguel De Tucuman 14"/>
    <x v="291"/>
    <n v="14296925.4"/>
    <x v="53"/>
    <x v="1"/>
    <s v="pagado"/>
    <s v="pagado"/>
    <x v="0"/>
  </r>
  <r>
    <n v="3000000584"/>
    <d v="2025-04-29T00:00:00"/>
    <n v="33084275.699999999"/>
    <s v="ROMAN BARCELO Y JORGE CARRERASLAS LAJITAS 09"/>
    <x v="292"/>
    <n v="33084275.699999999"/>
    <x v="51"/>
    <x v="1"/>
    <s v="pagado"/>
    <s v="pagado"/>
    <x v="0"/>
  </r>
  <r>
    <n v="3000000585"/>
    <d v="2025-04-29T00:00:00"/>
    <n v="9993892.3599999994"/>
    <s v="PETROANDINA S.R.L SALTA 09"/>
    <x v="293"/>
    <n v="9993892.3599999994"/>
    <x v="53"/>
    <x v="1"/>
    <s v="pagado"/>
    <s v="pagado"/>
    <x v="0"/>
  </r>
  <r>
    <n v="3000000586"/>
    <d v="2025-04-29T00:00:00"/>
    <n v="28999682.719999999"/>
    <s v="FLETES Y SERVICIOS PUJATO S.A PUJATO 12"/>
    <x v="294"/>
    <n v="28999682.719999999"/>
    <x v="51"/>
    <x v="1"/>
    <s v="pagado"/>
    <s v="pagado"/>
    <x v="0"/>
  </r>
  <r>
    <n v="3000000587"/>
    <d v="2025-04-29T00:00:00"/>
    <n v="5951965.6500000004"/>
    <s v="TS OASIS SRL BANDA DEL RIO SALI 14"/>
    <x v="295"/>
    <n v="5951965.6500000004"/>
    <x v="53"/>
    <x v="1"/>
    <s v="pagado"/>
    <s v="pagado"/>
    <x v="0"/>
  </r>
  <r>
    <n v="3000000589"/>
    <d v="2025-04-29T00:00:00"/>
    <n v="8807343.4000000004"/>
    <s v="GOMEZ MANUEL ARCENIO METAN 09"/>
    <x v="296"/>
    <n v="8807343.4000000004"/>
    <x v="53"/>
    <x v="1"/>
    <s v="pagado"/>
    <s v="pagado"/>
    <x v="0"/>
  </r>
  <r>
    <n v="3000000590"/>
    <d v="2025-04-29T00:00:00"/>
    <n v="11279571.4"/>
    <s v="MARIA FERNANDA SRL LA TRINIDAD 14"/>
    <x v="297"/>
    <n v="11279571.4"/>
    <x v="53"/>
    <x v="1"/>
    <s v="pagado"/>
    <s v="pagado"/>
    <x v="0"/>
  </r>
  <r>
    <n v="3000000591"/>
    <d v="2025-04-29T00:00:00"/>
    <n v="25602500"/>
    <s v="Medina Lauro Jose Las Cejas 14"/>
    <x v="298"/>
    <n v="25602500"/>
    <x v="51"/>
    <x v="1"/>
    <s v="pagado"/>
    <s v="pagado"/>
    <x v="0"/>
  </r>
  <r>
    <n v="3000000588"/>
    <d v="2025-04-29T00:00:00"/>
    <n v="19243310.199999999"/>
    <s v="Pulverizaciones Tuninetti S.R.Las Rosas 01"/>
    <x v="299"/>
    <n v="19243310.199999999"/>
    <x v="53"/>
    <x v="1"/>
    <s v="pagado"/>
    <s v="pagado"/>
    <x v="0"/>
  </r>
  <r>
    <n v="3000000596"/>
    <d v="2025-05-05T00:00:00"/>
    <n v="9548104.6799999997"/>
    <s v="EMPRENDIMIENTOS ASSUN S.A. SANTIAGO DEL ESTERO 13"/>
    <x v="300"/>
    <n v="9548104.6799999997"/>
    <x v="54"/>
    <x v="1"/>
    <s v="pagado"/>
    <s v="pagado"/>
    <x v="0"/>
  </r>
  <r>
    <n v="3000000597"/>
    <d v="2025-05-05T00:00:00"/>
    <n v="8588108.4000000004"/>
    <s v="GRUPO MARGEN DEL NOA SA YERBA BUENA 14"/>
    <x v="301"/>
    <n v="8588108.4000000004"/>
    <x v="54"/>
    <x v="1"/>
    <s v="pagado"/>
    <s v="pagado"/>
    <x v="0"/>
  </r>
  <r>
    <n v="3000000598"/>
    <d v="2025-05-05T00:00:00"/>
    <n v="7560893.4000000004"/>
    <s v="MARIA FERNANDA SRL LA TRINIDAD 14"/>
    <x v="302"/>
    <n v="7560893.4000000004"/>
    <x v="54"/>
    <x v="1"/>
    <s v="pagado"/>
    <s v="pagado"/>
    <x v="0"/>
  </r>
  <r>
    <n v="3000000599"/>
    <d v="2025-05-05T00:00:00"/>
    <n v="13210343.4"/>
    <s v="GOMEZ MANUEL ARCENIO METAN 09"/>
    <x v="303"/>
    <n v="13210343.4"/>
    <x v="55"/>
    <x v="1"/>
    <s v="pagado"/>
    <s v="pagado"/>
    <x v="0"/>
  </r>
  <r>
    <n v="3000000600"/>
    <d v="2025-05-05T00:00:00"/>
    <n v="9107142.4000000004"/>
    <s v="Suarez Elio Hernan Los altos 02"/>
    <x v="304"/>
    <n v="9107142.4000000004"/>
    <x v="55"/>
    <x v="1"/>
    <s v="pagado"/>
    <s v="pagado"/>
    <x v="0"/>
  </r>
  <r>
    <n v="3000000601"/>
    <d v="2025-05-05T00:00:00"/>
    <n v="7236463.5999999996"/>
    <s v="RODRIGUEZ NESTOR HORACIO YERBA BUENA 14"/>
    <x v="305"/>
    <n v="7236463.5999999996"/>
    <x v="54"/>
    <x v="1"/>
    <s v="pagado"/>
    <s v="pagado"/>
    <x v="0"/>
  </r>
  <r>
    <n v="3000000657"/>
    <d v="2025-05-14T00:00:00"/>
    <n v="22000000"/>
    <s v="AYALA WALTER DANIEL ALDERETES 14"/>
    <x v="306"/>
    <n v="22000000"/>
    <x v="41"/>
    <x v="1"/>
    <s v="pagado"/>
    <s v="pagado"/>
    <x v="0"/>
  </r>
  <r>
    <n v="3000000657"/>
    <d v="2025-05-14T00:00:00"/>
    <n v="22518406.57"/>
    <s v="AYALA WALTER DANIEL ALDERETES 14"/>
    <x v="307"/>
    <n v="22518406.57"/>
    <x v="56"/>
    <x v="1"/>
    <s v="pagado"/>
    <s v="pagado"/>
    <x v="0"/>
  </r>
  <r>
    <n v="3000000659"/>
    <d v="2025-05-14T00:00:00"/>
    <n v="23000000"/>
    <s v="GRUPO MARGEN DEL NOA SA YERBA BUENA 14"/>
    <x v="308"/>
    <n v="23000000"/>
    <x v="41"/>
    <x v="1"/>
    <s v="pagado"/>
    <s v="pagado"/>
    <x v="0"/>
  </r>
  <r>
    <n v="3000000659"/>
    <d v="2025-05-14T00:00:00"/>
    <n v="20602938.5"/>
    <s v="GRUPO MARGEN DEL NOA SA YERBA BUENA 14"/>
    <x v="309"/>
    <n v="20602938.5"/>
    <x v="56"/>
    <x v="1"/>
    <s v="pagado"/>
    <s v="pagado"/>
    <x v="0"/>
  </r>
  <r>
    <n v="3000000670"/>
    <d v="2025-05-14T00:00:00"/>
    <n v="11000000"/>
    <s v="LOGISTICA CENTRO S.R.L CORONDA 12"/>
    <x v="310"/>
    <n v="11000000"/>
    <x v="41"/>
    <x v="1"/>
    <s v="pagado"/>
    <s v="pagado"/>
    <x v="0"/>
  </r>
  <r>
    <n v="3000000670"/>
    <d v="2025-05-14T00:00:00"/>
    <n v="10940939.789999999"/>
    <s v="LOGISTICA CENTRO S.R.L CORONDA 12"/>
    <x v="311"/>
    <n v="10940939.789999999"/>
    <x v="56"/>
    <x v="1"/>
    <s v="pagado"/>
    <s v="pagado"/>
    <x v="0"/>
  </r>
  <r>
    <n v="3000000656"/>
    <d v="2025-05-14T00:00:00"/>
    <n v="7924488"/>
    <s v="LOS LAURELES SERVICIOS AGRICOLSan Miguel De Tucuman 14"/>
    <x v="312"/>
    <n v="7924488"/>
    <x v="41"/>
    <x v="1"/>
    <s v="pagado"/>
    <s v="pagado"/>
    <x v="0"/>
  </r>
  <r>
    <n v="3000000658"/>
    <d v="2025-05-14T00:00:00"/>
    <n v="9372943.4000000004"/>
    <s v="ZALAZAR ATTIS LOURDES NOEMI NUEVA ESPERANZA 13"/>
    <x v="313"/>
    <n v="9372943.4000000004"/>
    <x v="41"/>
    <x v="1"/>
    <s v="pagado"/>
    <s v="pagado"/>
    <x v="0"/>
  </r>
  <r>
    <n v="3000000660"/>
    <d v="2025-05-14T00:00:00"/>
    <n v="8236483.8499999996"/>
    <s v="Medina Lauro Jose Las Cejas 14"/>
    <x v="314"/>
    <n v="8236483.8499999996"/>
    <x v="41"/>
    <x v="1"/>
    <s v="pagado"/>
    <s v="pagado"/>
    <x v="0"/>
  </r>
  <r>
    <n v="3000000661"/>
    <d v="2025-05-14T00:00:00"/>
    <n v="10800711.4"/>
    <s v="VERON MARIANA BEATRIZ NUEVA ESPERANZA 13"/>
    <x v="315"/>
    <n v="10800711.4"/>
    <x v="41"/>
    <x v="1"/>
    <s v="pagado"/>
    <s v="pagado"/>
    <x v="0"/>
  </r>
  <r>
    <n v="3000000662"/>
    <d v="2025-05-14T00:00:00"/>
    <n v="7501903.4000000004"/>
    <s v="LASTRINA CARMELO ALTO VERDE 14"/>
    <x v="316"/>
    <n v="7501903.4000000004"/>
    <x v="41"/>
    <x v="1"/>
    <s v="pagado"/>
    <s v="pagado"/>
    <x v="0"/>
  </r>
  <r>
    <n v="3000000663"/>
    <d v="2025-05-14T00:00:00"/>
    <n v="11120378.300000001"/>
    <s v="ANTONACCI LUIS GABRIEL LA FLORIDA 14"/>
    <x v="317"/>
    <n v="11120378.300000001"/>
    <x v="41"/>
    <x v="1"/>
    <s v="pagado"/>
    <s v="pagado"/>
    <x v="0"/>
  </r>
  <r>
    <n v="3000000664"/>
    <d v="2025-05-14T00:00:00"/>
    <n v="7189299.7599999998"/>
    <s v="TRANSPORTE Y LOGISTICA DEL ESTLAS CEJAS 14"/>
    <x v="318"/>
    <n v="7189299.7599999998"/>
    <x v="41"/>
    <x v="1"/>
    <s v="pagado"/>
    <s v="pagado"/>
    <x v="0"/>
  </r>
  <r>
    <n v="3000000665"/>
    <d v="2025-05-14T00:00:00"/>
    <n v="9994807.8200000003"/>
    <s v="JAVIER EDUARDO PRADO FLORIDA 13"/>
    <x v="319"/>
    <n v="9994807.8200000003"/>
    <x v="41"/>
    <x v="1"/>
    <s v="pagado"/>
    <s v="pagado"/>
    <x v="0"/>
  </r>
  <r>
    <n v="3000000666"/>
    <d v="2025-05-14T00:00:00"/>
    <n v="7529330.3300000001"/>
    <s v="LOGISTICA DEL NORTE S.R.L. SAN MIGUEL DE TUCUMAN 14"/>
    <x v="320"/>
    <n v="7529330.3300000001"/>
    <x v="41"/>
    <x v="1"/>
    <s v="pagado"/>
    <s v="pagado"/>
    <x v="0"/>
  </r>
  <r>
    <n v="3000000667"/>
    <d v="2025-05-14T00:00:00"/>
    <n v="4683141.54"/>
    <s v="TRANSPORTE CLASON SRL ROSARIO 12"/>
    <x v="321"/>
    <n v="4683141.54"/>
    <x v="41"/>
    <x v="1"/>
    <s v="pagado"/>
    <s v="pagado"/>
    <x v="0"/>
  </r>
  <r>
    <n v="3000000668"/>
    <d v="2025-05-14T00:00:00"/>
    <n v="6177998.8600000003"/>
    <s v="MOLINA JUAN F. Y MOLINA ROQUE Lastenia 14"/>
    <x v="322"/>
    <n v="6177998.8600000003"/>
    <x v="41"/>
    <x v="1"/>
    <s v="pagado"/>
    <s v="pagado"/>
    <x v="0"/>
  </r>
  <r>
    <n v="3000000669"/>
    <d v="2025-05-14T00:00:00"/>
    <n v="9617991.3900000006"/>
    <s v="FLETES Y SERVICIOS PUJATO S.A PUJATO 12"/>
    <x v="323"/>
    <n v="9617991.3900000006"/>
    <x v="41"/>
    <x v="1"/>
    <s v="pagado"/>
    <s v="pagado"/>
    <x v="0"/>
  </r>
  <r>
    <n v="3000000684"/>
    <d v="2025-05-20T00:00:00"/>
    <n v="8806000"/>
    <s v="GOMEZ MANUEL ARCENIO METAN 09"/>
    <x v="324"/>
    <n v="8806000"/>
    <x v="57"/>
    <x v="1"/>
    <s v="pagado"/>
    <s v="pagado"/>
    <x v="0"/>
  </r>
  <r>
    <n v="3000000685"/>
    <d v="2025-05-20T00:00:00"/>
    <n v="5850955"/>
    <s v="Medina Lauro Jose Las Cejas 14"/>
    <x v="325"/>
    <n v="5850955"/>
    <x v="57"/>
    <x v="1"/>
    <s v="pagado"/>
    <s v="pagado"/>
    <x v="0"/>
  </r>
  <r>
    <n v="3000000686"/>
    <d v="2025-05-20T00:00:00"/>
    <n v="3014400"/>
    <s v="ARAGON CARLOS DANIEL LA BANDA 13"/>
    <x v="326"/>
    <n v="3014400"/>
    <x v="57"/>
    <x v="1"/>
    <s v="pagado"/>
    <s v="pagado"/>
    <x v="0"/>
  </r>
  <r>
    <n v="3000000687"/>
    <d v="2025-05-20T00:00:00"/>
    <n v="12695564.98"/>
    <s v="PAIS WALTER LUIS SAN MIGUEL DE TUCUMAN 14"/>
    <x v="327"/>
    <n v="12695564.98"/>
    <x v="57"/>
    <x v="1"/>
    <s v="pagado"/>
    <s v="pagado"/>
    <x v="0"/>
  </r>
  <r>
    <n v="3000000688"/>
    <d v="2025-05-20T00:00:00"/>
    <n v="3256303.45"/>
    <s v="GARNIER MARCELO, HERNAN Y DIEGCOLON 05"/>
    <x v="328"/>
    <n v="3256303.45"/>
    <x v="57"/>
    <x v="1"/>
    <s v="pagado"/>
    <s v="pagado"/>
    <x v="0"/>
  </r>
  <r>
    <n v="3000000689"/>
    <d v="2025-05-20T00:00:00"/>
    <n v="6807633.5700000003"/>
    <s v="LANGELLA JUAN RODOLFO ALDERETES 14"/>
    <x v="329"/>
    <n v="6807633.5700000003"/>
    <x v="57"/>
    <x v="1"/>
    <s v="pagado"/>
    <s v="pagado"/>
    <x v="0"/>
  </r>
  <r>
    <n v="3000000690"/>
    <d v="2025-05-20T00:00:00"/>
    <n v="1886523.46"/>
    <s v="LENARDUZZI DIEGO LEONARDO SAN JUSTO 12"/>
    <x v="330"/>
    <n v="1886523.46"/>
    <x v="57"/>
    <x v="1"/>
    <s v="pagado"/>
    <s v="pagado"/>
    <x v="0"/>
  </r>
  <r>
    <n v="3000000691"/>
    <d v="2025-05-20T00:00:00"/>
    <n v="1720173"/>
    <s v="BUSTOS EXEQUIEL ANTONIO BANDA DEL RIO SALI 14"/>
    <x v="331"/>
    <n v="1720173"/>
    <x v="57"/>
    <x v="1"/>
    <s v="pagado"/>
    <s v="pagado"/>
    <x v="0"/>
  </r>
  <r>
    <n v="3000000692"/>
    <d v="2025-05-20T00:00:00"/>
    <n v="2279030.02"/>
    <s v="TRANS TRUCKS SRL SOLDINI 12"/>
    <x v="332"/>
    <n v="2279030.02"/>
    <x v="57"/>
    <x v="1"/>
    <s v="pagado"/>
    <s v="pagado"/>
    <x v="0"/>
  </r>
  <r>
    <n v="3000000693"/>
    <d v="2025-05-20T00:00:00"/>
    <n v="12962967.279999999"/>
    <s v="GUERRERO DANIEL MARCELO - ALDERETES 14"/>
    <x v="333"/>
    <n v="12962967.279999999"/>
    <x v="57"/>
    <x v="1"/>
    <s v="pagado"/>
    <s v="pagado"/>
    <x v="0"/>
  </r>
  <r>
    <n v="1200000417"/>
    <d v="2025-05-22T00:00:00"/>
    <n v="43487582.719999999"/>
    <s v="Cheque de terceros Tucuman"/>
    <x v="334"/>
    <n v="43487582.719999999"/>
    <x v="58"/>
    <x v="1"/>
    <s v="pagado"/>
    <s v="pagado"/>
    <x v="0"/>
  </r>
  <r>
    <n v="1200000417"/>
    <d v="2025-05-22T00:00:00"/>
    <n v="6381944.7400000002"/>
    <s v="Cheque de terceros TUCUMAN"/>
    <x v="335"/>
    <n v="6381944.7400000002"/>
    <x v="59"/>
    <x v="1"/>
    <s v="pagado"/>
    <s v="pagado"/>
    <x v="0"/>
  </r>
  <r>
    <n v="3000000702"/>
    <d v="2025-05-22T00:00:00"/>
    <n v="13612550"/>
    <s v="LOS LAURELES SERVICIOS AGRICOLSan Miguel De Tucuman 14"/>
    <x v="336"/>
    <n v="13612550"/>
    <x v="59"/>
    <x v="1"/>
    <s v="pagado"/>
    <s v="pagado"/>
    <x v="0"/>
  </r>
  <r>
    <n v="3000000703"/>
    <d v="2025-05-22T00:00:00"/>
    <n v="36301812.100000001"/>
    <s v="AGROQUIMICA ALBERDI S.R.L. CONCEPCION 14"/>
    <x v="337"/>
    <n v="36301812.100000001"/>
    <x v="59"/>
    <x v="1"/>
    <s v="pagado"/>
    <s v="pagado"/>
    <x v="0"/>
  </r>
  <r>
    <n v="3000000704"/>
    <d v="2025-05-22T00:00:00"/>
    <n v="7916254.2999999998"/>
    <s v="LOGISTICA CENTRO S.R.L CORONDA 12"/>
    <x v="338"/>
    <n v="7916254.2999999998"/>
    <x v="59"/>
    <x v="1"/>
    <s v="pagado"/>
    <s v="pagado"/>
    <x v="0"/>
  </r>
  <r>
    <n v="3000000709"/>
    <d v="2025-05-23T00:00:00"/>
    <n v="12607380"/>
    <s v="EDET S.A. SAN MIGUEL DE TUCUMAN 14"/>
    <x v="339"/>
    <n v="12607380"/>
    <x v="58"/>
    <x v="0"/>
    <s v="pagado"/>
    <s v="pagado"/>
    <x v="0"/>
  </r>
  <r>
    <n v="3000000716"/>
    <d v="2025-05-26T00:00:00"/>
    <n v="6000000"/>
    <s v="TRANSPORTE RAUL S.R.L SAN MIGUEL DE TUCUMAN 14"/>
    <x v="340"/>
    <n v="6000000"/>
    <x v="60"/>
    <x v="1"/>
    <s v="pagado"/>
    <s v="pagado"/>
    <x v="0"/>
  </r>
  <r>
    <n v="3000000716"/>
    <d v="2025-05-26T00:00:00"/>
    <n v="6509862.4800000004"/>
    <s v="TRANSPORTE RAUL S.R.L SAN MIGUEL DE TUCUMAN 14"/>
    <x v="341"/>
    <n v="6509862.4800000004"/>
    <x v="61"/>
    <x v="1"/>
    <s v="pagado"/>
    <s v="pagado"/>
    <x v="0"/>
  </r>
  <r>
    <n v="3000000717"/>
    <d v="2025-05-26T00:00:00"/>
    <n v="2000000"/>
    <s v="Pulmajo S.R.L. CONCEPCION 14"/>
    <x v="342"/>
    <n v="2000000"/>
    <x v="60"/>
    <x v="1"/>
    <s v="pagado"/>
    <s v="pagado"/>
    <x v="0"/>
  </r>
  <r>
    <n v="3000000717"/>
    <d v="2025-05-26T00:00:00"/>
    <n v="2000000"/>
    <s v="Pulmajo S.R.L. CONCEPCION 14"/>
    <x v="343"/>
    <n v="2000000"/>
    <x v="60"/>
    <x v="1"/>
    <s v="pagado"/>
    <s v="pagado"/>
    <x v="0"/>
  </r>
  <r>
    <n v="3000000717"/>
    <d v="2025-05-26T00:00:00"/>
    <n v="2000000"/>
    <s v="Pulmajo S.R.L. CONCEPCION 14"/>
    <x v="344"/>
    <n v="2000000"/>
    <x v="60"/>
    <x v="1"/>
    <s v="pagado"/>
    <s v="pagado"/>
    <x v="0"/>
  </r>
  <r>
    <n v="3000000717"/>
    <d v="2025-05-26T00:00:00"/>
    <n v="2000000"/>
    <s v="Pulmajo S.R.L. CONCEPCION 14"/>
    <x v="345"/>
    <n v="2000000"/>
    <x v="60"/>
    <x v="1"/>
    <s v="pagado"/>
    <s v="pagado"/>
    <x v="0"/>
  </r>
  <r>
    <n v="3000000717"/>
    <d v="2025-05-26T00:00:00"/>
    <n v="2000000"/>
    <s v="Pulmajo S.R.L. CONCEPCION 14"/>
    <x v="346"/>
    <n v="2000000"/>
    <x v="61"/>
    <x v="1"/>
    <s v="pagado"/>
    <s v="pagado"/>
    <x v="0"/>
  </r>
  <r>
    <n v="3000000717"/>
    <d v="2025-05-26T00:00:00"/>
    <n v="1564920.9"/>
    <s v="Pulmajo S.R.L. CONCEPCION 14"/>
    <x v="347"/>
    <n v="1564920.9"/>
    <x v="61"/>
    <x v="1"/>
    <s v="pagado"/>
    <s v="pagado"/>
    <x v="0"/>
  </r>
  <r>
    <n v="3000000715"/>
    <d v="2025-05-26T00:00:00"/>
    <n v="4554913.75"/>
    <s v="ABUT TRANSPORTES SA CENTENO 12"/>
    <x v="348"/>
    <n v="4554913.75"/>
    <x v="60"/>
    <x v="1"/>
    <s v="pagado"/>
    <s v="pagado"/>
    <x v="0"/>
  </r>
  <r>
    <n v="3000000718"/>
    <d v="2025-05-26T00:00:00"/>
    <n v="5463364.5"/>
    <s v="AYALA WALTER DANIEL ALDERETES 14"/>
    <x v="349"/>
    <n v="5463364.5"/>
    <x v="60"/>
    <x v="1"/>
    <s v="pagado"/>
    <s v="pagado"/>
    <x v="0"/>
  </r>
  <r>
    <n v="3000000719"/>
    <d v="2025-05-26T00:00:00"/>
    <n v="4063008.02"/>
    <s v="Laborda Carlos SAN MIGUEL DE TUCUMAN 14"/>
    <x v="350"/>
    <n v="4063008.02"/>
    <x v="60"/>
    <x v="1"/>
    <s v="pagado"/>
    <s v="pagado"/>
    <x v="0"/>
  </r>
  <r>
    <n v="3000000717"/>
    <d v="2025-05-26T00:00:00"/>
    <n v="2000000"/>
    <s v="Pulmajo S.R.L. CONCEPCION 14"/>
    <x v="351"/>
    <n v="2000000"/>
    <x v="60"/>
    <x v="1"/>
    <s v="pagado"/>
    <s v="pagado"/>
    <x v="0"/>
  </r>
  <r>
    <n v="3000000740"/>
    <d v="2025-05-28T00:00:00"/>
    <n v="20000000"/>
    <s v="TRANSPORTE LUIS SANDOVAL S.A.SLOS VALLISTOS 14"/>
    <x v="352"/>
    <n v="20000000"/>
    <x v="61"/>
    <x v="1"/>
    <s v="pagado"/>
    <s v="pagado"/>
    <x v="0"/>
  </r>
  <r>
    <n v="3000000740"/>
    <d v="2025-05-28T00:00:00"/>
    <n v="15728477.85"/>
    <s v="TRANSPORTE LUIS SANDOVAL S.A.SLOS VALLISTOS 14"/>
    <x v="353"/>
    <n v="15728477.85"/>
    <x v="62"/>
    <x v="1"/>
    <s v="pagado"/>
    <s v="pagado"/>
    <x v="0"/>
  </r>
  <r>
    <n v="3000000741"/>
    <d v="2025-05-28T00:00:00"/>
    <n v="25000000"/>
    <s v="TRANSPORTE BARBERAN HNOS SRL CHABAS 12"/>
    <x v="354"/>
    <n v="25000000"/>
    <x v="61"/>
    <x v="1"/>
    <s v="pagado"/>
    <s v="pagado"/>
    <x v="0"/>
  </r>
  <r>
    <n v="3000000741"/>
    <d v="2025-05-28T00:00:00"/>
    <n v="23505897.850000001"/>
    <s v="TRANSPORTE BARBERAN HNOS SRL CHABAS 12"/>
    <x v="355"/>
    <n v="23505897.850000001"/>
    <x v="62"/>
    <x v="1"/>
    <s v="pagado"/>
    <s v="pagado"/>
    <x v="0"/>
  </r>
  <r>
    <n v="3000000742"/>
    <d v="2025-05-28T00:00:00"/>
    <n v="12000000"/>
    <s v="ANTONACCI LUIS GABRIEL LA FLORIDA 14"/>
    <x v="356"/>
    <n v="12000000"/>
    <x v="61"/>
    <x v="1"/>
    <s v="pagado"/>
    <s v="pagado"/>
    <x v="0"/>
  </r>
  <r>
    <n v="3000000742"/>
    <d v="2025-05-28T00:00:00"/>
    <n v="12440001.17"/>
    <s v="ANTONACCI LUIS GABRIEL LA FLORIDA 14"/>
    <x v="357"/>
    <n v="12440001.17"/>
    <x v="62"/>
    <x v="1"/>
    <s v="pagado"/>
    <s v="pagado"/>
    <x v="0"/>
  </r>
  <r>
    <n v="3000000739"/>
    <d v="2025-05-28T00:00:00"/>
    <n v="5575083.5599999996"/>
    <s v="JAVIER EDUARDO PRADO FLORIDA 13"/>
    <x v="358"/>
    <n v="5575083.5599999996"/>
    <x v="61"/>
    <x v="1"/>
    <s v="pagado"/>
    <s v="pagado"/>
    <x v="0"/>
  </r>
  <r>
    <n v="3000000743"/>
    <d v="2025-05-28T00:00:00"/>
    <n v="12767204.609999999"/>
    <s v="COMBUSTIBLES DEL NORTE S.A. LAS LAJITAS 09"/>
    <x v="359"/>
    <n v="12767204.609999999"/>
    <x v="61"/>
    <x v="1"/>
    <s v="pagado"/>
    <s v="pagado"/>
    <x v="0"/>
  </r>
  <r>
    <n v="3000000749"/>
    <d v="2025-06-02T00:00:00"/>
    <n v="10000000"/>
    <s v="Laborda Carlos SAN MIGUEL DE TUCUMAN 14"/>
    <x v="360"/>
    <n v="10000000"/>
    <x v="63"/>
    <x v="0"/>
    <s v="pagado"/>
    <s v="pagado"/>
    <x v="0"/>
  </r>
  <r>
    <n v="3000000749"/>
    <d v="2025-06-02T00:00:00"/>
    <n v="0"/>
    <s v="invalidado med.EOLIVERA -Rechazado"/>
    <x v="361"/>
    <n v="0"/>
    <x v="64"/>
    <x v="0"/>
    <s v="no pagado"/>
    <s v="fuera de fecha"/>
    <x v="0"/>
  </r>
  <r>
    <n v="3000000749"/>
    <d v="2025-06-02T00:00:00"/>
    <n v="2000000"/>
    <s v="Laborda Carlos SAN MIGUEL DE TUCUMAN 14"/>
    <x v="362"/>
    <n v="2000000"/>
    <x v="64"/>
    <x v="0"/>
    <s v="pagado"/>
    <s v="pagado"/>
    <x v="0"/>
  </r>
  <r>
    <n v="3000000749"/>
    <d v="2025-06-02T00:00:00"/>
    <n v="500000"/>
    <s v="Laborda Carlos SAN MIGUEL DE TUCUMAN 14"/>
    <x v="363"/>
    <n v="500000"/>
    <x v="64"/>
    <x v="0"/>
    <s v="pagado"/>
    <s v="pagado"/>
    <x v="0"/>
  </r>
  <r>
    <n v="3000000749"/>
    <d v="2025-06-02T00:00:00"/>
    <n v="500000"/>
    <s v="Laborda Carlos SAN MIGUEL DE TUCUMAN 14"/>
    <x v="364"/>
    <n v="500000"/>
    <x v="64"/>
    <x v="0"/>
    <s v="pagado"/>
    <s v="pagado"/>
    <x v="0"/>
  </r>
  <r>
    <n v="3000000749"/>
    <d v="2025-06-02T00:00:00"/>
    <n v="300000"/>
    <s v="Laborda Carlos SAN MIGUEL DE TUCUMAN 14"/>
    <x v="365"/>
    <n v="300000"/>
    <x v="64"/>
    <x v="0"/>
    <s v="pagado"/>
    <s v="pagado"/>
    <x v="0"/>
  </r>
  <r>
    <n v="3000000749"/>
    <d v="2025-06-02T00:00:00"/>
    <n v="376343.4"/>
    <s v="Laborda Carlos SAN MIGUEL DE TUCUMAN 14"/>
    <x v="366"/>
    <n v="376343.4"/>
    <x v="64"/>
    <x v="0"/>
    <s v="pagado"/>
    <s v="pagado"/>
    <x v="0"/>
  </r>
  <r>
    <n v="3000000776"/>
    <d v="2025-06-04T00:00:00"/>
    <n v="15000000"/>
    <s v="ANTONACCI LUIS GABRIEL LA FLORIDA 14"/>
    <x v="367"/>
    <n v="15000000"/>
    <x v="65"/>
    <x v="1"/>
    <s v="pagado"/>
    <s v="pagado"/>
    <x v="0"/>
  </r>
  <r>
    <n v="3000000776"/>
    <d v="2025-06-04T00:00:00"/>
    <n v="10335296.789999999"/>
    <s v="ANTONACCI LUIS GABRIEL LA FLORIDA 14"/>
    <x v="368"/>
    <n v="10335296.789999999"/>
    <x v="66"/>
    <x v="1"/>
    <s v="pagado"/>
    <s v="pagado"/>
    <x v="0"/>
  </r>
  <r>
    <n v="3000000777"/>
    <d v="2025-06-04T00:00:00"/>
    <n v="15000000"/>
    <s v="GOMEZ JESSICA NOELIA LAS TALITAS 14"/>
    <x v="369"/>
    <n v="15000000"/>
    <x v="65"/>
    <x v="1"/>
    <s v="pagado"/>
    <s v="pagado"/>
    <x v="0"/>
  </r>
  <r>
    <n v="3000000777"/>
    <d v="2025-06-04T00:00:00"/>
    <n v="16724791.76"/>
    <s v="GOMEZ JESSICA NOELIA LAS TALITAS 14"/>
    <x v="370"/>
    <n v="16724791.76"/>
    <x v="66"/>
    <x v="1"/>
    <s v="pagado"/>
    <s v="pagado"/>
    <x v="0"/>
  </r>
  <r>
    <n v="3000000778"/>
    <d v="2025-06-04T00:00:00"/>
    <n v="13000000"/>
    <s v="LOGISTICA DEL NORTE S.R.L. SAN MIGUEL DE TUCUMAN 14"/>
    <x v="371"/>
    <n v="13000000"/>
    <x v="65"/>
    <x v="1"/>
    <s v="pagado"/>
    <s v="pagado"/>
    <x v="0"/>
  </r>
  <r>
    <n v="3000000778"/>
    <d v="2025-06-04T00:00:00"/>
    <n v="13093217.98"/>
    <s v="LOGISTICA DEL NORTE S.R.L. SAN MIGUEL DE TUCUMAN 14"/>
    <x v="372"/>
    <n v="13093217.98"/>
    <x v="66"/>
    <x v="1"/>
    <s v="pagado"/>
    <s v="pagado"/>
    <x v="0"/>
  </r>
  <r>
    <n v="3000000755"/>
    <d v="2025-06-04T00:00:00"/>
    <n v="7222263.4000000004"/>
    <s v="GOMEZ MANUEL ARCENIO METAN 09"/>
    <x v="373"/>
    <n v="7222263.4000000004"/>
    <x v="67"/>
    <x v="1"/>
    <s v="pagado"/>
    <s v="pagado"/>
    <x v="0"/>
  </r>
  <r>
    <n v="3000000768"/>
    <d v="2025-06-04T00:00:00"/>
    <n v="6518128.3700000001"/>
    <s v="JAVIER EDUARDO PRADO FLORIDA 13"/>
    <x v="374"/>
    <n v="6518128.3700000001"/>
    <x v="65"/>
    <x v="1"/>
    <s v="pagado"/>
    <s v="pagado"/>
    <x v="0"/>
  </r>
  <r>
    <n v="3000000769"/>
    <d v="2025-06-04T00:00:00"/>
    <n v="8650081.0999999996"/>
    <s v="ELIAS LUCIANO EMANUEL LAS TALITAS 14"/>
    <x v="375"/>
    <n v="8650081.0999999996"/>
    <x v="65"/>
    <x v="1"/>
    <s v="pagado"/>
    <s v="pagado"/>
    <x v="0"/>
  </r>
  <r>
    <n v="3000000770"/>
    <d v="2025-06-04T00:00:00"/>
    <n v="9273780.4600000009"/>
    <s v="BUSTOS EXEQUIEL ANTONIO BANDA DEL RIO SALI 14"/>
    <x v="376"/>
    <n v="9273780.4600000009"/>
    <x v="66"/>
    <x v="1"/>
    <s v="pagado"/>
    <s v="pagado"/>
    <x v="0"/>
  </r>
  <r>
    <n v="3000000771"/>
    <d v="2025-06-04T00:00:00"/>
    <n v="9425410.0999999996"/>
    <s v="TRANSPORTE Y LOGISTICA DEL ESTLAS CEJAS 14"/>
    <x v="377"/>
    <n v="9425410.0999999996"/>
    <x v="66"/>
    <x v="1"/>
    <s v="pagado"/>
    <s v="pagado"/>
    <x v="0"/>
  </r>
  <r>
    <n v="3000000772"/>
    <d v="2025-06-04T00:00:00"/>
    <n v="2625899.7799999998"/>
    <s v="TRANSPORTE LUIS SANDOVAL S.A.SLOS VALLISTOS 14"/>
    <x v="378"/>
    <n v="2625899.7799999998"/>
    <x v="65"/>
    <x v="1"/>
    <s v="pagado"/>
    <s v="pagado"/>
    <x v="0"/>
  </r>
  <r>
    <n v="3000000773"/>
    <d v="2025-06-04T00:00:00"/>
    <n v="3095749.7"/>
    <s v="BUSTOS CESAR ANIBAL BANDAL DE RIO SALI 14"/>
    <x v="379"/>
    <n v="3095749.7"/>
    <x v="65"/>
    <x v="1"/>
    <s v="pagado"/>
    <s v="pagado"/>
    <x v="0"/>
  </r>
  <r>
    <n v="3000000774"/>
    <d v="2025-06-04T00:00:00"/>
    <n v="3034813.72"/>
    <s v="AGROTRANSPORTE ALDAO S.A. CAMILO ALDAO 03"/>
    <x v="380"/>
    <n v="3034813.72"/>
    <x v="65"/>
    <x v="1"/>
    <s v="pagado"/>
    <s v="pagado"/>
    <x v="0"/>
  </r>
  <r>
    <n v="3000000775"/>
    <d v="2025-06-04T00:00:00"/>
    <n v="3768167.92"/>
    <s v="ARAGON CARLOS DANIEL LA BANDA 13"/>
    <x v="381"/>
    <n v="3768167.92"/>
    <x v="65"/>
    <x v="1"/>
    <s v="pagado"/>
    <s v="pagado"/>
    <x v="0"/>
  </r>
  <r>
    <n v="3000000779"/>
    <d v="2025-06-04T00:00:00"/>
    <n v="11583281.75"/>
    <s v="MOYANO SERGIO ESTEBAN BANDA DEL RIO SALI 14"/>
    <x v="382"/>
    <n v="11583281.75"/>
    <x v="66"/>
    <x v="1"/>
    <s v="pagado"/>
    <s v="pagado"/>
    <x v="0"/>
  </r>
  <r>
    <n v="3000000796"/>
    <d v="2025-06-05T00:00:00"/>
    <n v="3560486.77"/>
    <s v="MOLINA JUAN F. Y MOLINA ROQUE Lastenia 14"/>
    <x v="383"/>
    <n v="3560486.77"/>
    <x v="65"/>
    <x v="1"/>
    <s v="pagado"/>
    <s v="pagado"/>
    <x v="0"/>
  </r>
  <r>
    <n v="3000000796"/>
    <d v="2025-06-05T00:00:00"/>
    <n v="14064357.029999999"/>
    <s v="MOLINA JUAN F. Y MOLINA ROQUE Lastenia 14"/>
    <x v="384"/>
    <n v="14064357.029999999"/>
    <x v="66"/>
    <x v="1"/>
    <s v="pagado"/>
    <s v="pagado"/>
    <x v="0"/>
  </r>
  <r>
    <n v="3000000797"/>
    <d v="2025-06-05T00:00:00"/>
    <n v="5067190.53"/>
    <s v="ENTREGAS SERDEN S.R.L SAN LORENZO 12"/>
    <x v="385"/>
    <n v="5067190.53"/>
    <x v="65"/>
    <x v="1"/>
    <s v="pagado"/>
    <s v="pagado"/>
    <x v="0"/>
  </r>
  <r>
    <n v="3000000798"/>
    <d v="2025-06-05T00:00:00"/>
    <n v="8000000"/>
    <s v="LOGISTICA CENTRO S.R.L CORONDA 12"/>
    <x v="386"/>
    <n v="8000000"/>
    <x v="65"/>
    <x v="1"/>
    <s v="pagado"/>
    <s v="pagado"/>
    <x v="0"/>
  </r>
  <r>
    <n v="3000000798"/>
    <d v="2025-06-05T00:00:00"/>
    <n v="8295215.9100000001"/>
    <s v="LOGISTICA CENTRO S.R.L CORONDA 12"/>
    <x v="387"/>
    <n v="8295215.9100000001"/>
    <x v="66"/>
    <x v="1"/>
    <s v="pagado"/>
    <s v="pagado"/>
    <x v="0"/>
  </r>
  <r>
    <n v="3000000799"/>
    <d v="2025-06-05T00:00:00"/>
    <n v="11178582.01"/>
    <s v="LAVENIA VITO CARMELO LASTENIA 14"/>
    <x v="388"/>
    <n v="11178582.01"/>
    <x v="66"/>
    <x v="1"/>
    <s v="pagado"/>
    <s v="pagado"/>
    <x v="0"/>
  </r>
  <r>
    <n v="3000000810"/>
    <d v="2025-06-09T00:00:00"/>
    <n v="0"/>
    <s v="invalidado med.EOLIVERA -Rechazado"/>
    <x v="389"/>
    <n v="0"/>
    <x v="68"/>
    <x v="1"/>
    <s v="no pagado"/>
    <s v="fuera de fecha"/>
    <x v="0"/>
  </r>
  <r>
    <n v="3000000811"/>
    <d v="2025-06-09T00:00:00"/>
    <n v="0"/>
    <s v="invalidado med.EOLIVERA -Rechazado"/>
    <x v="390"/>
    <n v="0"/>
    <x v="68"/>
    <x v="1"/>
    <s v="no pagado"/>
    <s v="fuera de fecha"/>
    <x v="0"/>
  </r>
  <r>
    <n v="3000000835"/>
    <d v="2025-06-12T00:00:00"/>
    <n v="13866510"/>
    <s v="EDET S.A. SAN MIGUEL DE TUCUMAN 14"/>
    <x v="391"/>
    <n v="13866510"/>
    <x v="69"/>
    <x v="0"/>
    <s v="pagado"/>
    <s v="pagado"/>
    <x v="0"/>
  </r>
  <r>
    <n v="3000000840"/>
    <d v="2025-06-12T00:00:00"/>
    <n v="10000000"/>
    <s v="ARAGON CARLOS DANIEL LA BANDA 13"/>
    <x v="392"/>
    <n v="10000000"/>
    <x v="42"/>
    <x v="1"/>
    <s v="pagado"/>
    <s v="pagado"/>
    <x v="0"/>
  </r>
  <r>
    <n v="3000000840"/>
    <d v="2025-06-12T00:00:00"/>
    <n v="5095550"/>
    <s v="ARAGON CARLOS DANIEL LA BANDA 13"/>
    <x v="393"/>
    <n v="5095550"/>
    <x v="70"/>
    <x v="1"/>
    <s v="pagado"/>
    <s v="pagado"/>
    <x v="0"/>
  </r>
  <r>
    <n v="3000000843"/>
    <d v="2025-06-12T00:00:00"/>
    <n v="25000000"/>
    <s v="DANIEL MARCELO GUERRERO ALDERETES 14"/>
    <x v="394"/>
    <n v="25000000"/>
    <x v="42"/>
    <x v="1"/>
    <s v="pagado"/>
    <s v="pagado"/>
    <x v="0"/>
  </r>
  <r>
    <n v="3000000843"/>
    <d v="2025-06-12T00:00:00"/>
    <n v="24575664.460000001"/>
    <s v="DANIEL MARCELO GUERRERO ALDERETES 14"/>
    <x v="395"/>
    <n v="24575664.460000001"/>
    <x v="70"/>
    <x v="1"/>
    <s v="pagado"/>
    <s v="pagado"/>
    <x v="0"/>
  </r>
  <r>
    <n v="3000000836"/>
    <d v="2025-06-12T00:00:00"/>
    <n v="9021852.0700000003"/>
    <s v="TRANSPORTE Y LOGISTICA DEL ESTLAS CEJAS 14"/>
    <x v="396"/>
    <n v="9021852.0700000003"/>
    <x v="42"/>
    <x v="1"/>
    <s v="pagado"/>
    <s v="pagado"/>
    <x v="0"/>
  </r>
  <r>
    <n v="3000000837"/>
    <d v="2025-06-12T00:00:00"/>
    <n v="5672933.2999999998"/>
    <s v="PAIS WALTER LUIS SAN MIGUEL DE TUCUMAN 14"/>
    <x v="397"/>
    <n v="5672933.2999999998"/>
    <x v="42"/>
    <x v="1"/>
    <s v="pagado"/>
    <s v="pagado"/>
    <x v="0"/>
  </r>
  <r>
    <n v="3000000838"/>
    <d v="2025-06-12T00:00:00"/>
    <n v="3651009.18"/>
    <s v="AGROTRANSPORTE ALDAO S.A. CAMILO ALDAO 03"/>
    <x v="398"/>
    <n v="3651009.18"/>
    <x v="42"/>
    <x v="1"/>
    <s v="pagado"/>
    <s v="pagado"/>
    <x v="0"/>
  </r>
  <r>
    <n v="3000000839"/>
    <d v="2025-06-12T00:00:00"/>
    <n v="7865911.7999999998"/>
    <s v="ANTONACCI LUIS GABRIEL LA FLORIDA 14"/>
    <x v="399"/>
    <n v="7865911.7999999998"/>
    <x v="42"/>
    <x v="1"/>
    <s v="pagado"/>
    <s v="pagado"/>
    <x v="0"/>
  </r>
  <r>
    <n v="3000000841"/>
    <d v="2025-06-12T00:00:00"/>
    <n v="6973986.0899999999"/>
    <s v="TRANSPORTE LUIS SANDOVAL S.A.SLOS VALLISTOS 14"/>
    <x v="400"/>
    <n v="6973986.0899999999"/>
    <x v="42"/>
    <x v="1"/>
    <s v="pagado"/>
    <s v="pagado"/>
    <x v="0"/>
  </r>
  <r>
    <n v="3000000842"/>
    <d v="2025-06-12T00:00:00"/>
    <n v="6693676.7800000003"/>
    <s v="CAMPOSTRINI S R L VILLAGUAY 05"/>
    <x v="401"/>
    <n v="6693676.7800000003"/>
    <x v="42"/>
    <x v="1"/>
    <s v="pagado"/>
    <s v="pagado"/>
    <x v="0"/>
  </r>
  <r>
    <n v="3000000810"/>
    <d v="2025-06-09T00:00:00"/>
    <n v="10466343.4"/>
    <s v="Roda Transformecanica Serv.SRLSAN MIGUEL DE TUCUMAN 14"/>
    <x v="402"/>
    <n v="10466343.4"/>
    <x v="71"/>
    <x v="1"/>
    <s v="pagado"/>
    <s v="pagado"/>
    <x v="0"/>
  </r>
  <r>
    <n v="3000000811"/>
    <d v="2025-06-09T00:00:00"/>
    <n v="6101642.9199999999"/>
    <s v="VERON MARIANA BEATRIZ NUEVA ESPERANZA 13"/>
    <x v="403"/>
    <n v="6101642.9199999999"/>
    <x v="71"/>
    <x v="1"/>
    <s v="pagado"/>
    <s v="pagado"/>
    <x v="0"/>
  </r>
  <r>
    <n v="3000000749"/>
    <d v="2025-06-17T00:00:00"/>
    <n v="500000"/>
    <s v="Laborda Carlos SAN MIGUEL DE TUCUMAN 14"/>
    <x v="404"/>
    <n v="500000"/>
    <x v="42"/>
    <x v="0"/>
    <s v="pagado"/>
    <s v="pagado"/>
    <x v="0"/>
  </r>
  <r>
    <n v="3000000749"/>
    <d v="2025-06-17T00:00:00"/>
    <n v="500000"/>
    <s v="Laborda Carlos SAN MIGUEL DE TUCUMAN 14"/>
    <x v="405"/>
    <n v="500000"/>
    <x v="42"/>
    <x v="0"/>
    <s v="pagado"/>
    <s v="pagado"/>
    <x v="0"/>
  </r>
  <r>
    <n v="3000000749"/>
    <d v="2025-06-17T00:00:00"/>
    <n v="500000"/>
    <s v="Laborda Carlos SAN MIGUEL DE TUCUMAN 14"/>
    <x v="406"/>
    <n v="500000"/>
    <x v="42"/>
    <x v="0"/>
    <s v="pagado"/>
    <s v="pagado"/>
    <x v="0"/>
  </r>
  <r>
    <n v="3000000749"/>
    <d v="2025-06-17T00:00:00"/>
    <n v="500000"/>
    <s v="Laborda Carlos SAN MIGUEL DE TUCUMAN 14"/>
    <x v="407"/>
    <n v="500000"/>
    <x v="42"/>
    <x v="0"/>
    <s v="pagado"/>
    <s v="pagado"/>
    <x v="0"/>
  </r>
  <r>
    <n v="1200000857"/>
    <d v="2025-06-17T00:00:00"/>
    <n v="9496520.3100000005"/>
    <s v="Cheque de terceros TUCUMAN"/>
    <x v="408"/>
    <n v="9496520.3100000005"/>
    <x v="72"/>
    <x v="1"/>
    <s v="pagado"/>
    <s v="pagado"/>
    <x v="0"/>
  </r>
  <r>
    <n v="1200000857"/>
    <d v="2025-06-17T00:00:00"/>
    <n v="7606970.3899999997"/>
    <s v="Cheque de terceros TUCUMAN"/>
    <x v="409"/>
    <n v="7606970.3899999997"/>
    <x v="72"/>
    <x v="1"/>
    <s v="pagado"/>
    <s v="pagado"/>
    <x v="0"/>
  </r>
  <r>
    <n v="1200000857"/>
    <d v="2025-06-17T00:00:00"/>
    <n v="3928252.45"/>
    <s v="Cheque de terceros TUCUMAN"/>
    <x v="410"/>
    <n v="3928252.45"/>
    <x v="72"/>
    <x v="1"/>
    <s v="pagado"/>
    <s v="pagado"/>
    <x v="0"/>
  </r>
  <r>
    <n v="1200000857"/>
    <d v="2025-06-17T00:00:00"/>
    <n v="2374540.14"/>
    <s v="Cheque de terceros TUCUMAN"/>
    <x v="411"/>
    <n v="2374540.14"/>
    <x v="72"/>
    <x v="1"/>
    <s v="pagado"/>
    <s v="pagado"/>
    <x v="0"/>
  </r>
  <r>
    <n v="3000000853"/>
    <d v="2025-06-17T00:00:00"/>
    <n v="5257227.2300000004"/>
    <s v="Marchese Grandi Meson y Asoc SAN MIGUEL DE TUCUMAN 14"/>
    <x v="412"/>
    <n v="5257227.2300000004"/>
    <x v="72"/>
    <x v="1"/>
    <s v="pagado"/>
    <s v="pagado"/>
    <x v="0"/>
  </r>
  <r>
    <n v="3000000854"/>
    <d v="2025-06-17T00:00:00"/>
    <n v="3833259.1"/>
    <s v="COMBUSTIBLES DEL NORTE S.A. LAS LAJITAS 09"/>
    <x v="413"/>
    <n v="3833259.1"/>
    <x v="70"/>
    <x v="1"/>
    <s v="pagado"/>
    <s v="pagado"/>
    <x v="0"/>
  </r>
  <r>
    <n v="3000000855"/>
    <d v="2025-06-17T00:00:00"/>
    <n v="4287243.5999999996"/>
    <s v="YOMEL S.A. 9 de Julio 01"/>
    <x v="414"/>
    <n v="4287243.5999999996"/>
    <x v="72"/>
    <x v="1"/>
    <s v="pagado"/>
    <s v="pagado"/>
    <x v="0"/>
  </r>
  <r>
    <n v="3000000856"/>
    <d v="2025-06-17T00:00:00"/>
    <n v="7822851.8799999999"/>
    <s v="AYALA WALTER DANIEL ALDERETES 14"/>
    <x v="415"/>
    <n v="7822851.8799999999"/>
    <x v="72"/>
    <x v="1"/>
    <s v="pagado"/>
    <s v="pagado"/>
    <x v="0"/>
  </r>
  <r>
    <n v="3000000868"/>
    <d v="2025-06-23T00:00:00"/>
    <n v="20000000"/>
    <s v="AYALA WALTER DANIEL ALDERETES 14"/>
    <x v="416"/>
    <n v="20000000"/>
    <x v="73"/>
    <x v="1"/>
    <s v="pagado"/>
    <s v="pagado"/>
    <x v="0"/>
  </r>
  <r>
    <n v="3000000868"/>
    <d v="2025-06-23T00:00:00"/>
    <n v="21192190.829999998"/>
    <s v="AYALA WALTER DANIEL ALDERETES 14"/>
    <x v="417"/>
    <n v="21192190.829999998"/>
    <x v="74"/>
    <x v="1"/>
    <s v="pagado"/>
    <s v="pagado"/>
    <x v="0"/>
  </r>
  <r>
    <n v="3000000871"/>
    <d v="2025-06-23T00:00:00"/>
    <n v="8000000"/>
    <s v="Pulmajo S.R.L. CONCEPCION 14"/>
    <x v="418"/>
    <n v="8000000"/>
    <x v="73"/>
    <x v="1"/>
    <s v="pagado"/>
    <s v="pagado"/>
    <x v="0"/>
  </r>
  <r>
    <n v="3000000871"/>
    <d v="2025-06-23T00:00:00"/>
    <n v="8000000"/>
    <s v="Pulmajo S.R.L. CONCEPCION 14"/>
    <x v="419"/>
    <n v="8000000"/>
    <x v="73"/>
    <x v="1"/>
    <s v="pagado"/>
    <s v="pagado"/>
    <x v="0"/>
  </r>
  <r>
    <n v="3000000871"/>
    <d v="2025-06-23T00:00:00"/>
    <n v="7041816.9000000004"/>
    <s v="Pulmajo S.R.L. CONCEPCION 14"/>
    <x v="420"/>
    <n v="7041816.9000000004"/>
    <x v="74"/>
    <x v="1"/>
    <s v="pagado"/>
    <s v="pagado"/>
    <x v="0"/>
  </r>
  <r>
    <n v="3000000863"/>
    <d v="2025-06-23T00:00:00"/>
    <n v="8993594.9000000004"/>
    <s v="FANTINI-LOPEZ EL CALDEN AGROS JESUS MARIA 14"/>
    <x v="421"/>
    <n v="8993594.9000000004"/>
    <x v="75"/>
    <x v="1"/>
    <s v="pagado"/>
    <s v="pagado"/>
    <x v="0"/>
  </r>
  <r>
    <n v="3000000864"/>
    <d v="2025-06-23T00:00:00"/>
    <n v="11145836.800000001"/>
    <s v="VERON MARIANA BEATRIZ NUEVA ESPERANZA 13"/>
    <x v="422"/>
    <n v="11145836.800000001"/>
    <x v="75"/>
    <x v="1"/>
    <s v="pagado"/>
    <s v="pagado"/>
    <x v="0"/>
  </r>
  <r>
    <n v="3000000865"/>
    <d v="2025-06-23T00:00:00"/>
    <n v="4814492.37"/>
    <s v="GARCIA JORGE LUIS METAN 09"/>
    <x v="423"/>
    <n v="4814492.37"/>
    <x v="75"/>
    <x v="1"/>
    <s v="pagado"/>
    <s v="pagado"/>
    <x v="0"/>
  </r>
  <r>
    <n v="3000000866"/>
    <d v="2025-06-23T00:00:00"/>
    <n v="12829097.619999999"/>
    <s v="Ventimiglia Nelly Irma Jesus Maria 03"/>
    <x v="424"/>
    <n v="12829097.619999999"/>
    <x v="73"/>
    <x v="1"/>
    <s v="pagado"/>
    <s v="pagado"/>
    <x v="0"/>
  </r>
  <r>
    <n v="3000000867"/>
    <d v="2025-06-23T00:00:00"/>
    <n v="5180962.74"/>
    <s v="Medina Lauro Jose Las Cejas 14"/>
    <x v="425"/>
    <n v="5180962.74"/>
    <x v="73"/>
    <x v="1"/>
    <s v="pagado"/>
    <s v="pagado"/>
    <x v="0"/>
  </r>
  <r>
    <n v="3000000869"/>
    <d v="2025-06-23T00:00:00"/>
    <n v="5939823.7999999998"/>
    <s v="AYALA HERNAN OSVALDO SAN MIGUEL DE TUCUMAN 14"/>
    <x v="426"/>
    <n v="5939823.7999999998"/>
    <x v="73"/>
    <x v="1"/>
    <s v="pagado"/>
    <s v="pagado"/>
    <x v="0"/>
  </r>
  <r>
    <n v="3000000870"/>
    <d v="2025-06-23T00:00:00"/>
    <n v="6796200.9199999999"/>
    <s v="GRUPO MARGEN DEL NOA SA YERBA BUENA 14"/>
    <x v="427"/>
    <n v="6796200.9199999999"/>
    <x v="73"/>
    <x v="1"/>
    <s v="pagado"/>
    <s v="pagado"/>
    <x v="0"/>
  </r>
  <r>
    <n v="3000000890"/>
    <d v="2025-06-25T00:00:00"/>
    <n v="20000000"/>
    <s v="JAVIER EDUARDO PRADO FLORIDA 13"/>
    <x v="428"/>
    <n v="20000000"/>
    <x v="76"/>
    <x v="1"/>
    <s v="pagado"/>
    <s v="pagado"/>
    <x v="0"/>
  </r>
  <r>
    <n v="3000000890"/>
    <d v="2025-06-25T00:00:00"/>
    <n v="17457675.149999999"/>
    <s v="JAVIER EDUARDO PRADO FLORIDA 13"/>
    <x v="429"/>
    <n v="17457675.149999999"/>
    <x v="77"/>
    <x v="1"/>
    <s v="pagado"/>
    <s v="pagado"/>
    <x v="0"/>
  </r>
  <r>
    <n v="3000000892"/>
    <d v="2025-06-25T00:00:00"/>
    <n v="20000000"/>
    <s v="LAVENIA VITO CARMELO LASTENIA 14"/>
    <x v="430"/>
    <n v="20000000"/>
    <x v="76"/>
    <x v="1"/>
    <s v="pagado"/>
    <s v="pagado"/>
    <x v="0"/>
  </r>
  <r>
    <n v="3000000892"/>
    <d v="2025-06-25T00:00:00"/>
    <n v="21178447.57"/>
    <s v="LAVENIA VITO CARMELO LASTENIA 14"/>
    <x v="431"/>
    <n v="21178447.57"/>
    <x v="77"/>
    <x v="1"/>
    <s v="pagado"/>
    <s v="pagado"/>
    <x v="0"/>
  </r>
  <r>
    <n v="3000000887"/>
    <d v="2025-06-25T00:00:00"/>
    <n v="11824089.029999999"/>
    <s v="BUSTOS EXEQUIEL ANTONIO BANDA DEL RIO SALI 14"/>
    <x v="432"/>
    <n v="11824089.029999999"/>
    <x v="76"/>
    <x v="1"/>
    <s v="pagado"/>
    <s v="pagado"/>
    <x v="0"/>
  </r>
  <r>
    <n v="3000000888"/>
    <d v="2025-06-25T00:00:00"/>
    <n v="7190472.1900000004"/>
    <s v="LOGISTICA CENTRO S.R.L CORONDA 12"/>
    <x v="433"/>
    <n v="7190472.1900000004"/>
    <x v="76"/>
    <x v="1"/>
    <s v="pagado"/>
    <s v="pagado"/>
    <x v="0"/>
  </r>
  <r>
    <n v="3000000889"/>
    <d v="2025-06-25T00:00:00"/>
    <n v="13724424.23"/>
    <s v="TRANSPORTE BARBERAN HNOS SRL CHABAS 12"/>
    <x v="434"/>
    <n v="13724424.23"/>
    <x v="76"/>
    <x v="1"/>
    <s v="pagado"/>
    <s v="pagado"/>
    <x v="0"/>
  </r>
  <r>
    <n v="3000000891"/>
    <d v="2025-06-25T00:00:00"/>
    <n v="5559576.6200000001"/>
    <s v="ABUT TRANSPORTES SA CENTENO 12"/>
    <x v="435"/>
    <n v="5559576.6200000001"/>
    <x v="76"/>
    <x v="1"/>
    <s v="pagado"/>
    <s v="pagado"/>
    <x v="0"/>
  </r>
  <r>
    <n v="3000000893"/>
    <d v="2025-06-25T00:00:00"/>
    <n v="10632112.869999999"/>
    <s v="BUSTOS CESAR ANIBAL BANDAL DE RIO SALI 14"/>
    <x v="436"/>
    <n v="10632112.869999999"/>
    <x v="76"/>
    <x v="1"/>
    <s v="pagado"/>
    <s v="pagado"/>
    <x v="0"/>
  </r>
  <r>
    <n v="3000000894"/>
    <d v="2025-06-25T00:00:00"/>
    <n v="2915331.01"/>
    <s v="WILLIAMS LOGISTICA SA CIUDAD AUTONOMA BUENOS AIRES 00"/>
    <x v="437"/>
    <n v="2915331.01"/>
    <x v="76"/>
    <x v="1"/>
    <s v="pagado"/>
    <s v="pagado"/>
    <x v="0"/>
  </r>
  <r>
    <n v="3000000901"/>
    <d v="2025-07-01T00:00:00"/>
    <n v="10000000"/>
    <s v="AGROQUIMICA ALBERDI S.R.L. CONCEPCION 14"/>
    <x v="438"/>
    <n v="10000000"/>
    <x v="78"/>
    <x v="1"/>
    <s v="pagado"/>
    <s v="pagado"/>
    <x v="0"/>
  </r>
  <r>
    <n v="3000000901"/>
    <d v="2025-07-01T00:00:00"/>
    <n v="9996863.8100000005"/>
    <s v="AGROQUIMICA ALBERDI S.R.L. CONCEPCION 14"/>
    <x v="439"/>
    <n v="9996863.8100000005"/>
    <x v="79"/>
    <x v="1"/>
    <s v="pagado"/>
    <s v="pagado"/>
    <x v="0"/>
  </r>
  <r>
    <n v="3000000902"/>
    <d v="2025-07-01T00:00:00"/>
    <n v="12120815.51"/>
    <s v="ROMAN BARCELO Y JORGE CARRERASLAS LAJITAS 09"/>
    <x v="440"/>
    <n v="12120815.51"/>
    <x v="79"/>
    <x v="1"/>
    <s v="pagado"/>
    <s v="pagado"/>
    <x v="0"/>
  </r>
  <r>
    <n v="3000000903"/>
    <d v="2025-07-01T00:00:00"/>
    <n v="7551342.5999999996"/>
    <s v="VERON MARIANA BEATRIZ NUEVA ESPERANZA 13"/>
    <x v="441"/>
    <n v="7551342.5999999996"/>
    <x v="78"/>
    <x v="1"/>
    <s v="pagado"/>
    <s v="pagado"/>
    <x v="0"/>
  </r>
  <r>
    <n v="3000000904"/>
    <d v="2025-07-01T00:00:00"/>
    <n v="8565013.9000000004"/>
    <s v="Medina Lauro Jose Las Cejas 14"/>
    <x v="442"/>
    <n v="8565013.9000000004"/>
    <x v="78"/>
    <x v="1"/>
    <s v="pagado"/>
    <s v="pagado"/>
    <x v="0"/>
  </r>
  <r>
    <n v="3000000905"/>
    <d v="2025-07-01T00:00:00"/>
    <n v="1769343.4"/>
    <s v="CAFELI S.R.L. SAN MIGUEL DE TUCUMAN 14"/>
    <x v="443"/>
    <n v="1769343.4"/>
    <x v="78"/>
    <x v="1"/>
    <s v="pagado"/>
    <s v="pagado"/>
    <x v="0"/>
  </r>
  <r>
    <n v="3000000906"/>
    <d v="2025-07-01T00:00:00"/>
    <n v="9000000"/>
    <s v="RODRIGUEZ NESTOR HORACIO YERBA BUENA 14"/>
    <x v="444"/>
    <n v="9000000"/>
    <x v="78"/>
    <x v="1"/>
    <s v="pagado"/>
    <s v="pagado"/>
    <x v="0"/>
  </r>
  <r>
    <n v="3000000906"/>
    <d v="2025-07-01T00:00:00"/>
    <n v="8891883.4499999993"/>
    <s v="RODRIGUEZ NESTOR HORACIO YERBA BUENA 14"/>
    <x v="445"/>
    <n v="8891883.4499999993"/>
    <x v="79"/>
    <x v="1"/>
    <s v="pagado"/>
    <s v="pagado"/>
    <x v="0"/>
  </r>
  <r>
    <n v="3000000907"/>
    <d v="2025-07-01T00:00:00"/>
    <n v="5000000"/>
    <s v="Pulmajo S.R.L. CONCEPCION 14"/>
    <x v="446"/>
    <n v="5000000"/>
    <x v="78"/>
    <x v="1"/>
    <s v="pagado"/>
    <s v="pagado"/>
    <x v="0"/>
  </r>
  <r>
    <n v="3000000907"/>
    <d v="2025-07-01T00:00:00"/>
    <n v="5914278.4000000004"/>
    <s v="Pulmajo S.R.L. CONCEPCION 14"/>
    <x v="447"/>
    <n v="5914278.4000000004"/>
    <x v="79"/>
    <x v="1"/>
    <s v="pagado"/>
    <s v="pagado"/>
    <x v="0"/>
  </r>
  <r>
    <n v="3000000908"/>
    <d v="2025-07-01T00:00:00"/>
    <n v="5519368.6399999997"/>
    <s v="SAN LORENZO CEREALES S.R.L SAN LORENZO 12"/>
    <x v="448"/>
    <n v="5519368.6399999997"/>
    <x v="78"/>
    <x v="1"/>
    <s v="pagado"/>
    <s v="pagado"/>
    <x v="0"/>
  </r>
  <r>
    <n v="3000000909"/>
    <d v="2025-07-01T00:00:00"/>
    <n v="12000000"/>
    <s v="TRANSPORTE Y LOGISTICA DEL ESTLAS CEJAS 14"/>
    <x v="449"/>
    <n v="12000000"/>
    <x v="78"/>
    <x v="1"/>
    <s v="pagado"/>
    <s v="pagado"/>
    <x v="0"/>
  </r>
  <r>
    <n v="3000000909"/>
    <d v="2025-07-01T00:00:00"/>
    <n v="11818996.720000001"/>
    <s v="TRANSPORTE Y LOGISTICA DEL ESTLAS CEJAS 14"/>
    <x v="450"/>
    <n v="11818996.720000001"/>
    <x v="79"/>
    <x v="1"/>
    <s v="pagado"/>
    <s v="pagado"/>
    <x v="0"/>
  </r>
  <r>
    <n v="3000000910"/>
    <d v="2025-07-01T00:00:00"/>
    <n v="14438937.970000001"/>
    <s v="ANTONACCI LUIS GABRIEL LA FLORIDA 14"/>
    <x v="451"/>
    <n v="14438937.970000001"/>
    <x v="79"/>
    <x v="1"/>
    <s v="pagado"/>
    <s v="pagado"/>
    <x v="0"/>
  </r>
  <r>
    <n v="3000000911"/>
    <d v="2025-07-01T00:00:00"/>
    <n v="10000000"/>
    <s v="LANGELLA JUAN RODOLFO ALDERETES 14"/>
    <x v="452"/>
    <n v="10000000"/>
    <x v="78"/>
    <x v="1"/>
    <s v="pagado"/>
    <s v="pagado"/>
    <x v="0"/>
  </r>
  <r>
    <n v="3000000911"/>
    <d v="2025-07-01T00:00:00"/>
    <n v="11004621.82"/>
    <s v="LANGELLA JUAN RODOLFO ALDERETES 14"/>
    <x v="453"/>
    <n v="11004621.82"/>
    <x v="79"/>
    <x v="1"/>
    <s v="pagado"/>
    <s v="pagado"/>
    <x v="0"/>
  </r>
  <r>
    <n v="3000000912"/>
    <d v="2025-07-01T00:00:00"/>
    <n v="3820656.17"/>
    <s v="PAIS WALTER LUIS SAN MIGUEL DE TUCUMAN 14"/>
    <x v="454"/>
    <n v="3820656.17"/>
    <x v="78"/>
    <x v="1"/>
    <s v="pagado"/>
    <s v="pagado"/>
    <x v="0"/>
  </r>
  <r>
    <n v="3000000913"/>
    <d v="2025-07-01T00:00:00"/>
    <n v="8000000"/>
    <s v="ARAGON CARLOS DANIEL LA BANDA 13"/>
    <x v="455"/>
    <n v="8000000"/>
    <x v="78"/>
    <x v="1"/>
    <s v="pagado"/>
    <s v="pagado"/>
    <x v="0"/>
  </r>
  <r>
    <n v="3000000913"/>
    <d v="2025-07-01T00:00:00"/>
    <n v="8485167.9199999999"/>
    <s v="ARAGON CARLOS DANIEL LA BANDA 13"/>
    <x v="456"/>
    <n v="8485167.9199999999"/>
    <x v="79"/>
    <x v="1"/>
    <s v="pagado"/>
    <s v="pagado"/>
    <x v="0"/>
  </r>
  <r>
    <n v="3000000914"/>
    <d v="2025-07-01T00:00:00"/>
    <n v="10000000"/>
    <s v="LOGISTICA DEL NORTE S.R.L. SAN MIGUEL DE TUCUMAN 14"/>
    <x v="457"/>
    <n v="10000000"/>
    <x v="78"/>
    <x v="1"/>
    <s v="pagado"/>
    <s v="pagado"/>
    <x v="0"/>
  </r>
  <r>
    <n v="3000000914"/>
    <d v="2025-07-01T00:00:00"/>
    <n v="11100726.050000001"/>
    <s v="LOGISTICA DEL NORTE S.R.L. SAN MIGUEL DE TUCUMAN 14"/>
    <x v="458"/>
    <n v="11100726.050000001"/>
    <x v="79"/>
    <x v="1"/>
    <s v="pagado"/>
    <s v="pagado"/>
    <x v="0"/>
  </r>
  <r>
    <n v="3000000915"/>
    <d v="2025-07-01T00:00:00"/>
    <n v="6887405.2800000003"/>
    <s v="TRANSPORTE GLOBAL SAS SAN MIGUEL DE TUCUMAN 14"/>
    <x v="459"/>
    <n v="6887405.2800000003"/>
    <x v="78"/>
    <x v="1"/>
    <s v="pagado"/>
    <s v="pagado"/>
    <x v="0"/>
  </r>
  <r>
    <n v="3000000916"/>
    <d v="2025-07-01T00:00:00"/>
    <n v="10000000"/>
    <s v="DE CIA GALFRASCOLI PIERO FABIOQUIMILI 13"/>
    <x v="460"/>
    <n v="10000000"/>
    <x v="78"/>
    <x v="1"/>
    <s v="pagado"/>
    <s v="pagado"/>
    <x v="0"/>
  </r>
  <r>
    <n v="3000000916"/>
    <d v="2025-07-01T00:00:00"/>
    <n v="11938647.01"/>
    <s v="DE CIA GALFRASCOLI PIERO FABIOQUIMILI 13"/>
    <x v="461"/>
    <n v="11938647.01"/>
    <x v="79"/>
    <x v="1"/>
    <s v="pagado"/>
    <s v="pagado"/>
    <x v="0"/>
  </r>
  <r>
    <n v="3000000917"/>
    <d v="2025-07-01T00:00:00"/>
    <n v="14000000"/>
    <s v="TRANSPORTE LUIS SANDOVAL S.A.SLOS VALLISTOS 14"/>
    <x v="462"/>
    <n v="14000000"/>
    <x v="78"/>
    <x v="1"/>
    <s v="pagado"/>
    <s v="pagado"/>
    <x v="0"/>
  </r>
  <r>
    <n v="3000000917"/>
    <d v="2025-07-01T00:00:00"/>
    <n v="13942842.789999999"/>
    <s v="TRANSPORTE LUIS SANDOVAL S.A.SLOS VALLISTOS 14"/>
    <x v="463"/>
    <n v="13942842.789999999"/>
    <x v="79"/>
    <x v="1"/>
    <s v="pagado"/>
    <s v="pagado"/>
    <x v="0"/>
  </r>
  <r>
    <n v="3000000918"/>
    <d v="2025-07-01T00:00:00"/>
    <n v="26059801.82"/>
    <s v="MOYANO SERGIO ESTEBAN BANDA DEL RIO SALI 14"/>
    <x v="464"/>
    <n v="26059801.82"/>
    <x v="78"/>
    <x v="1"/>
    <s v="pagado"/>
    <s v="pagado"/>
    <x v="0"/>
  </r>
  <r>
    <n v="3000000931"/>
    <d v="2025-07-03T00:00:00"/>
    <n v="1054529.3600000001"/>
    <s v="SURIAGRO SRL SAN MIGUEL DE TUCUMAN 14"/>
    <x v="465"/>
    <n v="1054529.3600000001"/>
    <x v="80"/>
    <x v="1"/>
    <s v="pagado"/>
    <s v="pagado"/>
    <x v="0"/>
  </r>
  <r>
    <n v="3000000930"/>
    <d v="2025-07-03T00:00:00"/>
    <n v="6789197.2300000004"/>
    <s v="AGROTRANSPORTE ALDAO S.A. CAMILO ALDAO 03"/>
    <x v="466"/>
    <n v="6789197.2300000004"/>
    <x v="80"/>
    <x v="1"/>
    <s v="pagado"/>
    <s v="pagado"/>
    <x v="0"/>
  </r>
  <r>
    <n v="3000000928"/>
    <d v="2025-07-03T00:00:00"/>
    <n v="357280.18"/>
    <s v="GOMEZ JOSE PATRICIO SAN MIGUEL DE TUCUMAN 14"/>
    <x v="467"/>
    <n v="357280.18"/>
    <x v="80"/>
    <x v="1"/>
    <s v="pagado"/>
    <s v="pagado"/>
    <x v="0"/>
  </r>
  <r>
    <n v="3000000929"/>
    <d v="2025-07-03T00:00:00"/>
    <n v="1749284.96"/>
    <s v="CAMPOSTRINI S R L VILLAGUAY 05"/>
    <x v="468"/>
    <n v="1749284.96"/>
    <x v="80"/>
    <x v="1"/>
    <s v="pagado"/>
    <s v="pagado"/>
    <x v="0"/>
  </r>
  <r>
    <n v="3000000932"/>
    <d v="2025-07-03T00:00:00"/>
    <n v="7172756.8700000001"/>
    <s v="RUIZ CRISTIAN ALEJANDRO . LA FLORIDA 14"/>
    <x v="469"/>
    <n v="7172756.8700000001"/>
    <x v="80"/>
    <x v="1"/>
    <s v="pagado"/>
    <s v="pagado"/>
    <x v="0"/>
  </r>
  <r>
    <n v="3000000933"/>
    <d v="2025-07-03T00:00:00"/>
    <n v="4321108.0199999996"/>
    <s v="TRANSPORTE RAUL S.R.L SAN MIGUEL DE TUCUMAN 14"/>
    <x v="470"/>
    <n v="4321108.0199999996"/>
    <x v="80"/>
    <x v="1"/>
    <s v="pagado"/>
    <s v="pagado"/>
    <x v="0"/>
  </r>
  <r>
    <n v="3000000943"/>
    <d v="2025-07-08T00:00:00"/>
    <n v="17231257.559999999"/>
    <s v="Suarez Elio Hernan Los altos 02"/>
    <x v="471"/>
    <n v="17231257.559999999"/>
    <x v="81"/>
    <x v="1"/>
    <s v="pagado"/>
    <s v="pagado"/>
    <x v="0"/>
  </r>
  <r>
    <n v="3000000959"/>
    <d v="2025-07-10T00:00:00"/>
    <n v="13000000"/>
    <s v="MOLINA JUAN F. Y MOLINA ROQUE Lastenia 14"/>
    <x v="472"/>
    <n v="13000000"/>
    <x v="82"/>
    <x v="1"/>
    <s v="pagado"/>
    <s v="pagado"/>
    <x v="0"/>
  </r>
  <r>
    <n v="3000000959"/>
    <d v="2025-07-10T00:00:00"/>
    <n v="13088899.279999999"/>
    <s v="MOLINA JUAN F. Y MOLINA ROQUE Lastenia 14"/>
    <x v="473"/>
    <n v="13088899.279999999"/>
    <x v="82"/>
    <x v="1"/>
    <s v="pagado"/>
    <s v="pagado"/>
    <x v="0"/>
  </r>
  <r>
    <n v="3000000960"/>
    <d v="2025-07-10T00:00:00"/>
    <n v="15000000"/>
    <s v="LOGISTICA CENTRO S.R.L CORONDA 12"/>
    <x v="474"/>
    <n v="15000000"/>
    <x v="82"/>
    <x v="1"/>
    <s v="pagado"/>
    <s v="pagado"/>
    <x v="0"/>
  </r>
  <r>
    <n v="3000000960"/>
    <d v="2025-07-10T00:00:00"/>
    <n v="16686869.109999999"/>
    <s v="LOGISTICA CENTRO S.R.L CORONDA 12"/>
    <x v="475"/>
    <n v="16686869.109999999"/>
    <x v="83"/>
    <x v="1"/>
    <s v="pagado"/>
    <s v="pagado"/>
    <x v="0"/>
  </r>
  <r>
    <n v="3000000961"/>
    <d v="2025-07-10T00:00:00"/>
    <n v="30000000"/>
    <s v="TRANSPORTE BARBERAN HNOS SRL CHABAS 12"/>
    <x v="476"/>
    <n v="30000000"/>
    <x v="82"/>
    <x v="1"/>
    <s v="pagado"/>
    <s v="pagado"/>
    <x v="0"/>
  </r>
  <r>
    <n v="3000000961"/>
    <d v="2025-07-10T00:00:00"/>
    <n v="27062480.219999999"/>
    <s v="TRANSPORTE BARBERAN HNOS SRL CHABAS 12"/>
    <x v="477"/>
    <n v="27062480.219999999"/>
    <x v="83"/>
    <x v="1"/>
    <s v="pagado"/>
    <s v="pagado"/>
    <x v="0"/>
  </r>
  <r>
    <n v="3000000962"/>
    <d v="2025-07-10T00:00:00"/>
    <n v="4922462.93"/>
    <s v="BUSTOS CESAR ANIBAL BANDAL DE RIO SALI 14"/>
    <x v="478"/>
    <n v="4922462.93"/>
    <x v="82"/>
    <x v="1"/>
    <s v="pagado"/>
    <s v="pagado"/>
    <x v="0"/>
  </r>
  <r>
    <n v="3000000963"/>
    <d v="2025-07-10T00:00:00"/>
    <n v="18000000"/>
    <s v="DANIEL MARCELO GUERRERO ALDERETES 14"/>
    <x v="479"/>
    <n v="18000000"/>
    <x v="82"/>
    <x v="1"/>
    <s v="pagado"/>
    <s v="pagado"/>
    <x v="0"/>
  </r>
  <r>
    <n v="3000000963"/>
    <d v="2025-07-10T00:00:00"/>
    <n v="15826982.65"/>
    <s v="DANIEL MARCELO GUERRERO ALDERETES 14"/>
    <x v="480"/>
    <n v="15826982.65"/>
    <x v="83"/>
    <x v="1"/>
    <s v="pagado"/>
    <s v="pagado"/>
    <x v="0"/>
  </r>
  <r>
    <n v="3000000964"/>
    <d v="2025-07-10T00:00:00"/>
    <n v="15000000"/>
    <s v="LAVENIA VITO CARMELO LASTENIA 14"/>
    <x v="481"/>
    <n v="15000000"/>
    <x v="82"/>
    <x v="1"/>
    <s v="pagado"/>
    <s v="pagado"/>
    <x v="0"/>
  </r>
  <r>
    <n v="3000000964"/>
    <d v="2025-07-10T00:00:00"/>
    <n v="11746300.390000001"/>
    <s v="LAVENIA VITO CARMELO LASTENIA 14"/>
    <x v="482"/>
    <n v="11746300.390000001"/>
    <x v="83"/>
    <x v="1"/>
    <s v="pagado"/>
    <s v="pagado"/>
    <x v="0"/>
  </r>
  <r>
    <n v="3000000965"/>
    <d v="2025-07-10T00:00:00"/>
    <n v="3913230.15"/>
    <s v="PAIS WALTER LUIS SAN MIGUEL DE TUCUMAN 14"/>
    <x v="483"/>
    <n v="3913230.15"/>
    <x v="82"/>
    <x v="1"/>
    <s v="pagado"/>
    <s v="pagado"/>
    <x v="0"/>
  </r>
  <r>
    <n v="3000000966"/>
    <d v="2025-07-10T00:00:00"/>
    <n v="11749044.039999999"/>
    <s v="ANTONACCI LUIS GABRIEL LA FLORIDA 14"/>
    <x v="484"/>
    <n v="11749044.039999999"/>
    <x v="82"/>
    <x v="1"/>
    <s v="pagado"/>
    <s v="pagado"/>
    <x v="0"/>
  </r>
  <r>
    <n v="3000000967"/>
    <d v="2025-07-10T00:00:00"/>
    <n v="5505277.5"/>
    <s v="AGROTRANSPORTE ALDAO S.A. CAMILO ALDAO 03"/>
    <x v="485"/>
    <n v="5505277.5"/>
    <x v="82"/>
    <x v="1"/>
    <s v="pagado"/>
    <s v="pagado"/>
    <x v="0"/>
  </r>
  <r>
    <n v="3000000968"/>
    <d v="2025-07-10T00:00:00"/>
    <n v="3109007.99"/>
    <s v="GUIFFREY MARCELO GUSTAVO VILLA ELISA 05"/>
    <x v="486"/>
    <n v="3109007.99"/>
    <x v="82"/>
    <x v="1"/>
    <s v="pagado"/>
    <s v="pagado"/>
    <x v="0"/>
  </r>
  <r>
    <n v="3000000974"/>
    <d v="2025-07-11T00:00:00"/>
    <n v="19199000"/>
    <s v="EDET S.A. SAN MIGUEL DE TUCUMAN 14"/>
    <x v="487"/>
    <n v="19199000"/>
    <x v="81"/>
    <x v="1"/>
    <s v="pagado"/>
    <s v="pagado"/>
    <x v="0"/>
  </r>
  <r>
    <n v="3000000977"/>
    <d v="2025-07-14T00:00:00"/>
    <n v="4250225.53"/>
    <s v="TRANSPORTE Y LOGISTICA DEL ESTLAS CEJAS 14"/>
    <x v="488"/>
    <n v="4250225.53"/>
    <x v="84"/>
    <x v="1"/>
    <s v="pagado"/>
    <s v="pagado"/>
    <x v="0"/>
  </r>
  <r>
    <n v="3000000978"/>
    <d v="2025-07-14T00:00:00"/>
    <n v="6411894.8600000003"/>
    <s v="TRANSPORTE GLOBAL SAS SAN MIGUEL DE TUCUMAN 14"/>
    <x v="489"/>
    <n v="6411894.8600000003"/>
    <x v="84"/>
    <x v="1"/>
    <s v="pagado"/>
    <s v="pagado"/>
    <x v="0"/>
  </r>
  <r>
    <n v="3000000979"/>
    <d v="2025-07-14T00:00:00"/>
    <n v="10184573.710000001"/>
    <s v="ELIAS LUCIANO EMANUEL LAS TALITAS 14"/>
    <x v="490"/>
    <n v="10184573.710000001"/>
    <x v="84"/>
    <x v="1"/>
    <s v="pagado"/>
    <s v="pagado"/>
    <x v="0"/>
  </r>
  <r>
    <n v="3000000980"/>
    <d v="2025-07-14T00:00:00"/>
    <n v="6784045.9500000002"/>
    <s v="RODRIGUEZ NESTOR HORACIO YERBA BUENA 14"/>
    <x v="491"/>
    <n v="6784045.9500000002"/>
    <x v="84"/>
    <x v="1"/>
    <s v="pagado"/>
    <s v="pagado"/>
    <x v="0"/>
  </r>
  <r>
    <n v="3000000981"/>
    <d v="2025-07-14T00:00:00"/>
    <n v="6000000"/>
    <s v="Pulmajo S.R.L. CONCEPCION 14"/>
    <x v="492"/>
    <n v="6000000"/>
    <x v="84"/>
    <x v="1"/>
    <s v="pagado"/>
    <s v="pagado"/>
    <x v="0"/>
  </r>
  <r>
    <n v="3000000981"/>
    <d v="2025-07-14T00:00:00"/>
    <n v="5880166.0999999996"/>
    <s v="Pulmajo S.R.L. CONCEPCION 14"/>
    <x v="493"/>
    <n v="5880166.0999999996"/>
    <x v="85"/>
    <x v="1"/>
    <s v="pagado"/>
    <s v="pagado"/>
    <x v="0"/>
  </r>
  <r>
    <n v="3000000982"/>
    <d v="2025-07-14T00:00:00"/>
    <n v="7299857.4800000004"/>
    <s v="AYALA WALTER DANIEL ALDERETES 14"/>
    <x v="494"/>
    <n v="7299857.4800000004"/>
    <x v="84"/>
    <x v="1"/>
    <s v="pagado"/>
    <s v="pagado"/>
    <x v="0"/>
  </r>
  <r>
    <n v="3000000983"/>
    <d v="2025-07-14T00:00:00"/>
    <n v="11160093"/>
    <s v="ROMAN BARCELO Y JORGE CARRERASLAS LAJITAS 09"/>
    <x v="495"/>
    <n v="11160093"/>
    <x v="84"/>
    <x v="1"/>
    <s v="pagado"/>
    <s v="pagado"/>
    <x v="0"/>
  </r>
  <r>
    <n v="3000001040"/>
    <d v="2025-07-31T00:00:00"/>
    <n v="8242094.2599999998"/>
    <s v="ABUT TRANSPORTES SA CENTENO 12"/>
    <x v="496"/>
    <n v="8242094.2599999998"/>
    <x v="86"/>
    <x v="1"/>
    <s v="pagado"/>
    <s v="pagado"/>
    <x v="0"/>
  </r>
  <r>
    <n v="3000001041"/>
    <d v="2025-07-31T00:00:00"/>
    <n v="8506626.5199999996"/>
    <s v="LOGISTICA DEL NORTE S.R.L. SAN MIGUEL DE TUCUMAN 14"/>
    <x v="497"/>
    <n v="8506626.5199999996"/>
    <x v="86"/>
    <x v="1"/>
    <s v="pagado"/>
    <s v="pagado"/>
    <x v="0"/>
  </r>
  <r>
    <n v="3000001042"/>
    <d v="2025-07-31T00:00:00"/>
    <n v="4803570.42"/>
    <s v="ELIAS LUCIANO EMANUEL LAS TALITAS 14"/>
    <x v="498"/>
    <n v="4803570.42"/>
    <x v="86"/>
    <x v="1"/>
    <s v="pagado"/>
    <s v="pagado"/>
    <x v="0"/>
  </r>
  <r>
    <n v="3000001043"/>
    <d v="2025-07-31T00:00:00"/>
    <n v="4970121.51"/>
    <s v="TRANSPORTE Y LOGISTICA DEL ESTLAS CEJAS 14"/>
    <x v="499"/>
    <n v="4970121.51"/>
    <x v="86"/>
    <x v="1"/>
    <s v="pagado"/>
    <s v="pagado"/>
    <x v="0"/>
  </r>
  <r>
    <n v="3000001044"/>
    <d v="2025-07-31T00:00:00"/>
    <n v="3402292.44"/>
    <s v="PAIS WALTER LUIS SAN MIGUEL DE TUCUMAN 14"/>
    <x v="500"/>
    <n v="3402292.44"/>
    <x v="86"/>
    <x v="1"/>
    <s v="pagado"/>
    <s v="pagado"/>
    <x v="0"/>
  </r>
  <r>
    <n v="3000001045"/>
    <d v="2025-07-31T00:00:00"/>
    <n v="6884097.5999999996"/>
    <s v="ANTONACCI LUIS GABRIEL LA FLORIDA 14"/>
    <x v="501"/>
    <n v="6884097.5999999996"/>
    <x v="86"/>
    <x v="1"/>
    <s v="pagado"/>
    <s v="pagado"/>
    <x v="0"/>
  </r>
  <r>
    <n v="3000001046"/>
    <d v="2025-07-31T00:00:00"/>
    <n v="1595040.73"/>
    <s v="BUSTOS EXEQUIEL ANTONIO BANDA DEL RIO SALI 14"/>
    <x v="502"/>
    <n v="1595040.73"/>
    <x v="86"/>
    <x v="1"/>
    <s v="pagado"/>
    <s v="pagado"/>
    <x v="0"/>
  </r>
  <r>
    <n v="3000001047"/>
    <d v="2025-07-31T00:00:00"/>
    <n v="9829943.5999999996"/>
    <s v="Syngenta Agro S.A. Vicente López 01"/>
    <x v="503"/>
    <n v="9829943.5999999996"/>
    <x v="86"/>
    <x v="1"/>
    <s v="pagado"/>
    <s v="pagado"/>
    <x v="0"/>
  </r>
  <r>
    <n v="3000001048"/>
    <d v="2025-07-31T00:00:00"/>
    <n v="10501823.5"/>
    <s v="Pulverizaciones Tuninetti S.R.Las Rosas 01"/>
    <x v="504"/>
    <n v="10501823.5"/>
    <x v="86"/>
    <x v="1"/>
    <s v="pagado"/>
    <s v="pagado"/>
    <x v="0"/>
  </r>
  <r>
    <n v="3000001049"/>
    <d v="2025-07-31T00:00:00"/>
    <n v="8318980.5999999996"/>
    <s v="VERON MARIANA BEATRIZ NUEVA ESPERANZA 13"/>
    <x v="505"/>
    <n v="8318980.5999999996"/>
    <x v="86"/>
    <x v="1"/>
    <s v="pagado"/>
    <s v="pagado"/>
    <x v="0"/>
  </r>
  <r>
    <n v="3000001050"/>
    <d v="2025-07-31T00:00:00"/>
    <n v="1112544"/>
    <s v="AYALA HERNAN OSVALDO SAN MIGUEL DE TUCUMAN 14"/>
    <x v="506"/>
    <n v="1112544"/>
    <x v="86"/>
    <x v="1"/>
    <s v="pagado"/>
    <s v="pagado"/>
    <x v="0"/>
  </r>
  <r>
    <n v="3000001050"/>
    <d v="2025-07-31T00:00:00"/>
    <n v="9387580"/>
    <s v="AYALA HERNAN OSVALDO SAN MIGUEL DE TUCUMAN 14"/>
    <x v="507"/>
    <n v="9387580"/>
    <x v="87"/>
    <x v="1"/>
    <s v="pagado"/>
    <s v="pagado"/>
    <x v="0"/>
  </r>
  <r>
    <n v="3000001051"/>
    <d v="2025-07-31T00:00:00"/>
    <n v="12700600.84"/>
    <s v="TRANSPORTE BARBERAN HNOS SRL CHABAS 12"/>
    <x v="508"/>
    <n v="12700600.84"/>
    <x v="87"/>
    <x v="1"/>
    <s v="pagado"/>
    <s v="pagado"/>
    <x v="0"/>
  </r>
  <r>
    <n v="3000001052"/>
    <d v="2025-07-31T00:00:00"/>
    <n v="11385065.310000001"/>
    <s v="FLETES Y SERVICIOS PUJATO S.A PUJATO 12"/>
    <x v="509"/>
    <n v="11385065.310000001"/>
    <x v="87"/>
    <x v="1"/>
    <s v="pagado"/>
    <s v="pagado"/>
    <x v="0"/>
  </r>
  <r>
    <n v="3000001053"/>
    <d v="2025-07-31T00:00:00"/>
    <n v="12252177.49"/>
    <s v="SURIAGRO SRL SAN MIGUEL DE TUCUMAN 14"/>
    <x v="510"/>
    <n v="12252177.49"/>
    <x v="87"/>
    <x v="1"/>
    <s v="pagado"/>
    <s v="pagado"/>
    <x v="0"/>
  </r>
  <r>
    <n v="3000001054"/>
    <d v="2025-07-31T00:00:00"/>
    <n v="13417977.24"/>
    <s v="LAVENIA VITO CARMELO LASTENIA 14"/>
    <x v="511"/>
    <n v="13417977.24"/>
    <x v="87"/>
    <x v="1"/>
    <s v="pagado"/>
    <s v="pagado"/>
    <x v="0"/>
  </r>
  <r>
    <n v="3000001055"/>
    <d v="2025-07-31T00:00:00"/>
    <n v="17991278.920000002"/>
    <s v="JAVIER EDUARDO PRADO FLORIDA 13"/>
    <x v="512"/>
    <n v="17991278.920000002"/>
    <x v="87"/>
    <x v="1"/>
    <s v="pagado"/>
    <s v="pagado"/>
    <x v="0"/>
  </r>
  <r>
    <n v="3000001056"/>
    <d v="2025-07-31T00:00:00"/>
    <n v="11788512.98"/>
    <s v="LANGELLA JUAN RODOLFO ALDERETES 14"/>
    <x v="513"/>
    <n v="11788512.98"/>
    <x v="87"/>
    <x v="1"/>
    <s v="pagado"/>
    <s v="pagado"/>
    <x v="0"/>
  </r>
  <r>
    <n v="3000001057"/>
    <d v="2025-07-31T00:00:00"/>
    <n v="11770724.58"/>
    <s v="GOMEZ JESSICA NOELIA LAS TALITAS 14"/>
    <x v="514"/>
    <n v="11770724.58"/>
    <x v="87"/>
    <x v="1"/>
    <s v="pagado"/>
    <s v="pagado"/>
    <x v="0"/>
  </r>
  <r>
    <n v="3000001058"/>
    <d v="2025-07-31T00:00:00"/>
    <n v="16164153.4"/>
    <s v="SUAREZ GABRIEL SEBASTIAN SANTIAGO DEL ESTERO 13"/>
    <x v="515"/>
    <n v="16164153.4"/>
    <x v="87"/>
    <x v="1"/>
    <s v="pagado"/>
    <s v="pagado"/>
    <x v="0"/>
  </r>
  <r>
    <n v="3000001059"/>
    <d v="2025-07-31T00:00:00"/>
    <n v="19830874.280000001"/>
    <s v="AGROQUIMICA ALBERDI S.R.L. CONCEPCION 14"/>
    <x v="516"/>
    <n v="19830874.280000001"/>
    <x v="87"/>
    <x v="1"/>
    <s v="pagado"/>
    <s v="pagado"/>
    <x v="0"/>
  </r>
  <r>
    <n v="3000001060"/>
    <d v="2025-07-31T00:00:00"/>
    <n v="26065644"/>
    <s v="Medina Lauro Jose Las Cejas 14"/>
    <x v="517"/>
    <n v="26065644"/>
    <x v="87"/>
    <x v="1"/>
    <s v="pagado"/>
    <s v="pagado"/>
    <x v="0"/>
  </r>
  <r>
    <n v="3000001061"/>
    <d v="2025-07-31T00:00:00"/>
    <n v="25000000"/>
    <s v="DANIEL MARCELO GUERRERO ALDERETES 14"/>
    <x v="518"/>
    <n v="25000000"/>
    <x v="86"/>
    <x v="1"/>
    <s v="pagado"/>
    <s v="pagado"/>
    <x v="0"/>
  </r>
  <r>
    <n v="3000001061"/>
    <d v="2025-07-31T00:00:00"/>
    <n v="26103957.030000001"/>
    <s v="DANIEL MARCELO GUERRERO ALDERETES 14"/>
    <x v="519"/>
    <n v="26103957.030000001"/>
    <x v="87"/>
    <x v="1"/>
    <s v="pagado"/>
    <s v="pagado"/>
    <x v="0"/>
  </r>
  <r>
    <n v="3000001099"/>
    <d v="2025-08-08T00:00:00"/>
    <n v="1384844.74"/>
    <s v="LOGISTICA DEL NORTE S.R.L. SAN MIGUEL DE TUCUMAN 14"/>
    <x v="520"/>
    <n v="1384844.74"/>
    <x v="88"/>
    <x v="1"/>
    <s v="pagado"/>
    <s v="pagado"/>
    <x v="0"/>
  </r>
  <r>
    <n v="3000001106"/>
    <d v="2025-08-11T00:00:00"/>
    <n v="4231185.1500000004"/>
    <s v="MOLINA JUAN F. Y MOLINA ROQUE Lastenia 14"/>
    <x v="521"/>
    <n v="4231185.1500000004"/>
    <x v="89"/>
    <x v="1"/>
    <s v="pagado"/>
    <s v="pagado"/>
    <x v="0"/>
  </r>
  <r>
    <n v="3000001106"/>
    <d v="2025-08-11T00:00:00"/>
    <n v="16882817.82"/>
    <s v="MOLINA JUAN F. Y MOLINA ROQUE Lastenia 14"/>
    <x v="522"/>
    <n v="16882817.82"/>
    <x v="90"/>
    <x v="1"/>
    <s v="pagado"/>
    <s v="pagado"/>
    <x v="0"/>
  </r>
  <r>
    <n v="3000001109"/>
    <d v="2025-08-11T00:00:00"/>
    <n v="20000000"/>
    <s v="VITRIU NICOLAS YERBA BUENA 14"/>
    <x v="523"/>
    <n v="20000000"/>
    <x v="89"/>
    <x v="1"/>
    <s v="pagado"/>
    <s v="pagado"/>
    <x v="0"/>
  </r>
  <r>
    <n v="3000001109"/>
    <d v="2025-08-11T00:00:00"/>
    <n v="16755093.4"/>
    <s v="VITRIU NICOLAS YERBA BUENA 14"/>
    <x v="524"/>
    <n v="16755093.4"/>
    <x v="90"/>
    <x v="1"/>
    <s v="pagado"/>
    <s v="pagado"/>
    <x v="0"/>
  </r>
  <r>
    <n v="3000001110"/>
    <d v="2025-08-11T00:00:00"/>
    <n v="10000000"/>
    <s v="ANTONACCI LUIS GABRIEL LA FLORIDA 14"/>
    <x v="525"/>
    <n v="10000000"/>
    <x v="89"/>
    <x v="1"/>
    <s v="pagado"/>
    <s v="pagado"/>
    <x v="0"/>
  </r>
  <r>
    <n v="3000001110"/>
    <d v="2025-08-11T00:00:00"/>
    <n v="10846843"/>
    <s v="ANTONACCI LUIS GABRIEL LA FLORIDA 14"/>
    <x v="526"/>
    <n v="10846843"/>
    <x v="90"/>
    <x v="1"/>
    <s v="pagado"/>
    <s v="pagado"/>
    <x v="0"/>
  </r>
  <r>
    <n v="3000001112"/>
    <d v="2025-08-11T00:00:00"/>
    <n v="10000000"/>
    <s v="LOGISTICA CENTRO S.R.L CORONDA 12"/>
    <x v="527"/>
    <n v="10000000"/>
    <x v="89"/>
    <x v="1"/>
    <s v="pagado"/>
    <s v="pagado"/>
    <x v="0"/>
  </r>
  <r>
    <n v="3000001112"/>
    <d v="2025-08-11T00:00:00"/>
    <n v="5749284.8200000003"/>
    <s v="LOGISTICA CENTRO S.R.L CORONDA 12"/>
    <x v="528"/>
    <n v="5749284.8200000003"/>
    <x v="90"/>
    <x v="1"/>
    <s v="pagado"/>
    <s v="pagado"/>
    <x v="0"/>
  </r>
  <r>
    <n v="3000001113"/>
    <d v="2025-08-11T00:00:00"/>
    <n v="20000000"/>
    <s v="LAVENIA VITO CARMELO LASTENIA 14"/>
    <x v="529"/>
    <n v="20000000"/>
    <x v="89"/>
    <x v="1"/>
    <s v="pagado"/>
    <s v="pagado"/>
    <x v="0"/>
  </r>
  <r>
    <n v="3000001113"/>
    <d v="2025-08-11T00:00:00"/>
    <n v="14839987.42"/>
    <s v="LAVENIA VITO CARMELO LASTENIA 14"/>
    <x v="530"/>
    <n v="14839987.42"/>
    <x v="90"/>
    <x v="1"/>
    <s v="pagado"/>
    <s v="pagado"/>
    <x v="0"/>
  </r>
  <r>
    <n v="3000001114"/>
    <d v="2025-08-11T00:00:00"/>
    <n v="20000000"/>
    <s v="DE CIA GALFRASCOLI PIERO FABIOQUIMILI 13"/>
    <x v="531"/>
    <n v="20000000"/>
    <x v="89"/>
    <x v="1"/>
    <s v="pagado"/>
    <s v="pagado"/>
    <x v="0"/>
  </r>
  <r>
    <n v="3000001114"/>
    <d v="2025-08-11T00:00:00"/>
    <n v="13050449.43"/>
    <s v="DE CIA GALFRASCOLI PIERO FABIOQUIMILI 13"/>
    <x v="532"/>
    <n v="13050449.43"/>
    <x v="90"/>
    <x v="1"/>
    <s v="pagado"/>
    <s v="pagado"/>
    <x v="0"/>
  </r>
  <r>
    <n v="3000001105"/>
    <d v="2025-08-11T00:00:00"/>
    <n v="3155226.27"/>
    <s v="Agricola Garcia S.A. SAN MIGUEL DE TUCUMAN 14"/>
    <x v="533"/>
    <n v="3155226.27"/>
    <x v="89"/>
    <x v="1"/>
    <s v="pagado"/>
    <s v="pagado"/>
    <x v="0"/>
  </r>
  <r>
    <n v="3000001107"/>
    <d v="2025-08-11T00:00:00"/>
    <n v="9877000"/>
    <s v="GOMEZ MANUEL ARCENIO METAN 09"/>
    <x v="534"/>
    <n v="9877000"/>
    <x v="89"/>
    <x v="1"/>
    <s v="pagado"/>
    <s v="pagado"/>
    <x v="0"/>
  </r>
  <r>
    <n v="3000001108"/>
    <d v="2025-08-11T00:00:00"/>
    <n v="13912949.449999999"/>
    <s v="JAVIER EDUARDO PRADO FLORIDA 13"/>
    <x v="535"/>
    <n v="13912949.449999999"/>
    <x v="89"/>
    <x v="1"/>
    <s v="pagado"/>
    <s v="pagado"/>
    <x v="0"/>
  </r>
  <r>
    <n v="3000001111"/>
    <d v="2025-08-11T00:00:00"/>
    <n v="10333116.41"/>
    <s v="TRANSPORTE LUIS SANDOVAL S.A.SLOS VALLISTOS 14"/>
    <x v="536"/>
    <n v="10333116.41"/>
    <x v="89"/>
    <x v="1"/>
    <s v="pagado"/>
    <s v="pagado"/>
    <x v="0"/>
  </r>
  <r>
    <n v="3000001115"/>
    <d v="2025-08-11T00:00:00"/>
    <n v="14951104.9"/>
    <s v="ELIAS LUCIANO EMANUEL LAS TALITAS 14"/>
    <x v="537"/>
    <n v="14951104.9"/>
    <x v="89"/>
    <x v="1"/>
    <s v="pagado"/>
    <s v="pagado"/>
    <x v="0"/>
  </r>
  <r>
    <n v="3000001116"/>
    <d v="2025-08-11T00:00:00"/>
    <n v="12543082.6"/>
    <s v="AGROTRANSPORTE ALDAO S.A. CAMILO ALDAO 03"/>
    <x v="538"/>
    <n v="12543082.6"/>
    <x v="89"/>
    <x v="1"/>
    <s v="pagado"/>
    <s v="pagado"/>
    <x v="0"/>
  </r>
  <r>
    <n v="3000001117"/>
    <d v="2025-08-11T00:00:00"/>
    <n v="8718590.7699999996"/>
    <s v="TRANSPORTE CLASON SRL ROSARIO 12"/>
    <x v="539"/>
    <n v="8718590.7699999996"/>
    <x v="89"/>
    <x v="1"/>
    <s v="pagado"/>
    <s v="pagado"/>
    <x v="0"/>
  </r>
  <r>
    <n v="3000001118"/>
    <d v="2025-08-11T00:00:00"/>
    <n v="3162384.97"/>
    <s v="WILLIAMS LOGISTICA SA CIUDAD AUTONOMA BUENOS AIRES 00"/>
    <x v="540"/>
    <n v="3162384.97"/>
    <x v="89"/>
    <x v="1"/>
    <s v="pagado"/>
    <s v="pagado"/>
    <x v="0"/>
  </r>
  <r>
    <n v="3000001119"/>
    <d v="2025-08-11T00:00:00"/>
    <n v="3134290.72"/>
    <s v="TRANSPORTE Y LOGISTICA DEL ESTLAS CEJAS 14"/>
    <x v="541"/>
    <n v="3134290.72"/>
    <x v="89"/>
    <x v="1"/>
    <s v="pagado"/>
    <s v="pagado"/>
    <x v="0"/>
  </r>
  <r>
    <n v="3000001129"/>
    <d v="2025-08-12T00:00:00"/>
    <n v="7161955.1500000004"/>
    <s v="LANGELLA JUAN RODOLFO ALDERETES 14"/>
    <x v="542"/>
    <n v="7161955.1500000004"/>
    <x v="89"/>
    <x v="1"/>
    <s v="pagado"/>
    <s v="pagado"/>
    <x v="0"/>
  </r>
  <r>
    <n v="3000001130"/>
    <d v="2025-08-12T00:00:00"/>
    <n v="5967264.0999999996"/>
    <s v="MOYANO JULIO CESAR BANDA DEL RIO SALI 14"/>
    <x v="543"/>
    <n v="5967264.0999999996"/>
    <x v="89"/>
    <x v="1"/>
    <s v="pagado"/>
    <s v="pagado"/>
    <x v="0"/>
  </r>
  <r>
    <n v="3000001131"/>
    <d v="2025-08-12T00:00:00"/>
    <n v="12624451.779999999"/>
    <s v="SURIAGRO SRL SAN MIGUEL DE TUCUMAN 14"/>
    <x v="544"/>
    <n v="12624451.779999999"/>
    <x v="89"/>
    <x v="1"/>
    <s v="pagado"/>
    <s v="pagado"/>
    <x v="0"/>
  </r>
  <r>
    <n v="3000001145"/>
    <d v="2025-08-14T00:00:00"/>
    <n v="42242070"/>
    <s v="EDET S.A. SAN MIGUEL DE TUCUMAN 14"/>
    <x v="545"/>
    <n v="42242070"/>
    <x v="89"/>
    <x v="1"/>
    <s v="pagado"/>
    <s v="pagado"/>
    <x v="0"/>
  </r>
  <r>
    <n v="3000001153"/>
    <d v="2025-08-18T00:00:00"/>
    <n v="639115.56999999995"/>
    <s v="AACREA BUENOS AIRES 01"/>
    <x v="546"/>
    <n v="639115.56999999995"/>
    <x v="91"/>
    <x v="1"/>
    <s v="pagado"/>
    <s v="pagado"/>
    <x v="0"/>
  </r>
  <r>
    <n v="3000001154"/>
    <d v="2025-08-18T00:00:00"/>
    <n v="8307421.4000000004"/>
    <s v="RODRIGUEZ NESTOR HORACIO YERBA BUENA 14"/>
    <x v="547"/>
    <n v="8307421.4000000004"/>
    <x v="91"/>
    <x v="1"/>
    <s v="pagado"/>
    <s v="pagado"/>
    <x v="0"/>
  </r>
  <r>
    <n v="3000001155"/>
    <d v="2025-08-18T00:00:00"/>
    <n v="23055528.399999999"/>
    <s v="Aso, Eduardo SAN MIGUEL DE TUCUMAN 14"/>
    <x v="548"/>
    <n v="23055528.399999999"/>
    <x v="92"/>
    <x v="1"/>
    <s v="pagado"/>
    <s v="pagado"/>
    <x v="0"/>
  </r>
  <r>
    <n v="3000001156"/>
    <d v="2025-08-18T00:00:00"/>
    <n v="26400016.699999999"/>
    <s v="LOS LAURELES SERVICIOS AGRICOLSan Miguel De Tucuman 14"/>
    <x v="549"/>
    <n v="26400016.699999999"/>
    <x v="92"/>
    <x v="1"/>
    <s v="pagado"/>
    <s v="pagado"/>
    <x v="0"/>
  </r>
  <r>
    <n v="3000001157"/>
    <d v="2025-08-18T00:00:00"/>
    <n v="29841120.579999998"/>
    <s v="AYALA WALTER DANIEL ALDERETES 14"/>
    <x v="550"/>
    <n v="29841120.579999998"/>
    <x v="92"/>
    <x v="1"/>
    <s v="pagado"/>
    <s v="pagado"/>
    <x v="0"/>
  </r>
  <r>
    <n v="3000001183"/>
    <d v="2025-08-25T00:00:00"/>
    <n v="6248880"/>
    <s v="RASUK JORGE LUIS YERBA BUENA 14"/>
    <x v="551"/>
    <n v="6248880"/>
    <x v="93"/>
    <x v="1"/>
    <s v="pagado"/>
    <s v="pagado"/>
    <x v="0"/>
  </r>
  <r>
    <n v="3000001184"/>
    <d v="2025-08-25T00:00:00"/>
    <n v="4228895.4000000004"/>
    <s v="Avila Carlos Alberto SAN MIGUEL DE TUCUMAN 14"/>
    <x v="552"/>
    <n v="4228895.4000000004"/>
    <x v="93"/>
    <x v="1"/>
    <s v="pagado"/>
    <s v="pagado"/>
    <x v="0"/>
  </r>
  <r>
    <n v="3000001185"/>
    <d v="2025-08-25T00:00:00"/>
    <n v="10179240.5"/>
    <s v="Pulmajo S.R.L. CONCEPCION 14"/>
    <x v="553"/>
    <n v="10179240.5"/>
    <x v="93"/>
    <x v="1"/>
    <s v="pagado"/>
    <s v="pagado"/>
    <x v="0"/>
  </r>
  <r>
    <n v="3000001186"/>
    <d v="2025-08-25T00:00:00"/>
    <n v="10000000"/>
    <s v="Medina Lauro Jose Las Cejas 14"/>
    <x v="554"/>
    <n v="10000000"/>
    <x v="93"/>
    <x v="1"/>
    <s v="pagado"/>
    <s v="pagado"/>
    <x v="0"/>
  </r>
  <r>
    <n v="3000001186"/>
    <d v="2025-08-25T00:00:00"/>
    <n v="10227333.5"/>
    <s v="Medina Lauro Jose Las Cejas 14"/>
    <x v="555"/>
    <n v="10227333.5"/>
    <x v="94"/>
    <x v="1"/>
    <s v="pagado"/>
    <s v="pagado"/>
    <x v="0"/>
  </r>
  <r>
    <n v="3000001187"/>
    <d v="2025-08-25T00:00:00"/>
    <n v="9704032.1999999993"/>
    <s v="AYALA HERNAN OSVALDO SAN MIGUEL DE TUCUMAN 14"/>
    <x v="556"/>
    <n v="9704032.1999999993"/>
    <x v="93"/>
    <x v="1"/>
    <s v="pagado"/>
    <s v="pagado"/>
    <x v="0"/>
  </r>
  <r>
    <n v="3000001188"/>
    <d v="2025-08-25T00:00:00"/>
    <n v="5077040.5"/>
    <s v="ROMAN BARCELO Y JORGE CARRERASLAS LAJITAS 09"/>
    <x v="557"/>
    <n v="5077040.5"/>
    <x v="93"/>
    <x v="1"/>
    <s v="pagado"/>
    <s v="pagado"/>
    <x v="0"/>
  </r>
  <r>
    <n v="3000001189"/>
    <d v="2025-08-25T00:00:00"/>
    <n v="6488249"/>
    <s v="SUAREZ GABRIEL SEBASTIAN SANTIAGO DEL ESTERO 13"/>
    <x v="558"/>
    <n v="6488249"/>
    <x v="93"/>
    <x v="1"/>
    <s v="pagado"/>
    <s v="pagado"/>
    <x v="0"/>
  </r>
  <r>
    <n v="3000001190"/>
    <d v="2025-08-25T00:00:00"/>
    <n v="7727813.4000000004"/>
    <s v="DON KOKO S.R.L CAMILO ALDAO 03"/>
    <x v="559"/>
    <n v="7727813.4000000004"/>
    <x v="93"/>
    <x v="1"/>
    <s v="pagado"/>
    <s v="pagado"/>
    <x v="0"/>
  </r>
  <r>
    <n v="3000001191"/>
    <d v="2025-08-25T00:00:00"/>
    <n v="8990948.1500000004"/>
    <s v="Pulverizaciones Tuninetti S.R.Las Rosas 01"/>
    <x v="560"/>
    <n v="8990948.1500000004"/>
    <x v="93"/>
    <x v="1"/>
    <s v="pagado"/>
    <s v="pagado"/>
    <x v="0"/>
  </r>
  <r>
    <n v="3000001192"/>
    <d v="2025-08-25T00:00:00"/>
    <n v="7000000"/>
    <s v="LOS NOGALES S.R.L General Jose de San 16"/>
    <x v="561"/>
    <n v="7000000"/>
    <x v="93"/>
    <x v="1"/>
    <s v="pagado"/>
    <s v="pagado"/>
    <x v="0"/>
  </r>
  <r>
    <n v="3000001192"/>
    <d v="2025-08-25T00:00:00"/>
    <n v="7369480"/>
    <s v="LOS NOGALES S.R.L General Jose de San 16"/>
    <x v="562"/>
    <n v="7369480"/>
    <x v="94"/>
    <x v="1"/>
    <s v="pagado"/>
    <s v="pagado"/>
    <x v="0"/>
  </r>
  <r>
    <n v="3000001193"/>
    <d v="2025-08-25T00:00:00"/>
    <n v="19182308.780000001"/>
    <s v="LOS LAURELES SERVICIOS AGRICOLSan Miguel De Tucuman 14"/>
    <x v="563"/>
    <n v="19182308.780000001"/>
    <x v="93"/>
    <x v="1"/>
    <s v="pagado"/>
    <s v="pagado"/>
    <x v="0"/>
  </r>
  <r>
    <n v="3000001193"/>
    <d v="2025-08-25T00:00:00"/>
    <n v="4682956.72"/>
    <s v="LOS LAURELES SERVICIOS AGRICOLSan Miguel De Tucuman 14"/>
    <x v="564"/>
    <n v="4682956.72"/>
    <x v="94"/>
    <x v="1"/>
    <s v="pagado"/>
    <s v="pagado"/>
    <x v="0"/>
  </r>
  <r>
    <n v="3000001209"/>
    <d v="2025-08-26T00:00:00"/>
    <n v="663404.86"/>
    <s v="BUSSINES AND TRANSPORT SRL . 30712924507 14"/>
    <x v="565"/>
    <n v="663404.86"/>
    <x v="94"/>
    <x v="1"/>
    <s v="pagado"/>
    <s v="pagado"/>
    <x v="0"/>
  </r>
  <r>
    <n v="3000001210"/>
    <d v="2025-08-26T00:00:00"/>
    <n v="10000000"/>
    <s v="LOGISTICA CENTRO S.R.L CORONDA 12"/>
    <x v="566"/>
    <n v="10000000"/>
    <x v="94"/>
    <x v="1"/>
    <s v="pagado"/>
    <s v="pagado"/>
    <x v="0"/>
  </r>
  <r>
    <n v="3000001210"/>
    <d v="2025-08-26T00:00:00"/>
    <n v="8445918.4499999993"/>
    <s v="LOGISTICA CENTRO S.R.L CORONDA 12"/>
    <x v="567"/>
    <n v="8445918.4499999993"/>
    <x v="95"/>
    <x v="1"/>
    <s v="pagado"/>
    <s v="pagado"/>
    <x v="0"/>
  </r>
  <r>
    <n v="3000001211"/>
    <d v="2025-08-26T00:00:00"/>
    <n v="6692757.1799999997"/>
    <s v="COCCOLO LOGISTICA SA cañada rosquin 12"/>
    <x v="568"/>
    <n v="6692757.1799999997"/>
    <x v="94"/>
    <x v="1"/>
    <s v="pagado"/>
    <s v="pagado"/>
    <x v="0"/>
  </r>
  <r>
    <n v="3000001212"/>
    <d v="2025-08-26T00:00:00"/>
    <n v="5089778.87"/>
    <s v="PAIS WALTER LUIS SAN MIGUEL DE TUCUMAN 14"/>
    <x v="569"/>
    <n v="5089778.87"/>
    <x v="94"/>
    <x v="1"/>
    <s v="pagado"/>
    <s v="pagado"/>
    <x v="0"/>
  </r>
  <r>
    <n v="3000001213"/>
    <d v="2025-08-26T00:00:00"/>
    <n v="3451556.16"/>
    <s v="TRANSPORTE Y LOGISTICA DEL ESTLAS CEJAS 14"/>
    <x v="570"/>
    <n v="3451556.16"/>
    <x v="94"/>
    <x v="1"/>
    <s v="pagado"/>
    <s v="pagado"/>
    <x v="0"/>
  </r>
  <r>
    <n v="3000001214"/>
    <d v="2025-08-26T00:00:00"/>
    <n v="8149532.3700000001"/>
    <s v="Paz Pablo Jose SAN MIGUEL DE TUCUMAN 14"/>
    <x v="571"/>
    <n v="8149532.3700000001"/>
    <x v="94"/>
    <x v="1"/>
    <s v="pagado"/>
    <s v="pagado"/>
    <x v="0"/>
  </r>
  <r>
    <n v="3000001215"/>
    <d v="2025-08-26T00:00:00"/>
    <n v="7714014.5899999999"/>
    <s v="GOMEZ JESSICA NOELIA LAS TALITAS 14"/>
    <x v="572"/>
    <n v="7714014.5899999999"/>
    <x v="94"/>
    <x v="1"/>
    <s v="pagado"/>
    <s v="pagado"/>
    <x v="0"/>
  </r>
  <r>
    <n v="3000001216"/>
    <d v="2025-08-26T00:00:00"/>
    <n v="3704696.71"/>
    <s v="SURIAGRO SRL SAN MIGUEL DE TUCUMAN 14"/>
    <x v="573"/>
    <n v="3704696.71"/>
    <x v="94"/>
    <x v="1"/>
    <s v="pagado"/>
    <s v="pagado"/>
    <x v="0"/>
  </r>
  <r>
    <n v="3000001217"/>
    <d v="2025-08-26T00:00:00"/>
    <n v="5854299.6600000001"/>
    <s v="BUSTOS EXEQUIEL ANTONIO BANDA DEL RIO SALI 14"/>
    <x v="574"/>
    <n v="5854299.6600000001"/>
    <x v="94"/>
    <x v="1"/>
    <s v="pagado"/>
    <s v="pagado"/>
    <x v="0"/>
  </r>
  <r>
    <n v="3000001218"/>
    <d v="2025-08-26T00:00:00"/>
    <n v="8000000"/>
    <s v="JAVIER EDUARDO PRADO FLORIDA 13"/>
    <x v="575"/>
    <n v="8000000"/>
    <x v="94"/>
    <x v="1"/>
    <s v="pagado"/>
    <s v="pagado"/>
    <x v="0"/>
  </r>
  <r>
    <n v="3000001218"/>
    <d v="2025-08-26T00:00:00"/>
    <n v="7346163.8499999996"/>
    <s v="JAVIER EDUARDO PRADO FLORIDA 13"/>
    <x v="576"/>
    <n v="7346163.8499999996"/>
    <x v="95"/>
    <x v="1"/>
    <s v="pagado"/>
    <s v="pagado"/>
    <x v="0"/>
  </r>
  <r>
    <n v="3000001219"/>
    <d v="2025-08-26T00:00:00"/>
    <n v="3681508.21"/>
    <s v="LANGELLA JUAN RODOLFO ALDERETES 14"/>
    <x v="577"/>
    <n v="3681508.21"/>
    <x v="94"/>
    <x v="1"/>
    <s v="pagado"/>
    <s v="pagado"/>
    <x v="0"/>
  </r>
  <r>
    <n v="3000001220"/>
    <d v="2025-08-26T00:00:00"/>
    <n v="6000000"/>
    <s v="LAVENIA VITO CARMELO LASTENIA 14"/>
    <x v="578"/>
    <n v="6000000"/>
    <x v="94"/>
    <x v="1"/>
    <s v="pagado"/>
    <s v="pagado"/>
    <x v="0"/>
  </r>
  <r>
    <n v="3000001220"/>
    <d v="2025-08-26T00:00:00"/>
    <n v="6161944.6900000004"/>
    <s v="LAVENIA VITO CARMELO LASTENIA 14"/>
    <x v="579"/>
    <n v="6161944.6900000004"/>
    <x v="95"/>
    <x v="1"/>
    <s v="pagado"/>
    <s v="pagado"/>
    <x v="0"/>
  </r>
  <r>
    <n v="3000001228"/>
    <d v="2025-09-01T00:00:00"/>
    <n v="137166528.97999999"/>
    <s v="Tucagro S.R.L CEVIL POZO 14"/>
    <x v="580"/>
    <n v="137166528.97999999"/>
    <x v="96"/>
    <x v="1"/>
    <s v="pagado"/>
    <s v="pagado"/>
    <x v="0"/>
  </r>
  <r>
    <n v="3000001229"/>
    <d v="2025-09-01T00:00:00"/>
    <n v="3425596.96"/>
    <s v="SAN LORENZO CEREALES S.R.L SAN LORENZO 12"/>
    <x v="581"/>
    <n v="3425596.96"/>
    <x v="97"/>
    <x v="1"/>
    <s v="pagado"/>
    <s v="pagado"/>
    <x v="0"/>
  </r>
  <r>
    <n v="3000001230"/>
    <d v="2025-09-01T00:00:00"/>
    <n v="10059837.68"/>
    <s v="MOYANO JULIO CESAR BANDA DEL RIO SALI 14"/>
    <x v="582"/>
    <n v="10059837.68"/>
    <x v="97"/>
    <x v="1"/>
    <s v="pagado"/>
    <s v="pagado"/>
    <x v="0"/>
  </r>
  <r>
    <n v="3000001231"/>
    <d v="2025-09-01T00:00:00"/>
    <n v="6643251.2000000002"/>
    <s v="RODRIGUEZ NESTOR HORACIO YERBA BUENA 14"/>
    <x v="583"/>
    <n v="6643251.2000000002"/>
    <x v="98"/>
    <x v="1"/>
    <s v="pagado"/>
    <s v="pagado"/>
    <x v="0"/>
  </r>
  <r>
    <n v="3000001232"/>
    <d v="2025-09-01T00:00:00"/>
    <n v="6548925.3300000001"/>
    <s v="SOUK S. A. S. SANTIAGO DEL ESTERO 13"/>
    <x v="584"/>
    <n v="6548925.3300000001"/>
    <x v="98"/>
    <x v="1"/>
    <s v="pagado"/>
    <s v="pagado"/>
    <x v="0"/>
  </r>
  <r>
    <n v="3000001233"/>
    <d v="2025-09-01T00:00:00"/>
    <n v="10251293.4"/>
    <s v="M.A.D Serv y mant eléctri SAN MIGUEL DE TUCUMAN 14"/>
    <x v="585"/>
    <n v="10251293.4"/>
    <x v="97"/>
    <x v="1"/>
    <s v="pagado"/>
    <s v="pagado"/>
    <x v="0"/>
  </r>
  <r>
    <n v="3000001234"/>
    <d v="2025-09-01T00:00:00"/>
    <n v="10184590.890000001"/>
    <s v="FLETES Y SERVICIOS PUJATO S.A PUJATO 12"/>
    <x v="586"/>
    <n v="10184590.890000001"/>
    <x v="97"/>
    <x v="1"/>
    <s v="pagado"/>
    <s v="pagado"/>
    <x v="0"/>
  </r>
  <r>
    <n v="3000001235"/>
    <d v="2025-09-01T00:00:00"/>
    <n v="5690184.7300000004"/>
    <s v="ANTONACCI LUIS GABRIEL LA FLORIDA 14"/>
    <x v="587"/>
    <n v="5690184.7300000004"/>
    <x v="97"/>
    <x v="1"/>
    <s v="pagado"/>
    <s v="pagado"/>
    <x v="0"/>
  </r>
  <r>
    <n v="3000001236"/>
    <d v="2025-09-01T00:00:00"/>
    <n v="13077940.449999999"/>
    <s v="Medina Lauro Jose Las Cejas 14"/>
    <x v="588"/>
    <n v="13077940.449999999"/>
    <x v="97"/>
    <x v="1"/>
    <s v="pagado"/>
    <s v="pagado"/>
    <x v="0"/>
  </r>
  <r>
    <n v="3000001247"/>
    <d v="2025-09-03T00:00:00"/>
    <n v="22108198.100000001"/>
    <s v="TRANSPORTE CLASON SRL ROSARIO 12"/>
    <x v="589"/>
    <n v="22108198.100000001"/>
    <x v="99"/>
    <x v="1"/>
    <s v="pagado"/>
    <s v="pagado"/>
    <x v="0"/>
  </r>
  <r>
    <n v="3000001248"/>
    <d v="2025-09-03T00:00:00"/>
    <n v="17019039.010000002"/>
    <s v="SIGMA AGRO SA MERCEDES 01"/>
    <x v="590"/>
    <n v="17019039.010000002"/>
    <x v="99"/>
    <x v="1"/>
    <s v="pagado"/>
    <s v="pagado"/>
    <x v="0"/>
  </r>
  <r>
    <n v="3000001258"/>
    <d v="2025-09-08T00:00:00"/>
    <n v="6127663.4800000004"/>
    <s v="MOLINA JUAN F. Y MOLINA ROQUE Lastenia 14"/>
    <x v="591"/>
    <n v="6127663.4800000004"/>
    <x v="100"/>
    <x v="1"/>
    <s v="pagado"/>
    <s v="pagado"/>
    <x v="0"/>
  </r>
  <r>
    <n v="3000001258"/>
    <d v="2025-09-08T00:00:00"/>
    <n v="4160581.71"/>
    <s v="MOLINA JUAN F. Y MOLINA ROQUE Lastenia 14"/>
    <x v="592"/>
    <n v="4160581.71"/>
    <x v="101"/>
    <x v="1"/>
    <s v="pagado"/>
    <s v="pagado"/>
    <x v="0"/>
  </r>
  <r>
    <n v="3000001259"/>
    <d v="2025-09-08T00:00:00"/>
    <n v="6477491.4800000004"/>
    <s v="ENTREGAS SERDEN S.R.L SAN LORENZO 12"/>
    <x v="593"/>
    <n v="6477491.4800000004"/>
    <x v="100"/>
    <x v="1"/>
    <s v="pagado"/>
    <s v="pagado"/>
    <x v="0"/>
  </r>
  <r>
    <n v="3000001260"/>
    <d v="2025-09-08T00:00:00"/>
    <n v="15000000"/>
    <s v="ROMAN BARCELO Y JORGE CARRERASLAS LAJITAS 09"/>
    <x v="594"/>
    <n v="15000000"/>
    <x v="100"/>
    <x v="1"/>
    <s v="pagado"/>
    <s v="pagado"/>
    <x v="0"/>
  </r>
  <r>
    <n v="3000001260"/>
    <d v="2025-09-08T00:00:00"/>
    <n v="15094979.35"/>
    <s v="ROMAN BARCELO Y JORGE CARRERASLAS LAJITAS 09"/>
    <x v="595"/>
    <n v="15094979.35"/>
    <x v="101"/>
    <x v="1"/>
    <s v="pagado"/>
    <s v="pagado"/>
    <x v="0"/>
  </r>
  <r>
    <n v="3000001261"/>
    <d v="2025-09-08T00:00:00"/>
    <n v="8829882.0700000003"/>
    <s v="GARCIA JORGE LUIS METAN 09"/>
    <x v="596"/>
    <n v="8829882.0700000003"/>
    <x v="100"/>
    <x v="1"/>
    <s v="pagado"/>
    <s v="pagado"/>
    <x v="0"/>
  </r>
  <r>
    <n v="3000001262"/>
    <d v="2025-09-08T00:00:00"/>
    <n v="14974425.539999999"/>
    <s v="AYALA WALTER DANIEL ALDERETES 14"/>
    <x v="597"/>
    <n v="14974425.539999999"/>
    <x v="100"/>
    <x v="1"/>
    <s v="pagado"/>
    <s v="pagado"/>
    <x v="0"/>
  </r>
  <r>
    <n v="3000001263"/>
    <d v="2025-09-08T00:00:00"/>
    <n v="15544704.49"/>
    <s v="LOGISTICA CENTRO S.R.L CORONDA 12"/>
    <x v="598"/>
    <n v="15544704.49"/>
    <x v="100"/>
    <x v="1"/>
    <s v="pagado"/>
    <s v="pagado"/>
    <x v="0"/>
  </r>
  <r>
    <n v="3000001305"/>
    <d v="2025-09-16T00:00:00"/>
    <n v="711054.54"/>
    <s v="Ventimiglia Nelly Irma Jesus Maria 03"/>
    <x v="599"/>
    <n v="711054.54"/>
    <x v="102"/>
    <x v="1"/>
    <s v="pagado"/>
    <s v="pagado"/>
    <x v="0"/>
  </r>
  <r>
    <n v="3000001306"/>
    <d v="2025-09-16T00:00:00"/>
    <n v="10000000"/>
    <s v="AYALA WALTER DANIEL ALDERETES 14"/>
    <x v="600"/>
    <n v="10000000"/>
    <x v="103"/>
    <x v="1"/>
    <s v="pagado"/>
    <s v="pagado"/>
    <x v="0"/>
  </r>
  <r>
    <n v="3000001306"/>
    <d v="2025-09-16T00:00:00"/>
    <n v="7679122.0599999996"/>
    <s v="AYALA WALTER DANIEL ALDERETES 14"/>
    <x v="601"/>
    <n v="7679122.0599999996"/>
    <x v="104"/>
    <x v="1"/>
    <s v="pagado"/>
    <s v="pagado"/>
    <x v="0"/>
  </r>
  <r>
    <n v="3000001307"/>
    <d v="2025-09-16T00:00:00"/>
    <n v="10000000"/>
    <s v="RODRIGUEZ NESTOR HORACIO YERBA BUENA 14"/>
    <x v="602"/>
    <n v="10000000"/>
    <x v="103"/>
    <x v="1"/>
    <s v="pagado"/>
    <s v="pagado"/>
    <x v="0"/>
  </r>
  <r>
    <n v="3000001307"/>
    <d v="2025-09-16T00:00:00"/>
    <n v="10704157.6"/>
    <s v="RODRIGUEZ NESTOR HORACIO YERBA BUENA 14"/>
    <x v="603"/>
    <n v="10704157.6"/>
    <x v="104"/>
    <x v="1"/>
    <s v="pagado"/>
    <s v="pagado"/>
    <x v="0"/>
  </r>
  <r>
    <n v="3000001308"/>
    <d v="2025-09-16T00:00:00"/>
    <n v="6172031.25"/>
    <s v="Medina Lauro Jose Las Cejas 14"/>
    <x v="604"/>
    <n v="6172031.25"/>
    <x v="103"/>
    <x v="1"/>
    <s v="pagado"/>
    <s v="pagado"/>
    <x v="0"/>
  </r>
  <r>
    <n v="3000001309"/>
    <d v="2025-09-16T00:00:00"/>
    <n v="4405509.5999999996"/>
    <s v="VERON MARIANA BEATRIZ NUEVA ESPERANZA 13"/>
    <x v="605"/>
    <n v="4405509.5999999996"/>
    <x v="103"/>
    <x v="1"/>
    <s v="pagado"/>
    <s v="pagado"/>
    <x v="0"/>
  </r>
  <r>
    <n v="3000001310"/>
    <d v="2025-09-16T00:00:00"/>
    <n v="10000000"/>
    <s v="MOYANO JULIO CESAR BANDA DEL RIO SALI 14"/>
    <x v="606"/>
    <n v="10000000"/>
    <x v="103"/>
    <x v="1"/>
    <s v="pagado"/>
    <s v="pagado"/>
    <x v="0"/>
  </r>
  <r>
    <n v="3000001310"/>
    <d v="2025-09-16T00:00:00"/>
    <n v="11156149.09"/>
    <s v="MOYANO JULIO CESAR BANDA DEL RIO SALI 14"/>
    <x v="607"/>
    <n v="11156149.09"/>
    <x v="104"/>
    <x v="1"/>
    <s v="pagado"/>
    <s v="pagado"/>
    <x v="0"/>
  </r>
  <r>
    <n v="3000001311"/>
    <d v="2025-09-16T00:00:00"/>
    <n v="10000000"/>
    <s v="TRANSPORTE Y LOGISTICA DEL ESTLAS CEJAS 14"/>
    <x v="608"/>
    <n v="10000000"/>
    <x v="103"/>
    <x v="1"/>
    <s v="pagado"/>
    <s v="pagado"/>
    <x v="0"/>
  </r>
  <r>
    <n v="3000001311"/>
    <d v="2025-09-16T00:00:00"/>
    <n v="6759356.6399999997"/>
    <s v="TRANSPORTE Y LOGISTICA DEL ESTLAS CEJAS 14"/>
    <x v="609"/>
    <n v="6759356.6399999997"/>
    <x v="104"/>
    <x v="1"/>
    <s v="pagado"/>
    <s v="pagado"/>
    <x v="0"/>
  </r>
  <r>
    <n v="3000001312"/>
    <d v="2025-09-16T00:00:00"/>
    <n v="7015449.8300000001"/>
    <s v="ANTONACCI LUIS GABRIEL LA FLORIDA 14"/>
    <x v="610"/>
    <n v="7015449.8300000001"/>
    <x v="103"/>
    <x v="1"/>
    <s v="pagado"/>
    <s v="pagado"/>
    <x v="0"/>
  </r>
  <r>
    <n v="3000001313"/>
    <d v="2025-09-16T00:00:00"/>
    <n v="7186478.5300000003"/>
    <s v="LANGELLA JUAN RODOLFO ALDERETES 14"/>
    <x v="611"/>
    <n v="7186478.5300000003"/>
    <x v="103"/>
    <x v="1"/>
    <s v="pagado"/>
    <s v="pagado"/>
    <x v="0"/>
  </r>
  <r>
    <n v="3000001314"/>
    <d v="2025-09-16T00:00:00"/>
    <n v="7994938.0300000003"/>
    <s v="LOGISTICA DEL NORTE S.R.L. SAN MIGUEL DE TUCUMAN 14"/>
    <x v="612"/>
    <n v="7994938.0300000003"/>
    <x v="104"/>
    <x v="1"/>
    <s v="pagado"/>
    <s v="pagado"/>
    <x v="0"/>
  </r>
  <r>
    <n v="3000001315"/>
    <d v="2025-09-16T00:00:00"/>
    <n v="20000000"/>
    <s v="TRANSPORTE LUIS SANDOVAL S.A.SLOS VALLISTOS 14"/>
    <x v="613"/>
    <n v="20000000"/>
    <x v="103"/>
    <x v="1"/>
    <s v="pagado"/>
    <s v="pagado"/>
    <x v="0"/>
  </r>
  <r>
    <n v="3000001315"/>
    <d v="2025-09-16T00:00:00"/>
    <n v="15157314.5"/>
    <s v="TRANSPORTE LUIS SANDOVAL S.A.SLOS VALLISTOS 14"/>
    <x v="614"/>
    <n v="15157314.5"/>
    <x v="104"/>
    <x v="1"/>
    <s v="pagado"/>
    <s v="pagado"/>
    <x v="0"/>
  </r>
  <r>
    <n v="3000001320"/>
    <d v="2025-09-17T00:00:00"/>
    <n v="30000000"/>
    <s v="DANIEL MARCELO GUERRERO ALDERETES 14"/>
    <x v="615"/>
    <n v="30000000"/>
    <x v="104"/>
    <x v="1"/>
    <s v="pagado"/>
    <s v="pagado"/>
    <x v="0"/>
  </r>
  <r>
    <n v="3000001320"/>
    <d v="2025-09-17T00:00:00"/>
    <n v="30126240.390000001"/>
    <s v="DANIEL MARCELO GUERRERO ALDERETES 14"/>
    <x v="616"/>
    <n v="30126240.390000001"/>
    <x v="105"/>
    <x v="1"/>
    <s v="pagado"/>
    <s v="pagado"/>
    <x v="0"/>
  </r>
  <r>
    <n v="3000001321"/>
    <d v="2025-09-17T00:00:00"/>
    <n v="25000000"/>
    <s v="LAVENIA VITO CARMELO LASTENIA 14"/>
    <x v="617"/>
    <n v="25000000"/>
    <x v="104"/>
    <x v="1"/>
    <s v="pagado"/>
    <s v="pagado"/>
    <x v="0"/>
  </r>
  <r>
    <n v="3000001321"/>
    <d v="2025-09-17T00:00:00"/>
    <n v="28607991.440000001"/>
    <s v="LAVENIA VITO CARMELO LASTENIA 14"/>
    <x v="618"/>
    <n v="28607991.440000001"/>
    <x v="105"/>
    <x v="1"/>
    <s v="pagado"/>
    <s v="pagado"/>
    <x v="0"/>
  </r>
  <r>
    <n v="3000001318"/>
    <d v="2025-09-17T00:00:00"/>
    <n v="16532771.57"/>
    <s v="GOMEZ JESSICA NOELIA LAS TALITAS 14"/>
    <x v="619"/>
    <n v="16532771.57"/>
    <x v="104"/>
    <x v="1"/>
    <s v="pagado"/>
    <s v="pagado"/>
    <x v="0"/>
  </r>
  <r>
    <n v="3000001319"/>
    <d v="2025-09-17T00:00:00"/>
    <n v="12442844.939999999"/>
    <s v="JAVIER EDUARDO PRADO FLORIDA 13"/>
    <x v="620"/>
    <n v="12442844.939999999"/>
    <x v="104"/>
    <x v="1"/>
    <s v="pagado"/>
    <s v="pagado"/>
    <x v="0"/>
  </r>
  <r>
    <n v="3000001322"/>
    <d v="2025-09-18T00:00:00"/>
    <n v="49166150"/>
    <s v="EDET S.A. SAN MIGUEL DE TUCUMAN 14"/>
    <x v="621"/>
    <n v="49166150"/>
    <x v="106"/>
    <x v="1"/>
    <s v="pagado"/>
    <s v="pagado"/>
    <x v="0"/>
  </r>
  <r>
    <n v="3000000602"/>
    <d v="2025-05-06T00:00:00"/>
    <n v="0"/>
    <s v="invalidado med.EOLIVERA -Destruido/ Sin uso"/>
    <x v="622"/>
    <n v="0"/>
    <x v="107"/>
    <x v="1"/>
    <s v="no pagado"/>
    <s v="fuera de fecha"/>
    <x v="0"/>
  </r>
  <r>
    <n v="3000001338"/>
    <d v="2025-09-22T00:00:00"/>
    <n v="6129508.2599999998"/>
    <s v="BERCOVICH COMERCIAL SAS SAN MIGUEL DE TUCUMAN 14"/>
    <x v="623"/>
    <n v="6129508.2599999998"/>
    <x v="108"/>
    <x v="1"/>
    <s v="pagado"/>
    <s v="pagado"/>
    <x v="0"/>
  </r>
  <r>
    <n v="3000001339"/>
    <d v="2025-09-22T00:00:00"/>
    <n v="5851343.4000000004"/>
    <s v="ZALAZAR ATTIS LOURDES NOEMI NUEVA ESPERANZA 13"/>
    <x v="624"/>
    <n v="5851343.4000000004"/>
    <x v="108"/>
    <x v="1"/>
    <s v="pagado"/>
    <s v="pagado"/>
    <x v="0"/>
  </r>
  <r>
    <n v="3000001340"/>
    <d v="2025-09-22T00:00:00"/>
    <n v="11000000"/>
    <s v="AYALA HERNAN OSVALDO SAN MIGUEL DE TUCUMAN 14"/>
    <x v="625"/>
    <n v="11000000"/>
    <x v="108"/>
    <x v="1"/>
    <s v="pagado"/>
    <s v="pagado"/>
    <x v="0"/>
  </r>
  <r>
    <n v="3000001340"/>
    <d v="2025-09-22T00:00:00"/>
    <n v="5228245.2300000004"/>
    <s v="AYALA HERNAN OSVALDO SAN MIGUEL DE TUCUMAN 14"/>
    <x v="626"/>
    <n v="5228245.2300000004"/>
    <x v="108"/>
    <x v="1"/>
    <s v="pagado"/>
    <s v="pagado"/>
    <x v="0"/>
  </r>
  <r>
    <n v="3000001341"/>
    <d v="2025-09-22T00:00:00"/>
    <n v="7606584"/>
    <s v="VERON MARIANA BEATRIZ NUEVA ESPERANZA 13"/>
    <x v="627"/>
    <n v="7606584"/>
    <x v="108"/>
    <x v="1"/>
    <s v="pagado"/>
    <s v="pagado"/>
    <x v="0"/>
  </r>
  <r>
    <n v="3000001342"/>
    <d v="2025-09-22T00:00:00"/>
    <n v="13511780.1"/>
    <s v="JAVIER EDUARDO PRADO FLORIDA 13"/>
    <x v="628"/>
    <n v="13511780.1"/>
    <x v="108"/>
    <x v="1"/>
    <s v="pagado"/>
    <s v="pagado"/>
    <x v="0"/>
  </r>
  <r>
    <n v="3000001343"/>
    <d v="2025-09-22T00:00:00"/>
    <n v="6641067.7999999998"/>
    <s v="LOGISTICA DEL NORTE S.R.L. SAN MIGUEL DE TUCUMAN 14"/>
    <x v="629"/>
    <n v="6641067.7999999998"/>
    <x v="108"/>
    <x v="1"/>
    <s v="pagado"/>
    <s v="pagado"/>
    <x v="0"/>
  </r>
  <r>
    <n v="3000001344"/>
    <d v="2025-09-22T00:00:00"/>
    <n v="9531186.1799999997"/>
    <s v="GOMEZ JESSICA NOELIA LAS TALITAS 14"/>
    <x v="630"/>
    <n v="9531186.1799999997"/>
    <x v="108"/>
    <x v="1"/>
    <s v="pagado"/>
    <s v="pagado"/>
    <x v="0"/>
  </r>
  <r>
    <n v="3000001345"/>
    <d v="2025-09-22T00:00:00"/>
    <n v="23192768.780000001"/>
    <s v="LOGISTICA CENTRO S.R.L CORONDA 12"/>
    <x v="631"/>
    <n v="23192768.780000001"/>
    <x v="108"/>
    <x v="1"/>
    <s v="pagado"/>
    <s v="pagado"/>
    <x v="0"/>
  </r>
  <r>
    <n v="3000001346"/>
    <d v="2025-09-22T00:00:00"/>
    <n v="5325635.8600000003"/>
    <s v="BERNADAL SERGIO RODOLFO BANDA DEL RIO SALI- TUCUMAN 14"/>
    <x v="632"/>
    <n v="5325635.8600000003"/>
    <x v="108"/>
    <x v="1"/>
    <s v="pagado"/>
    <s v="pagado"/>
    <x v="0"/>
  </r>
  <r>
    <n v="3000001347"/>
    <d v="2025-09-22T00:00:00"/>
    <n v="8895626.3399999999"/>
    <s v="ABUT TRANSPORTES SA CENTENO 12"/>
    <x v="633"/>
    <n v="8895626.3399999999"/>
    <x v="108"/>
    <x v="1"/>
    <s v="pagado"/>
    <s v="pagado"/>
    <x v="0"/>
  </r>
  <r>
    <n v="3000001348"/>
    <d v="2025-09-22T00:00:00"/>
    <n v="7862534.2800000003"/>
    <s v="PAIS WALTER LUIS SAN MIGUEL DE TUCUMAN 14"/>
    <x v="634"/>
    <n v="7862534.2800000003"/>
    <x v="108"/>
    <x v="1"/>
    <s v="pagado"/>
    <s v="pagado"/>
    <x v="0"/>
  </r>
  <r>
    <n v="3000001349"/>
    <d v="2025-09-22T00:00:00"/>
    <n v="3467036.5"/>
    <s v="MARCOS SCHMUKLER S.A SAN SALVADOR 05"/>
    <x v="635"/>
    <n v="3467036.5"/>
    <x v="108"/>
    <x v="1"/>
    <s v="pagado"/>
    <s v="pagado"/>
    <x v="0"/>
  </r>
  <r>
    <n v="3000001350"/>
    <d v="2025-09-22T00:00:00"/>
    <n v="8525266.1999999993"/>
    <s v="MOYANO JULIO CESAR BANDA DEL RIO SALI 14"/>
    <x v="636"/>
    <n v="8525266.1999999993"/>
    <x v="108"/>
    <x v="1"/>
    <s v="pagado"/>
    <s v="pagado"/>
    <x v="0"/>
  </r>
  <r>
    <n v="3000001362"/>
    <d v="2025-09-23T00:00:00"/>
    <n v="2263272.7799999998"/>
    <s v="FLETES Y SERVICIOS PUJATO S.A PUJATO 12"/>
    <x v="637"/>
    <n v="2263272.7799999998"/>
    <x v="108"/>
    <x v="1"/>
    <s v="pagado"/>
    <s v="pagado"/>
    <x v="0"/>
  </r>
  <r>
    <n v="3000001363"/>
    <d v="2025-09-23T00:00:00"/>
    <n v="15000000"/>
    <s v="TRANSPORTE BARBERAN HNOS SRL CHABAS 12"/>
    <x v="638"/>
    <n v="15000000"/>
    <x v="108"/>
    <x v="1"/>
    <s v="pagado"/>
    <s v="pagado"/>
    <x v="0"/>
  </r>
  <r>
    <n v="3000001363"/>
    <d v="2025-09-23T00:00:00"/>
    <n v="14659530.25"/>
    <s v="TRANSPORTE BARBERAN HNOS SRL CHABAS 12"/>
    <x v="639"/>
    <n v="14659530.25"/>
    <x v="109"/>
    <x v="1"/>
    <s v="pagado"/>
    <s v="pagado"/>
    <x v="0"/>
  </r>
  <r>
    <n v="3000001364"/>
    <d v="2025-09-23T00:00:00"/>
    <n v="3417060.81"/>
    <s v="BUSTOS CESAR ANIBAL BANDAL DE RIO SALI 14"/>
    <x v="640"/>
    <n v="3417060.81"/>
    <x v="108"/>
    <x v="1"/>
    <s v="pagado"/>
    <s v="pagado"/>
    <x v="0"/>
  </r>
  <r>
    <n v="3000001365"/>
    <d v="2025-09-23T00:00:00"/>
    <n v="7283390.4000000004"/>
    <s v="TRANSPORTE Y LOGISTICA DEL ESTLAS CEJAS 14"/>
    <x v="641"/>
    <n v="7283390.4000000004"/>
    <x v="108"/>
    <x v="1"/>
    <s v="pagado"/>
    <s v="pagado"/>
    <x v="0"/>
  </r>
  <r>
    <n v="3000001366"/>
    <d v="2025-09-23T00:00:00"/>
    <n v="3562049.92"/>
    <s v="TRANSPORTE RAUL S.R.L SAN MIGUEL DE TUCUMAN 14"/>
    <x v="642"/>
    <n v="3562049.92"/>
    <x v="108"/>
    <x v="1"/>
    <s v="pagado"/>
    <s v="pagado"/>
    <x v="0"/>
  </r>
  <r>
    <n v="3000001367"/>
    <d v="2025-09-23T00:00:00"/>
    <n v="13000000"/>
    <s v="LANGELLA JUAN RODOLFO ALDERETES 14"/>
    <x v="643"/>
    <n v="13000000"/>
    <x v="108"/>
    <x v="1"/>
    <s v="pagado"/>
    <s v="pagado"/>
    <x v="0"/>
  </r>
  <r>
    <n v="3000001367"/>
    <d v="2025-09-23T00:00:00"/>
    <n v="10014781.220000001"/>
    <s v="LANGELLA JUAN RODOLFO ALDERETES 14"/>
    <x v="644"/>
    <n v="10014781.220000001"/>
    <x v="109"/>
    <x v="1"/>
    <s v="pagado"/>
    <s v="pagado"/>
    <x v="0"/>
  </r>
  <r>
    <n v="3000001368"/>
    <d v="2025-09-23T00:00:00"/>
    <n v="8302860.71"/>
    <s v="ANTONACCI LUIS GABRIEL LA FLORIDA 14"/>
    <x v="645"/>
    <n v="8302860.71"/>
    <x v="108"/>
    <x v="1"/>
    <s v="pagado"/>
    <s v="pagado"/>
    <x v="0"/>
  </r>
  <r>
    <n v="3000001369"/>
    <d v="2025-09-23T00:00:00"/>
    <n v="20000000"/>
    <s v="DANIEL MARCELO GUERRERO ALDERETES 14"/>
    <x v="646"/>
    <n v="20000000"/>
    <x v="108"/>
    <x v="1"/>
    <s v="pagado"/>
    <s v="pagado"/>
    <x v="0"/>
  </r>
  <r>
    <n v="3000001369"/>
    <d v="2025-09-23T00:00:00"/>
    <n v="17206381.899999999"/>
    <s v="DANIEL MARCELO GUERRERO ALDERETES 14"/>
    <x v="647"/>
    <n v="17206381.899999999"/>
    <x v="109"/>
    <x v="1"/>
    <s v="pagado"/>
    <s v="pagado"/>
    <x v="0"/>
  </r>
  <r>
    <n v="3000001370"/>
    <d v="2025-09-23T00:00:00"/>
    <n v="5132174.7300000004"/>
    <s v="ZIVILLICA JOSE LUIS SAN MIGUEL DE TUCUMAN 14"/>
    <x v="648"/>
    <n v="5132174.7300000004"/>
    <x v="108"/>
    <x v="1"/>
    <s v="pagado"/>
    <s v="pagado"/>
    <x v="0"/>
  </r>
  <r>
    <n v="3000001371"/>
    <d v="2025-09-23T00:00:00"/>
    <n v="3759369.3"/>
    <s v="JAVIER EDUARDO PRADO FLORIDA 13"/>
    <x v="649"/>
    <n v="3759369.3"/>
    <x v="108"/>
    <x v="1"/>
    <s v="pagado"/>
    <s v="pagado"/>
    <x v="0"/>
  </r>
  <r>
    <n v="3000001372"/>
    <d v="2025-09-23T00:00:00"/>
    <n v="3748248.52"/>
    <s v="BONURA CARLOS RUBEN LOS RALOS 14"/>
    <x v="650"/>
    <n v="3748248.52"/>
    <x v="108"/>
    <x v="1"/>
    <s v="pagado"/>
    <s v="pagado"/>
    <x v="0"/>
  </r>
  <r>
    <n v="3000001373"/>
    <d v="2025-09-23T00:00:00"/>
    <n v="3968181.02"/>
    <s v="ELIAS LUCIANO EMANUEL LAS TALITAS 14"/>
    <x v="651"/>
    <n v="3968181.02"/>
    <x v="108"/>
    <x v="1"/>
    <s v="pagado"/>
    <s v="pagado"/>
    <x v="0"/>
  </r>
  <r>
    <n v="3000001374"/>
    <d v="2025-09-23T00:00:00"/>
    <n v="7477506.9000000004"/>
    <s v="LOGISTICA DEL NORTE S.R.L. SAN MIGUEL DE TUCUMAN 14"/>
    <x v="652"/>
    <n v="7477506.9000000004"/>
    <x v="108"/>
    <x v="1"/>
    <s v="pagado"/>
    <s v="pagado"/>
    <x v="0"/>
  </r>
  <r>
    <n v="3000001386"/>
    <d v="2025-09-29T00:00:00"/>
    <n v="8382124.0199999996"/>
    <s v="LAVENIA VITO CARMELO LASTENIA 14"/>
    <x v="653"/>
    <n v="8382124.0199999996"/>
    <x v="110"/>
    <x v="1"/>
    <s v="pagado"/>
    <s v="pagado"/>
    <x v="0"/>
  </r>
  <r>
    <n v="3000001387"/>
    <d v="2025-09-29T00:00:00"/>
    <n v="4594030.68"/>
    <s v="GUIFFREY MARCELO GUSTAVO VILLA ELISA 05"/>
    <x v="654"/>
    <n v="4594030.68"/>
    <x v="110"/>
    <x v="1"/>
    <s v="pagado"/>
    <s v="pagado"/>
    <x v="0"/>
  </r>
  <r>
    <n v="3000001388"/>
    <d v="2025-09-29T00:00:00"/>
    <n v="5216965.05"/>
    <s v="MOYANO SERGIO ESTEBAN BANDA DEL RIO SALI 14"/>
    <x v="655"/>
    <n v="5216965.05"/>
    <x v="110"/>
    <x v="1"/>
    <s v="pagado"/>
    <s v="pagado"/>
    <x v="0"/>
  </r>
  <r>
    <n v="3000001389"/>
    <d v="2025-09-29T00:00:00"/>
    <n v="9472784.8399999999"/>
    <s v="TECNOMYL SA CORDOBA 03"/>
    <x v="656"/>
    <n v="9472784.8399999999"/>
    <x v="110"/>
    <x v="1"/>
    <s v="pagado"/>
    <s v="pagado"/>
    <x v="0"/>
  </r>
  <r>
    <n v="3000001390"/>
    <d v="2025-09-29T00:00:00"/>
    <n v="9878343.4000000004"/>
    <s v="GOMEZ MANUEL ARCENIO METAN 09"/>
    <x v="657"/>
    <n v="9878343.4000000004"/>
    <x v="110"/>
    <x v="1"/>
    <s v="pagado"/>
    <s v="pagado"/>
    <x v="0"/>
  </r>
  <r>
    <n v="3000001405"/>
    <d v="2025-10-02T00:00:00"/>
    <n v="4800085.4800000004"/>
    <s v="AGROGANADERA DEL NOA CEVIL POZO 14"/>
    <x v="658"/>
    <n v="4800085.4800000004"/>
    <x v="111"/>
    <x v="1"/>
    <s v="pagado"/>
    <s v="pagado"/>
    <x v="0"/>
  </r>
  <r>
    <n v="3000001405"/>
    <d v="2025-10-02T00:00:00"/>
    <n v="2849769.42"/>
    <s v="AGROGANADERA DEL NOA CEVIL POZO 14"/>
    <x v="659"/>
    <n v="2849769.42"/>
    <x v="111"/>
    <x v="1"/>
    <s v="pagado"/>
    <s v="pagado"/>
    <x v="0"/>
  </r>
  <r>
    <n v="3000001405"/>
    <d v="2025-10-02T00:00:00"/>
    <n v="4469189.8"/>
    <s v="AGROGANADERA DEL NOA CEVIL POZO 14"/>
    <x v="660"/>
    <n v="4469189.8"/>
    <x v="111"/>
    <x v="1"/>
    <s v="pagado"/>
    <s v="pagado"/>
    <x v="0"/>
  </r>
  <r>
    <n v="3000001405"/>
    <d v="2025-10-02T00:00:00"/>
    <n v="2011253.4"/>
    <s v="AGROGANADERA DEL NOA CEVIL POZO 14"/>
    <x v="661"/>
    <n v="2011253.4"/>
    <x v="111"/>
    <x v="1"/>
    <s v="pagado"/>
    <s v="pagado"/>
    <x v="0"/>
  </r>
  <r>
    <n v="3000001405"/>
    <d v="2025-10-02T00:00:00"/>
    <n v="2271062.5099999998"/>
    <s v="AGROGANADERA DEL NOA CEVIL POZO 14"/>
    <x v="662"/>
    <n v="2271062.5099999998"/>
    <x v="111"/>
    <x v="1"/>
    <s v="pagado"/>
    <s v="pagado"/>
    <x v="0"/>
  </r>
  <r>
    <n v="3000001405"/>
    <d v="2025-10-02T00:00:00"/>
    <n v="1603095.06"/>
    <s v="AGROGANADERA DEL NOA CEVIL POZO 14"/>
    <x v="663"/>
    <n v="1603095.06"/>
    <x v="111"/>
    <x v="1"/>
    <s v="pagado"/>
    <s v="pagado"/>
    <x v="0"/>
  </r>
  <r>
    <n v="3000001405"/>
    <d v="2025-10-02T00:00:00"/>
    <n v="107932.1"/>
    <s v="AGROGANADERA DEL NOA CEVIL POZO 14"/>
    <x v="664"/>
    <n v="107932.1"/>
    <x v="111"/>
    <x v="1"/>
    <s v="pagado"/>
    <s v="pagado"/>
    <x v="0"/>
  </r>
  <r>
    <n v="3000001415"/>
    <d v="2025-10-06T00:00:00"/>
    <n v="112710920"/>
    <s v="EL PIONERO SAS TUCUMAN 14"/>
    <x v="665"/>
    <n v="112710920"/>
    <x v="112"/>
    <x v="1"/>
    <s v="pagado"/>
    <s v="pagado"/>
    <x v="0"/>
  </r>
  <r>
    <n v="3000001416"/>
    <d v="2025-10-06T00:00:00"/>
    <n v="364044267.37"/>
    <s v="UPL ARGENTINA S.A. CIUDAD AUTONOMA BUENOS AIRES 01"/>
    <x v="666"/>
    <n v="364044267.37"/>
    <x v="113"/>
    <x v="1"/>
    <s v="pagado"/>
    <s v="pagado"/>
    <x v="0"/>
  </r>
  <r>
    <n v="3000001417"/>
    <d v="2025-10-06T00:00:00"/>
    <n v="3000000"/>
    <s v="Pulmajo S.R.L. CONCEPCION 14"/>
    <x v="667"/>
    <n v="3000000"/>
    <x v="114"/>
    <x v="1"/>
    <s v="pagado"/>
    <s v="pagado"/>
    <x v="0"/>
  </r>
  <r>
    <n v="3000001417"/>
    <d v="2025-10-06T00:00:00"/>
    <n v="3000000"/>
    <s v="Pulmajo S.R.L. CONCEPCION 14"/>
    <x v="668"/>
    <n v="3000000"/>
    <x v="114"/>
    <x v="1"/>
    <s v="pagado"/>
    <s v="pagado"/>
    <x v="0"/>
  </r>
  <r>
    <n v="3000001417"/>
    <d v="2025-10-06T00:00:00"/>
    <n v="10703682.9"/>
    <s v="Pulmajo S.R.L. CONCEPCION 14"/>
    <x v="669"/>
    <n v="10703682.9"/>
    <x v="115"/>
    <x v="1"/>
    <s v="pagado"/>
    <s v="pagado"/>
    <x v="0"/>
  </r>
  <r>
    <n v="3000001418"/>
    <d v="2025-10-06T00:00:00"/>
    <n v="8300748.5099999998"/>
    <s v="Remetal S.A. SAN MIGUEL DE TUCUMAN 14"/>
    <x v="670"/>
    <n v="8300748.5099999998"/>
    <x v="114"/>
    <x v="1"/>
    <s v="pagado"/>
    <s v="pagado"/>
    <x v="0"/>
  </r>
  <r>
    <n v="3000001419"/>
    <d v="2025-10-06T00:00:00"/>
    <n v="13048670"/>
    <s v="RODRIGUEZ NESTOR HORACIO YERBA BUENA 14"/>
    <x v="671"/>
    <n v="13048670"/>
    <x v="114"/>
    <x v="1"/>
    <s v="pagado"/>
    <s v="pagado"/>
    <x v="0"/>
  </r>
  <r>
    <n v="3000001420"/>
    <d v="2025-10-06T00:00:00"/>
    <n v="20000000"/>
    <s v="AYALA WALTER DANIEL ALDERETES 14"/>
    <x v="672"/>
    <n v="20000000"/>
    <x v="114"/>
    <x v="1"/>
    <s v="pagado"/>
    <s v="pagado"/>
    <x v="0"/>
  </r>
  <r>
    <n v="3000001420"/>
    <d v="2025-10-06T00:00:00"/>
    <n v="17311631.879999999"/>
    <s v="AYALA WALTER DANIEL ALDERETES 14"/>
    <x v="673"/>
    <n v="17311631.879999999"/>
    <x v="115"/>
    <x v="1"/>
    <s v="pagado"/>
    <s v="pagado"/>
    <x v="0"/>
  </r>
  <r>
    <n v="3000001421"/>
    <d v="2025-10-06T00:00:00"/>
    <n v="10000000"/>
    <s v="ROMAN BARCELO Y JORGE CARRERASLAS LAJITAS 09"/>
    <x v="674"/>
    <n v="10000000"/>
    <x v="114"/>
    <x v="1"/>
    <s v="pagado"/>
    <s v="pagado"/>
    <x v="0"/>
  </r>
  <r>
    <n v="3000001421"/>
    <d v="2025-10-06T00:00:00"/>
    <n v="10399918.449999999"/>
    <s v="ROMAN BARCELO Y JORGE CARRERASLAS LAJITAS 09"/>
    <x v="675"/>
    <n v="10399918.449999999"/>
    <x v="115"/>
    <x v="1"/>
    <s v="pagado"/>
    <s v="pagado"/>
    <x v="0"/>
  </r>
  <r>
    <n v="3000001422"/>
    <d v="2025-10-06T00:00:00"/>
    <n v="5090117.5199999996"/>
    <s v="Laborda Carlos SAN MIGUEL DE TUCUMAN 14"/>
    <x v="676"/>
    <n v="5090117.5199999996"/>
    <x v="114"/>
    <x v="1"/>
    <s v="pagado"/>
    <s v="pagado"/>
    <x v="0"/>
  </r>
  <r>
    <n v="3000001423"/>
    <d v="2025-10-06T00:00:00"/>
    <n v="7217461.2000000002"/>
    <s v="JAVIER EDUARDO PRADO FLORIDA 13"/>
    <x v="677"/>
    <n v="7217461.2000000002"/>
    <x v="114"/>
    <x v="1"/>
    <s v="pagado"/>
    <s v="pagado"/>
    <x v="0"/>
  </r>
  <r>
    <n v="3000001424"/>
    <d v="2025-10-06T00:00:00"/>
    <n v="3740282.51"/>
    <s v="ENTREGAS SERDEN S.R.L SAN LORENZO 12"/>
    <x v="678"/>
    <n v="3740282.51"/>
    <x v="114"/>
    <x v="1"/>
    <s v="pagado"/>
    <s v="pagado"/>
    <x v="0"/>
  </r>
  <r>
    <n v="3000001435"/>
    <d v="2025-10-07T00:00:00"/>
    <n v="7731452.1200000001"/>
    <s v="TRANS-MAGG S.R.L ACEBAL 12"/>
    <x v="679"/>
    <n v="7731452.1200000001"/>
    <x v="115"/>
    <x v="1"/>
    <s v="pagado"/>
    <s v="pagado"/>
    <x v="0"/>
  </r>
  <r>
    <n v="3000001436"/>
    <d v="2025-10-07T00:00:00"/>
    <n v="4924607.49"/>
    <s v="PAIS WALTER LUIS SAN MIGUEL DE TUCUMAN 14"/>
    <x v="680"/>
    <n v="4924607.49"/>
    <x v="115"/>
    <x v="1"/>
    <s v="pagado"/>
    <s v="pagado"/>
    <x v="0"/>
  </r>
  <r>
    <n v="3000001437"/>
    <d v="2025-10-07T00:00:00"/>
    <n v="35440366.340000004"/>
    <s v="TRANSPORTE BARBERAN HNOS SRL CHABAS 12"/>
    <x v="681"/>
    <n v="35440366.340000004"/>
    <x v="116"/>
    <x v="1"/>
    <s v="pagado"/>
    <s v="pagado"/>
    <x v="0"/>
  </r>
  <r>
    <n v="3000001438"/>
    <d v="2025-10-07T00:00:00"/>
    <n v="7834782.79"/>
    <s v="GOMEZ JESSICA NOELIA LAS TALITAS 14"/>
    <x v="682"/>
    <n v="7834782.79"/>
    <x v="116"/>
    <x v="1"/>
    <s v="pagado"/>
    <s v="pagado"/>
    <x v="0"/>
  </r>
  <r>
    <n v="3000001439"/>
    <d v="2025-10-07T00:00:00"/>
    <n v="11619490.92"/>
    <s v="TRANSPORTE LUIS SANDOVAL S.A.SLOS VALLISTOS 14"/>
    <x v="683"/>
    <n v="11619490.92"/>
    <x v="116"/>
    <x v="1"/>
    <s v="pagado"/>
    <s v="pagado"/>
    <x v="0"/>
  </r>
  <r>
    <n v="3000001440"/>
    <d v="2025-10-07T00:00:00"/>
    <n v="1947854.05"/>
    <s v="ABUT TRANSPORTES SA CENTENO 12"/>
    <x v="684"/>
    <n v="1947854.05"/>
    <x v="115"/>
    <x v="1"/>
    <s v="pagado"/>
    <s v="pagado"/>
    <x v="0"/>
  </r>
  <r>
    <n v="3000001442"/>
    <d v="2025-10-09T00:00:00"/>
    <n v="5426024.8600000003"/>
    <s v="Suc. de Ventimiglia Nelly IrmJesus Maria 03"/>
    <x v="685"/>
    <n v="5426024.8600000003"/>
    <x v="115"/>
    <x v="1"/>
    <s v="pagado"/>
    <s v="pagado"/>
    <x v="0"/>
  </r>
  <r>
    <n v="3000001451"/>
    <d v="2025-10-13T00:00:00"/>
    <n v="38337990"/>
    <s v="EDET S.A. SAN MIGUEL DE TUCUMAN 14"/>
    <x v="686"/>
    <n v="38337990"/>
    <x v="116"/>
    <x v="1"/>
    <s v="pagado"/>
    <s v="pagado"/>
    <x v="0"/>
  </r>
  <r>
    <n v="3000001448"/>
    <d v="2025-10-13T00:00:00"/>
    <n v="6291666"/>
    <s v="VERON MARIANA BEATRIZ NUEVA ESPERANZA 13"/>
    <x v="687"/>
    <n v="6291666"/>
    <x v="117"/>
    <x v="1"/>
    <s v="pagado"/>
    <s v="pagado"/>
    <x v="0"/>
  </r>
  <r>
    <n v="3000001449"/>
    <d v="2025-10-13T00:00:00"/>
    <n v="4084635.32"/>
    <s v="Aso, Eduardo SAN MIGUEL DE TUCUMAN 14"/>
    <x v="688"/>
    <n v="4084635.32"/>
    <x v="117"/>
    <x v="1"/>
    <s v="pagado"/>
    <s v="pagado"/>
    <x v="0"/>
  </r>
  <r>
    <n v="3000001450"/>
    <d v="2025-10-13T00:00:00"/>
    <n v="6637001.8499999996"/>
    <s v="Suc. de Ventimiglia Nelly IrmJesus Maria 03"/>
    <x v="689"/>
    <n v="6637001.8499999996"/>
    <x v="118"/>
    <x v="1"/>
    <s v="pagado"/>
    <s v="pagado"/>
    <x v="0"/>
  </r>
  <r>
    <n v="3000001464"/>
    <d v="2025-10-15T00:00:00"/>
    <n v="5707560.7999999998"/>
    <s v="Transporte Coronda S.A. CORDOBA 03"/>
    <x v="690"/>
    <n v="5707560.7999999998"/>
    <x v="119"/>
    <x v="1"/>
    <s v="pagado"/>
    <s v="pagado"/>
    <x v="0"/>
  </r>
  <r>
    <n v="3000001465"/>
    <d v="2025-10-15T00:00:00"/>
    <n v="11109319.560000001"/>
    <s v="LAVENIA VITO CARMELO LASTENIA 14"/>
    <x v="691"/>
    <n v="11109319.560000001"/>
    <x v="119"/>
    <x v="1"/>
    <s v="pagado"/>
    <s v="pagado"/>
    <x v="0"/>
  </r>
  <r>
    <n v="3000001466"/>
    <d v="2025-10-15T00:00:00"/>
    <n v="1821914.78"/>
    <s v="LOGISTICA CENTRO S.R.L CORONDA 12"/>
    <x v="692"/>
    <n v="1821914.78"/>
    <x v="119"/>
    <x v="1"/>
    <s v="pagado"/>
    <s v="pagado"/>
    <x v="0"/>
  </r>
  <r>
    <n v="3000001467"/>
    <d v="2025-10-15T00:00:00"/>
    <n v="3923970.88"/>
    <s v="TRANSPORTE RAUL S.R.L SAN MIGUEL DE TUCUMAN 14"/>
    <x v="693"/>
    <n v="3923970.88"/>
    <x v="119"/>
    <x v="1"/>
    <s v="pagado"/>
    <s v="pagado"/>
    <x v="0"/>
  </r>
  <r>
    <n v="3000001468"/>
    <d v="2025-10-15T00:00:00"/>
    <n v="2440915.39"/>
    <s v="CARLI SERGIO EDUARDO SANTA FE 12"/>
    <x v="694"/>
    <n v="2440915.39"/>
    <x v="119"/>
    <x v="1"/>
    <s v="pagado"/>
    <s v="pagado"/>
    <x v="0"/>
  </r>
  <r>
    <n v="3000001483"/>
    <d v="2025-10-20T00:00:00"/>
    <n v="25000000"/>
    <s v="AYALA HERNAN OSVALDO SAN MIGUEL DE TUCUMAN 14"/>
    <x v="695"/>
    <n v="25000000"/>
    <x v="120"/>
    <x v="1"/>
    <s v="pagado"/>
    <s v="pagado"/>
    <x v="0"/>
  </r>
  <r>
    <n v="3000001483"/>
    <d v="2025-10-20T00:00:00"/>
    <n v="26433849.640000001"/>
    <s v="AYALA HERNAN OSVALDO SAN MIGUEL DE TUCUMAN 14"/>
    <x v="696"/>
    <n v="26433849.640000001"/>
    <x v="121"/>
    <x v="1"/>
    <s v="pagado"/>
    <s v="pagado"/>
    <x v="0"/>
  </r>
  <r>
    <n v="3000001479"/>
    <d v="2025-10-20T00:00:00"/>
    <n v="4285169.4000000004"/>
    <s v="SERVICOM S.R.L SAN MIGUEL DE TUCUMAN 14"/>
    <x v="697"/>
    <n v="4285169.4000000004"/>
    <x v="120"/>
    <x v="1"/>
    <s v="pagado"/>
    <s v="pagado"/>
    <x v="0"/>
  </r>
  <r>
    <n v="3000001480"/>
    <d v="2025-10-20T00:00:00"/>
    <n v="3679393.72"/>
    <s v="PETROANDINA S.R.L SALTA 09"/>
    <x v="698"/>
    <n v="3679393.72"/>
    <x v="120"/>
    <x v="1"/>
    <s v="pagado"/>
    <s v="pagado"/>
    <x v="0"/>
  </r>
  <r>
    <n v="3000001481"/>
    <d v="2025-10-20T00:00:00"/>
    <n v="11601224.17"/>
    <s v="DANIEL MARCELO GUERRERO ALDERETES 14"/>
    <x v="699"/>
    <n v="11601224.17"/>
    <x v="121"/>
    <x v="1"/>
    <s v="pagado"/>
    <s v="pagado"/>
    <x v="0"/>
  </r>
  <r>
    <n v="3000001482"/>
    <d v="2025-10-20T00:00:00"/>
    <n v="13210111.01"/>
    <s v="MOYANO JULIO CESAR BANDA DEL RIO SALI 14"/>
    <x v="700"/>
    <n v="13210111.01"/>
    <x v="120"/>
    <x v="1"/>
    <s v="pagado"/>
    <s v="pagado"/>
    <x v="0"/>
  </r>
  <r>
    <n v="3000001484"/>
    <d v="2025-10-20T00:00:00"/>
    <n v="5704320.4000000004"/>
    <s v="Pulverizaciones Tuninetti S.R.Las Rosas 01"/>
    <x v="701"/>
    <n v="5704320.4000000004"/>
    <x v="120"/>
    <x v="1"/>
    <s v="pagado"/>
    <s v="pagado"/>
    <x v="0"/>
  </r>
  <r>
    <n v="3000001485"/>
    <d v="2025-10-20T00:00:00"/>
    <n v="9938480.6500000004"/>
    <s v="ROMAN BARCELO Y JORGE CARRERASLAS LAJITAS 09"/>
    <x v="702"/>
    <n v="9938480.6500000004"/>
    <x v="121"/>
    <x v="1"/>
    <s v="pagado"/>
    <s v="pagado"/>
    <x v="0"/>
  </r>
  <r>
    <n v="3000001486"/>
    <d v="2025-10-20T00:00:00"/>
    <n v="5343191.45"/>
    <s v="Medina Lauro Jose Las Cejas 14"/>
    <x v="703"/>
    <n v="5343191.45"/>
    <x v="120"/>
    <x v="1"/>
    <s v="pagado"/>
    <s v="pagado"/>
    <x v="0"/>
  </r>
  <r>
    <n v="3000001487"/>
    <d v="2025-10-20T00:00:00"/>
    <n v="9878343.4000000004"/>
    <s v="GOMEZ MANUEL ARCENIO METAN 09"/>
    <x v="704"/>
    <n v="9878343.4000000004"/>
    <x v="120"/>
    <x v="1"/>
    <s v="pagado"/>
    <s v="pagado"/>
    <x v="0"/>
  </r>
  <r>
    <n v="3000001488"/>
    <d v="2025-10-20T00:00:00"/>
    <n v="8548637.4000000004"/>
    <s v="VERON MARIANA BEATRIZ NUEVA ESPERANZA 13"/>
    <x v="705"/>
    <n v="8548637.4000000004"/>
    <x v="121"/>
    <x v="1"/>
    <s v="pagado"/>
    <s v="pagado"/>
    <x v="0"/>
  </r>
  <r>
    <n v="3000001489"/>
    <d v="2025-10-21T00:00:00"/>
    <n v="3358543.4"/>
    <s v="SALTOS JOSUE GONZALO NUEVA ESPERANZA 13"/>
    <x v="706"/>
    <n v="3358543.4"/>
    <x v="120"/>
    <x v="1"/>
    <s v="pagado"/>
    <s v="pagado"/>
    <x v="0"/>
  </r>
  <r>
    <n v="3000001504"/>
    <d v="2025-10-21T00:00:00"/>
    <n v="3985630.18"/>
    <s v="LANGELLA JUAN RODOLFO ALDERETES 14"/>
    <x v="707"/>
    <n v="3985630.18"/>
    <x v="122"/>
    <x v="1"/>
    <s v="pagado"/>
    <s v="pagado"/>
    <x v="0"/>
  </r>
  <r>
    <n v="3000001505"/>
    <d v="2025-10-21T00:00:00"/>
    <n v="8575220.3300000001"/>
    <s v="FLETES Y SERVICIOS PUJATO S.A PUJATO 12"/>
    <x v="708"/>
    <n v="8575220.3300000001"/>
    <x v="122"/>
    <x v="1"/>
    <s v="pagado"/>
    <s v="pagado"/>
    <x v="0"/>
  </r>
  <r>
    <n v="3000001523"/>
    <d v="2025-10-27T00:00:00"/>
    <n v="23704931.199999999"/>
    <s v="EL IMPENETRABLE SRL CORRIENTES 04"/>
    <x v="709"/>
    <n v="23704931.199999999"/>
    <x v="123"/>
    <x v="1"/>
    <s v="pagado"/>
    <s v="pagado"/>
    <x v="0"/>
  </r>
  <r>
    <n v="3000001524"/>
    <d v="2025-10-27T00:00:00"/>
    <n v="6478426.6399999997"/>
    <s v="UPL ARGENTINA S.A. CIUDAD AUTONOMA BUENOS AIRES 01"/>
    <x v="710"/>
    <n v="6478426.6399999997"/>
    <x v="123"/>
    <x v="1"/>
    <s v="pagado"/>
    <s v="pagado"/>
    <x v="0"/>
  </r>
  <r>
    <n v="3000001525"/>
    <d v="2025-10-27T00:00:00"/>
    <n v="6971977.5999999996"/>
    <s v="LLANOS RAMON ROQUE SAN MIGUEL DE TUCUMAN 14"/>
    <x v="711"/>
    <n v="6971977.5999999996"/>
    <x v="124"/>
    <x v="1"/>
    <s v="pagado"/>
    <s v="pagado"/>
    <x v="0"/>
  </r>
  <r>
    <n v="3000001526"/>
    <d v="2025-10-27T00:00:00"/>
    <n v="12130546.34"/>
    <s v="RODRIGUEZ NESTOR HORACIO YERBA BUENA 14"/>
    <x v="712"/>
    <n v="12130546.34"/>
    <x v="124"/>
    <x v="1"/>
    <s v="pagado"/>
    <s v="pagado"/>
    <x v="0"/>
  </r>
  <r>
    <n v="3000001527"/>
    <d v="2025-10-27T00:00:00"/>
    <n v="5912174.3799999999"/>
    <s v="E y Po SRL CONCEPCION 14"/>
    <x v="713"/>
    <n v="5912174.3799999999"/>
    <x v="124"/>
    <x v="1"/>
    <s v="pagado"/>
    <s v="pagado"/>
    <x v="0"/>
  </r>
  <r>
    <n v="3000001545"/>
    <d v="2025-10-28T00:00:00"/>
    <n v="1854890.53"/>
    <s v="ALLENDE CECILIO ALBERTO GOBERNADOR FEBRE 05"/>
    <x v="714"/>
    <n v="1854890.53"/>
    <x v="125"/>
    <x v="1"/>
    <s v="pagado"/>
    <s v="pagado"/>
    <x v="0"/>
  </r>
  <r>
    <n v="3000001546"/>
    <d v="2025-10-28T00:00:00"/>
    <n v="2074384.33"/>
    <s v="UDRIZARD VIVIANA ISABEL CONCORDIA 05"/>
    <x v="715"/>
    <n v="2074384.33"/>
    <x v="125"/>
    <x v="1"/>
    <s v="pagado"/>
    <s v="pagado"/>
    <x v="0"/>
  </r>
  <r>
    <n v="3000001548"/>
    <d v="2025-10-28T00:00:00"/>
    <n v="2108359.89"/>
    <s v="LOGISTICA DEL NORTE S.R.L. SAN MIGUEL DE TUCUMAN 14"/>
    <x v="716"/>
    <n v="2108359.89"/>
    <x v="125"/>
    <x v="1"/>
    <s v="pagado"/>
    <s v="pagado"/>
    <x v="0"/>
  </r>
  <r>
    <n v="3000001549"/>
    <d v="2025-10-28T00:00:00"/>
    <n v="2146161.6"/>
    <s v="AGROTRANSPORTE ALDAO S.A. CAMILO ALDAO 03"/>
    <x v="717"/>
    <n v="2146161.6"/>
    <x v="125"/>
    <x v="1"/>
    <s v="pagado"/>
    <s v="pagado"/>
    <x v="0"/>
  </r>
  <r>
    <n v="3000001550"/>
    <d v="2025-10-28T00:00:00"/>
    <n v="14276852.279999999"/>
    <s v="LAVENIA VITO CARMELO LASTENIA 14"/>
    <x v="718"/>
    <n v="14276852.279999999"/>
    <x v="125"/>
    <x v="1"/>
    <s v="pagado"/>
    <s v="pagado"/>
    <x v="0"/>
  </r>
  <r>
    <n v="3000001551"/>
    <d v="2025-10-28T00:00:00"/>
    <n v="3704355.3"/>
    <s v="TRANSPORTE PRINCE SRL ROSARIO NORTE 12"/>
    <x v="719"/>
    <n v="3704355.3"/>
    <x v="125"/>
    <x v="1"/>
    <s v="pagado"/>
    <s v="pagado"/>
    <x v="0"/>
  </r>
  <r>
    <n v="3000001552"/>
    <d v="2025-10-28T00:00:00"/>
    <n v="11895147.6"/>
    <s v="LANGELLA JUAN RODOLFO ALDERETES 14"/>
    <x v="720"/>
    <n v="11895147.6"/>
    <x v="125"/>
    <x v="1"/>
    <s v="pagado"/>
    <s v="pagado"/>
    <x v="0"/>
  </r>
  <r>
    <n v="3000001553"/>
    <d v="2025-10-28T00:00:00"/>
    <n v="202741.1"/>
    <s v="Transportes La Sevillanita S.RALDERETES 14"/>
    <x v="721"/>
    <n v="202741.1"/>
    <x v="125"/>
    <x v="1"/>
    <s v="pagado"/>
    <s v="pagado"/>
    <x v="0"/>
  </r>
  <r>
    <n v="1200002278"/>
    <d v="2025-10-28T00:00:00"/>
    <n v="3221123.22"/>
    <s v="Cheque de terceros tucumán"/>
    <x v="722"/>
    <n v="3221123.22"/>
    <x v="126"/>
    <x v="1"/>
    <s v="pagado"/>
    <s v="pagado"/>
    <x v="0"/>
  </r>
  <r>
    <n v="1200002278"/>
    <d v="2025-10-28T00:00:00"/>
    <n v="2787518.88"/>
    <s v="Cheque de terceros tucumán"/>
    <x v="723"/>
    <n v="2787518.88"/>
    <x v="126"/>
    <x v="1"/>
    <s v="pagado"/>
    <s v="pagado"/>
    <x v="0"/>
  </r>
  <r>
    <n v="1200002278"/>
    <d v="2025-10-28T00:00:00"/>
    <n v="17194308.600000001"/>
    <s v="Cheque de terceros tucumán"/>
    <x v="724"/>
    <n v="17194308.600000001"/>
    <x v="126"/>
    <x v="1"/>
    <s v="pagado"/>
    <s v="pagado"/>
    <x v="0"/>
  </r>
  <r>
    <n v="1200002278"/>
    <d v="2025-10-28T00:00:00"/>
    <n v="2403128.15"/>
    <s v="Cheque de terceros tucumán"/>
    <x v="725"/>
    <n v="2403128.15"/>
    <x v="126"/>
    <x v="1"/>
    <s v="pagado"/>
    <s v="pagado"/>
    <x v="0"/>
  </r>
  <r>
    <n v="1200002278"/>
    <d v="2025-10-28T00:00:00"/>
    <n v="3242280.28"/>
    <s v="Cheque de terceros tucumán"/>
    <x v="726"/>
    <n v="3242280.28"/>
    <x v="126"/>
    <x v="1"/>
    <s v="pagado"/>
    <s v="pagado"/>
    <x v="0"/>
  </r>
  <r>
    <n v="1200002278"/>
    <d v="2025-10-28T00:00:00"/>
    <n v="3491274.95"/>
    <s v="Cheque de terceros tucumán"/>
    <x v="727"/>
    <n v="3491274.95"/>
    <x v="126"/>
    <x v="1"/>
    <s v="pagado"/>
    <s v="pagado"/>
    <x v="0"/>
  </r>
  <r>
    <n v="1200002278"/>
    <d v="2025-10-28T00:00:00"/>
    <n v="7953680"/>
    <s v="Cheque de terceros tucumán"/>
    <x v="728"/>
    <n v="7953680"/>
    <x v="126"/>
    <x v="1"/>
    <s v="pagado"/>
    <s v="pagado"/>
    <x v="0"/>
  </r>
  <r>
    <n v="1200002278"/>
    <d v="2025-10-28T00:00:00"/>
    <n v="4863520.83"/>
    <s v="Cheque de terceros tucumán"/>
    <x v="729"/>
    <n v="4863520.83"/>
    <x v="126"/>
    <x v="1"/>
    <s v="pagado"/>
    <s v="pagado"/>
    <x v="0"/>
  </r>
  <r>
    <n v="1200002278"/>
    <d v="2025-10-28T00:00:00"/>
    <n v="20624208"/>
    <s v="Cheque de terceros tucumán"/>
    <x v="730"/>
    <n v="20624208"/>
    <x v="126"/>
    <x v="1"/>
    <s v="pagado"/>
    <s v="pagado"/>
    <x v="0"/>
  </r>
  <r>
    <n v="1200002278"/>
    <d v="2025-10-28T00:00:00"/>
    <n v="12906740"/>
    <s v="Cheque de terceros tucumán"/>
    <x v="731"/>
    <n v="12906740"/>
    <x v="126"/>
    <x v="1"/>
    <s v="pagado"/>
    <s v="pagado"/>
    <x v="0"/>
  </r>
  <r>
    <n v="1200002278"/>
    <d v="2025-10-28T00:00:00"/>
    <n v="11376609.25"/>
    <s v="Cheque de terceros tucumán"/>
    <x v="732"/>
    <n v="11376609.25"/>
    <x v="126"/>
    <x v="1"/>
    <s v="pagado"/>
    <s v="pagado"/>
    <x v="0"/>
  </r>
  <r>
    <n v="1200002278"/>
    <d v="2025-10-28T00:00:00"/>
    <n v="11435731.02"/>
    <s v="Cheque de terceros tucumán"/>
    <x v="733"/>
    <n v="11435731.02"/>
    <x v="126"/>
    <x v="1"/>
    <s v="pagado"/>
    <s v="pagado"/>
    <x v="0"/>
  </r>
  <r>
    <n v="1200002278"/>
    <d v="2025-10-28T00:00:00"/>
    <n v="3898170.62"/>
    <s v="Cheque de terceros tucumán"/>
    <x v="734"/>
    <n v="3898170.62"/>
    <x v="126"/>
    <x v="1"/>
    <s v="pagado"/>
    <s v="pagado"/>
    <x v="0"/>
  </r>
  <r>
    <n v="1200002278"/>
    <d v="2025-10-28T00:00:00"/>
    <n v="18118532.5"/>
    <s v="Cheque de terceros tucumán"/>
    <x v="735"/>
    <n v="18118532.5"/>
    <x v="126"/>
    <x v="1"/>
    <s v="pagado"/>
    <s v="pagado"/>
    <x v="0"/>
  </r>
  <r>
    <n v="1200002278"/>
    <d v="2025-10-28T00:00:00"/>
    <n v="4926605"/>
    <s v="Cheque de terceros tucumán"/>
    <x v="736"/>
    <n v="4926605"/>
    <x v="126"/>
    <x v="1"/>
    <s v="pagado"/>
    <s v="pagado"/>
    <x v="0"/>
  </r>
  <r>
    <n v="1200002278"/>
    <d v="2025-10-28T00:00:00"/>
    <n v="6770820"/>
    <s v="Cheque de terceros tucumán"/>
    <x v="737"/>
    <n v="6770820"/>
    <x v="126"/>
    <x v="1"/>
    <s v="pagado"/>
    <s v="pagado"/>
    <x v="0"/>
  </r>
  <r>
    <n v="1200002278"/>
    <d v="2025-10-28T00:00:00"/>
    <n v="12490633.640000001"/>
    <s v="Cheque de terceros tucumán"/>
    <x v="738"/>
    <n v="12490633.640000001"/>
    <x v="126"/>
    <x v="1"/>
    <s v="pagado"/>
    <s v="pagado"/>
    <x v="0"/>
  </r>
  <r>
    <n v="1200002278"/>
    <d v="2025-10-28T00:00:00"/>
    <n v="32248547"/>
    <s v="Cheque de terceros tucumán"/>
    <x v="739"/>
    <n v="32248547"/>
    <x v="126"/>
    <x v="1"/>
    <s v="pagado"/>
    <s v="pagado"/>
    <x v="0"/>
  </r>
  <r>
    <n v="3000001569"/>
    <d v="2025-11-03T00:00:00"/>
    <n v="6138889.1799999997"/>
    <s v="Pulmajo S.R.L. CONCEPCION 14"/>
    <x v="740"/>
    <n v="6138889.1799999997"/>
    <x v="127"/>
    <x v="1"/>
    <s v="pagado"/>
    <s v="pagado"/>
    <x v="0"/>
  </r>
  <r>
    <n v="3000001573"/>
    <d v="2025-11-04T00:00:00"/>
    <n v="6440710"/>
    <s v="EL IMPENETRABLE SRL CORRIENTES 04"/>
    <x v="741"/>
    <n v="6440710"/>
    <x v="127"/>
    <x v="1"/>
    <s v="pagado"/>
    <s v="pagado"/>
    <x v="0"/>
  </r>
  <r>
    <n v="3000001571"/>
    <d v="2025-11-04T00:00:00"/>
    <n v="3012310.2"/>
    <s v="SUAREZ GABRIEL SEBASTIAN SANTIAGO DEL ESTERO 13"/>
    <x v="742"/>
    <n v="3012310.2"/>
    <x v="127"/>
    <x v="1"/>
    <s v="pagado"/>
    <s v="pagado"/>
    <x v="0"/>
  </r>
  <r>
    <n v="3000001572"/>
    <d v="2025-11-04T00:00:00"/>
    <n v="4142543.4"/>
    <s v="ACOSTA EMILIA ROMINA JOAQUIN V GONZALEZ 09"/>
    <x v="743"/>
    <n v="4142543.4"/>
    <x v="127"/>
    <x v="1"/>
    <s v="pagado"/>
    <s v="pagado"/>
    <x v="0"/>
  </r>
  <r>
    <n v="3000001586"/>
    <d v="2025-11-04T00:00:00"/>
    <n v="5579437.1699999999"/>
    <s v="JAVIER EDUARDO PRADO FLORIDA 13"/>
    <x v="744"/>
    <n v="5579437.1699999999"/>
    <x v="127"/>
    <x v="1"/>
    <s v="pagado"/>
    <s v="pagado"/>
    <x v="0"/>
  </r>
  <r>
    <n v="3000001587"/>
    <d v="2025-11-04T00:00:00"/>
    <n v="18109574.82"/>
    <s v="ANTONACCI LUIS GABRIEL LA FLORIDA 14"/>
    <x v="745"/>
    <n v="18109574.82"/>
    <x v="127"/>
    <x v="1"/>
    <s v="pagado"/>
    <s v="pagado"/>
    <x v="0"/>
  </r>
  <r>
    <n v="3000001588"/>
    <d v="2025-11-04T00:00:00"/>
    <n v="14042020.5"/>
    <s v="LOGISTICA CENTRO S.R.L CORONDA 12"/>
    <x v="746"/>
    <n v="14042020.5"/>
    <x v="127"/>
    <x v="1"/>
    <s v="pagado"/>
    <s v="pagado"/>
    <x v="0"/>
  </r>
  <r>
    <n v="3000001589"/>
    <d v="2025-11-04T00:00:00"/>
    <n v="12768648.060000001"/>
    <s v="PAIS WALTER LUIS SAN MIGUEL DE TUCUMAN 14"/>
    <x v="747"/>
    <n v="12768648.060000001"/>
    <x v="127"/>
    <x v="1"/>
    <s v="pagado"/>
    <s v="pagado"/>
    <x v="0"/>
  </r>
  <r>
    <n v="1200002346"/>
    <d v="2025-11-04T00:00:00"/>
    <n v="4398075.9000000004"/>
    <s v="Cheque de terceros tucumán"/>
    <x v="748"/>
    <n v="4398075.9000000004"/>
    <x v="127"/>
    <x v="1"/>
    <s v="pagado"/>
    <s v="pagado"/>
    <x v="0"/>
  </r>
  <r>
    <n v="1200002346"/>
    <d v="2025-11-04T00:00:00"/>
    <n v="5952718.4000000004"/>
    <s v="Cheque de terceros tucumán"/>
    <x v="749"/>
    <n v="5952718.4000000004"/>
    <x v="127"/>
    <x v="1"/>
    <s v="pagado"/>
    <s v="pagado"/>
    <x v="0"/>
  </r>
  <r>
    <n v="1200002346"/>
    <d v="2025-11-04T00:00:00"/>
    <n v="14694609.48"/>
    <s v="Cheque de terceros tucumán"/>
    <x v="750"/>
    <n v="14694609.48"/>
    <x v="127"/>
    <x v="1"/>
    <s v="pagado"/>
    <s v="pagado"/>
    <x v="0"/>
  </r>
  <r>
    <n v="1200002346"/>
    <d v="2025-11-04T00:00:00"/>
    <n v="12943273.84"/>
    <s v="Cheque de terceros tucumán"/>
    <x v="751"/>
    <n v="12943273.84"/>
    <x v="127"/>
    <x v="1"/>
    <s v="pagado"/>
    <s v="pagado"/>
    <x v="0"/>
  </r>
  <r>
    <n v="1200002346"/>
    <d v="2025-11-04T00:00:00"/>
    <n v="4508127.67"/>
    <s v="Cheque de terceros tucumán"/>
    <x v="752"/>
    <n v="4508127.67"/>
    <x v="127"/>
    <x v="1"/>
    <s v="pagado"/>
    <s v="pagado"/>
    <x v="0"/>
  </r>
  <r>
    <n v="1200002346"/>
    <d v="2025-11-04T00:00:00"/>
    <n v="28351980"/>
    <s v="Cheque de terceros tucumán"/>
    <x v="753"/>
    <n v="28351980"/>
    <x v="127"/>
    <x v="1"/>
    <s v="pagado"/>
    <s v="pagado"/>
    <x v="0"/>
  </r>
  <r>
    <n v="1200002346"/>
    <d v="2025-11-04T00:00:00"/>
    <n v="13635050.75"/>
    <s v="Cheque de terceros tucumán"/>
    <x v="754"/>
    <n v="13635050.75"/>
    <x v="127"/>
    <x v="1"/>
    <s v="pagado"/>
    <s v="pagado"/>
    <x v="0"/>
  </r>
  <r>
    <n v="3000001590"/>
    <d v="2025-11-05T00:00:00"/>
    <n v="3414618.77"/>
    <s v="GDM ARGENTINA SA Chacabuco 01"/>
    <x v="755"/>
    <n v="3414618.77"/>
    <x v="127"/>
    <x v="1"/>
    <s v="pagado"/>
    <s v="pagado"/>
    <x v="0"/>
  </r>
  <r>
    <n v="3000001603"/>
    <d v="2025-11-11T00:00:00"/>
    <n v="15000000"/>
    <s v="NUTRITERRA S.A CHIMBAS 10"/>
    <x v="756"/>
    <n v="15000000"/>
    <x v="128"/>
    <x v="1"/>
    <s v="pagado"/>
    <s v="pagado"/>
    <x v="0"/>
  </r>
  <r>
    <n v="3000001603"/>
    <d v="2025-11-11T00:00:00"/>
    <n v="15000000"/>
    <s v="NUTRITERRA S.A CHIMBAS 10"/>
    <x v="757"/>
    <n v="15000000"/>
    <x v="129"/>
    <x v="1"/>
    <s v="pagado"/>
    <s v="pagado"/>
    <x v="0"/>
  </r>
  <r>
    <n v="3000001603"/>
    <d v="2025-11-11T00:00:00"/>
    <n v="15000000"/>
    <s v="NUTRITERRA S.A CHIMBAS 10"/>
    <x v="758"/>
    <n v="15000000"/>
    <x v="130"/>
    <x v="1"/>
    <s v="pagado"/>
    <s v="pagado"/>
    <x v="0"/>
  </r>
  <r>
    <n v="3000001603"/>
    <d v="2025-11-11T00:00:00"/>
    <n v="17856278.129999999"/>
    <s v="NUTRITERRA S.A CHIMBAS 10"/>
    <x v="759"/>
    <n v="17856278.129999999"/>
    <x v="131"/>
    <x v="1"/>
    <s v="pagado"/>
    <s v="pagado"/>
    <x v="0"/>
  </r>
  <r>
    <n v="3000001608"/>
    <d v="2025-11-11T00:00:00"/>
    <n v="2000000"/>
    <s v="EL SOL MATERIALES SA SAN MIGUEL DE TUCUMAN 14"/>
    <x v="760"/>
    <n v="2000000"/>
    <x v="132"/>
    <x v="1"/>
    <s v="pagado"/>
    <s v="pagado"/>
    <x v="0"/>
  </r>
  <r>
    <n v="3000001608"/>
    <d v="2025-11-11T00:00:00"/>
    <n v="1136552.8799999999"/>
    <s v="EL SOL MATERIALES SA SAN MIGUEL DE TUCUMAN 14"/>
    <x v="761"/>
    <n v="1136552.8799999999"/>
    <x v="133"/>
    <x v="1"/>
    <s v="pagado"/>
    <s v="pagado"/>
    <x v="0"/>
  </r>
  <r>
    <n v="3000001609"/>
    <d v="2025-11-11T00:00:00"/>
    <n v="5353324.88"/>
    <s v="MOLINA JUAN F. Y MOLINA ROQUE Lastenia 14"/>
    <x v="762"/>
    <n v="5353324.88"/>
    <x v="132"/>
    <x v="1"/>
    <s v="pagado"/>
    <s v="pagado"/>
    <x v="0"/>
  </r>
  <r>
    <n v="3000001609"/>
    <d v="2025-11-11T00:00:00"/>
    <n v="10912126.85"/>
    <s v="MOLINA JUAN F. Y MOLINA ROQUE Lastenia 14"/>
    <x v="763"/>
    <n v="10912126.85"/>
    <x v="132"/>
    <x v="1"/>
    <s v="pagado"/>
    <s v="pagado"/>
    <x v="0"/>
  </r>
  <r>
    <n v="3000001601"/>
    <d v="2025-11-11T00:00:00"/>
    <n v="135434769.36000001"/>
    <s v="Syngenta Agro S.A. Vicente López 01"/>
    <x v="764"/>
    <n v="135434769.36000001"/>
    <x v="134"/>
    <x v="1"/>
    <s v="no pagado"/>
    <s v="en periodo de pago"/>
    <x v="1"/>
  </r>
  <r>
    <n v="3000001602"/>
    <d v="2025-11-11T00:00:00"/>
    <n v="262874070.53999999"/>
    <s v="SUMMIT AGRO ARGENTINA S.A CIUDAD AUTONOMA DE BUENOS AIRES 01"/>
    <x v="765"/>
    <n v="262874070.53999999"/>
    <x v="135"/>
    <x v="1"/>
    <s v="pagado"/>
    <s v="pagado"/>
    <x v="0"/>
  </r>
  <r>
    <n v="3000001606"/>
    <d v="2025-11-11T00:00:00"/>
    <n v="13987396.4"/>
    <s v="SERVICOM S.R.L SAN MIGUEL DE TUCUMAN 14"/>
    <x v="766"/>
    <n v="13987396.4"/>
    <x v="132"/>
    <x v="1"/>
    <s v="pagado"/>
    <s v="pagado"/>
    <x v="0"/>
  </r>
  <r>
    <n v="3000001607"/>
    <d v="2025-11-11T00:00:00"/>
    <n v="6076118.4000000004"/>
    <s v="CAMPOAGRO SRL YERBA BUENA 14"/>
    <x v="767"/>
    <n v="6076118.4000000004"/>
    <x v="132"/>
    <x v="1"/>
    <s v="pagado"/>
    <s v="pagado"/>
    <x v="0"/>
  </r>
  <r>
    <n v="3000001605"/>
    <d v="2025-11-11T00:00:00"/>
    <n v="16776532.060000001"/>
    <s v="ADVANTA SEMILLAS SAIC JUNIN 01"/>
    <x v="768"/>
    <n v="16776532.060000001"/>
    <x v="132"/>
    <x v="1"/>
    <s v="pagado"/>
    <s v="pagado"/>
    <x v="0"/>
  </r>
  <r>
    <n v="3000001604"/>
    <d v="2025-11-11T00:00:00"/>
    <n v="220537105"/>
    <s v="Pro Agro S.R.L SAN MIGUEL DE TUCUMAN 14"/>
    <x v="769"/>
    <n v="220537105"/>
    <x v="136"/>
    <x v="1"/>
    <s v="pagado"/>
    <s v="pagado"/>
    <x v="0"/>
  </r>
  <r>
    <n v="1200002351"/>
    <d v="2025-11-12T00:00:00"/>
    <n v="18905446.27"/>
    <s v="Cheque de terceros tucumán"/>
    <x v="770"/>
    <n v="18905446.27"/>
    <x v="137"/>
    <x v="1"/>
    <s v="pagado"/>
    <s v="pagado"/>
    <x v="0"/>
  </r>
  <r>
    <n v="1200002351"/>
    <d v="2025-11-12T00:00:00"/>
    <n v="25299587.859999999"/>
    <s v="Cheque de terceros tucumán"/>
    <x v="771"/>
    <n v="25299587.859999999"/>
    <x v="137"/>
    <x v="1"/>
    <s v="pagado"/>
    <s v="pagado"/>
    <x v="0"/>
  </r>
  <r>
    <n v="1200002351"/>
    <d v="2025-11-12T00:00:00"/>
    <n v="3347567.92"/>
    <s v="Cheque de terceros tucumán"/>
    <x v="772"/>
    <n v="3347567.92"/>
    <x v="137"/>
    <x v="1"/>
    <s v="pagado"/>
    <s v="pagado"/>
    <x v="0"/>
  </r>
  <r>
    <n v="1200002351"/>
    <d v="2025-11-12T00:00:00"/>
    <n v="7636861.3600000003"/>
    <s v="Cheque de terceros tucumán"/>
    <x v="773"/>
    <n v="7636861.3600000003"/>
    <x v="137"/>
    <x v="1"/>
    <s v="pagado"/>
    <s v="pagado"/>
    <x v="0"/>
  </r>
  <r>
    <n v="1200002351"/>
    <d v="2025-11-12T00:00:00"/>
    <n v="7714777.0499999998"/>
    <s v="Cheque de terceros tucumán"/>
    <x v="774"/>
    <n v="7714777.0499999998"/>
    <x v="137"/>
    <x v="1"/>
    <s v="pagado"/>
    <s v="pagado"/>
    <x v="0"/>
  </r>
  <r>
    <n v="1200002351"/>
    <d v="2025-11-12T00:00:00"/>
    <n v="3931480"/>
    <s v="Cheque de terceros tucumán"/>
    <x v="775"/>
    <n v="3931480"/>
    <x v="137"/>
    <x v="1"/>
    <s v="pagado"/>
    <s v="pagado"/>
    <x v="0"/>
  </r>
  <r>
    <n v="1200002351"/>
    <d v="2025-11-12T00:00:00"/>
    <n v="8725194.25"/>
    <s v="Cheque de terceros tucumán"/>
    <x v="776"/>
    <n v="8725194.25"/>
    <x v="138"/>
    <x v="1"/>
    <s v="pagado"/>
    <s v="pagado"/>
    <x v="0"/>
  </r>
  <r>
    <n v="1200002351"/>
    <d v="2025-11-12T00:00:00"/>
    <n v="4140678.55"/>
    <s v="Cheque de terceros tucumán"/>
    <x v="777"/>
    <n v="4140678.55"/>
    <x v="137"/>
    <x v="1"/>
    <s v="pagado"/>
    <s v="pagado"/>
    <x v="0"/>
  </r>
  <r>
    <n v="1200002351"/>
    <d v="2025-11-12T00:00:00"/>
    <n v="5461881.25"/>
    <s v="Cheque de terceros tucumán"/>
    <x v="778"/>
    <n v="5461881.25"/>
    <x v="137"/>
    <x v="1"/>
    <s v="pagado"/>
    <s v="pagado"/>
    <x v="0"/>
  </r>
  <r>
    <n v="1200002351"/>
    <d v="2025-11-12T00:00:00"/>
    <n v="47629991.780000001"/>
    <s v="Cheque de terceros tucumán"/>
    <x v="779"/>
    <n v="47629991.780000001"/>
    <x v="137"/>
    <x v="1"/>
    <s v="pagado"/>
    <s v="pagado"/>
    <x v="0"/>
  </r>
  <r>
    <n v="1200002351"/>
    <d v="2025-11-12T00:00:00"/>
    <n v="8834612.5299999993"/>
    <s v="Cheque de terceros tucumán"/>
    <x v="780"/>
    <n v="8834612.5299999993"/>
    <x v="137"/>
    <x v="1"/>
    <s v="pagado"/>
    <s v="pagado"/>
    <x v="0"/>
  </r>
  <r>
    <n v="1200002351"/>
    <d v="2025-11-12T00:00:00"/>
    <n v="14991343.4"/>
    <s v="Cheque de terceros tucumán"/>
    <x v="781"/>
    <n v="14991343.4"/>
    <x v="137"/>
    <x v="1"/>
    <s v="pagado"/>
    <s v="pagado"/>
    <x v="0"/>
  </r>
  <r>
    <n v="1200002351"/>
    <d v="2025-11-12T00:00:00"/>
    <n v="3276830"/>
    <s v="Cheque de terceros tucumán"/>
    <x v="782"/>
    <n v="3276830"/>
    <x v="137"/>
    <x v="1"/>
    <s v="pagado"/>
    <s v="pagado"/>
    <x v="0"/>
  </r>
  <r>
    <n v="1200002351"/>
    <d v="2025-11-12T00:00:00"/>
    <n v="16703185.800000001"/>
    <s v="Cheque de terceros tucumán"/>
    <x v="783"/>
    <n v="16703185.800000001"/>
    <x v="137"/>
    <x v="1"/>
    <s v="pagado"/>
    <s v="pagado"/>
    <x v="0"/>
  </r>
  <r>
    <n v="1200002351"/>
    <d v="2025-11-12T00:00:00"/>
    <n v="10405080"/>
    <s v="Cheque de terceros tucumán"/>
    <x v="784"/>
    <n v="10405080"/>
    <x v="137"/>
    <x v="1"/>
    <s v="pagado"/>
    <s v="pagado"/>
    <x v="0"/>
  </r>
  <r>
    <n v="1200002351"/>
    <d v="2025-11-12T00:00:00"/>
    <n v="0"/>
    <s v="Anulado"/>
    <x v="785"/>
    <n v="0"/>
    <x v="137"/>
    <x v="1"/>
    <s v="no pagado"/>
    <s v="fuera de fecha"/>
    <x v="0"/>
  </r>
  <r>
    <n v="3000001624"/>
    <d v="2025-11-13T00:00:00"/>
    <n v="18283450"/>
    <s v="EDET S.A. SAN MIGUEL DE TUCUMAN 14"/>
    <x v="786"/>
    <n v="18283450"/>
    <x v="132"/>
    <x v="1"/>
    <s v="pagado"/>
    <s v="pagado"/>
    <x v="0"/>
  </r>
  <r>
    <n v="3000001629"/>
    <d v="2025-11-17T00:00:00"/>
    <n v="7707907.79"/>
    <s v="ANTONACCI LUIS GABRIEL LA FLORIDA 14"/>
    <x v="787"/>
    <n v="7707907.79"/>
    <x v="139"/>
    <x v="1"/>
    <s v="pagado"/>
    <s v="pagado"/>
    <x v="0"/>
  </r>
  <r>
    <n v="3000001630"/>
    <d v="2025-11-17T00:00:00"/>
    <n v="3643342.7"/>
    <s v="MARCOS SCHMUKLER S.A SAN SALVADOR 05"/>
    <x v="788"/>
    <n v="3643342.7"/>
    <x v="139"/>
    <x v="1"/>
    <s v="pagado"/>
    <s v="pagado"/>
    <x v="0"/>
  </r>
  <r>
    <n v="3000001631"/>
    <d v="2025-11-17T00:00:00"/>
    <n v="18628572.899999999"/>
    <s v="LOGISTICA CENTRO S.R.L CORONDA 12"/>
    <x v="789"/>
    <n v="18628572.899999999"/>
    <x v="139"/>
    <x v="1"/>
    <s v="pagado"/>
    <s v="pagado"/>
    <x v="0"/>
  </r>
  <r>
    <n v="3000001632"/>
    <d v="2025-11-17T00:00:00"/>
    <n v="21475169.710000001"/>
    <s v="TRANSPORTE BARBERAN HNOS SRL CHABAS 12"/>
    <x v="790"/>
    <n v="21475169.710000001"/>
    <x v="139"/>
    <x v="1"/>
    <s v="pagado"/>
    <s v="pagado"/>
    <x v="0"/>
  </r>
  <r>
    <n v="3000001633"/>
    <d v="2025-11-17T00:00:00"/>
    <n v="4211197.12"/>
    <s v="LAVENIA VITO CARMELO LASTENIA 14"/>
    <x v="791"/>
    <n v="4211197.12"/>
    <x v="139"/>
    <x v="1"/>
    <s v="pagado"/>
    <s v="pagado"/>
    <x v="0"/>
  </r>
  <r>
    <n v="3000001634"/>
    <d v="2025-11-17T00:00:00"/>
    <n v="3825767.92"/>
    <s v="COCCOLO LOGISTICA SA cañada rosquin 12"/>
    <x v="792"/>
    <n v="3825767.92"/>
    <x v="139"/>
    <x v="1"/>
    <s v="pagado"/>
    <s v="pagado"/>
    <x v="0"/>
  </r>
  <r>
    <n v="3000001635"/>
    <d v="2025-11-17T00:00:00"/>
    <n v="4483627.66"/>
    <s v="CAMPOSTRINI S R L VILLAGUAY 05"/>
    <x v="793"/>
    <n v="4483627.66"/>
    <x v="139"/>
    <x v="1"/>
    <s v="pagado"/>
    <s v="pagado"/>
    <x v="0"/>
  </r>
  <r>
    <n v="3000001636"/>
    <d v="2025-11-17T00:00:00"/>
    <n v="4697211.5999999996"/>
    <s v="EL SOL MATERIALES SA SAN MIGUEL DE TUCUMAN 14"/>
    <x v="794"/>
    <n v="4697211.5999999996"/>
    <x v="140"/>
    <x v="1"/>
    <s v="pagado"/>
    <s v="pagado"/>
    <x v="0"/>
  </r>
  <r>
    <n v="3000001637"/>
    <d v="2025-11-17T00:00:00"/>
    <n v="13982823.4"/>
    <s v="VERON MARIANA BEATRIZ NUEVA ESPERANZA 13"/>
    <x v="795"/>
    <n v="13982823.4"/>
    <x v="140"/>
    <x v="1"/>
    <s v="pagado"/>
    <s v="pagado"/>
    <x v="0"/>
  </r>
  <r>
    <n v="3000001638"/>
    <d v="2025-11-17T00:00:00"/>
    <n v="16331788.800000001"/>
    <s v="AYALA HERNAN OSVALDO SAN MIGUEL DE TUCUMAN 14"/>
    <x v="796"/>
    <n v="16331788.800000001"/>
    <x v="140"/>
    <x v="1"/>
    <s v="pagado"/>
    <s v="pagado"/>
    <x v="0"/>
  </r>
  <r>
    <n v="3000001639"/>
    <d v="2025-11-17T00:00:00"/>
    <n v="14239494.51"/>
    <s v="Medina Lauro Jose Las Cejas 14"/>
    <x v="797"/>
    <n v="14239494.51"/>
    <x v="140"/>
    <x v="1"/>
    <s v="pagado"/>
    <s v="pagado"/>
    <x v="0"/>
  </r>
  <r>
    <n v="3000001640"/>
    <d v="2025-11-17T00:00:00"/>
    <n v="7120049.6399999997"/>
    <s v="GRUPO MARGEN DEL NOA SA YERBA BUENA 14"/>
    <x v="798"/>
    <n v="7120049.6399999997"/>
    <x v="140"/>
    <x v="1"/>
    <s v="pagado"/>
    <s v="pagado"/>
    <x v="0"/>
  </r>
  <r>
    <n v="3000001641"/>
    <d v="2025-11-17T00:00:00"/>
    <n v="9877270.2699999996"/>
    <s v="AYALA WALTER DANIEL ALDERETES 14"/>
    <x v="799"/>
    <n v="9877270.2699999996"/>
    <x v="140"/>
    <x v="1"/>
    <s v="pagado"/>
    <s v="pagado"/>
    <x v="0"/>
  </r>
  <r>
    <n v="3000001642"/>
    <d v="2025-11-17T00:00:00"/>
    <n v="4755265.5"/>
    <s v="Establecimiento Minero Sofia SElena 03"/>
    <x v="800"/>
    <n v="4755265.5"/>
    <x v="140"/>
    <x v="1"/>
    <s v="pagado"/>
    <s v="pagado"/>
    <x v="0"/>
  </r>
  <r>
    <n v="3000001643"/>
    <d v="2025-11-17T00:00:00"/>
    <n v="7735948.4400000004"/>
    <s v="GONZALEZ LUIS ALEJANDRO YERBA BUENA 14"/>
    <x v="801"/>
    <n v="7735948.4400000004"/>
    <x v="140"/>
    <x v="1"/>
    <s v="pagado"/>
    <s v="pagado"/>
    <x v="0"/>
  </r>
  <r>
    <n v="1200002613"/>
    <d v="2025-11-19T00:00:00"/>
    <n v="43758209.579999998"/>
    <s v="Cheque de terceros tucumán"/>
    <x v="802"/>
    <n v="43758209.579999998"/>
    <x v="141"/>
    <x v="1"/>
    <s v="pagado"/>
    <s v="pagado"/>
    <x v="0"/>
  </r>
  <r>
    <n v="1200002613"/>
    <d v="2025-11-19T00:00:00"/>
    <n v="21437723.399999999"/>
    <s v="Cheque de terceros tucumán"/>
    <x v="803"/>
    <n v="21437723.399999999"/>
    <x v="141"/>
    <x v="1"/>
    <s v="pagado"/>
    <s v="pagado"/>
    <x v="0"/>
  </r>
  <r>
    <n v="1200002613"/>
    <d v="2025-11-19T00:00:00"/>
    <n v="2350403.4"/>
    <s v="Cheque de terceros tucumán"/>
    <x v="804"/>
    <n v="2350403.4"/>
    <x v="141"/>
    <x v="1"/>
    <s v="pagado"/>
    <s v="pagado"/>
    <x v="0"/>
  </r>
  <r>
    <n v="1200002613"/>
    <d v="2025-11-19T00:00:00"/>
    <n v="1121065.04"/>
    <s v="Cheque de terceros tucumán"/>
    <x v="805"/>
    <n v="1121065.04"/>
    <x v="142"/>
    <x v="1"/>
    <s v="pagado"/>
    <s v="pagado"/>
    <x v="0"/>
  </r>
  <r>
    <n v="1200002613"/>
    <d v="2025-11-19T00:00:00"/>
    <n v="2125298.7999999998"/>
    <s v="Cheque de terceros tucumán"/>
    <x v="806"/>
    <n v="2125298.7999999998"/>
    <x v="141"/>
    <x v="1"/>
    <s v="pagado"/>
    <s v="pagado"/>
    <x v="0"/>
  </r>
  <r>
    <n v="1200002613"/>
    <d v="2025-11-19T00:00:00"/>
    <n v="29213400.68"/>
    <s v="Cheque de terceros tucumán"/>
    <x v="807"/>
    <n v="29213400.68"/>
    <x v="141"/>
    <x v="1"/>
    <s v="pagado"/>
    <s v="pagado"/>
    <x v="0"/>
  </r>
  <r>
    <n v="1200002613"/>
    <d v="2025-11-19T00:00:00"/>
    <n v="27731787.399999999"/>
    <s v="Cheque de terceros tucumán"/>
    <x v="808"/>
    <n v="27731787.399999999"/>
    <x v="141"/>
    <x v="1"/>
    <s v="pagado"/>
    <s v="pagado"/>
    <x v="0"/>
  </r>
  <r>
    <n v="1200002613"/>
    <d v="2025-11-19T00:00:00"/>
    <n v="1434767.92"/>
    <s v="Cheque de terceros tucumán"/>
    <x v="809"/>
    <n v="1434767.92"/>
    <x v="141"/>
    <x v="1"/>
    <s v="pagado"/>
    <s v="pagado"/>
    <x v="0"/>
  </r>
  <r>
    <n v="1200002613"/>
    <d v="2025-11-19T00:00:00"/>
    <n v="717467.92"/>
    <s v="Cheque de terceros tucumán"/>
    <x v="810"/>
    <n v="717467.92"/>
    <x v="142"/>
    <x v="1"/>
    <s v="pagado"/>
    <s v="pagado"/>
    <x v="0"/>
  </r>
  <r>
    <n v="1200002613"/>
    <d v="2025-11-19T00:00:00"/>
    <n v="1261176.04"/>
    <s v="Cheque de terceros tucumán"/>
    <x v="811"/>
    <n v="1261176.04"/>
    <x v="141"/>
    <x v="1"/>
    <s v="pagado"/>
    <s v="pagado"/>
    <x v="0"/>
  </r>
  <r>
    <n v="1200002613"/>
    <d v="2025-11-19T00:00:00"/>
    <n v="1733475"/>
    <s v="Cheque de terceros tucumán"/>
    <x v="812"/>
    <n v="1733475"/>
    <x v="141"/>
    <x v="1"/>
    <s v="pagado"/>
    <s v="pagado"/>
    <x v="0"/>
  </r>
  <r>
    <n v="1200002613"/>
    <d v="2025-11-19T00:00:00"/>
    <n v="345558.28"/>
    <s v="Cheque de terceros tucumán"/>
    <x v="813"/>
    <n v="345558.28"/>
    <x v="142"/>
    <x v="1"/>
    <s v="pagado"/>
    <s v="pagado"/>
    <x v="0"/>
  </r>
  <r>
    <n v="1200002613"/>
    <d v="2025-11-19T00:00:00"/>
    <n v="881943.4"/>
    <s v="Cheque de terceros tucumán"/>
    <x v="814"/>
    <n v="881943.4"/>
    <x v="142"/>
    <x v="1"/>
    <s v="pagado"/>
    <s v="pagado"/>
    <x v="0"/>
  </r>
  <r>
    <n v="1200002613"/>
    <d v="2025-11-19T00:00:00"/>
    <n v="2577150"/>
    <s v="Cheque de terceros tucumán"/>
    <x v="815"/>
    <n v="2577150"/>
    <x v="141"/>
    <x v="1"/>
    <s v="pagado"/>
    <s v="pagado"/>
    <x v="0"/>
  </r>
  <r>
    <n v="1200002613"/>
    <d v="2025-11-19T00:00:00"/>
    <n v="593530"/>
    <s v="Cheque de terceros tucumán"/>
    <x v="816"/>
    <n v="593530"/>
    <x v="142"/>
    <x v="1"/>
    <s v="pagado"/>
    <s v="pagado"/>
    <x v="0"/>
  </r>
  <r>
    <n v="1200002613"/>
    <d v="2025-11-19T00:00:00"/>
    <n v="880682.24"/>
    <s v="Cheque de terceros tucumán"/>
    <x v="817"/>
    <n v="880682.24"/>
    <x v="142"/>
    <x v="1"/>
    <s v="pagado"/>
    <s v="pagado"/>
    <x v="0"/>
  </r>
  <r>
    <n v="1200002613"/>
    <d v="2025-11-19T00:00:00"/>
    <n v="405293.63"/>
    <s v="Cheque de terceros tucumán"/>
    <x v="818"/>
    <n v="405293.63"/>
    <x v="142"/>
    <x v="1"/>
    <s v="pagado"/>
    <s v="pagado"/>
    <x v="0"/>
  </r>
  <r>
    <n v="1200002613"/>
    <d v="2025-11-19T00:00:00"/>
    <n v="614669.5"/>
    <s v="Cheque de terceros tucumán"/>
    <x v="819"/>
    <n v="614669.5"/>
    <x v="142"/>
    <x v="1"/>
    <s v="pagado"/>
    <s v="pagado"/>
    <x v="0"/>
  </r>
  <r>
    <n v="1200002613"/>
    <d v="2025-11-19T00:00:00"/>
    <n v="540498"/>
    <s v="Cheque de terceros tucumán"/>
    <x v="820"/>
    <n v="540498"/>
    <x v="142"/>
    <x v="1"/>
    <s v="pagado"/>
    <s v="pagado"/>
    <x v="0"/>
  </r>
  <r>
    <n v="1200002613"/>
    <d v="2025-11-19T00:00:00"/>
    <n v="390492.4"/>
    <s v="Cheque de terceros tucumán"/>
    <x v="821"/>
    <n v="390492.4"/>
    <x v="142"/>
    <x v="1"/>
    <s v="pagado"/>
    <s v="pagado"/>
    <x v="0"/>
  </r>
  <r>
    <n v="1200002613"/>
    <d v="2025-11-19T00:00:00"/>
    <n v="769295.51"/>
    <s v="Cheque de terceros tucumán"/>
    <x v="822"/>
    <n v="769295.51"/>
    <x v="142"/>
    <x v="1"/>
    <s v="pagado"/>
    <s v="pagado"/>
    <x v="0"/>
  </r>
  <r>
    <n v="1200002613"/>
    <d v="2025-11-19T00:00:00"/>
    <n v="10081500"/>
    <s v="Cheque de terceros tucumán"/>
    <x v="823"/>
    <n v="10081500"/>
    <x v="141"/>
    <x v="1"/>
    <s v="pagado"/>
    <s v="pagado"/>
    <x v="0"/>
  </r>
  <r>
    <n v="1200002613"/>
    <d v="2025-11-19T00:00:00"/>
    <n v="213849.98"/>
    <s v="Cheque de terceros tucumán"/>
    <x v="824"/>
    <n v="213849.98"/>
    <x v="142"/>
    <x v="1"/>
    <s v="pagado"/>
    <s v="pagado"/>
    <x v="0"/>
  </r>
  <r>
    <n v="1200002615"/>
    <d v="2025-11-19T00:00:00"/>
    <n v="291454.8"/>
    <s v="Cheque de terceros tucumán"/>
    <x v="825"/>
    <n v="291454.8"/>
    <x v="141"/>
    <x v="1"/>
    <s v="pagado"/>
    <s v="pagado"/>
    <x v="0"/>
  </r>
  <r>
    <n v="1200002615"/>
    <d v="2025-11-19T00:00:00"/>
    <n v="268152.58"/>
    <s v="Cheque de terceros tucumán"/>
    <x v="826"/>
    <n v="268152.58"/>
    <x v="141"/>
    <x v="1"/>
    <s v="pagado"/>
    <s v="pagado"/>
    <x v="0"/>
  </r>
  <r>
    <n v="1200002615"/>
    <d v="2025-11-19T00:00:00"/>
    <n v="11899200"/>
    <s v="Cheque de terceros tucumán"/>
    <x v="827"/>
    <n v="11899200"/>
    <x v="141"/>
    <x v="1"/>
    <s v="pagado"/>
    <s v="pagado"/>
    <x v="0"/>
  </r>
  <r>
    <n v="1200002615"/>
    <d v="2025-11-19T00:00:00"/>
    <n v="4414331.4000000004"/>
    <s v="Cheque de terceros tucumán"/>
    <x v="828"/>
    <n v="4414331.4000000004"/>
    <x v="141"/>
    <x v="1"/>
    <s v="pagado"/>
    <s v="pagado"/>
    <x v="0"/>
  </r>
  <r>
    <n v="1200002615"/>
    <d v="2025-11-19T00:00:00"/>
    <n v="11849782.51"/>
    <s v="Cheque de terceros tucumán"/>
    <x v="829"/>
    <n v="11849782.51"/>
    <x v="141"/>
    <x v="1"/>
    <s v="pagado"/>
    <s v="pagado"/>
    <x v="0"/>
  </r>
  <r>
    <n v="1200002615"/>
    <d v="2025-11-19T00:00:00"/>
    <n v="2649480"/>
    <s v="Cheque de terceros tucumán"/>
    <x v="830"/>
    <n v="2649480"/>
    <x v="141"/>
    <x v="1"/>
    <s v="pagado"/>
    <s v="pagado"/>
    <x v="0"/>
  </r>
  <r>
    <n v="1200002615"/>
    <d v="2025-11-19T00:00:00"/>
    <n v="13708856"/>
    <s v="Cheque de terceros tucumán"/>
    <x v="831"/>
    <n v="13708856"/>
    <x v="141"/>
    <x v="1"/>
    <s v="pagado"/>
    <s v="pagado"/>
    <x v="0"/>
  </r>
  <r>
    <n v="1200002615"/>
    <d v="2025-11-19T00:00:00"/>
    <n v="15396681.859999999"/>
    <s v="Cheque de terceros tucumán"/>
    <x v="832"/>
    <n v="15396681.859999999"/>
    <x v="141"/>
    <x v="1"/>
    <s v="pagado"/>
    <s v="pagado"/>
    <x v="0"/>
  </r>
  <r>
    <n v="1200002615"/>
    <d v="2025-11-19T00:00:00"/>
    <n v="20121292.77"/>
    <s v="Cheque de terceros tucumán"/>
    <x v="833"/>
    <n v="20121292.77"/>
    <x v="141"/>
    <x v="1"/>
    <s v="pagado"/>
    <s v="pagado"/>
    <x v="0"/>
  </r>
  <r>
    <n v="1200002615"/>
    <d v="2025-11-19T00:00:00"/>
    <n v="28099555.68"/>
    <s v="Cheque de terceros tucumán"/>
    <x v="834"/>
    <n v="28099555.68"/>
    <x v="141"/>
    <x v="1"/>
    <s v="pagado"/>
    <s v="pagado"/>
    <x v="0"/>
  </r>
  <r>
    <n v="1200002615"/>
    <d v="2025-11-19T00:00:00"/>
    <n v="26642915.32"/>
    <s v="Cheque de terceros tucumán"/>
    <x v="835"/>
    <n v="26642915.32"/>
    <x v="141"/>
    <x v="1"/>
    <s v="pagado"/>
    <s v="pagado"/>
    <x v="0"/>
  </r>
  <r>
    <n v="1200002615"/>
    <d v="2025-11-19T00:00:00"/>
    <n v="49286997.939999998"/>
    <s v="Cheque de terceros tucumán"/>
    <x v="836"/>
    <n v="49286997.939999998"/>
    <x v="141"/>
    <x v="1"/>
    <s v="pagado"/>
    <s v="pagado"/>
    <x v="0"/>
  </r>
  <r>
    <n v="1200002615"/>
    <d v="2025-11-19T00:00:00"/>
    <n v="7240091.5300000003"/>
    <s v="Cheque de terceros tucumán"/>
    <x v="837"/>
    <n v="7240091.5300000003"/>
    <x v="141"/>
    <x v="1"/>
    <s v="pagado"/>
    <s v="pagado"/>
    <x v="0"/>
  </r>
  <r>
    <n v="1200002615"/>
    <d v="2025-11-19T00:00:00"/>
    <n v="14990000"/>
    <s v="Cheque de terceros tucumán"/>
    <x v="838"/>
    <n v="14990000"/>
    <x v="141"/>
    <x v="1"/>
    <s v="pagado"/>
    <s v="pagado"/>
    <x v="0"/>
  </r>
  <r>
    <n v="1200002615"/>
    <d v="2025-11-19T00:00:00"/>
    <n v="6711717.5"/>
    <s v="Cheque de terceros tucumán"/>
    <x v="839"/>
    <n v="6711717.5"/>
    <x v="141"/>
    <x v="1"/>
    <s v="pagado"/>
    <s v="pagado"/>
    <x v="0"/>
  </r>
  <r>
    <n v="1200002615"/>
    <d v="2025-11-19T00:00:00"/>
    <n v="5582050"/>
    <s v="Cheque de terceros tucumán"/>
    <x v="840"/>
    <n v="5582050"/>
    <x v="141"/>
    <x v="1"/>
    <s v="pagado"/>
    <s v="pagado"/>
    <x v="0"/>
  </r>
  <r>
    <n v="1200002615"/>
    <d v="2025-11-19T00:00:00"/>
    <n v="7101176.3300000001"/>
    <s v="Cheque de terceros tucumán"/>
    <x v="841"/>
    <n v="7101176.3300000001"/>
    <x v="141"/>
    <x v="1"/>
    <s v="pagado"/>
    <s v="pagado"/>
    <x v="0"/>
  </r>
  <r>
    <n v="1200002615"/>
    <d v="2025-11-19T00:00:00"/>
    <n v="3097373.68"/>
    <s v="Cheque de terceros tucumán"/>
    <x v="842"/>
    <n v="3097373.68"/>
    <x v="141"/>
    <x v="1"/>
    <s v="pagado"/>
    <s v="pagado"/>
    <x v="0"/>
  </r>
  <r>
    <n v="1200002615"/>
    <d v="2025-11-19T00:00:00"/>
    <n v="5535371.6699999999"/>
    <s v="Cheque de terceros tucumán"/>
    <x v="843"/>
    <n v="5535371.6699999999"/>
    <x v="141"/>
    <x v="1"/>
    <s v="pagado"/>
    <s v="pagado"/>
    <x v="0"/>
  </r>
  <r>
    <n v="1200002615"/>
    <d v="2025-11-19T00:00:00"/>
    <n v="3040467.88"/>
    <s v="Cheque de terceros tucumán"/>
    <x v="844"/>
    <n v="3040467.88"/>
    <x v="141"/>
    <x v="1"/>
    <s v="pagado"/>
    <s v="pagado"/>
    <x v="0"/>
  </r>
  <r>
    <n v="1200002615"/>
    <d v="2025-11-19T00:00:00"/>
    <n v="4987180.42"/>
    <s v="Cheque de terceros tucumán"/>
    <x v="845"/>
    <n v="4987180.42"/>
    <x v="141"/>
    <x v="1"/>
    <s v="pagado"/>
    <s v="pagado"/>
    <x v="0"/>
  </r>
  <r>
    <n v="1200002615"/>
    <d v="2025-11-19T00:00:00"/>
    <n v="40033196.640000001"/>
    <s v="Cheque de terceros tucumán"/>
    <x v="846"/>
    <n v="40033196.640000001"/>
    <x v="141"/>
    <x v="1"/>
    <s v="pagado"/>
    <s v="pagado"/>
    <x v="0"/>
  </r>
  <r>
    <n v="1200002615"/>
    <d v="2025-11-19T00:00:00"/>
    <n v="13919321.5"/>
    <s v="Cheque de terceros tucumán"/>
    <x v="847"/>
    <n v="13919321.5"/>
    <x v="141"/>
    <x v="1"/>
    <s v="pagado"/>
    <s v="pagado"/>
    <x v="0"/>
  </r>
  <r>
    <n v="1200002615"/>
    <d v="2025-11-19T00:00:00"/>
    <n v="7513475.2000000002"/>
    <s v="Cheque de terceros tucumán"/>
    <x v="848"/>
    <n v="7513475.2000000002"/>
    <x v="141"/>
    <x v="1"/>
    <s v="pagado"/>
    <s v="pagado"/>
    <x v="0"/>
  </r>
  <r>
    <n v="3000001664"/>
    <d v="2025-11-19T00:00:00"/>
    <n v="4000985.2"/>
    <s v="AGROTRANSPORTE ALDAO S.A. CAMILO ALDAO 03"/>
    <x v="849"/>
    <n v="4000985.2"/>
    <x v="141"/>
    <x v="1"/>
    <s v="pagado"/>
    <s v="pagado"/>
    <x v="0"/>
  </r>
  <r>
    <n v="3000001665"/>
    <d v="2025-11-19T00:00:00"/>
    <n v="2244632.56"/>
    <s v="TRANSPORTE LAVENIA SAS LASTENIA 14"/>
    <x v="850"/>
    <n v="2244632.56"/>
    <x v="141"/>
    <x v="1"/>
    <s v="pagado"/>
    <s v="pagado"/>
    <x v="0"/>
  </r>
  <r>
    <n v="3000001666"/>
    <d v="2025-11-19T00:00:00"/>
    <n v="3672983.02"/>
    <s v="FOLMER SERGIO NICOLAS entre rios 05"/>
    <x v="851"/>
    <n v="3672983.02"/>
    <x v="141"/>
    <x v="1"/>
    <s v="pagado"/>
    <s v="pagado"/>
    <x v="0"/>
  </r>
  <r>
    <n v="3000001667"/>
    <d v="2025-11-19T00:00:00"/>
    <n v="6100578.6900000004"/>
    <s v="RAMIREZ CECILIA LORENA LAS LAJITAS 09"/>
    <x v="852"/>
    <n v="6100578.6900000004"/>
    <x v="141"/>
    <x v="1"/>
    <s v="pagado"/>
    <s v="pagado"/>
    <x v="0"/>
  </r>
  <r>
    <n v="3000001668"/>
    <d v="2025-11-19T00:00:00"/>
    <n v="5926607.2300000004"/>
    <s v="JAVIER EDUARDO PRADO FLORIDA 13"/>
    <x v="853"/>
    <n v="5926607.2300000004"/>
    <x v="141"/>
    <x v="1"/>
    <s v="pagado"/>
    <s v="pagado"/>
    <x v="0"/>
  </r>
  <r>
    <n v="3000001669"/>
    <d v="2025-11-19T00:00:00"/>
    <n v="3708431.34"/>
    <s v="GUIFFREY MARCELO GUSTAVO VILLA ELISA 05"/>
    <x v="854"/>
    <n v="3708431.34"/>
    <x v="141"/>
    <x v="1"/>
    <s v="pagado"/>
    <s v="pagado"/>
    <x v="0"/>
  </r>
  <r>
    <n v="3000001695"/>
    <d v="2025-12-01T00:00:00"/>
    <m/>
    <s v="Anulado"/>
    <x v="855"/>
    <n v="0"/>
    <x v="143"/>
    <x v="1"/>
    <s v="no pagado"/>
    <s v="fuera de fecha"/>
    <x v="0"/>
  </r>
  <r>
    <n v="3000001696"/>
    <d v="2025-12-01T00:00:00"/>
    <n v="10615596.67"/>
    <s v="DANIEL MARCELO GUERRERO ALDERETES 14"/>
    <x v="856"/>
    <n v="10615596.67"/>
    <x v="143"/>
    <x v="1"/>
    <s v="no pagado"/>
    <s v="fuera de fecha"/>
    <x v="0"/>
  </r>
  <r>
    <n v="3000001697"/>
    <d v="2025-12-01T00:00:00"/>
    <n v="12703203.82"/>
    <s v="EMPRENDIMIENTOS ASSUN S.A. SANTIAGO DEL ESTERO 13"/>
    <x v="857"/>
    <n v="12703203.82"/>
    <x v="143"/>
    <x v="1"/>
    <s v="pagado"/>
    <s v="pagado"/>
    <x v="0"/>
  </r>
  <r>
    <n v="3000001698"/>
    <d v="2025-12-01T00:00:00"/>
    <n v="3133343.4"/>
    <s v="SALTOS JOSUE GONZALO NUEVA ESPERANZA 13"/>
    <x v="858"/>
    <n v="3133343.4"/>
    <x v="143"/>
    <x v="1"/>
    <s v="pagado"/>
    <s v="pagado"/>
    <x v="0"/>
  </r>
  <r>
    <n v="3000001699"/>
    <d v="2025-12-01T00:00:00"/>
    <n v="3994274.89"/>
    <s v="GDM ARGENTINA SA Chacabuco 01"/>
    <x v="859"/>
    <n v="3994274.89"/>
    <x v="143"/>
    <x v="1"/>
    <s v="pagado"/>
    <s v="pagado"/>
    <x v="0"/>
  </r>
  <r>
    <n v="3000001700"/>
    <d v="2025-12-01T00:00:00"/>
    <n v="13302377.59"/>
    <s v="GOMEZ JESSICA NOELIA LAS TALITAS 14"/>
    <x v="860"/>
    <n v="13302377.59"/>
    <x v="144"/>
    <x v="1"/>
    <s v="pagado"/>
    <s v="pagado"/>
    <x v="0"/>
  </r>
  <r>
    <n v="3000001701"/>
    <d v="2025-12-01T00:00:00"/>
    <n v="6789793.4000000004"/>
    <s v="SERVICOM S.R.L SAN MIGUEL DE TUCUMAN 14"/>
    <x v="861"/>
    <n v="6789793.4000000004"/>
    <x v="144"/>
    <x v="1"/>
    <s v="pagado"/>
    <s v="pagado"/>
    <x v="0"/>
  </r>
  <r>
    <n v="3000001702"/>
    <d v="2025-12-01T00:00:00"/>
    <n v="4297443.43"/>
    <s v="UDRIZARD VIVIANA ISABEL CONCORDIA 05"/>
    <x v="862"/>
    <n v="4297443.43"/>
    <x v="144"/>
    <x v="1"/>
    <s v="pagado"/>
    <s v="pagado"/>
    <x v="0"/>
  </r>
  <r>
    <n v="3000001703"/>
    <d v="2025-12-01T00:00:00"/>
    <n v="24755560"/>
    <s v="SALTOS JOSUE GONZALO NUEVA ESPERANZA 13"/>
    <x v="863"/>
    <n v="24755560"/>
    <x v="144"/>
    <x v="1"/>
    <s v="pagado"/>
    <s v="pagado"/>
    <x v="0"/>
  </r>
  <r>
    <n v="3000001704"/>
    <d v="2025-12-01T00:00:00"/>
    <n v="4600000"/>
    <s v="Pulmajo S.R.L. CONCEPCION 14"/>
    <x v="864"/>
    <n v="4600000"/>
    <x v="144"/>
    <x v="1"/>
    <s v="pagado"/>
    <s v="pagado"/>
    <x v="0"/>
  </r>
  <r>
    <n v="3000001704"/>
    <d v="2025-12-01T00:00:00"/>
    <n v="3000000"/>
    <s v="Pulmajo S.R.L. CONCEPCION 14"/>
    <x v="865"/>
    <n v="3000000"/>
    <x v="144"/>
    <x v="1"/>
    <s v="pagado"/>
    <s v="pagado"/>
    <x v="0"/>
  </r>
  <r>
    <n v="3000001704"/>
    <d v="2025-12-01T00:00:00"/>
    <n v="5000000"/>
    <s v="Pulmajo S.R.L. CONCEPCION 14"/>
    <x v="866"/>
    <n v="5000000"/>
    <x v="144"/>
    <x v="1"/>
    <s v="pagado"/>
    <s v="pagado"/>
    <x v="0"/>
  </r>
  <r>
    <n v="3000001704"/>
    <d v="2025-12-01T00:00:00"/>
    <n v="5000000"/>
    <s v="Pulmajo S.R.L. CONCEPCION 14"/>
    <x v="867"/>
    <n v="5000000"/>
    <x v="144"/>
    <x v="1"/>
    <s v="pagado"/>
    <s v="pagado"/>
    <x v="0"/>
  </r>
  <r>
    <n v="3000001704"/>
    <d v="2025-12-01T00:00:00"/>
    <n v="5000000"/>
    <s v="Pulmajo S.R.L. CONCEPCION 14"/>
    <x v="868"/>
    <n v="5000000"/>
    <x v="144"/>
    <x v="1"/>
    <s v="pagado"/>
    <s v="pagado"/>
    <x v="0"/>
  </r>
  <r>
    <n v="3000001704"/>
    <d v="2025-12-01T00:00:00"/>
    <n v="3136140.4"/>
    <s v="Pulmajo S.R.L. CONCEPCION 14"/>
    <x v="869"/>
    <n v="3136140.4"/>
    <x v="144"/>
    <x v="1"/>
    <s v="pagado"/>
    <s v="pagado"/>
    <x v="0"/>
  </r>
  <r>
    <n v="3000001706"/>
    <d v="2025-12-02T00:00:00"/>
    <n v="63600000"/>
    <s v="TENSAC S.H. SAN MIGUEL DE TUCUMAN 14"/>
    <x v="870"/>
    <n v="63600000"/>
    <x v="145"/>
    <x v="1"/>
    <s v="pagado"/>
    <s v="pagado"/>
    <x v="0"/>
  </r>
  <r>
    <n v="3000001706"/>
    <d v="2025-12-02T00:00:00"/>
    <n v="63601602.25"/>
    <s v="TENSAC S.H. SAN MIGUEL DE TUCUMAN 14"/>
    <x v="871"/>
    <n v="63601602.25"/>
    <x v="146"/>
    <x v="1"/>
    <s v="pagado"/>
    <s v="pagado"/>
    <x v="0"/>
  </r>
  <r>
    <n v="3000001709"/>
    <d v="2025-12-03T00:00:00"/>
    <n v="6570120.8600000003"/>
    <s v="AGROGANADERA DEL NOA CEVIL POZO 14"/>
    <x v="872"/>
    <n v="6570120.8600000003"/>
    <x v="143"/>
    <x v="1"/>
    <s v="pagado"/>
    <s v="pagado"/>
    <x v="0"/>
  </r>
  <r>
    <n v="3000001709"/>
    <d v="2025-12-03T00:00:00"/>
    <n v="12964401.23"/>
    <s v="AGROGANADERA DEL NOA CEVIL POZO 14"/>
    <x v="873"/>
    <n v="12964401.23"/>
    <x v="144"/>
    <x v="1"/>
    <s v="pagado"/>
    <s v="pagado"/>
    <x v="0"/>
  </r>
  <r>
    <n v="3000001709"/>
    <d v="2025-12-03T00:00:00"/>
    <n v="5854966.75"/>
    <s v="AGROGANADERA DEL NOA CEVIL POZO 14"/>
    <x v="874"/>
    <n v="5854966.75"/>
    <x v="143"/>
    <x v="1"/>
    <s v="pagado"/>
    <s v="pagado"/>
    <x v="0"/>
  </r>
  <r>
    <n v="1200002672"/>
    <d v="2025-12-04T00:00:00"/>
    <n v="18979810.989999998"/>
    <s v="Cheque de terceros TUCUMAN"/>
    <x v="875"/>
    <n v="18979810.989999998"/>
    <x v="147"/>
    <x v="1"/>
    <s v="pagado"/>
    <s v="pagado"/>
    <x v="0"/>
  </r>
  <r>
    <n v="3000001720"/>
    <d v="2025-12-04T00:00:00"/>
    <n v="45104674.950000003"/>
    <s v="TRANSPORTE BARBERAN HNOS SRL CHABAS 12"/>
    <x v="876"/>
    <n v="45104674.950000003"/>
    <x v="148"/>
    <x v="1"/>
    <s v="pagado"/>
    <s v="pagado"/>
    <x v="0"/>
  </r>
  <r>
    <n v="3000001721"/>
    <d v="2025-12-04T00:00:00"/>
    <n v="33123719.050000001"/>
    <s v="TRANSPORTE LAVENIA SAS LASTENIA 14"/>
    <x v="877"/>
    <n v="33123719.050000001"/>
    <x v="148"/>
    <x v="1"/>
    <s v="pagado"/>
    <s v="pagado"/>
    <x v="0"/>
  </r>
  <r>
    <n v="3000001722"/>
    <d v="2025-12-04T00:00:00"/>
    <n v="6356476.9000000004"/>
    <s v="LOGISTICA CENTRO S.R.L CORONDA 12"/>
    <x v="878"/>
    <n v="6356476.9000000004"/>
    <x v="144"/>
    <x v="1"/>
    <s v="pagado"/>
    <s v="pagado"/>
    <x v="0"/>
  </r>
  <r>
    <n v="3000001723"/>
    <d v="2025-12-04T00:00:00"/>
    <n v="5345038.4000000004"/>
    <s v="SAN LORENZO CEREALES S.R.L SAN LORENZO 12"/>
    <x v="879"/>
    <n v="5345038.4000000004"/>
    <x v="148"/>
    <x v="1"/>
    <s v="pagado"/>
    <s v="pagado"/>
    <x v="0"/>
  </r>
  <r>
    <n v="3000001724"/>
    <d v="2025-12-04T00:00:00"/>
    <n v="4999217.92"/>
    <s v="FERNANDEZ CESAR ANDRES ALEJANDSALTA 09"/>
    <x v="880"/>
    <n v="4999217.92"/>
    <x v="144"/>
    <x v="1"/>
    <s v="pagado"/>
    <s v="pagado"/>
    <x v="0"/>
  </r>
  <r>
    <n v="3000001725"/>
    <d v="2025-12-04T00:00:00"/>
    <n v="3825767.92"/>
    <s v="LOGISTICA DEL NORTE S.R.L. SAN MIGUEL DE TUCUMAN 14"/>
    <x v="881"/>
    <n v="3825767.92"/>
    <x v="144"/>
    <x v="1"/>
    <s v="pagado"/>
    <s v="pagado"/>
    <x v="0"/>
  </r>
  <r>
    <n v="3000001726"/>
    <d v="2025-12-04T00:00:00"/>
    <n v="15051976.699999999"/>
    <s v="ANTONACCI LUIS GABRIEL LA FLORIDA 14"/>
    <x v="882"/>
    <n v="15051976.699999999"/>
    <x v="148"/>
    <x v="1"/>
    <s v="pagado"/>
    <s v="pagado"/>
    <x v="0"/>
  </r>
  <r>
    <n v="3000001727"/>
    <d v="2025-12-04T00:00:00"/>
    <n v="4547308.76"/>
    <s v="TRANS TRUCKS SRL SOLDINI 12"/>
    <x v="883"/>
    <n v="4547308.76"/>
    <x v="148"/>
    <x v="1"/>
    <s v="pagado"/>
    <s v="pagado"/>
    <x v="0"/>
  </r>
  <r>
    <n v="3000001728"/>
    <d v="2025-12-04T00:00:00"/>
    <n v="4094116.23"/>
    <s v="LENARDUZZI DIEGO LEONARDO SAN JUSTO 12"/>
    <x v="884"/>
    <n v="4094116.23"/>
    <x v="148"/>
    <x v="1"/>
    <s v="pagado"/>
    <s v="pagado"/>
    <x v="0"/>
  </r>
  <r>
    <n v="3000001696"/>
    <d v="2025-12-04T00:00:00"/>
    <n v="10615596.67"/>
    <s v="DANIEL MARCELO GUERRERO ALDERETES 14"/>
    <x v="885"/>
    <n v="10615596.67"/>
    <x v="143"/>
    <x v="1"/>
    <s v="pagado"/>
    <s v="pagado"/>
    <x v="0"/>
  </r>
  <r>
    <n v="3000001754"/>
    <d v="2025-12-10T00:00:00"/>
    <n v="20900000"/>
    <s v="Medina Lauro Jose Las Cejas 14"/>
    <x v="886"/>
    <n v="20900000"/>
    <x v="136"/>
    <x v="1"/>
    <s v="pagado"/>
    <s v="pagado"/>
    <x v="0"/>
  </r>
  <r>
    <n v="3000001755"/>
    <d v="2025-12-10T00:00:00"/>
    <n v="24076343.399999999"/>
    <s v="MARIA FERNANDA SRL LA TRINIDAD 14"/>
    <x v="887"/>
    <n v="24076343.399999999"/>
    <x v="136"/>
    <x v="1"/>
    <s v="pagado"/>
    <s v="pagado"/>
    <x v="0"/>
  </r>
  <r>
    <n v="3000001756"/>
    <d v="2025-12-10T00:00:00"/>
    <n v="18956952.289999999"/>
    <s v="JAVIER EDUARDO PRADO FLORIDA 13"/>
    <x v="888"/>
    <n v="18956952.289999999"/>
    <x v="136"/>
    <x v="1"/>
    <s v="pagado"/>
    <s v="pagado"/>
    <x v="0"/>
  </r>
  <r>
    <n v="3000001757"/>
    <d v="2025-12-10T00:00:00"/>
    <n v="8601128.9499999993"/>
    <s v="ANJOR SA CORDOBA 03"/>
    <x v="889"/>
    <n v="8601128.9499999993"/>
    <x v="136"/>
    <x v="1"/>
    <s v="pagado"/>
    <s v="pagado"/>
    <x v="0"/>
  </r>
  <r>
    <n v="3000001758"/>
    <d v="2025-12-10T00:00:00"/>
    <n v="16796628.82"/>
    <s v="LEGUMBRES SACIFIA SAN MIGUEL DE TUCUMAN 14"/>
    <x v="890"/>
    <n v="16796628.82"/>
    <x v="136"/>
    <x v="1"/>
    <s v="pagado"/>
    <s v="pagado"/>
    <x v="0"/>
  </r>
  <r>
    <n v="3000001759"/>
    <d v="2025-12-10T00:00:00"/>
    <n v="8200167.6100000003"/>
    <s v="SERVICOM S.R.L SAN MIGUEL DE TUCUMAN 14"/>
    <x v="891"/>
    <n v="8200167.6100000003"/>
    <x v="136"/>
    <x v="1"/>
    <s v="pagado"/>
    <s v="pagado"/>
    <x v="0"/>
  </r>
  <r>
    <n v="3000001760"/>
    <d v="2025-12-10T00:00:00"/>
    <n v="6000000"/>
    <s v="AYALA WALTER DANIEL ALDERETES 14"/>
    <x v="892"/>
    <n v="6000000"/>
    <x v="136"/>
    <x v="1"/>
    <s v="pagado"/>
    <s v="pagado"/>
    <x v="0"/>
  </r>
  <r>
    <n v="3000001760"/>
    <d v="2025-12-10T00:00:00"/>
    <n v="6000000"/>
    <s v="AYALA WALTER DANIEL ALDERETES 14"/>
    <x v="893"/>
    <n v="6000000"/>
    <x v="136"/>
    <x v="1"/>
    <s v="pagado"/>
    <s v="pagado"/>
    <x v="0"/>
  </r>
  <r>
    <n v="3000001760"/>
    <d v="2025-12-10T00:00:00"/>
    <n v="6000000"/>
    <s v="AYALA WALTER DANIEL ALDERETES 14"/>
    <x v="894"/>
    <n v="6000000"/>
    <x v="149"/>
    <x v="1"/>
    <s v="pagado"/>
    <s v="pagado"/>
    <x v="0"/>
  </r>
  <r>
    <n v="3000001760"/>
    <d v="2025-12-10T00:00:00"/>
    <n v="8778452.2699999996"/>
    <s v="AYALA WALTER DANIEL ALDERETES 14"/>
    <x v="895"/>
    <n v="8778452.2699999996"/>
    <x v="149"/>
    <x v="1"/>
    <s v="pagado"/>
    <s v="pagado"/>
    <x v="0"/>
  </r>
  <r>
    <n v="3000001761"/>
    <d v="2025-12-11T00:00:00"/>
    <n v="18400000"/>
    <s v="TENSAC S.H. SAN MIGUEL DE TUCUMAN 14"/>
    <x v="896"/>
    <n v="18400000"/>
    <x v="150"/>
    <x v="1"/>
    <s v="pagado"/>
    <s v="pagado"/>
    <x v="0"/>
  </r>
  <r>
    <n v="3000001761"/>
    <d v="2025-12-11T00:00:00"/>
    <n v="18387781.25"/>
    <s v="TENSAC S.H. SAN MIGUEL DE TUCUMAN 14"/>
    <x v="897"/>
    <n v="18387781.25"/>
    <x v="151"/>
    <x v="1"/>
    <s v="pagado"/>
    <s v="pagado"/>
    <x v="0"/>
  </r>
  <r>
    <n v="3000001762"/>
    <d v="2025-12-11T00:00:00"/>
    <n v="38500000"/>
    <s v="Gulf Oil Argentina SA Lomas Del Mirador 01"/>
    <x v="898"/>
    <n v="38500000"/>
    <x v="152"/>
    <x v="1"/>
    <s v="pagado"/>
    <s v="pagado"/>
    <x v="0"/>
  </r>
  <r>
    <n v="3000001762"/>
    <d v="2025-12-11T00:00:00"/>
    <n v="38103800"/>
    <s v="Gulf Oil Argentina SA Lomas Del Mirador 01"/>
    <x v="899"/>
    <n v="38103800"/>
    <x v="153"/>
    <x v="1"/>
    <s v="pagado"/>
    <s v="pagado"/>
    <x v="0"/>
  </r>
  <r>
    <n v="3000001770"/>
    <d v="2025-12-12T00:00:00"/>
    <n v="17292780"/>
    <s v="EDET S.A. SAN MIGUEL DE TUCUMAN 14"/>
    <x v="900"/>
    <n v="17292780"/>
    <x v="128"/>
    <x v="1"/>
    <s v="pagado"/>
    <s v="pagado"/>
    <x v="0"/>
  </r>
  <r>
    <n v="3000001771"/>
    <d v="2025-12-12T00:00:00"/>
    <n v="6260578.0999999996"/>
    <s v="SAN LORENZO CEREALES S.R.L SAN LORENZO 12"/>
    <x v="901"/>
    <n v="6260578.0999999996"/>
    <x v="154"/>
    <x v="1"/>
    <s v="pagado"/>
    <s v="pagado"/>
    <x v="0"/>
  </r>
  <r>
    <n v="3000001776"/>
    <d v="2025-12-15T00:00:00"/>
    <n v="2085598.12"/>
    <s v="ELIAS LUCIANO EMANUEL LAS TALITAS 14"/>
    <x v="902"/>
    <n v="2085598.12"/>
    <x v="154"/>
    <x v="1"/>
    <s v="pagado"/>
    <s v="pagado"/>
    <x v="0"/>
  </r>
  <r>
    <n v="3000001777"/>
    <d v="2025-12-15T00:00:00"/>
    <n v="10951808.130000001"/>
    <s v="DANIEL MARCELO GUERRERO ALDERETES 14"/>
    <x v="903"/>
    <n v="10951808.130000001"/>
    <x v="154"/>
    <x v="1"/>
    <s v="pagado"/>
    <s v="pagado"/>
    <x v="0"/>
  </r>
  <r>
    <n v="3000001778"/>
    <d v="2025-12-15T00:00:00"/>
    <n v="7251743.4000000004"/>
    <s v="MARTO ALBERTO ANTONIO LA RAMADA DE ABAJO 14"/>
    <x v="904"/>
    <n v="7251743.4000000004"/>
    <x v="154"/>
    <x v="1"/>
    <s v="pagado"/>
    <s v="pagado"/>
    <x v="0"/>
  </r>
  <r>
    <n v="3000001779"/>
    <d v="2025-12-15T00:00:00"/>
    <n v="12552811.640000001"/>
    <s v="PETROANDINA S.R.L SALTA 09"/>
    <x v="905"/>
    <n v="12552811.640000001"/>
    <x v="154"/>
    <x v="1"/>
    <s v="pagado"/>
    <s v="pagado"/>
    <x v="0"/>
  </r>
  <r>
    <n v="3000001780"/>
    <d v="2025-12-15T00:00:00"/>
    <n v="13569065.949999999"/>
    <s v="LIZONDO OSCAR FABIAN METAN 09"/>
    <x v="906"/>
    <n v="13569065.949999999"/>
    <x v="154"/>
    <x v="1"/>
    <s v="pagado"/>
    <s v="pagado"/>
    <x v="0"/>
  </r>
  <r>
    <n v="3000001781"/>
    <d v="2025-12-15T00:00:00"/>
    <n v="21000000"/>
    <s v="Medina Lauro Jose Las Cejas 14"/>
    <x v="907"/>
    <n v="21000000"/>
    <x v="154"/>
    <x v="1"/>
    <s v="pagado"/>
    <s v="pagado"/>
    <x v="0"/>
  </r>
  <r>
    <n v="3000001781"/>
    <d v="2025-12-15T00:00:00"/>
    <n v="21016812.399999999"/>
    <s v="Medina Lauro Jose Las Cejas 14"/>
    <x v="908"/>
    <n v="21016812.399999999"/>
    <x v="155"/>
    <x v="1"/>
    <s v="pagado"/>
    <s v="pagado"/>
    <x v="0"/>
  </r>
  <r>
    <n v="3000001782"/>
    <d v="2025-12-15T00:00:00"/>
    <n v="6564286.2400000002"/>
    <s v="GRUPO MARGEN DEL NOA SA YERBA BUENA 14"/>
    <x v="909"/>
    <n v="6564286.2400000002"/>
    <x v="154"/>
    <x v="1"/>
    <s v="pagado"/>
    <s v="pagado"/>
    <x v="0"/>
  </r>
  <r>
    <n v="3000001783"/>
    <d v="2025-12-15T00:00:00"/>
    <n v="16038063.279999999"/>
    <s v="AYALA WALTER DANIEL ALDERETES 14"/>
    <x v="910"/>
    <n v="16038063.279999999"/>
    <x v="154"/>
    <x v="1"/>
    <s v="pagado"/>
    <s v="pagado"/>
    <x v="0"/>
  </r>
  <r>
    <n v="3000001784"/>
    <d v="2025-12-15T00:00:00"/>
    <n v="21076936.75"/>
    <s v="Pulverizaciones Tuninetti S.R.Las Rosas 01"/>
    <x v="911"/>
    <n v="21076936.75"/>
    <x v="154"/>
    <x v="1"/>
    <s v="pagado"/>
    <s v="pagado"/>
    <x v="0"/>
  </r>
  <r>
    <n v="3000001785"/>
    <d v="2025-12-15T00:00:00"/>
    <n v="22366056.82"/>
    <s v="VERON MARIANA BEATRIZ NUEVA ESPERANZA 13"/>
    <x v="912"/>
    <n v="22366056.82"/>
    <x v="154"/>
    <x v="1"/>
    <s v="pagado"/>
    <s v="pagado"/>
    <x v="0"/>
  </r>
  <r>
    <n v="3000001786"/>
    <d v="2025-12-15T00:00:00"/>
    <n v="21000000"/>
    <s v="DON KOKO S.R.L CAMILO ALDAO 03"/>
    <x v="913"/>
    <n v="21000000"/>
    <x v="154"/>
    <x v="1"/>
    <s v="pagado"/>
    <s v="pagado"/>
    <x v="0"/>
  </r>
  <r>
    <n v="3000001786"/>
    <d v="2025-12-15T00:00:00"/>
    <n v="21801343.399999999"/>
    <s v="DON KOKO S.R.L CAMILO ALDAO 03"/>
    <x v="914"/>
    <n v="21801343.399999999"/>
    <x v="155"/>
    <x v="1"/>
    <s v="pagado"/>
    <s v="pagado"/>
    <x v="0"/>
  </r>
  <r>
    <n v="3000001787"/>
    <d v="2025-12-15T00:00:00"/>
    <n v="1000000"/>
    <s v="Pulmajo S.R.L. CONCEPCION 14"/>
    <x v="915"/>
    <n v="1000000"/>
    <x v="154"/>
    <x v="1"/>
    <s v="pagado"/>
    <s v="pagado"/>
    <x v="0"/>
  </r>
  <r>
    <n v="3000001787"/>
    <d v="2025-12-15T00:00:00"/>
    <n v="1000000"/>
    <s v="Pulmajo S.R.L. CONCEPCION 14"/>
    <x v="916"/>
    <n v="1000000"/>
    <x v="154"/>
    <x v="1"/>
    <s v="pagado"/>
    <s v="pagado"/>
    <x v="0"/>
  </r>
  <r>
    <n v="3000001787"/>
    <d v="2025-12-15T00:00:00"/>
    <n v="1000000"/>
    <s v="Pulmajo S.R.L. CONCEPCION 14"/>
    <x v="917"/>
    <n v="1000000"/>
    <x v="154"/>
    <x v="1"/>
    <s v="pagado"/>
    <s v="pagado"/>
    <x v="0"/>
  </r>
  <r>
    <n v="3000001787"/>
    <d v="2025-12-15T00:00:00"/>
    <n v="2000000"/>
    <s v="Pulmajo S.R.L. CONCEPCION 14"/>
    <x v="918"/>
    <n v="2000000"/>
    <x v="154"/>
    <x v="1"/>
    <s v="pagado"/>
    <s v="pagado"/>
    <x v="0"/>
  </r>
  <r>
    <n v="3000001787"/>
    <d v="2025-12-15T00:00:00"/>
    <n v="2000000"/>
    <s v="Pulmajo S.R.L. CONCEPCION 14"/>
    <x v="919"/>
    <n v="2000000"/>
    <x v="154"/>
    <x v="1"/>
    <s v="pagado"/>
    <s v="pagado"/>
    <x v="0"/>
  </r>
  <r>
    <n v="3000001787"/>
    <d v="2025-12-15T00:00:00"/>
    <n v="2000000"/>
    <s v="Pulmajo S.R.L. CONCEPCION 14"/>
    <x v="920"/>
    <n v="2000000"/>
    <x v="154"/>
    <x v="1"/>
    <s v="pagado"/>
    <s v="pagado"/>
    <x v="0"/>
  </r>
  <r>
    <n v="3000001787"/>
    <d v="2025-12-15T00:00:00"/>
    <n v="2000000"/>
    <s v="Pulmajo S.R.L. CONCEPCION 14"/>
    <x v="921"/>
    <n v="2000000"/>
    <x v="154"/>
    <x v="1"/>
    <s v="pagado"/>
    <s v="pagado"/>
    <x v="0"/>
  </r>
  <r>
    <n v="3000001787"/>
    <d v="2025-12-15T00:00:00"/>
    <n v="2000000"/>
    <s v="Pulmajo S.R.L. CONCEPCION 14"/>
    <x v="922"/>
    <n v="2000000"/>
    <x v="154"/>
    <x v="1"/>
    <s v="pagado"/>
    <s v="pagado"/>
    <x v="0"/>
  </r>
  <r>
    <n v="3000001787"/>
    <d v="2025-12-15T00:00:00"/>
    <n v="3300000"/>
    <s v="Pulmajo S.R.L. CONCEPCION 14"/>
    <x v="923"/>
    <n v="3300000"/>
    <x v="154"/>
    <x v="1"/>
    <s v="pagado"/>
    <s v="pagado"/>
    <x v="0"/>
  </r>
  <r>
    <n v="3000001787"/>
    <d v="2025-12-15T00:00:00"/>
    <n v="3300000"/>
    <s v="Pulmajo S.R.L. CONCEPCION 14"/>
    <x v="924"/>
    <n v="3300000"/>
    <x v="154"/>
    <x v="1"/>
    <s v="pagado"/>
    <s v="pagado"/>
    <x v="0"/>
  </r>
  <r>
    <n v="3000001787"/>
    <d v="2025-12-15T00:00:00"/>
    <n v="3300000"/>
    <s v="Pulmajo S.R.L. CONCEPCION 14"/>
    <x v="925"/>
    <n v="3300000"/>
    <x v="154"/>
    <x v="1"/>
    <s v="pagado"/>
    <s v="pagado"/>
    <x v="0"/>
  </r>
  <r>
    <n v="3000001787"/>
    <d v="2025-12-15T00:00:00"/>
    <n v="5000000"/>
    <s v="Pulmajo S.R.L. CONCEPCION 14"/>
    <x v="926"/>
    <n v="5000000"/>
    <x v="155"/>
    <x v="1"/>
    <s v="pagado"/>
    <s v="pagado"/>
    <x v="0"/>
  </r>
  <r>
    <n v="3000001787"/>
    <d v="2025-12-15T00:00:00"/>
    <n v="5000000"/>
    <s v="Pulmajo S.R.L. CONCEPCION 14"/>
    <x v="927"/>
    <n v="5000000"/>
    <x v="155"/>
    <x v="1"/>
    <s v="pagado"/>
    <s v="pagado"/>
    <x v="0"/>
  </r>
  <r>
    <n v="3000001787"/>
    <d v="2025-12-15T00:00:00"/>
    <n v="5000000"/>
    <s v="Pulmajo S.R.L. CONCEPCION 14"/>
    <x v="928"/>
    <n v="5000000"/>
    <x v="155"/>
    <x v="1"/>
    <s v="pagado"/>
    <s v="pagado"/>
    <x v="0"/>
  </r>
  <r>
    <n v="3000001787"/>
    <d v="2025-12-15T00:00:00"/>
    <n v="5000000"/>
    <s v="Pulmajo S.R.L. CONCEPCION 14"/>
    <x v="929"/>
    <n v="5000000"/>
    <x v="155"/>
    <x v="1"/>
    <s v="pagado"/>
    <s v="pagado"/>
    <x v="0"/>
  </r>
  <r>
    <n v="3000001787"/>
    <d v="2025-12-15T00:00:00"/>
    <n v="5000000"/>
    <s v="Pulmajo S.R.L. CONCEPCION 14"/>
    <x v="930"/>
    <n v="5000000"/>
    <x v="155"/>
    <x v="1"/>
    <s v="pagado"/>
    <s v="pagado"/>
    <x v="0"/>
  </r>
  <r>
    <n v="3000001787"/>
    <d v="2025-12-15T00:00:00"/>
    <n v="5428324.0099999998"/>
    <s v="Pulmajo S.R.L. CONCEPCION 14"/>
    <x v="931"/>
    <n v="5428324.0099999998"/>
    <x v="155"/>
    <x v="1"/>
    <s v="pagado"/>
    <s v="pagado"/>
    <x v="0"/>
  </r>
  <r>
    <n v="3000001788"/>
    <d v="2025-12-16T00:00:00"/>
    <n v="17000000"/>
    <s v="TENSAC S.H. SAN MIGUEL DE TUCUMAN 14"/>
    <x v="932"/>
    <n v="17000000"/>
    <x v="156"/>
    <x v="1"/>
    <s v="pagado"/>
    <s v="pagado"/>
    <x v="0"/>
  </r>
  <r>
    <n v="3000001788"/>
    <d v="2025-12-16T00:00:00"/>
    <n v="16466702.5"/>
    <s v="TENSAC S.H. SAN MIGUEL DE TUCUMAN 14"/>
    <x v="933"/>
    <n v="16466702.5"/>
    <x v="131"/>
    <x v="1"/>
    <s v="pagado"/>
    <s v="pagado"/>
    <x v="0"/>
  </r>
  <r>
    <n v="1200002676"/>
    <d v="2025-12-17T00:00:00"/>
    <n v="17229080.260000002"/>
    <s v="Cheque de terceros tucumán"/>
    <x v="934"/>
    <n v="17229080.260000002"/>
    <x v="157"/>
    <x v="1"/>
    <s v="pagado"/>
    <s v="pagado"/>
    <x v="0"/>
  </r>
  <r>
    <n v="1200002676"/>
    <d v="2025-12-17T00:00:00"/>
    <n v="27781394.850000001"/>
    <s v="Cheque de terceros tucumán"/>
    <x v="935"/>
    <n v="27781394.850000001"/>
    <x v="157"/>
    <x v="1"/>
    <s v="pagado"/>
    <s v="pagado"/>
    <x v="0"/>
  </r>
  <r>
    <n v="1200002676"/>
    <d v="2025-12-17T00:00:00"/>
    <n v="31000000"/>
    <s v="Cheque de terceros tucumán"/>
    <x v="936"/>
    <n v="31000000"/>
    <x v="157"/>
    <x v="1"/>
    <s v="pagado"/>
    <s v="pagado"/>
    <x v="0"/>
  </r>
  <r>
    <n v="1200002676"/>
    <d v="2025-12-17T00:00:00"/>
    <n v="19448681.600000001"/>
    <s v="Cheque de terceros tucumán"/>
    <x v="937"/>
    <n v="19448681.600000001"/>
    <x v="157"/>
    <x v="1"/>
    <s v="pagado"/>
    <s v="pagado"/>
    <x v="0"/>
  </r>
  <r>
    <n v="1200002676"/>
    <d v="2025-12-17T00:00:00"/>
    <n v="18137576.620000001"/>
    <s v="Cheque de terceros tucumán"/>
    <x v="938"/>
    <n v="18137576.620000001"/>
    <x v="157"/>
    <x v="1"/>
    <s v="pagado"/>
    <s v="pagado"/>
    <x v="0"/>
  </r>
  <r>
    <n v="1200002676"/>
    <d v="2025-12-17T00:00:00"/>
    <n v="14843933.49"/>
    <s v="Cheque de terceros tucumán"/>
    <x v="939"/>
    <n v="14843933.49"/>
    <x v="157"/>
    <x v="1"/>
    <s v="pagado"/>
    <s v="pagado"/>
    <x v="0"/>
  </r>
  <r>
    <n v="3000001804"/>
    <d v="2025-12-17T00:00:00"/>
    <n v="4093400.44"/>
    <s v="ANTONACCI LUIS GABRIEL LA FLORIDA 14"/>
    <x v="940"/>
    <n v="4093400.44"/>
    <x v="158"/>
    <x v="1"/>
    <s v="pagado"/>
    <s v="pagado"/>
    <x v="0"/>
  </r>
  <r>
    <n v="3000001805"/>
    <d v="2025-12-17T00:00:00"/>
    <n v="8410329.9499999993"/>
    <s v="JAVIER EDUARDO PRADO FLORIDA 13"/>
    <x v="941"/>
    <n v="8410329.9499999993"/>
    <x v="158"/>
    <x v="1"/>
    <s v="pagado"/>
    <s v="pagado"/>
    <x v="0"/>
  </r>
  <r>
    <n v="3000001806"/>
    <d v="2025-12-17T00:00:00"/>
    <n v="4519074.93"/>
    <s v="LANGELLA JUAN RODOLFO ALDERETES 14"/>
    <x v="942"/>
    <n v="4519074.93"/>
    <x v="158"/>
    <x v="1"/>
    <s v="pagado"/>
    <s v="pagado"/>
    <x v="0"/>
  </r>
  <r>
    <n v="3000001807"/>
    <d v="2025-12-17T00:00:00"/>
    <n v="11036942.439999999"/>
    <s v="LOGISTICA CENTRO S.R.L CORONDA 12"/>
    <x v="943"/>
    <n v="11036942.439999999"/>
    <x v="158"/>
    <x v="1"/>
    <s v="pagado"/>
    <s v="pagado"/>
    <x v="0"/>
  </r>
  <r>
    <n v="1200002680"/>
    <d v="2025-12-19T00:00:00"/>
    <n v="180027680.33000001"/>
    <s v="Cheque de terceros tucumán"/>
    <x v="944"/>
    <n v="180027680.33000001"/>
    <x v="159"/>
    <x v="1"/>
    <s v="pagado"/>
    <s v="pagado"/>
    <x v="0"/>
  </r>
  <r>
    <n v="3000001832"/>
    <d v="2025-12-23T00:00:00"/>
    <n v="6248843.4000000004"/>
    <s v="ACOSTA EMILIA ROMINA JOAQUIN V GONZALEZ 09"/>
    <x v="945"/>
    <n v="6248843.4000000004"/>
    <x v="160"/>
    <x v="1"/>
    <s v="pagado"/>
    <s v="pagado"/>
    <x v="0"/>
  </r>
  <r>
    <n v="3000001833"/>
    <d v="2025-12-23T00:00:00"/>
    <n v="2584598.85"/>
    <s v="MOLINA JUAN F. Y MOLINA ROQUE Lastenia 14"/>
    <x v="946"/>
    <n v="2584598.85"/>
    <x v="150"/>
    <x v="1"/>
    <s v="pagado"/>
    <s v="pagado"/>
    <x v="0"/>
  </r>
  <r>
    <n v="3000001833"/>
    <d v="2025-12-23T00:00:00"/>
    <n v="10755712.380000001"/>
    <s v="MOLINA JUAN F. Y MOLINA ROQUE Lastenia 14"/>
    <x v="947"/>
    <n v="10755712.380000001"/>
    <x v="160"/>
    <x v="1"/>
    <s v="pagado"/>
    <s v="pagado"/>
    <x v="0"/>
  </r>
  <r>
    <n v="3000001834"/>
    <d v="2025-12-23T00:00:00"/>
    <n v="14084236.539999999"/>
    <s v="LIZONDO OSCAR FABIAN METAN 09"/>
    <x v="948"/>
    <n v="14084236.539999999"/>
    <x v="160"/>
    <x v="1"/>
    <s v="pagado"/>
    <s v="pagado"/>
    <x v="0"/>
  </r>
  <r>
    <n v="3000001835"/>
    <d v="2025-12-23T00:00:00"/>
    <n v="25000000"/>
    <s v="Medina Lauro Jose Las Cejas 14"/>
    <x v="949"/>
    <n v="25000000"/>
    <x v="160"/>
    <x v="1"/>
    <s v="pagado"/>
    <s v="pagado"/>
    <x v="0"/>
  </r>
  <r>
    <n v="3000001835"/>
    <d v="2025-12-23T00:00:00"/>
    <n v="30752840"/>
    <s v="Medina Lauro Jose Las Cejas 14"/>
    <x v="950"/>
    <n v="30752840"/>
    <x v="161"/>
    <x v="1"/>
    <s v="pagado"/>
    <s v="pagado"/>
    <x v="0"/>
  </r>
  <r>
    <n v="3000001836"/>
    <d v="2025-12-23T00:00:00"/>
    <n v="25000000"/>
    <s v="CARIGNANO RAUL JUAN YERBA BUENA 14"/>
    <x v="951"/>
    <n v="25000000"/>
    <x v="160"/>
    <x v="1"/>
    <s v="pagado"/>
    <s v="pagado"/>
    <x v="0"/>
  </r>
  <r>
    <n v="3000001836"/>
    <d v="2025-12-23T00:00:00"/>
    <n v="31893947.140000001"/>
    <s v="CARIGNANO RAUL JUAN YERBA BUENA 14"/>
    <x v="952"/>
    <n v="31893947.140000001"/>
    <x v="161"/>
    <x v="1"/>
    <s v="pagado"/>
    <s v="pagado"/>
    <x v="0"/>
  </r>
  <r>
    <n v="3000001837"/>
    <d v="2025-12-23T00:00:00"/>
    <n v="15000000"/>
    <s v="Aso, Eduardo SAN MIGUEL DE TUCUMAN 14"/>
    <x v="953"/>
    <n v="15000000"/>
    <x v="160"/>
    <x v="1"/>
    <s v="pagado"/>
    <s v="pagado"/>
    <x v="0"/>
  </r>
  <r>
    <n v="3000001837"/>
    <d v="2025-12-23T00:00:00"/>
    <n v="12565242.27"/>
    <s v="Aso, Eduardo SAN MIGUEL DE TUCUMAN 14"/>
    <x v="954"/>
    <n v="12565242.27"/>
    <x v="161"/>
    <x v="1"/>
    <s v="pagado"/>
    <s v="pagado"/>
    <x v="0"/>
  </r>
  <r>
    <n v="3000001838"/>
    <d v="2025-12-23T00:00:00"/>
    <n v="25000000"/>
    <s v="ROMAN BARCELO Y JORGE CARRERASLAS LAJITAS 09"/>
    <x v="955"/>
    <n v="25000000"/>
    <x v="160"/>
    <x v="1"/>
    <s v="pagado"/>
    <s v="pagado"/>
    <x v="0"/>
  </r>
  <r>
    <n v="3000001838"/>
    <d v="2025-12-23T00:00:00"/>
    <n v="27261846"/>
    <s v="ROMAN BARCELO Y JORGE CARRERASLAS LAJITAS 09"/>
    <x v="956"/>
    <n v="27261846"/>
    <x v="161"/>
    <x v="1"/>
    <s v="pagado"/>
    <s v="pagado"/>
    <x v="0"/>
  </r>
  <r>
    <n v="3000001839"/>
    <d v="2025-12-23T00:00:00"/>
    <n v="25000000"/>
    <s v="AYALA HERNAN OSVALDO SAN MIGUEL DE TUCUMAN 14"/>
    <x v="957"/>
    <n v="25000000"/>
    <x v="160"/>
    <x v="1"/>
    <s v="pagado"/>
    <s v="pagado"/>
    <x v="0"/>
  </r>
  <r>
    <n v="3000001839"/>
    <d v="2025-12-23T00:00:00"/>
    <n v="25710232.899999999"/>
    <s v="AYALA HERNAN OSVALDO SAN MIGUEL DE TUCUMAN 14"/>
    <x v="958"/>
    <n v="25710232.899999999"/>
    <x v="161"/>
    <x v="1"/>
    <s v="pagado"/>
    <s v="pagado"/>
    <x v="0"/>
  </r>
  <r>
    <n v="3000001840"/>
    <d v="2025-12-23T00:00:00"/>
    <n v="12757657.369999999"/>
    <s v="GOMEZ JESSICA NOELIA LAS TALITAS 14"/>
    <x v="959"/>
    <n v="12757657.369999999"/>
    <x v="160"/>
    <x v="1"/>
    <s v="pagado"/>
    <s v="pagado"/>
    <x v="0"/>
  </r>
  <r>
    <n v="3000001841"/>
    <d v="2025-12-23T00:00:00"/>
    <n v="15000000"/>
    <s v="TRANSPORTE BARBERAN HNOS SRL CHABAS 12"/>
    <x v="960"/>
    <n v="15000000"/>
    <x v="160"/>
    <x v="1"/>
    <s v="pagado"/>
    <s v="pagado"/>
    <x v="0"/>
  </r>
  <r>
    <n v="3000001841"/>
    <d v="2025-12-23T00:00:00"/>
    <n v="14841630.369999999"/>
    <s v="TRANSPORTE BARBERAN HNOS SRL CHABAS 12"/>
    <x v="961"/>
    <n v="14841630.369999999"/>
    <x v="161"/>
    <x v="1"/>
    <s v="pagado"/>
    <s v="pagado"/>
    <x v="0"/>
  </r>
  <r>
    <n v="3000001842"/>
    <d v="2025-12-23T00:00:00"/>
    <n v="20051653.399999999"/>
    <s v="GOMEZ MANUEL ARCENIO METAN 09"/>
    <x v="962"/>
    <n v="20051653.399999999"/>
    <x v="160"/>
    <x v="1"/>
    <s v="pagado"/>
    <s v="pagado"/>
    <x v="0"/>
  </r>
  <r>
    <n v="3000001843"/>
    <d v="2025-12-23T00:00:00"/>
    <n v="16372888.689999999"/>
    <s v="PAIS WALTER LUIS SAN MIGUEL DE TUCUMAN 14"/>
    <x v="963"/>
    <n v="16372888.689999999"/>
    <x v="161"/>
    <x v="1"/>
    <s v="pagado"/>
    <s v="pagado"/>
    <x v="0"/>
  </r>
  <r>
    <n v="3000001844"/>
    <d v="2025-12-26T00:00:00"/>
    <n v="8500000"/>
    <s v="TENSAC S.H."/>
    <x v="964"/>
    <n v="8500000"/>
    <x v="162"/>
    <x v="1"/>
    <s v="pagado"/>
    <s v="pagado"/>
    <x v="0"/>
  </r>
  <r>
    <n v="3000001844"/>
    <d v="2025-12-26T00:00:00"/>
    <n v="9222695.3699999992"/>
    <s v="TENSAC S.H."/>
    <x v="965"/>
    <n v="9222695.3699999992"/>
    <x v="163"/>
    <x v="1"/>
    <s v="pagado"/>
    <s v="pagado"/>
    <x v="0"/>
  </r>
  <r>
    <n v="3000001855"/>
    <d v="2025-12-29T00:00:00"/>
    <n v="8000000"/>
    <s v="RODRIGUEZ NESTOR HORACIO YERBA BUENA 14"/>
    <x v="966"/>
    <n v="8000000"/>
    <x v="162"/>
    <x v="1"/>
    <s v="pagado"/>
    <s v="pagado"/>
    <x v="0"/>
  </r>
  <r>
    <n v="3000001855"/>
    <d v="2025-12-29T00:00:00"/>
    <n v="5920445"/>
    <s v="RODRIGUEZ NESTOR HORACIO YERBA BUENA 14"/>
    <x v="967"/>
    <n v="5920445"/>
    <x v="164"/>
    <x v="1"/>
    <s v="pagado"/>
    <s v="pagado"/>
    <x v="0"/>
  </r>
  <r>
    <n v="3000001856"/>
    <d v="2025-12-29T00:00:00"/>
    <n v="10000000"/>
    <s v="Aso, Eduardo SAN MIGUEL DE TUCUMAN 14"/>
    <x v="968"/>
    <n v="10000000"/>
    <x v="162"/>
    <x v="1"/>
    <s v="pagado"/>
    <s v="pagado"/>
    <x v="0"/>
  </r>
  <r>
    <n v="3000001856"/>
    <d v="2025-12-29T00:00:00"/>
    <n v="5701870"/>
    <s v="Aso, Eduardo SAN MIGUEL DE TUCUMAN 14"/>
    <x v="969"/>
    <n v="5701870"/>
    <x v="164"/>
    <x v="1"/>
    <s v="pagado"/>
    <s v="pagado"/>
    <x v="0"/>
  </r>
  <r>
    <n v="3000001857"/>
    <d v="2025-12-29T00:00:00"/>
    <n v="6000000"/>
    <s v="VERON MARIANA BEATRIZ NUEVA ESPERANZA 13"/>
    <x v="970"/>
    <n v="6000000"/>
    <x v="162"/>
    <x v="1"/>
    <s v="pagado"/>
    <s v="pagado"/>
    <x v="0"/>
  </r>
  <r>
    <n v="3000001857"/>
    <d v="2025-12-29T00:00:00"/>
    <n v="6402344.5999999996"/>
    <s v="VERON MARIANA BEATRIZ NUEVA ESPERANZA 13"/>
    <x v="971"/>
    <n v="6402344.5999999996"/>
    <x v="164"/>
    <x v="1"/>
    <s v="pagado"/>
    <s v="pagado"/>
    <x v="0"/>
  </r>
  <r>
    <n v="3000001858"/>
    <d v="2025-12-29T00:00:00"/>
    <n v="4030715.5"/>
    <s v="AYALA WALTER DANIEL ALDERETES 14"/>
    <x v="972"/>
    <n v="4030715.5"/>
    <x v="162"/>
    <x v="1"/>
    <s v="pagado"/>
    <s v="pagado"/>
    <x v="0"/>
  </r>
  <r>
    <n v="3000001859"/>
    <d v="2025-12-29T00:00:00"/>
    <n v="6094396"/>
    <s v="Suc. de Ventimiglia Nelly IrmJesus Maria 03"/>
    <x v="973"/>
    <n v="6094396"/>
    <x v="162"/>
    <x v="1"/>
    <s v="pagado"/>
    <s v="pagado"/>
    <x v="0"/>
  </r>
  <r>
    <n v="3000000008"/>
    <d v="2026-01-06T00:00:00"/>
    <n v="4023691.09"/>
    <s v="PETROANDINA S.R.L SALTA 09"/>
    <x v="974"/>
    <n v="4023691.09"/>
    <x v="164"/>
    <x v="1"/>
    <s v="pagado"/>
    <s v="pagado"/>
    <x v="0"/>
  </r>
  <r>
    <n v="3000000009"/>
    <d v="2026-01-06T00:00:00"/>
    <n v="3571343.4"/>
    <s v="ACOSTA EMILIA ROMINA JOAQUIN V GONZALEZ 09"/>
    <x v="975"/>
    <n v="3571343.4"/>
    <x v="164"/>
    <x v="1"/>
    <s v="pagado"/>
    <s v="pagado"/>
    <x v="0"/>
  </r>
  <r>
    <n v="3000000010"/>
    <d v="2026-01-06T00:00:00"/>
    <n v="16622281.49"/>
    <s v="CRIADERO KLEIN SA PLA, PARTIDO DE ALBERTI 01"/>
    <x v="976"/>
    <n v="16622281.49"/>
    <x v="164"/>
    <x v="1"/>
    <s v="pagado"/>
    <s v="pagado"/>
    <x v="0"/>
  </r>
  <r>
    <n v="3000000011"/>
    <d v="2026-01-06T00:00:00"/>
    <n v="4987237.59"/>
    <s v="Syngenta Agro S.A. Vicente López 01"/>
    <x v="977"/>
    <n v="4987237.59"/>
    <x v="164"/>
    <x v="1"/>
    <s v="pagado"/>
    <s v="pagado"/>
    <x v="0"/>
  </r>
  <r>
    <n v="3000000012"/>
    <d v="2026-01-06T00:00:00"/>
    <n v="15000000"/>
    <s v="Medina Lauro Jose Las Cejas 14"/>
    <x v="978"/>
    <n v="15000000"/>
    <x v="164"/>
    <x v="1"/>
    <s v="pagado"/>
    <s v="pagado"/>
    <x v="0"/>
  </r>
  <r>
    <n v="3000000012"/>
    <d v="2026-01-06T00:00:00"/>
    <n v="14152558.9"/>
    <s v="Medina Lauro Jose Las Cejas 14"/>
    <x v="979"/>
    <n v="14152558.9"/>
    <x v="165"/>
    <x v="1"/>
    <s v="pagado"/>
    <s v="pagado"/>
    <x v="0"/>
  </r>
  <r>
    <n v="3000000013"/>
    <d v="2026-01-06T00:00:00"/>
    <n v="9679654.4100000001"/>
    <s v="BUSTOS EXEQUIEL ANTONIO BANDA DEL RIO SALI 14"/>
    <x v="980"/>
    <n v="9679654.4100000001"/>
    <x v="164"/>
    <x v="1"/>
    <s v="pagado"/>
    <s v="pagado"/>
    <x v="0"/>
  </r>
  <r>
    <n v="3000000014"/>
    <d v="2026-01-06T00:00:00"/>
    <n v="4926896.9000000004"/>
    <s v="AYALA WALTER DANIEL ALDERETES 14"/>
    <x v="981"/>
    <n v="4926896.9000000004"/>
    <x v="164"/>
    <x v="1"/>
    <s v="pagado"/>
    <s v="pagado"/>
    <x v="0"/>
  </r>
  <r>
    <n v="3000000007"/>
    <d v="2026-01-07T00:00:00"/>
    <n v="10000000"/>
    <s v="Pulmajo S.R.L. CONCEPCION 14"/>
    <x v="982"/>
    <n v="10000000"/>
    <x v="164"/>
    <x v="1"/>
    <s v="pagado"/>
    <s v="pagado"/>
    <x v="0"/>
  </r>
  <r>
    <n v="3000000007"/>
    <d v="2026-01-07T00:00:00"/>
    <n v="10000000"/>
    <s v="Pulmajo S.R.L. CONCEPCION 14"/>
    <x v="983"/>
    <n v="10000000"/>
    <x v="164"/>
    <x v="1"/>
    <s v="pagado"/>
    <s v="pagado"/>
    <x v="0"/>
  </r>
  <r>
    <n v="3000000007"/>
    <d v="2026-01-07T00:00:00"/>
    <n v="10000000"/>
    <s v="Pulmajo S.R.L. CONCEPCION 14"/>
    <x v="984"/>
    <n v="10000000"/>
    <x v="164"/>
    <x v="1"/>
    <s v="pagado"/>
    <s v="pagado"/>
    <x v="0"/>
  </r>
  <r>
    <n v="3000000007"/>
    <d v="2026-01-07T00:00:00"/>
    <n v="10000000"/>
    <s v="Pulmajo S.R.L. CONCEPCION 14"/>
    <x v="985"/>
    <n v="10000000"/>
    <x v="164"/>
    <x v="1"/>
    <s v="pagado"/>
    <s v="pagado"/>
    <x v="0"/>
  </r>
  <r>
    <n v="3000000007"/>
    <d v="2026-01-07T00:00:00"/>
    <n v="5000000"/>
    <s v="Pulmajo S.R.L. CONCEPCION 14"/>
    <x v="986"/>
    <n v="5000000"/>
    <x v="165"/>
    <x v="1"/>
    <s v="pagado"/>
    <s v="pagado"/>
    <x v="0"/>
  </r>
  <r>
    <n v="3000000007"/>
    <d v="2026-01-07T00:00:00"/>
    <n v="5000000"/>
    <s v="Pulmajo S.R.L. CONCEPCION 14"/>
    <x v="987"/>
    <n v="5000000"/>
    <x v="165"/>
    <x v="1"/>
    <s v="pagado"/>
    <s v="pagado"/>
    <x v="0"/>
  </r>
  <r>
    <n v="3000000007"/>
    <d v="2026-01-07T00:00:00"/>
    <n v="3350000"/>
    <s v="Pulmajo S.R.L. CONCEPCION 14"/>
    <x v="988"/>
    <n v="3350000"/>
    <x v="165"/>
    <x v="1"/>
    <s v="pagado"/>
    <s v="pagado"/>
    <x v="0"/>
  </r>
  <r>
    <n v="3000000007"/>
    <d v="2026-01-07T00:00:00"/>
    <n v="3350000"/>
    <s v="Pulmajo S.R.L. CONCEPCION 14"/>
    <x v="989"/>
    <n v="3350000"/>
    <x v="165"/>
    <x v="1"/>
    <s v="pagado"/>
    <s v="pagado"/>
    <x v="0"/>
  </r>
  <r>
    <n v="3000000007"/>
    <d v="2026-01-07T00:00:00"/>
    <n v="3350000"/>
    <s v="Pulmajo S.R.L. CONCEPCION 14"/>
    <x v="990"/>
    <n v="3350000"/>
    <x v="165"/>
    <x v="1"/>
    <s v="pagado"/>
    <s v="pagado"/>
    <x v="0"/>
  </r>
  <r>
    <n v="3000000007"/>
    <d v="2026-01-07T00:00:00"/>
    <n v="1318027.8999999999"/>
    <s v="Pulmajo S.R.L. CONCEPCION 14"/>
    <x v="991"/>
    <n v="1318027.8999999999"/>
    <x v="165"/>
    <x v="1"/>
    <s v="no pagado"/>
    <s v="fuera de fecha"/>
    <x v="0"/>
  </r>
  <r>
    <n v="3000000042"/>
    <d v="2026-01-09T00:00:00"/>
    <n v="5000000"/>
    <s v="Laborda Carlos SAN MIGUEL DE TUCUMAN 14"/>
    <x v="992"/>
    <n v="5000000"/>
    <x v="162"/>
    <x v="1"/>
    <s v="pagado"/>
    <s v="pagado"/>
    <x v="0"/>
  </r>
  <r>
    <n v="3000000042"/>
    <d v="2026-01-09T00:00:00"/>
    <n v="5000000"/>
    <s v="Laborda Carlos SAN MIGUEL DE TUCUMAN 14"/>
    <x v="993"/>
    <n v="5000000"/>
    <x v="162"/>
    <x v="1"/>
    <s v="no pagado"/>
    <s v="fuera de fecha"/>
    <x v="0"/>
  </r>
  <r>
    <n v="3000000042"/>
    <d v="2026-01-09T00:00:00"/>
    <n v="5000000"/>
    <s v="Laborda Carlos SAN MIGUEL DE TUCUMAN 14"/>
    <x v="994"/>
    <n v="5000000"/>
    <x v="164"/>
    <x v="1"/>
    <s v="pagado"/>
    <s v="pagado"/>
    <x v="0"/>
  </r>
  <r>
    <n v="3000000042"/>
    <d v="2026-01-09T00:00:00"/>
    <n v="4226252.9000000004"/>
    <s v="Laborda Carlos SAN MIGUEL DE TUCUMAN 14"/>
    <x v="995"/>
    <n v="4226252.9000000004"/>
    <x v="164"/>
    <x v="1"/>
    <s v="pagado"/>
    <s v="pagado"/>
    <x v="0"/>
  </r>
  <r>
    <n v="3000000047"/>
    <d v="2026-01-12T00:00:00"/>
    <n v="10000000"/>
    <s v="Suc. de Ventimiglia Nelly IrmJesus Maria 03"/>
    <x v="996"/>
    <n v="10000000"/>
    <x v="152"/>
    <x v="1"/>
    <s v="pagado"/>
    <s v="pagado"/>
    <x v="0"/>
  </r>
  <r>
    <n v="3000000047"/>
    <d v="2026-01-12T00:00:00"/>
    <n v="8794783.4000000004"/>
    <s v="Suc. de Ventimiglia Nelly IrmJesus Maria 03"/>
    <x v="997"/>
    <n v="8794783.4000000004"/>
    <x v="166"/>
    <x v="1"/>
    <s v="pagado"/>
    <s v="pagado"/>
    <x v="0"/>
  </r>
  <r>
    <n v="3000000048"/>
    <d v="2026-01-12T00:00:00"/>
    <n v="10000000"/>
    <s v="Pulverizaciones Tuninetti S.R.Las Rosas 01"/>
    <x v="998"/>
    <n v="10000000"/>
    <x v="152"/>
    <x v="1"/>
    <s v="pagado"/>
    <s v="pagado"/>
    <x v="0"/>
  </r>
  <r>
    <n v="3000000048"/>
    <d v="2026-01-12T00:00:00"/>
    <n v="7646047.4000000004"/>
    <s v="Pulverizaciones Tuninetti S.R.Las Rosas 01"/>
    <x v="999"/>
    <n v="7646047.4000000004"/>
    <x v="166"/>
    <x v="1"/>
    <s v="pagado"/>
    <s v="pagado"/>
    <x v="0"/>
  </r>
  <r>
    <n v="3000000052"/>
    <d v="2026-01-12T00:00:00"/>
    <n v="10000000"/>
    <s v="RODRIGUEZ NESTOR HORACIO YERBA BUENA 14"/>
    <x v="1000"/>
    <n v="10000000"/>
    <x v="152"/>
    <x v="1"/>
    <s v="pagado"/>
    <s v="pagado"/>
    <x v="0"/>
  </r>
  <r>
    <n v="3000000052"/>
    <d v="2026-01-12T00:00:00"/>
    <n v="10447097"/>
    <s v="RODRIGUEZ NESTOR HORACIO YERBA BUENA 14"/>
    <x v="1001"/>
    <n v="10447097"/>
    <x v="166"/>
    <x v="1"/>
    <s v="pagado"/>
    <s v="pagado"/>
    <x v="0"/>
  </r>
  <r>
    <n v="3000000054"/>
    <d v="2026-01-12T00:00:00"/>
    <n v="10000000"/>
    <s v="AYALA WALTER DANIEL ALDERETES 14"/>
    <x v="1002"/>
    <n v="10000000"/>
    <x v="152"/>
    <x v="1"/>
    <s v="pagado"/>
    <s v="pagado"/>
    <x v="0"/>
  </r>
  <r>
    <n v="3000000054"/>
    <d v="2026-01-12T00:00:00"/>
    <n v="13526153.74"/>
    <s v="AYALA WALTER DANIEL ALDERETES 14"/>
    <x v="1003"/>
    <n v="13526153.74"/>
    <x v="166"/>
    <x v="1"/>
    <s v="pagado"/>
    <s v="pagado"/>
    <x v="0"/>
  </r>
  <r>
    <n v="3000000055"/>
    <d v="2026-01-12T00:00:00"/>
    <n v="10000000"/>
    <s v="SUAREZ GABRIEL SEBASTIAN SANTIAGO DEL ESTERO 13"/>
    <x v="1004"/>
    <n v="10000000"/>
    <x v="152"/>
    <x v="1"/>
    <s v="pagado"/>
    <s v="pagado"/>
    <x v="0"/>
  </r>
  <r>
    <n v="3000000055"/>
    <d v="2026-01-12T00:00:00"/>
    <n v="8545078.4000000004"/>
    <s v="SUAREZ GABRIEL SEBASTIAN SANTIAGO DEL ESTERO 13"/>
    <x v="1005"/>
    <n v="8545078.4000000004"/>
    <x v="166"/>
    <x v="1"/>
    <s v="pagado"/>
    <s v="pagado"/>
    <x v="0"/>
  </r>
  <r>
    <n v="3000000057"/>
    <d v="2026-01-12T00:00:00"/>
    <n v="20000000"/>
    <s v="Medina Lauro Jose Las Cejas 14"/>
    <x v="1006"/>
    <n v="20000000"/>
    <x v="152"/>
    <x v="1"/>
    <s v="pagado"/>
    <s v="pagado"/>
    <x v="0"/>
  </r>
  <r>
    <n v="3000000057"/>
    <d v="2026-01-12T00:00:00"/>
    <n v="20797531.5"/>
    <s v="Medina Lauro Jose Las Cejas 14"/>
    <x v="1007"/>
    <n v="20797531.5"/>
    <x v="166"/>
    <x v="1"/>
    <s v="pagado"/>
    <s v="pagado"/>
    <x v="0"/>
  </r>
  <r>
    <n v="3000000044"/>
    <d v="2026-01-12T00:00:00"/>
    <n v="2217261.04"/>
    <s v="TRANSPORTE LAVENIA SAS LASTENIA 14"/>
    <x v="1008"/>
    <n v="2217261.04"/>
    <x v="152"/>
    <x v="1"/>
    <s v="pagado"/>
    <s v="pagado"/>
    <x v="0"/>
  </r>
  <r>
    <n v="3000000045"/>
    <d v="2026-01-12T00:00:00"/>
    <n v="2245699.48"/>
    <s v="PEREZ FABIAN ESTELIO ENTRE RIOS 05"/>
    <x v="1009"/>
    <n v="2245699.48"/>
    <x v="152"/>
    <x v="1"/>
    <s v="pagado"/>
    <s v="pagado"/>
    <x v="0"/>
  </r>
  <r>
    <n v="3000000046"/>
    <d v="2026-01-12T00:00:00"/>
    <n v="5783786.5999999996"/>
    <s v="TRANSPORTE GLOBAL SAS SAN MIGUEL DE TUCUMAN 14"/>
    <x v="1010"/>
    <n v="5783786.5999999996"/>
    <x v="152"/>
    <x v="1"/>
    <s v="pagado"/>
    <s v="pagado"/>
    <x v="0"/>
  </r>
  <r>
    <n v="3000000049"/>
    <d v="2026-01-12T00:00:00"/>
    <n v="4946688.4000000004"/>
    <s v="M.A.D Serv y mant eléctri SAN MIGUEL DE TUCUMAN 14"/>
    <x v="1011"/>
    <n v="4946688.4000000004"/>
    <x v="152"/>
    <x v="1"/>
    <s v="pagado"/>
    <s v="pagado"/>
    <x v="0"/>
  </r>
  <r>
    <n v="3000000050"/>
    <d v="2026-01-12T00:00:00"/>
    <n v="4435333.4000000004"/>
    <s v="Avila Carlos Alberto SAN MIGUEL DE TUCUMAN 14"/>
    <x v="1012"/>
    <n v="4435333.4000000004"/>
    <x v="152"/>
    <x v="1"/>
    <s v="pagado"/>
    <s v="pagado"/>
    <x v="0"/>
  </r>
  <r>
    <n v="3000000051"/>
    <d v="2026-01-12T00:00:00"/>
    <n v="6675943.4000000004"/>
    <s v="SERVICOM S.R.L SAN MIGUEL DE TUCUMAN 14"/>
    <x v="1013"/>
    <n v="6675943.4000000004"/>
    <x v="152"/>
    <x v="1"/>
    <s v="pagado"/>
    <s v="pagado"/>
    <x v="0"/>
  </r>
  <r>
    <n v="3000000053"/>
    <d v="2026-01-12T00:00:00"/>
    <n v="11405697.9"/>
    <s v="IBAÑEZ MAXIMILIANO DAVID JUAN BAUTISTA ALBERDI 14"/>
    <x v="1014"/>
    <n v="11405697.9"/>
    <x v="152"/>
    <x v="1"/>
    <s v="pagado"/>
    <s v="pagado"/>
    <x v="0"/>
  </r>
  <r>
    <n v="3000000056"/>
    <d v="2026-01-12T00:00:00"/>
    <n v="13279207.4"/>
    <s v="MARTO ALBERTO ANTONIO LA RAMADA DE ABAJO 14"/>
    <x v="1015"/>
    <n v="13279207.4"/>
    <x v="166"/>
    <x v="1"/>
    <s v="pagado"/>
    <s v="pagado"/>
    <x v="0"/>
  </r>
  <r>
    <n v="3000000071"/>
    <d v="2026-01-14T00:00:00"/>
    <n v="4124789.59"/>
    <s v="GOMEZ JESSICA NOELIA LAS TALITAS 14"/>
    <x v="1016"/>
    <n v="4124789.59"/>
    <x v="166"/>
    <x v="1"/>
    <s v="pagado"/>
    <s v="pagado"/>
    <x v="0"/>
  </r>
  <r>
    <n v="3000000072"/>
    <d v="2026-01-14T00:00:00"/>
    <n v="1582963.44"/>
    <s v="ALBORNOZ RODRIGO EZEQUIEL - PAMPA MAYO 14"/>
    <x v="1017"/>
    <n v="1582963.44"/>
    <x v="166"/>
    <x v="1"/>
    <s v="pagado"/>
    <s v="pagado"/>
    <x v="0"/>
  </r>
  <r>
    <n v="3000000077"/>
    <d v="2026-01-16T00:00:00"/>
    <n v="15379140"/>
    <s v="EDET S.A. SAN MIGUEL DE TUCUMAN 14"/>
    <x v="1018"/>
    <n v="15379140"/>
    <x v="135"/>
    <x v="1"/>
    <s v="pagado"/>
    <s v="pagado"/>
    <x v="0"/>
  </r>
  <r>
    <n v="3000000083"/>
    <d v="2026-01-20T00:00:00"/>
    <n v="20000000"/>
    <s v="DON KOKO S.R.L CAMILO ALDAO 03"/>
    <x v="1019"/>
    <n v="20000000"/>
    <x v="151"/>
    <x v="1"/>
    <s v="pagado"/>
    <s v="pagado"/>
    <x v="0"/>
  </r>
  <r>
    <n v="3000000083"/>
    <d v="2026-01-20T00:00:00"/>
    <n v="16591976"/>
    <s v="DON KOKO S.R.L CAMILO ALDAO 03"/>
    <x v="1020"/>
    <n v="16591976"/>
    <x v="167"/>
    <x v="1"/>
    <s v="pagado"/>
    <s v="pagado"/>
    <x v="0"/>
  </r>
  <r>
    <n v="3000000084"/>
    <d v="2026-01-20T00:00:00"/>
    <n v="22000000"/>
    <s v="SUAREZ GABRIEL SEBASTIAN SANTIAGO DEL ESTERO 13"/>
    <x v="1021"/>
    <n v="22000000"/>
    <x v="151"/>
    <x v="1"/>
    <s v="pagado"/>
    <s v="pagado"/>
    <x v="0"/>
  </r>
  <r>
    <n v="3000000084"/>
    <d v="2026-01-20T00:00:00"/>
    <n v="22546191"/>
    <s v="SUAREZ GABRIEL SEBASTIAN SANTIAGO DEL ESTERO 13"/>
    <x v="1022"/>
    <n v="22546191"/>
    <x v="167"/>
    <x v="1"/>
    <s v="pagado"/>
    <s v="pagado"/>
    <x v="0"/>
  </r>
  <r>
    <n v="3000000085"/>
    <d v="2026-01-20T00:00:00"/>
    <n v="20000000"/>
    <s v="LASTRINA CARMELO ALTO VERDE 14"/>
    <x v="1023"/>
    <n v="20000000"/>
    <x v="151"/>
    <x v="1"/>
    <s v="pagado"/>
    <s v="pagado"/>
    <x v="0"/>
  </r>
  <r>
    <n v="3000000085"/>
    <d v="2026-01-20T00:00:00"/>
    <n v="17008449.239999998"/>
    <s v="LASTRINA CARMELO ALTO VERDE 14"/>
    <x v="1024"/>
    <n v="17008449.239999998"/>
    <x v="167"/>
    <x v="1"/>
    <s v="pagado"/>
    <s v="pagado"/>
    <x v="0"/>
  </r>
  <r>
    <n v="3000000086"/>
    <d v="2026-01-20T00:00:00"/>
    <n v="10000000"/>
    <s v="GOMEZ MANUEL ARCENIO METAN 09"/>
    <x v="1025"/>
    <n v="10000000"/>
    <x v="151"/>
    <x v="1"/>
    <s v="pagado"/>
    <s v="pagado"/>
    <x v="0"/>
  </r>
  <r>
    <n v="3000000086"/>
    <d v="2026-01-20T00:00:00"/>
    <n v="11302343.4"/>
    <s v="GOMEZ MANUEL ARCENIO METAN 09"/>
    <x v="1026"/>
    <n v="11302343.4"/>
    <x v="167"/>
    <x v="1"/>
    <s v="pagado"/>
    <s v="pagado"/>
    <x v="0"/>
  </r>
  <r>
    <n v="3000000087"/>
    <d v="2026-01-20T00:00:00"/>
    <n v="15000000"/>
    <s v="Pulmajo S.R.L. CONCEPCION 14"/>
    <x v="1027"/>
    <n v="15000000"/>
    <x v="151"/>
    <x v="1"/>
    <s v="pagado"/>
    <s v="pagado"/>
    <x v="0"/>
  </r>
  <r>
    <n v="3000000087"/>
    <d v="2026-01-20T00:00:00"/>
    <n v="15000000"/>
    <s v="Pulmajo S.R.L. CONCEPCION 14"/>
    <x v="1028"/>
    <n v="15000000"/>
    <x v="167"/>
    <x v="1"/>
    <s v="pagado"/>
    <s v="pagado"/>
    <x v="0"/>
  </r>
  <r>
    <n v="3000000087"/>
    <d v="2026-01-20T00:00:00"/>
    <n v="15398065.869999999"/>
    <s v="Pulmajo S.R.L. CONCEPCION 14"/>
    <x v="1029"/>
    <n v="15398065.869999999"/>
    <x v="168"/>
    <x v="1"/>
    <s v="pagado"/>
    <s v="pagado"/>
    <x v="0"/>
  </r>
  <r>
    <n v="1200002351"/>
    <d v="2026-01-23T00:00:00"/>
    <n v="4432607.3"/>
    <s v="Cheque de terceros TUCUMAN"/>
    <x v="1030"/>
    <n v="4432607.3"/>
    <x v="151"/>
    <x v="1"/>
    <s v="pagado"/>
    <s v="pagado"/>
    <x v="0"/>
  </r>
  <r>
    <n v="3000000112"/>
    <d v="2026-01-27T00:00:00"/>
    <n v="20000000"/>
    <s v="MARIA FERNANDA SRL"/>
    <x v="1031"/>
    <n v="20000000"/>
    <x v="130"/>
    <x v="1"/>
    <s v="pagado"/>
    <s v="pagado"/>
    <x v="0"/>
  </r>
  <r>
    <n v="3000000112"/>
    <d v="2026-01-27T00:00:00"/>
    <n v="18478720.75"/>
    <s v="MARIA FERNANDA SRL"/>
    <x v="1032"/>
    <n v="18478720.75"/>
    <x v="163"/>
    <x v="1"/>
    <s v="pagado"/>
    <s v="pagado"/>
    <x v="0"/>
  </r>
  <r>
    <n v="3000000119"/>
    <d v="2026-01-27T00:00:00"/>
    <n v="10000000"/>
    <s v="AGROTRANSPORTE ALDAO S.A."/>
    <x v="1033"/>
    <n v="10000000"/>
    <x v="130"/>
    <x v="1"/>
    <s v="pagado"/>
    <s v="pagado"/>
    <x v="0"/>
  </r>
  <r>
    <n v="3000000119"/>
    <d v="2026-01-27T00:00:00"/>
    <n v="6817914.9800000004"/>
    <s v="AGROTRANSPORTE ALDAO S.A."/>
    <x v="1034"/>
    <n v="6817914.9800000004"/>
    <x v="163"/>
    <x v="1"/>
    <s v="pagado"/>
    <s v="pagado"/>
    <x v="0"/>
  </r>
  <r>
    <n v="3000000124"/>
    <d v="2026-01-27T00:00:00"/>
    <n v="15000000"/>
    <s v="TRANSPORTE BARBERAN HNOS SRL"/>
    <x v="1035"/>
    <n v="15000000"/>
    <x v="130"/>
    <x v="1"/>
    <s v="pagado"/>
    <s v="pagado"/>
    <x v="0"/>
  </r>
  <r>
    <n v="3000000124"/>
    <d v="2026-01-27T00:00:00"/>
    <n v="13473668.17"/>
    <s v="TRANSPORTE BARBERAN HNOS SRL"/>
    <x v="1036"/>
    <n v="13473668.17"/>
    <x v="163"/>
    <x v="1"/>
    <s v="pagado"/>
    <s v="pagado"/>
    <x v="0"/>
  </r>
  <r>
    <n v="3000000110"/>
    <d v="2026-01-27T00:00:00"/>
    <n v="15211936.24"/>
    <s v="Suc. de Ventimiglia Nelly  Irma"/>
    <x v="1037"/>
    <n v="15211936.24"/>
    <x v="130"/>
    <x v="1"/>
    <s v="pagado"/>
    <s v="pagado"/>
    <x v="0"/>
  </r>
  <r>
    <n v="3000000111"/>
    <d v="2026-01-27T00:00:00"/>
    <n v="2751100"/>
    <s v="FUNDACION ARGENINTA"/>
    <x v="1038"/>
    <n v="2751100"/>
    <x v="130"/>
    <x v="1"/>
    <s v="pagado"/>
    <s v="pagado"/>
    <x v="0"/>
  </r>
  <r>
    <n v="3000000113"/>
    <d v="2026-01-27T00:00:00"/>
    <n v="9442273.5399999991"/>
    <s v="AYALA WALTER DANIEL"/>
    <x v="1039"/>
    <n v="9442273.5399999991"/>
    <x v="130"/>
    <x v="1"/>
    <s v="pagado"/>
    <s v="pagado"/>
    <x v="0"/>
  </r>
  <r>
    <n v="3000000114"/>
    <d v="2026-01-27T00:00:00"/>
    <n v="4040144.98"/>
    <s v="KAPP ALEJANDRA MATILDE"/>
    <x v="1040"/>
    <n v="4040144.98"/>
    <x v="130"/>
    <x v="1"/>
    <s v="pagado"/>
    <s v="pagado"/>
    <x v="0"/>
  </r>
  <r>
    <n v="3000000115"/>
    <d v="2026-01-27T00:00:00"/>
    <n v="2392650.34"/>
    <s v="BOHL RENE"/>
    <x v="1041"/>
    <n v="2392650.34"/>
    <x v="130"/>
    <x v="1"/>
    <s v="pagado"/>
    <s v="pagado"/>
    <x v="0"/>
  </r>
  <r>
    <n v="3000000116"/>
    <d v="2026-01-27T00:00:00"/>
    <n v="3559796.7"/>
    <s v="BERNADAL SERGIO RODOLFO"/>
    <x v="1042"/>
    <n v="3559796.7"/>
    <x v="130"/>
    <x v="1"/>
    <s v="pagado"/>
    <s v="pagado"/>
    <x v="0"/>
  </r>
  <r>
    <n v="3000000117"/>
    <d v="2026-01-27T00:00:00"/>
    <n v="2321666.25"/>
    <s v="VENUTTI CESAR AGUSTIN ."/>
    <x v="1043"/>
    <n v="2321666.25"/>
    <x v="130"/>
    <x v="1"/>
    <s v="pagado"/>
    <s v="pagado"/>
    <x v="0"/>
  </r>
  <r>
    <n v="3000000118"/>
    <d v="2026-01-27T00:00:00"/>
    <n v="4942810.8600000003"/>
    <s v="JAVIER EDUARDO PRADO"/>
    <x v="1044"/>
    <n v="4942810.8600000003"/>
    <x v="130"/>
    <x v="1"/>
    <s v="pagado"/>
    <s v="pagado"/>
    <x v="0"/>
  </r>
  <r>
    <n v="3000000120"/>
    <d v="2026-01-27T00:00:00"/>
    <n v="7890673.6200000001"/>
    <s v="ANTONACCI LUIS GABRIEL"/>
    <x v="1045"/>
    <n v="7890673.6200000001"/>
    <x v="130"/>
    <x v="1"/>
    <s v="pagado"/>
    <s v="pagado"/>
    <x v="0"/>
  </r>
  <r>
    <n v="3000000121"/>
    <d v="2026-01-27T00:00:00"/>
    <n v="1964304.33"/>
    <s v="TRANS TRUCKS SRL"/>
    <x v="1046"/>
    <n v="1964304.33"/>
    <x v="130"/>
    <x v="1"/>
    <s v="pagado"/>
    <s v="pagado"/>
    <x v="0"/>
  </r>
  <r>
    <n v="3000000122"/>
    <d v="2026-01-27T00:00:00"/>
    <n v="1916336.22"/>
    <s v="WILLIAMS LOGISTICA SA"/>
    <x v="1047"/>
    <n v="1916336.22"/>
    <x v="130"/>
    <x v="1"/>
    <s v="pagado"/>
    <s v="pagado"/>
    <x v="0"/>
  </r>
  <r>
    <n v="3000000123"/>
    <d v="2026-01-27T00:00:00"/>
    <n v="5750565.1600000001"/>
    <s v="TRANSPORTE RAUL S.R.L"/>
    <x v="1048"/>
    <n v="5750565.1600000001"/>
    <x v="130"/>
    <x v="1"/>
    <s v="pagado"/>
    <s v="pagado"/>
    <x v="0"/>
  </r>
  <r>
    <n v="3000000125"/>
    <d v="2026-01-27T00:00:00"/>
    <n v="2374800.98"/>
    <s v="FLETES Y SERVICIOS PUJATO S.A"/>
    <x v="1049"/>
    <n v="2374800.98"/>
    <x v="130"/>
    <x v="1"/>
    <s v="pagado"/>
    <s v="pagado"/>
    <x v="0"/>
  </r>
  <r>
    <n v="3000000126"/>
    <d v="2026-01-27T00:00:00"/>
    <n v="4348143.24"/>
    <s v="ECONOMIC FUEL SRL"/>
    <x v="1050"/>
    <n v="4348143.24"/>
    <x v="130"/>
    <x v="1"/>
    <s v="pagado"/>
    <s v="pagado"/>
    <x v="0"/>
  </r>
  <r>
    <n v="3000000127"/>
    <d v="2026-01-27T00:00:00"/>
    <n v="2478343.7799999998"/>
    <s v="ALADIO SERGIO ANTONIO"/>
    <x v="1051"/>
    <n v="2478343.7799999998"/>
    <x v="130"/>
    <x v="1"/>
    <s v="pagado"/>
    <s v="pagado"/>
    <x v="0"/>
  </r>
  <r>
    <n v="3000000147"/>
    <d v="2026-02-03T00:00:00"/>
    <n v="11000000"/>
    <s v="Laborda Carlos SAN MIGUEL DE TUCUMAN 14"/>
    <x v="1052"/>
    <n v="11000000"/>
    <x v="169"/>
    <x v="1"/>
    <s v="pagado"/>
    <s v="pagado"/>
    <x v="0"/>
  </r>
  <r>
    <n v="3000000147"/>
    <d v="2026-02-03T00:00:00"/>
    <n v="11000000"/>
    <s v="Laborda Carlos SAN MIGUEL DE TUCUMAN 14"/>
    <x v="1053"/>
    <n v="11000000"/>
    <x v="169"/>
    <x v="1"/>
    <s v="pagado"/>
    <s v="pagado"/>
    <x v="0"/>
  </r>
  <r>
    <n v="3000000147"/>
    <d v="2026-02-03T00:00:00"/>
    <n v="11000000"/>
    <s v="Laborda Carlos SAN MIGUEL DE TUCUMAN 14"/>
    <x v="1054"/>
    <n v="11000000"/>
    <x v="170"/>
    <x v="1"/>
    <s v="pagado"/>
    <s v="pagado"/>
    <x v="0"/>
  </r>
  <r>
    <n v="3000000147"/>
    <d v="2026-02-03T00:00:00"/>
    <n v="11073173.4"/>
    <s v="Laborda Carlos SAN MIGUEL DE TUCUMAN 14"/>
    <x v="1055"/>
    <n v="11073173.4"/>
    <x v="170"/>
    <x v="1"/>
    <s v="pagado"/>
    <s v="pagado"/>
    <x v="0"/>
  </r>
  <r>
    <n v="3000000154"/>
    <d v="2026-02-03T00:00:00"/>
    <n v="10000000"/>
    <s v="Pulmajo S.R.L. CONCEPCION 14"/>
    <x v="1056"/>
    <n v="10000000"/>
    <x v="169"/>
    <x v="1"/>
    <s v="pagado"/>
    <s v="pagado"/>
    <x v="0"/>
  </r>
  <r>
    <n v="3000000154"/>
    <d v="2026-02-03T00:00:00"/>
    <n v="10000000"/>
    <s v="Pulmajo S.R.L. CONCEPCION 14"/>
    <x v="1057"/>
    <n v="10000000"/>
    <x v="169"/>
    <x v="1"/>
    <s v="pagado"/>
    <s v="pagado"/>
    <x v="0"/>
  </r>
  <r>
    <n v="3000000154"/>
    <d v="2026-02-03T00:00:00"/>
    <n v="10000000"/>
    <s v="Pulmajo S.R.L. CONCEPCION 14"/>
    <x v="1058"/>
    <n v="10000000"/>
    <x v="169"/>
    <x v="1"/>
    <s v="pagado"/>
    <s v="pagado"/>
    <x v="0"/>
  </r>
  <r>
    <n v="3000000154"/>
    <d v="2026-02-03T00:00:00"/>
    <n v="5000000"/>
    <s v="Pulmajo S.R.L. CONCEPCION 14"/>
    <x v="1059"/>
    <n v="5000000"/>
    <x v="170"/>
    <x v="1"/>
    <s v="pagado"/>
    <s v="pagado"/>
    <x v="0"/>
  </r>
  <r>
    <n v="3000000154"/>
    <d v="2026-02-03T00:00:00"/>
    <n v="5000000"/>
    <s v="Pulmajo S.R.L. CONCEPCION 14"/>
    <x v="1060"/>
    <n v="5000000"/>
    <x v="170"/>
    <x v="1"/>
    <s v="pagado"/>
    <s v="pagado"/>
    <x v="0"/>
  </r>
  <r>
    <n v="3000000154"/>
    <d v="2026-02-03T00:00:00"/>
    <n v="3000000"/>
    <s v="Pulmajo S.R.L. CONCEPCION 14"/>
    <x v="1061"/>
    <n v="3000000"/>
    <x v="170"/>
    <x v="1"/>
    <s v="pagado"/>
    <s v="pagado"/>
    <x v="0"/>
  </r>
  <r>
    <n v="3000000154"/>
    <d v="2026-02-03T00:00:00"/>
    <n v="3000000"/>
    <s v="Pulmajo S.R.L. CONCEPCION 14"/>
    <x v="1062"/>
    <n v="3000000"/>
    <x v="170"/>
    <x v="1"/>
    <s v="pagado"/>
    <s v="pagado"/>
    <x v="0"/>
  </r>
  <r>
    <n v="3000000154"/>
    <d v="2026-02-03T00:00:00"/>
    <n v="3459730.4"/>
    <s v="Pulmajo S.R.L. CONCEPCION 14"/>
    <x v="1063"/>
    <n v="3459730.4"/>
    <x v="170"/>
    <x v="1"/>
    <s v="pagado"/>
    <s v="pagado"/>
    <x v="0"/>
  </r>
  <r>
    <n v="3000000146"/>
    <d v="2026-02-03T00:00:00"/>
    <n v="10642233.449999999"/>
    <s v="Moraiz Pisarenko, Pedro I. SAN MIGUEL DE TUCUMAN 14"/>
    <x v="1064"/>
    <n v="10642233.449999999"/>
    <x v="169"/>
    <x v="1"/>
    <s v="pagado"/>
    <s v="pagado"/>
    <x v="0"/>
  </r>
  <r>
    <n v="3000000148"/>
    <d v="2026-02-03T00:00:00"/>
    <n v="13586447.9"/>
    <s v="Medina Lauro Jose Las Cejas 14"/>
    <x v="1065"/>
    <n v="13586447.9"/>
    <x v="170"/>
    <x v="1"/>
    <s v="pagado"/>
    <s v="pagado"/>
    <x v="0"/>
  </r>
  <r>
    <n v="3000000149"/>
    <d v="2026-02-03T00:00:00"/>
    <n v="28110285.800000001"/>
    <s v="LIZONDO OSCAR FABIAN METAN 09"/>
    <x v="1066"/>
    <n v="28110285.800000001"/>
    <x v="171"/>
    <x v="1"/>
    <s v="pagado"/>
    <s v="pagado"/>
    <x v="0"/>
  </r>
  <r>
    <n v="3000000150"/>
    <d v="2026-02-03T00:00:00"/>
    <n v="26281870.199999999"/>
    <s v="DON KOKO S.R.L CAMILO ALDAO 03"/>
    <x v="1067"/>
    <n v="26281870.199999999"/>
    <x v="171"/>
    <x v="1"/>
    <s v="pagado"/>
    <s v="pagado"/>
    <x v="0"/>
  </r>
  <r>
    <n v="3000000151"/>
    <d v="2026-02-03T00:00:00"/>
    <n v="14889062.4"/>
    <s v="Pulverizaciones Tuninetti S.R.Las Rosas 01"/>
    <x v="1068"/>
    <n v="14889062.4"/>
    <x v="170"/>
    <x v="1"/>
    <s v="pagado"/>
    <s v="pagado"/>
    <x v="0"/>
  </r>
  <r>
    <n v="3000000152"/>
    <d v="2026-02-03T00:00:00"/>
    <n v="14791343.4"/>
    <s v="SALTOS JOSUE GONZALO NUEVA ESPERANZA 13"/>
    <x v="1069"/>
    <n v="14791343.4"/>
    <x v="170"/>
    <x v="1"/>
    <s v="pagado"/>
    <s v="pagado"/>
    <x v="0"/>
  </r>
  <r>
    <n v="3000000153"/>
    <d v="2026-02-03T00:00:00"/>
    <n v="7085959.4000000004"/>
    <s v="ROMAN BARCELO Y JORGE CARRERASLAS LAJITAS 09"/>
    <x v="1070"/>
    <n v="7085959.4000000004"/>
    <x v="170"/>
    <x v="1"/>
    <s v="pagado"/>
    <s v="pagado"/>
    <x v="0"/>
  </r>
  <r>
    <n v="3000000155"/>
    <d v="2026-02-03T00:00:00"/>
    <n v="9609301.8200000003"/>
    <s v="ACOSTA EMILIA ROMINA JOAQUIN V GONZALEZ 09"/>
    <x v="1071"/>
    <n v="9609301.8200000003"/>
    <x v="169"/>
    <x v="1"/>
    <s v="pagado"/>
    <s v="pagado"/>
    <x v="0"/>
  </r>
  <r>
    <n v="3000000156"/>
    <d v="2026-02-03T00:00:00"/>
    <n v="12506622.779999999"/>
    <s v="SERVICOM S.R.L SAN MIGUEL DE TUCUMAN 14"/>
    <x v="1072"/>
    <n v="12506622.779999999"/>
    <x v="171"/>
    <x v="1"/>
    <s v="pagado"/>
    <s v="pagado"/>
    <x v="0"/>
  </r>
  <r>
    <n v="3000000157"/>
    <d v="2026-02-03T00:00:00"/>
    <n v="1923658.72"/>
    <s v="MAGLI FLORENCIA CAROLINA LAS TALITAS 14"/>
    <x v="1073"/>
    <n v="1923658.72"/>
    <x v="169"/>
    <x v="1"/>
    <s v="pagado"/>
    <s v="pagado"/>
    <x v="0"/>
  </r>
  <r>
    <n v="3000000158"/>
    <d v="2026-02-03T00:00:00"/>
    <n v="1931528.73"/>
    <s v="ENTREGAS SERDEN S.R.L SAN LORENZO 12"/>
    <x v="1074"/>
    <n v="1931528.73"/>
    <x v="169"/>
    <x v="1"/>
    <s v="pagado"/>
    <s v="pagado"/>
    <x v="0"/>
  </r>
  <r>
    <n v="3000000159"/>
    <d v="2026-02-03T00:00:00"/>
    <n v="8367460.4699999997"/>
    <s v="FLETES Y SERVICIOS PUJATO S.A PUJATO 12"/>
    <x v="1075"/>
    <n v="8367460.4699999997"/>
    <x v="170"/>
    <x v="1"/>
    <s v="pagado"/>
    <s v="pagado"/>
    <x v="0"/>
  </r>
  <r>
    <n v="3000000184"/>
    <d v="2026-02-10T00:00:00"/>
    <n v="9407167"/>
    <s v="Pulverizaciones Tuninetti S.R.Las Rosas 01"/>
    <x v="1076"/>
    <n v="9407167"/>
    <x v="172"/>
    <x v="1"/>
    <s v="pagado"/>
    <s v="pagado"/>
    <x v="0"/>
  </r>
  <r>
    <n v="3000000185"/>
    <d v="2026-02-10T00:00:00"/>
    <n v="3603557.4"/>
    <s v="IBAÑEZ MAXIMILIANO DAVID JUAN BAUTISTA ALBERDI 14"/>
    <x v="1077"/>
    <n v="3603557.4"/>
    <x v="173"/>
    <x v="1"/>
    <s v="pagado"/>
    <s v="pagado"/>
    <x v="0"/>
  </r>
  <r>
    <n v="3000000186"/>
    <d v="2026-02-10T00:00:00"/>
    <n v="5863484.4000000004"/>
    <s v="MARTO ALBERTO ANTONIO LA RAMADA DE ABAJO 14"/>
    <x v="1078"/>
    <n v="5863484.4000000004"/>
    <x v="173"/>
    <x v="1"/>
    <s v="pagado"/>
    <s v="pagado"/>
    <x v="0"/>
  </r>
  <r>
    <n v="3000000187"/>
    <d v="2026-02-10T00:00:00"/>
    <n v="15931309.16"/>
    <s v="SUAREZ GABRIEL SEBASTIAN SANTIAGO DEL ESTERO 13"/>
    <x v="1079"/>
    <n v="15931309.16"/>
    <x v="172"/>
    <x v="1"/>
    <s v="pagado"/>
    <s v="pagado"/>
    <x v="0"/>
  </r>
  <r>
    <n v="3000000188"/>
    <d v="2026-02-10T00:00:00"/>
    <n v="3287874.21"/>
    <s v="MOYANO SERGIO ESTEBAN BANDA DEL RIO SALI 14"/>
    <x v="1080"/>
    <n v="3287874.21"/>
    <x v="173"/>
    <x v="1"/>
    <s v="pagado"/>
    <s v="pagado"/>
    <x v="0"/>
  </r>
  <r>
    <n v="3000000176"/>
    <d v="2026-02-10T00:00:00"/>
    <n v="47910699"/>
    <s v="AYALA HERNAN OSVALDO SAN MIGUEL DE TUCUMAN 14"/>
    <x v="1081"/>
    <n v="47910699"/>
    <x v="172"/>
    <x v="1"/>
    <s v="pagado"/>
    <s v="pagado"/>
    <x v="0"/>
  </r>
  <r>
    <n v="3000000176"/>
    <d v="2026-02-10T00:00:00"/>
    <n v="509669.81"/>
    <s v="AYALA HERNAN OSVALDO SAN MIGUEL DE TUCUMAN 14"/>
    <x v="1082"/>
    <n v="509669.81"/>
    <x v="173"/>
    <x v="1"/>
    <s v="pagado"/>
    <s v="pagado"/>
    <x v="0"/>
  </r>
  <r>
    <n v="3000000177"/>
    <d v="2026-02-10T00:00:00"/>
    <n v="672767.27"/>
    <s v="GRUPO MARGEN DEL NOA SA YERBA BUENA 14"/>
    <x v="1083"/>
    <n v="672767.27"/>
    <x v="173"/>
    <x v="1"/>
    <s v="pagado"/>
    <s v="pagado"/>
    <x v="0"/>
  </r>
  <r>
    <n v="3000000178"/>
    <d v="2026-02-10T00:00:00"/>
    <n v="2551354.7999999998"/>
    <s v="DON KOKO S.R.L CAMILO ALDAO 03"/>
    <x v="1084"/>
    <n v="2551354.7999999998"/>
    <x v="173"/>
    <x v="1"/>
    <s v="pagado"/>
    <s v="pagado"/>
    <x v="0"/>
  </r>
  <r>
    <n v="3000000179"/>
    <d v="2026-02-10T00:00:00"/>
    <n v="1268765.8899999999"/>
    <s v="AYALA WALTER DANIEL ALDERETES 14"/>
    <x v="1085"/>
    <n v="1268765.8899999999"/>
    <x v="173"/>
    <x v="1"/>
    <s v="pagado"/>
    <s v="pagado"/>
    <x v="0"/>
  </r>
  <r>
    <n v="3000000189"/>
    <d v="2026-02-10T00:00:00"/>
    <n v="2150233.5499999998"/>
    <s v="MARIA FERNANDA SRL LA TRINIDAD 14"/>
    <x v="1086"/>
    <n v="2150233.5499999998"/>
    <x v="173"/>
    <x v="1"/>
    <s v="pagado"/>
    <s v="pagado"/>
    <x v="0"/>
  </r>
  <r>
    <n v="3000000190"/>
    <d v="2026-02-10T00:00:00"/>
    <n v="2531323.7400000002"/>
    <s v="TRANSPORTE BARBERAN HNOS SRL CHABAS 12"/>
    <x v="1087"/>
    <n v="2531323.7400000002"/>
    <x v="173"/>
    <x v="1"/>
    <s v="pagado"/>
    <s v="pagado"/>
    <x v="0"/>
  </r>
  <r>
    <n v="3000000191"/>
    <d v="2026-02-10T00:00:00"/>
    <n v="13554778.1"/>
    <s v="PETROANDINA S.R.L SALTA 09"/>
    <x v="1088"/>
    <n v="13554778.1"/>
    <x v="172"/>
    <x v="1"/>
    <s v="pagado"/>
    <s v="pagado"/>
    <x v="0"/>
  </r>
  <r>
    <n v="3000000181"/>
    <d v="2026-02-10T00:00:00"/>
    <n v="19373762.399999999"/>
    <s v="RODRIGUEZ NESTOR HORACIO YERBA BUENA 14"/>
    <x v="1089"/>
    <n v="19373762.399999999"/>
    <x v="172"/>
    <x v="1"/>
    <s v="pagado"/>
    <s v="pagado"/>
    <x v="0"/>
  </r>
  <r>
    <n v="3000000182"/>
    <d v="2026-02-10T00:00:00"/>
    <n v="7730178.5"/>
    <s v="Medina Lauro Jose Las Cejas 14"/>
    <x v="1090"/>
    <n v="7730178.5"/>
    <x v="172"/>
    <x v="1"/>
    <s v="pagado"/>
    <s v="pagado"/>
    <x v="0"/>
  </r>
  <r>
    <n v="3000000183"/>
    <d v="2026-02-10T00:00:00"/>
    <n v="12521883.4"/>
    <s v="Suc. de Ventimiglia Nelly IrmJesus Maria 03"/>
    <x v="1091"/>
    <n v="12521883.4"/>
    <x v="172"/>
    <x v="1"/>
    <s v="pagado"/>
    <s v="pagado"/>
    <x v="0"/>
  </r>
  <r>
    <n v="3000000213"/>
    <d v="2026-02-12T00:00:00"/>
    <n v="8357788.8700000001"/>
    <s v="MOYANO JULIO CESAR BANDA DEL RIO SALI 14"/>
    <x v="1092"/>
    <n v="8357788.8700000001"/>
    <x v="146"/>
    <x v="1"/>
    <s v="pagado"/>
    <s v="pagado"/>
    <x v="0"/>
  </r>
  <r>
    <n v="3000000214"/>
    <d v="2026-02-12T00:00:00"/>
    <n v="2510717.92"/>
    <s v="TRANSPORTE GLOBAL SAS SAN MIGUEL DE TUCUMAN 14"/>
    <x v="1093"/>
    <n v="2510717.92"/>
    <x v="172"/>
    <x v="1"/>
    <s v="pagado"/>
    <s v="pagado"/>
    <x v="0"/>
  </r>
  <r>
    <n v="3000000215"/>
    <d v="2026-02-12T00:00:00"/>
    <n v="7531817.9199999999"/>
    <s v="GOMEZ JOSE PATRICIO SAN MIGUEL DE TUCUMAN 14"/>
    <x v="1094"/>
    <n v="7531817.9199999999"/>
    <x v="146"/>
    <x v="1"/>
    <s v="pagado"/>
    <s v="pagado"/>
    <x v="0"/>
  </r>
  <r>
    <n v="3000000216"/>
    <d v="2026-02-12T00:00:00"/>
    <n v="11285687.92"/>
    <s v="JAVIER EDUARDO PRADO FLORIDA 13"/>
    <x v="1095"/>
    <n v="11285687.92"/>
    <x v="146"/>
    <x v="1"/>
    <s v="pagado"/>
    <s v="pagado"/>
    <x v="0"/>
  </r>
  <r>
    <n v="3000000218"/>
    <d v="2026-02-12T00:00:00"/>
    <n v="2333903.17"/>
    <s v="TOURNOUR ADRIAN LEONEL VILLA ELISA 05"/>
    <x v="1096"/>
    <n v="2333903.17"/>
    <x v="172"/>
    <x v="1"/>
    <s v="pagado"/>
    <s v="pagado"/>
    <x v="0"/>
  </r>
  <r>
    <n v="3000000221"/>
    <d v="2026-02-18T00:00:00"/>
    <n v="15958400"/>
    <s v="EDET S.A. SAN MIGUEL DE TUCUMAN 14"/>
    <x v="1097"/>
    <n v="15958400"/>
    <x v="173"/>
    <x v="1"/>
    <s v="pagado"/>
    <s v="pagado"/>
    <x v="0"/>
  </r>
  <r>
    <n v="3000000227"/>
    <d v="2026-02-18T00:00:00"/>
    <n v="5453317.1100000003"/>
    <s v="ILUZZI MIGUEL ANGEL CIUDAD AUTONOMA BUENOS AIRES 00"/>
    <x v="1098"/>
    <n v="5453317.1100000003"/>
    <x v="174"/>
    <x v="1"/>
    <s v="pagado"/>
    <s v="pagado"/>
    <x v="0"/>
  </r>
  <r>
    <n v="3000000228"/>
    <d v="2026-02-18T00:00:00"/>
    <n v="4907492.3"/>
    <s v="NAVYTRANS SA CAPITAL FEDERAL 00"/>
    <x v="1099"/>
    <n v="4907492.3"/>
    <x v="174"/>
    <x v="1"/>
    <s v="pagado"/>
    <s v="pagado"/>
    <x v="0"/>
  </r>
  <r>
    <n v="3000000229"/>
    <d v="2026-02-18T00:00:00"/>
    <n v="12558679.5"/>
    <s v="Suarez Elio Hernan Los altos 02"/>
    <x v="1100"/>
    <n v="12558679.5"/>
    <x v="174"/>
    <x v="1"/>
    <s v="pagado"/>
    <s v="pagado"/>
    <x v="0"/>
  </r>
  <r>
    <n v="3000000230"/>
    <d v="2026-02-18T00:00:00"/>
    <n v="6090000"/>
    <s v="SALTOS JOSUE GONZALO NUEVA ESPERANZA 13"/>
    <x v="1101"/>
    <n v="6090000"/>
    <x v="146"/>
    <x v="1"/>
    <s v="pagado"/>
    <s v="pagado"/>
    <x v="0"/>
  </r>
  <r>
    <n v="3000000231"/>
    <d v="2026-02-18T00:00:00"/>
    <n v="12614034.4"/>
    <s v="AGUERA CRISTIAN MARTIN CONCEPCION 14"/>
    <x v="1102"/>
    <n v="12614034.4"/>
    <x v="146"/>
    <x v="1"/>
    <s v="pagado"/>
    <s v="pagado"/>
    <x v="0"/>
  </r>
  <r>
    <n v="3000000232"/>
    <d v="2026-02-18T00:00:00"/>
    <n v="7230543.4000000004"/>
    <s v="LASTRINA CARMELO ALTO VERDE 14"/>
    <x v="1103"/>
    <n v="7230543.4000000004"/>
    <x v="174"/>
    <x v="1"/>
    <s v="pagado"/>
    <s v="pagado"/>
    <x v="0"/>
  </r>
  <r>
    <n v="3000001695"/>
    <d v="2026-02-18T00:00:00"/>
    <n v="5542675.0199999996"/>
    <s v="Medina Lauro Jose Las Cejas 14"/>
    <x v="1104"/>
    <n v="5542675.0199999996"/>
    <x v="146"/>
    <x v="1"/>
    <s v="pagado"/>
    <s v="pagado"/>
    <x v="0"/>
  </r>
  <r>
    <n v="3000000254"/>
    <d v="2026-02-23T00:00:00"/>
    <n v="9559194.0500000007"/>
    <s v="GOMEZ JESSICA NOELIA LAS TALITAS 14"/>
    <x v="1105"/>
    <n v="9559194.0500000007"/>
    <x v="175"/>
    <x v="1"/>
    <s v="pagado"/>
    <s v="pagado"/>
    <x v="0"/>
  </r>
  <r>
    <n v="3000000255"/>
    <d v="2026-02-23T00:00:00"/>
    <n v="6185979.0300000003"/>
    <s v="MOLINA JUAN F. Y MOLINA ROQUE Lastenia 14"/>
    <x v="1106"/>
    <n v="6185979.0300000003"/>
    <x v="175"/>
    <x v="1"/>
    <s v="pagado"/>
    <s v="pagado"/>
    <x v="0"/>
  </r>
  <r>
    <n v="3000000255"/>
    <d v="2026-02-23T00:00:00"/>
    <n v="7897178.8899999997"/>
    <s v="MOLINA JUAN F. Y MOLINA ROQUE Lastenia 14"/>
    <x v="1107"/>
    <n v="7897178.8899999997"/>
    <x v="176"/>
    <x v="1"/>
    <s v="pagado"/>
    <s v="pagado"/>
    <x v="0"/>
  </r>
  <r>
    <n v="3000000256"/>
    <d v="2026-02-23T00:00:00"/>
    <n v="24339630.539999999"/>
    <s v="PAIS WALTER LUIS SAN MIGUEL DE TUCUMAN 14"/>
    <x v="1108"/>
    <n v="24339630.539999999"/>
    <x v="176"/>
    <x v="1"/>
    <s v="pagado"/>
    <s v="pagado"/>
    <x v="0"/>
  </r>
  <r>
    <n v="3000000257"/>
    <d v="2026-02-23T00:00:00"/>
    <n v="20000000"/>
    <s v="AYALA HERNAN OSVALDO SAN MIGUEL DE TUCUMAN 14"/>
    <x v="1109"/>
    <n v="20000000"/>
    <x v="175"/>
    <x v="1"/>
    <s v="pagado"/>
    <s v="pagado"/>
    <x v="0"/>
  </r>
  <r>
    <n v="3000000257"/>
    <d v="2026-02-23T00:00:00"/>
    <n v="21726475.579999998"/>
    <s v="AYALA HERNAN OSVALDO SAN MIGUEL DE TUCUMAN 14"/>
    <x v="1110"/>
    <n v="21726475.579999998"/>
    <x v="176"/>
    <x v="1"/>
    <s v="pagado"/>
    <s v="pagado"/>
    <x v="0"/>
  </r>
  <r>
    <n v="3000000258"/>
    <d v="2026-02-23T00:00:00"/>
    <n v="4300000"/>
    <s v="FUNDACION INNOVA-T CIUDAD AUTONOMA DE BUENOS AIRES 01"/>
    <x v="1111"/>
    <n v="4300000"/>
    <x v="175"/>
    <x v="1"/>
    <s v="pagado"/>
    <s v="pagado"/>
    <x v="0"/>
  </r>
  <r>
    <n v="3000000259"/>
    <d v="2026-02-23T00:00:00"/>
    <n v="12225023.4"/>
    <s v="GOMEZ MANUEL ARCENIO METAN 09"/>
    <x v="1112"/>
    <n v="12225023.4"/>
    <x v="176"/>
    <x v="1"/>
    <s v="pagado"/>
    <s v="pagado"/>
    <x v="0"/>
  </r>
  <r>
    <n v="3000000260"/>
    <d v="2026-02-23T00:00:00"/>
    <n v="5364298.5"/>
    <s v="Medina Lauro Jose Las Cejas 14"/>
    <x v="1113"/>
    <n v="5364298.5"/>
    <x v="175"/>
    <x v="1"/>
    <s v="pagado"/>
    <s v="pagado"/>
    <x v="0"/>
  </r>
  <r>
    <n v="3000000261"/>
    <d v="2026-02-23T00:00:00"/>
    <n v="4653456.5"/>
    <s v="Pulverizaciones Tuninetti S.R.Las Rosas 01"/>
    <x v="1114"/>
    <n v="4653456.5"/>
    <x v="175"/>
    <x v="1"/>
    <s v="pagado"/>
    <s v="pagado"/>
    <x v="0"/>
  </r>
  <r>
    <n v="3000000262"/>
    <d v="2026-02-23T00:00:00"/>
    <n v="5000000"/>
    <s v="Pulmajo S.R.L. CONCEPCION 14"/>
    <x v="1115"/>
    <n v="5000000"/>
    <x v="175"/>
    <x v="1"/>
    <s v="pagado"/>
    <s v="pagado"/>
    <x v="0"/>
  </r>
  <r>
    <n v="3000000262"/>
    <d v="2026-02-23T00:00:00"/>
    <n v="5000000"/>
    <s v="Pulmajo S.R.L. CONCEPCION 14"/>
    <x v="1116"/>
    <n v="5000000"/>
    <x v="176"/>
    <x v="1"/>
    <s v="pagado"/>
    <s v="pagado"/>
    <x v="0"/>
  </r>
  <r>
    <n v="3000000262"/>
    <d v="2026-02-23T00:00:00"/>
    <n v="6894201.5"/>
    <s v="Pulmajo S.R.L. CONCEPCION 14"/>
    <x v="1117"/>
    <n v="6894201.5"/>
    <x v="177"/>
    <x v="1"/>
    <s v="pagado"/>
    <s v="pagado"/>
    <x v="0"/>
  </r>
  <r>
    <n v="3000000263"/>
    <d v="2026-02-23T00:00:00"/>
    <n v="18912411.870000001"/>
    <s v="ARPAFLU SRL CAPTAL FEDERAL 00"/>
    <x v="1118"/>
    <n v="18912411.870000001"/>
    <x v="177"/>
    <x v="1"/>
    <s v="pagado"/>
    <s v="pagado"/>
    <x v="0"/>
  </r>
  <r>
    <n v="1200000002"/>
    <d v="2026-02-24T00:00:00"/>
    <n v="3538847.92"/>
    <s v="Cheque de terceros TUCUMAN"/>
    <x v="1119"/>
    <n v="3538847.92"/>
    <x v="177"/>
    <x v="1"/>
    <s v="pagado"/>
    <s v="pagado"/>
    <x v="0"/>
  </r>
  <r>
    <n v="1200000002"/>
    <d v="2026-02-24T00:00:00"/>
    <n v="3573827.7"/>
    <s v="Cheque de terceros TUCUMAN"/>
    <x v="1120"/>
    <n v="3573827.7"/>
    <x v="177"/>
    <x v="1"/>
    <s v="pagado"/>
    <s v="pagado"/>
    <x v="0"/>
  </r>
  <r>
    <n v="1200000002"/>
    <d v="2026-02-24T00:00:00"/>
    <n v="21306087.300000001"/>
    <s v="Cheque de terceros TUCUMAN"/>
    <x v="1121"/>
    <n v="21306087.300000001"/>
    <x v="178"/>
    <x v="1"/>
    <s v="pagado"/>
    <s v="pagado"/>
    <x v="0"/>
  </r>
  <r>
    <n v="1200000002"/>
    <d v="2026-02-24T00:00:00"/>
    <n v="15098080.939999999"/>
    <s v="Cheque de terceros TUCUMAN"/>
    <x v="1122"/>
    <n v="15098080.939999999"/>
    <x v="178"/>
    <x v="1"/>
    <s v="pagado"/>
    <s v="pagado"/>
    <x v="0"/>
  </r>
  <r>
    <n v="1200000002"/>
    <d v="2026-02-24T00:00:00"/>
    <n v="26027334.530000001"/>
    <s v="Cheque de terceros TUCUMAN"/>
    <x v="1123"/>
    <n v="26027334.530000001"/>
    <x v="178"/>
    <x v="1"/>
    <s v="pagado"/>
    <s v="pagado"/>
    <x v="0"/>
  </r>
  <r>
    <n v="1200000002"/>
    <d v="2026-02-24T00:00:00"/>
    <n v="12309208.77"/>
    <s v="Cheque de terceros TUCUMAN"/>
    <x v="1124"/>
    <n v="12309208.77"/>
    <x v="178"/>
    <x v="1"/>
    <s v="pagado"/>
    <s v="pagado"/>
    <x v="0"/>
  </r>
  <r>
    <n v="1200000002"/>
    <d v="2026-02-24T00:00:00"/>
    <n v="28754292.609999999"/>
    <s v="Cheque de terceros TUCUMAN"/>
    <x v="1125"/>
    <n v="28754292.609999999"/>
    <x v="178"/>
    <x v="1"/>
    <s v="pagado"/>
    <s v="pagado"/>
    <x v="0"/>
  </r>
  <r>
    <n v="1200000002"/>
    <d v="2026-02-24T00:00:00"/>
    <n v="21242932.559999999"/>
    <s v="Cheque de terceros TUCUMAN"/>
    <x v="1126"/>
    <n v="21242932.559999999"/>
    <x v="178"/>
    <x v="1"/>
    <s v="pagado"/>
    <s v="pagado"/>
    <x v="0"/>
  </r>
  <r>
    <n v="1200000002"/>
    <d v="2026-02-24T00:00:00"/>
    <n v="18346186.690000001"/>
    <s v="Cheque de terceros TUCUMAN"/>
    <x v="1127"/>
    <n v="18346186.690000001"/>
    <x v="178"/>
    <x v="1"/>
    <s v="pagado"/>
    <s v="pagado"/>
    <x v="0"/>
  </r>
  <r>
    <n v="1200000002"/>
    <d v="2026-02-24T00:00:00"/>
    <n v="22363573"/>
    <s v="Cheque de terceros TUCUMAN"/>
    <x v="1128"/>
    <n v="22363573"/>
    <x v="178"/>
    <x v="1"/>
    <s v="pagado"/>
    <s v="pagado"/>
    <x v="0"/>
  </r>
  <r>
    <n v="3000000282"/>
    <d v="2026-02-25T00:00:00"/>
    <n v="1733718.71"/>
    <s v="AGROALAS SA Las Cejas 14"/>
    <x v="1129"/>
    <n v="1733718.71"/>
    <x v="175"/>
    <x v="1"/>
    <s v="pagado"/>
    <s v="pagado"/>
    <x v="0"/>
  </r>
  <r>
    <n v="3000000289"/>
    <d v="2026-02-26T00:00:00"/>
    <n v="28505707.989999998"/>
    <s v="TRANSPORTE BARBERAN HNOS SRL CHABAS 12"/>
    <x v="1130"/>
    <n v="28505707.989999998"/>
    <x v="179"/>
    <x v="1"/>
    <s v="pagado"/>
    <s v="pagado"/>
    <x v="0"/>
  </r>
  <r>
    <n v="3000000290"/>
    <d v="2026-02-26T00:00:00"/>
    <n v="10132835.619999999"/>
    <s v="ANTONACCI LUIS GABRIEL LA FLORIDA 14"/>
    <x v="1131"/>
    <n v="10132835.619999999"/>
    <x v="179"/>
    <x v="1"/>
    <s v="pagado"/>
    <s v="pagado"/>
    <x v="0"/>
  </r>
  <r>
    <n v="3000000291"/>
    <d v="2026-02-26T00:00:00"/>
    <n v="8983237.2899999991"/>
    <s v="LANGELLA JUAN RODOLFO ALDERETES 14"/>
    <x v="1132"/>
    <n v="8983237.2899999991"/>
    <x v="179"/>
    <x v="1"/>
    <s v="pagado"/>
    <s v="pagado"/>
    <x v="0"/>
  </r>
  <r>
    <n v="3000000292"/>
    <d v="2026-02-27T00:00:00"/>
    <n v="34521799.420000002"/>
    <s v="RODRIGUEZ NESTOR HORACIO YERBA BUENA 14"/>
    <x v="1133"/>
    <n v="34521799.420000002"/>
    <x v="179"/>
    <x v="1"/>
    <s v="pagado"/>
    <s v="pagado"/>
    <x v="0"/>
  </r>
  <r>
    <n v="3000000308"/>
    <d v="2026-03-03T00:00:00"/>
    <n v="4952303.4000000004"/>
    <s v="Suc. de Ventimiglia Nelly IrmJesus Maria 03"/>
    <x v="1134"/>
    <n v="4952303.4000000004"/>
    <x v="180"/>
    <x v="1"/>
    <s v="pagado"/>
    <s v="pagado"/>
    <x v="0"/>
  </r>
  <r>
    <n v="3000000309"/>
    <d v="2026-03-03T00:00:00"/>
    <n v="6441469.4000000004"/>
    <s v="Medina Lauro Jose Las Cejas 14"/>
    <x v="1135"/>
    <n v="6441469.4000000004"/>
    <x v="180"/>
    <x v="1"/>
    <s v="pagado"/>
    <s v="pagado"/>
    <x v="0"/>
  </r>
  <r>
    <n v="3000000310"/>
    <d v="2026-03-03T00:00:00"/>
    <n v="24362139.399999999"/>
    <s v="CARIGNANO RAUL JUAN YERBA BUENA 14"/>
    <x v="1136"/>
    <n v="24362139.399999999"/>
    <x v="180"/>
    <x v="1"/>
    <s v="pagado"/>
    <s v="pagado"/>
    <x v="0"/>
  </r>
  <r>
    <n v="3000000311"/>
    <d v="2026-03-03T00:00:00"/>
    <n v="8481160.9000000004"/>
    <s v="Pulverizaciones Tuninetti S.R.Las Rosas 01"/>
    <x v="1137"/>
    <n v="8481160.9000000004"/>
    <x v="180"/>
    <x v="1"/>
    <s v="pagado"/>
    <s v="pagado"/>
    <x v="0"/>
  </r>
  <r>
    <n v="3000000336"/>
    <d v="2026-03-09T00:00:00"/>
    <n v="1499280.78"/>
    <s v="ROMAN BARCELO Y JORGE CARRERASLAS LAJITAS 09"/>
    <x v="1138"/>
    <n v="1499280.78"/>
    <x v="181"/>
    <x v="1"/>
    <s v="pagado"/>
    <s v="pagado"/>
    <x v="0"/>
  </r>
  <r>
    <n v="3000000337"/>
    <d v="2026-03-09T00:00:00"/>
    <n v="10993371.48"/>
    <s v="AYALA WALTER DANIEL ALDERETES 14"/>
    <x v="1139"/>
    <n v="10993371.48"/>
    <x v="181"/>
    <x v="1"/>
    <s v="pagado"/>
    <s v="pagado"/>
    <x v="0"/>
  </r>
  <r>
    <n v="3000000338"/>
    <d v="2026-03-09T00:00:00"/>
    <n v="9202073.4000000004"/>
    <s v="MAZZA ERNESTO RODOLFO FAMAILLA - TUCUMAN 14"/>
    <x v="1140"/>
    <n v="9202073.4000000004"/>
    <x v="182"/>
    <x v="1"/>
    <s v="pagado"/>
    <s v="pagado"/>
    <x v="0"/>
  </r>
  <r>
    <n v="3000000339"/>
    <d v="2026-03-09T00:00:00"/>
    <n v="4003045.49"/>
    <s v="LIZONDO OSCAR FABIAN METAN 09"/>
    <x v="1141"/>
    <n v="4003045.49"/>
    <x v="182"/>
    <x v="1"/>
    <s v="pagado"/>
    <s v="pagado"/>
    <x v="0"/>
  </r>
  <r>
    <n v="3000000351"/>
    <d v="2026-03-12T00:00:00"/>
    <n v="88438.26"/>
    <s v="GRUPO MARGEN DEL NOA SA YERBA BUENA 14"/>
    <x v="1142"/>
    <n v="88438.26"/>
    <x v="182"/>
    <x v="1"/>
    <s v="pagado"/>
    <s v="pagado"/>
    <x v="0"/>
  </r>
  <r>
    <n v="3000000359"/>
    <d v="2026-03-16T00:00:00"/>
    <n v="17445110"/>
    <s v="EDET S.A. SAN MIGUEL DE TUCUMAN 14"/>
    <x v="1143"/>
    <n v="17445110"/>
    <x v="183"/>
    <x v="1"/>
    <s v="pagado"/>
    <s v="pagado"/>
    <x v="0"/>
  </r>
  <r>
    <n v="3000000361"/>
    <d v="2026-03-16T00:00:00"/>
    <n v="15990026.65"/>
    <s v="SUAREZ GABRIEL SEBASTIAN SANTIAGO DEL ESTERO 13"/>
    <x v="1144"/>
    <n v="15990026.65"/>
    <x v="184"/>
    <x v="1"/>
    <s v="pagado"/>
    <s v="pagado"/>
    <x v="0"/>
  </r>
  <r>
    <n v="3000000362"/>
    <d v="2026-03-16T00:00:00"/>
    <n v="18172637.100000001"/>
    <s v="MARTO ALBERTO ANTONIO LA RAMADA DE ABAJO 14"/>
    <x v="1145"/>
    <n v="18172637.100000001"/>
    <x v="184"/>
    <x v="1"/>
    <s v="pagado"/>
    <s v="pagado"/>
    <x v="0"/>
  </r>
  <r>
    <n v="3000000363"/>
    <d v="2026-03-16T00:00:00"/>
    <n v="18807493.140000001"/>
    <s v="TRANSPORTE BARBERAN HNOS SRL CHABAS 12"/>
    <x v="1146"/>
    <n v="18807493.140000001"/>
    <x v="184"/>
    <x v="1"/>
    <s v="pagado"/>
    <s v="pagado"/>
    <x v="0"/>
  </r>
  <r>
    <n v="3000000364"/>
    <d v="2026-03-16T00:00:00"/>
    <n v="4505254.78"/>
    <s v="MOLINA JUAN F. Y MOLINA ROQUE Lastenia 14"/>
    <x v="1147"/>
    <n v="4505254.78"/>
    <x v="184"/>
    <x v="1"/>
    <s v="pagado"/>
    <s v="pagado"/>
    <x v="0"/>
  </r>
  <r>
    <n v="3000000365"/>
    <d v="2026-03-16T00:00:00"/>
    <n v="6556879.9500000002"/>
    <s v="TRANSPORTE CLASON SRL ROSARIO 12"/>
    <x v="1148"/>
    <n v="6556879.9500000002"/>
    <x v="184"/>
    <x v="1"/>
    <s v="pagado"/>
    <s v="pagado"/>
    <x v="0"/>
  </r>
  <r>
    <n v="3000000366"/>
    <d v="2026-03-16T00:00:00"/>
    <n v="7301077.7199999997"/>
    <s v="PAIS WALTER LUIS SAN MIGUEL DE TUCUMAN 14"/>
    <x v="1149"/>
    <n v="7301077.7199999997"/>
    <x v="184"/>
    <x v="1"/>
    <s v="pagado"/>
    <s v="pagado"/>
    <x v="0"/>
  </r>
  <r>
    <n v="1200000395"/>
    <d v="2026-03-18T00:00:00"/>
    <n v="36759632.340000004"/>
    <s v="Cheque de terceros TUCUMAN"/>
    <x v="1150"/>
    <n v="36759632.340000004"/>
    <x v="185"/>
    <x v="1"/>
    <s v="pagado"/>
    <s v="pagado"/>
    <x v="0"/>
  </r>
  <r>
    <n v="3000000375"/>
    <d v="2026-03-18T00:00:00"/>
    <n v="782019.84"/>
    <s v="COSENTINO DROVETA AGUSTIN BANDA DEL RIO SALI 14"/>
    <x v="1151"/>
    <n v="782019.84"/>
    <x v="185"/>
    <x v="1"/>
    <s v="pagado"/>
    <s v="pagado"/>
    <x v="0"/>
  </r>
  <r>
    <n v="3000000379"/>
    <d v="2026-03-19T00:00:00"/>
    <n v="10179780"/>
    <s v="Suc. de Ventimiglia Nelly IrmJesus Maria 03"/>
    <x v="1152"/>
    <n v="10179780"/>
    <x v="185"/>
    <x v="1"/>
    <s v="pagado"/>
    <s v="pagado"/>
    <x v="0"/>
  </r>
  <r>
    <n v="3000000401"/>
    <d v="2026-03-25T00:00:00"/>
    <n v="25000000"/>
    <s v="CARIGNANO RAUL JUAN YERBA BUENA 14"/>
    <x v="1153"/>
    <n v="25000000"/>
    <x v="186"/>
    <x v="1"/>
    <s v="pagado"/>
    <s v="pagado"/>
    <x v="0"/>
  </r>
  <r>
    <n v="3000000401"/>
    <d v="2026-03-25T00:00:00"/>
    <n v="28832394"/>
    <s v="CARIGNANO RAUL JUAN YERBA BUENA 14"/>
    <x v="1154"/>
    <n v="28832394"/>
    <x v="187"/>
    <x v="1"/>
    <s v="pagado"/>
    <s v="pagado"/>
    <x v="0"/>
  </r>
  <r>
    <n v="3000000390"/>
    <d v="2026-03-25T00:00:00"/>
    <n v="10903534.35"/>
    <s v="SAN LORENZO CEREALES S.R.L SAN LORENZO 12"/>
    <x v="1155"/>
    <n v="10903534.35"/>
    <x v="187"/>
    <x v="1"/>
    <s v="pagado"/>
    <s v="pagado"/>
    <x v="0"/>
  </r>
  <r>
    <n v="3000000391"/>
    <d v="2026-03-25T00:00:00"/>
    <n v="4670665.7699999996"/>
    <s v="AYALA WALTER DANIEL ALDERETES 14"/>
    <x v="1156"/>
    <n v="4670665.7699999996"/>
    <x v="186"/>
    <x v="1"/>
    <s v="pagado"/>
    <s v="pagado"/>
    <x v="0"/>
  </r>
  <r>
    <n v="3000000392"/>
    <d v="2026-03-25T00:00:00"/>
    <n v="26716188.399999999"/>
    <s v="M.A.D Serv y mant eléctri SAN MIGUEL DE TUCUMAN 14"/>
    <x v="1157"/>
    <n v="26716188.399999999"/>
    <x v="187"/>
    <x v="1"/>
    <s v="pagado"/>
    <s v="pagado"/>
    <x v="0"/>
  </r>
  <r>
    <n v="3000000393"/>
    <d v="2026-03-25T00:00:00"/>
    <n v="18991343.399999999"/>
    <s v="SALTOS JOSUE GONZALO NUEVA ESPERANZA 13"/>
    <x v="1158"/>
    <n v="18991343.399999999"/>
    <x v="187"/>
    <x v="1"/>
    <s v="pagado"/>
    <s v="pagado"/>
    <x v="0"/>
  </r>
  <r>
    <n v="3000000394"/>
    <d v="2026-03-25T00:00:00"/>
    <n v="3940778.4"/>
    <s v="TRAPICHE SA BANDA DEL RIO SALI 14"/>
    <x v="1159"/>
    <n v="3940778.4"/>
    <x v="186"/>
    <x v="1"/>
    <s v="pagado"/>
    <s v="pagado"/>
    <x v="0"/>
  </r>
  <r>
    <n v="3000000395"/>
    <d v="2026-03-25T00:00:00"/>
    <n v="24563000"/>
    <s v="MAZZA ERNESTO RODOLFO FAMAILLA - TUCUMAN 14"/>
    <x v="1160"/>
    <n v="24563000"/>
    <x v="187"/>
    <x v="1"/>
    <s v="pagado"/>
    <s v="pagado"/>
    <x v="0"/>
  </r>
  <r>
    <n v="3000000396"/>
    <d v="2026-03-25T00:00:00"/>
    <n v="9145575"/>
    <s v="TRANSPORTE CLASON SRL ROSARIO 12"/>
    <x v="1161"/>
    <n v="9145575"/>
    <x v="186"/>
    <x v="1"/>
    <s v="pagado"/>
    <s v="pagado"/>
    <x v="0"/>
  </r>
  <r>
    <n v="3000000397"/>
    <d v="2026-03-25T00:00:00"/>
    <n v="5546690.1699999999"/>
    <s v="JAVIER EDUARDO PRADO FLORIDA 13"/>
    <x v="1162"/>
    <n v="5546690.1699999999"/>
    <x v="186"/>
    <x v="1"/>
    <s v="pagado"/>
    <s v="pagado"/>
    <x v="0"/>
  </r>
  <r>
    <n v="3000000398"/>
    <d v="2026-03-25T00:00:00"/>
    <n v="12714358.57"/>
    <s v="TRANSPORTE LAVENIA SAS LASTENIA 14"/>
    <x v="1163"/>
    <n v="12714358.57"/>
    <x v="187"/>
    <x v="1"/>
    <s v="pagado"/>
    <s v="pagado"/>
    <x v="0"/>
  </r>
  <r>
    <n v="3000000399"/>
    <d v="2026-03-25T00:00:00"/>
    <n v="25515660.5"/>
    <s v="Medina Lauro Jose Las Cejas 14"/>
    <x v="1164"/>
    <n v="25515660.5"/>
    <x v="187"/>
    <x v="1"/>
    <s v="pagado"/>
    <s v="pagado"/>
    <x v="0"/>
  </r>
  <r>
    <n v="3000000400"/>
    <d v="2026-03-25T00:00:00"/>
    <n v="18691063.899999999"/>
    <s v="Pulmajo S.R.L. CONCEPCION 14"/>
    <x v="1165"/>
    <n v="18691063.899999999"/>
    <x v="187"/>
    <x v="1"/>
    <s v="pagado"/>
    <s v="pagado"/>
    <x v="0"/>
  </r>
  <r>
    <n v="3000000402"/>
    <d v="2026-03-25T00:00:00"/>
    <n v="24560329.600000001"/>
    <s v="RODRIGUEZ NESTOR HORACIO YERBA BUENA 14"/>
    <x v="1166"/>
    <n v="24560329.600000001"/>
    <x v="187"/>
    <x v="1"/>
    <s v="pagado"/>
    <s v="pagado"/>
    <x v="0"/>
  </r>
  <r>
    <n v="3000000403"/>
    <d v="2026-03-25T00:00:00"/>
    <n v="7254347.0999999996"/>
    <s v="LIZONDO OSCAR FABIAN METAN 09"/>
    <x v="1167"/>
    <n v="7254347.0999999996"/>
    <x v="186"/>
    <x v="1"/>
    <s v="no pagado"/>
    <s v="fuera de fecha"/>
    <x v="0"/>
  </r>
  <r>
    <n v="3000000404"/>
    <d v="2026-03-25T00:00:00"/>
    <n v="18423701.949999999"/>
    <s v="ACOSTA EMILIA ROMINA JOAQUIN V GONZALEZ 09"/>
    <x v="1168"/>
    <n v="18423701.949999999"/>
    <x v="187"/>
    <x v="1"/>
    <s v="pagado"/>
    <s v="pagado"/>
    <x v="0"/>
  </r>
  <r>
    <n v="3000000434"/>
    <d v="2026-03-30T00:00:00"/>
    <n v="3487567.85"/>
    <s v="TRANSPORTE BARBERAN HNOS SRL CHABAS 12"/>
    <x v="1169"/>
    <n v="3487567.85"/>
    <x v="188"/>
    <x v="1"/>
    <s v="pagado"/>
    <s v="pagado"/>
    <x v="0"/>
  </r>
  <r>
    <n v="3000000435"/>
    <d v="2026-03-31T00:00:00"/>
    <n v="103101102"/>
    <s v="RIO CHICO SA CIUDADELA 01"/>
    <x v="1170"/>
    <n v="103101102"/>
    <x v="188"/>
    <x v="1"/>
    <s v="pagado"/>
    <s v="pagado"/>
    <x v="0"/>
  </r>
  <r>
    <n v="3000000435"/>
    <d v="2026-03-31T00:00:00"/>
    <n v="103101102"/>
    <s v="RIO CHICO SA CIUDADELA 01"/>
    <x v="1171"/>
    <n v="103101102"/>
    <x v="189"/>
    <x v="1"/>
    <s v="pagado"/>
    <s v="pagado"/>
    <x v="0"/>
  </r>
  <r>
    <n v="3000000007"/>
    <d v="2026-04-08T00:00:00"/>
    <n v="1318027.8999999999"/>
    <s v="Pulmajo S.R.L. CONCEPCION 14"/>
    <x v="1172"/>
    <n v="1318027.8999999999"/>
    <x v="190"/>
    <x v="1"/>
    <s v="pagado"/>
    <s v="pagado"/>
    <x v="0"/>
  </r>
  <r>
    <n v="1200000670"/>
    <d v="2026-04-08T00:00:00"/>
    <n v="59383219"/>
    <s v="Cheque de terceros TUCUMAN"/>
    <x v="1173"/>
    <n v="59383219"/>
    <x v="190"/>
    <x v="1"/>
    <s v="pagado"/>
    <s v="pagado"/>
    <x v="0"/>
  </r>
  <r>
    <n v="3000000451"/>
    <d v="2026-04-09T00:00:00"/>
    <n v="8694167.9199999999"/>
    <s v="TRANSPORTE BARBERAN HNOS SRL CHABAS 12"/>
    <x v="1174"/>
    <n v="8694167.9199999999"/>
    <x v="191"/>
    <x v="1"/>
    <s v="pagado"/>
    <s v="pagado"/>
    <x v="0"/>
  </r>
  <r>
    <n v="3000000452"/>
    <d v="2026-04-09T00:00:00"/>
    <n v="9472114.4199999999"/>
    <s v="PAIS WALTER LUIS SAN MIGUEL DE TUCUMAN 14"/>
    <x v="1175"/>
    <n v="9472114.4199999999"/>
    <x v="191"/>
    <x v="1"/>
    <s v="pagado"/>
    <s v="pagado"/>
    <x v="0"/>
  </r>
  <r>
    <n v="3000000453"/>
    <d v="2026-04-09T00:00:00"/>
    <n v="11118317.92"/>
    <s v="FLETES Y SERVICIOS PUJATO S.A PUJATO 12"/>
    <x v="1176"/>
    <n v="11118317.92"/>
    <x v="191"/>
    <x v="1"/>
    <s v="pagado"/>
    <s v="pagado"/>
    <x v="0"/>
  </r>
  <r>
    <n v="3000000454"/>
    <d v="2026-04-09T00:00:00"/>
    <n v="9468527.9199999999"/>
    <s v="TRANSPORTE LAVENIA SAS LASTENIA 14"/>
    <x v="1177"/>
    <n v="9468527.9199999999"/>
    <x v="191"/>
    <x v="1"/>
    <s v="pagado"/>
    <s v="pagado"/>
    <x v="0"/>
  </r>
  <r>
    <n v="3000000475"/>
    <d v="2026-04-13T00:00:00"/>
    <n v="8725117.3399999999"/>
    <s v="AGROGANADERA DEL NOA CEVIL POZO 14"/>
    <x v="1178"/>
    <n v="8725117.3399999999"/>
    <x v="192"/>
    <x v="1"/>
    <s v="pagado"/>
    <s v="pagado"/>
    <x v="0"/>
  </r>
  <r>
    <n v="3000000475"/>
    <d v="2026-04-13T00:00:00"/>
    <n v="2186958.2799999998"/>
    <s v="AGROGANADERA DEL NOA CEVIL POZO 14"/>
    <x v="1179"/>
    <n v="2186958.2799999998"/>
    <x v="192"/>
    <x v="1"/>
    <s v="pagado"/>
    <s v="pagado"/>
    <x v="0"/>
  </r>
  <r>
    <n v="3000000487"/>
    <d v="2026-04-14T00:00:00"/>
    <n v="5550156.4800000004"/>
    <s v="Suc. de Ventimiglia Nelly IrmJesus Maria 03"/>
    <x v="1180"/>
    <n v="5550156.4800000004"/>
    <x v="192"/>
    <x v="1"/>
    <s v="pagado"/>
    <s v="pagado"/>
    <x v="0"/>
  </r>
  <r>
    <n v="3000000488"/>
    <d v="2026-04-14T00:00:00"/>
    <n v="36141623.399999999"/>
    <s v="AYALA WALTER DANIEL ALDERETES 14"/>
    <x v="1181"/>
    <n v="36141623.399999999"/>
    <x v="192"/>
    <x v="1"/>
    <s v="pagado"/>
    <s v="pagado"/>
    <x v="0"/>
  </r>
  <r>
    <n v="3000000489"/>
    <d v="2026-04-14T00:00:00"/>
    <n v="36175327.399999999"/>
    <s v="CARIGNANO RAUL JUAN YERBA BUENA 14"/>
    <x v="1182"/>
    <n v="36175327.399999999"/>
    <x v="192"/>
    <x v="1"/>
    <s v="pagado"/>
    <s v="pagado"/>
    <x v="0"/>
  </r>
  <r>
    <n v="3000000490"/>
    <d v="2026-04-14T00:00:00"/>
    <n v="23947727.399999999"/>
    <s v="GRUPO MARGEN DEL NOA SA YERBA BUENA 14"/>
    <x v="1183"/>
    <n v="23947727.399999999"/>
    <x v="192"/>
    <x v="1"/>
    <s v="pagado"/>
    <s v="pagado"/>
    <x v="0"/>
  </r>
  <r>
    <n v="3000000491"/>
    <d v="2026-04-14T00:00:00"/>
    <n v="7274026.4699999997"/>
    <s v="Suarez Elio Hernan Los altos 02"/>
    <x v="1184"/>
    <n v="7274026.4699999997"/>
    <x v="192"/>
    <x v="1"/>
    <s v="pagado"/>
    <s v="pagado"/>
    <x v="0"/>
  </r>
  <r>
    <n v="3000000492"/>
    <d v="2026-04-14T00:00:00"/>
    <n v="6155999.8399999999"/>
    <s v="SANTOS JUAN ALBERTO SANTIAGO DEL ESTERO 13"/>
    <x v="1185"/>
    <n v="6155999.8399999999"/>
    <x v="192"/>
    <x v="1"/>
    <s v="pagado"/>
    <s v="pagado"/>
    <x v="0"/>
  </r>
  <r>
    <n v="3000000493"/>
    <d v="2026-04-14T00:00:00"/>
    <n v="5939616.8499999996"/>
    <s v="GUERRERO DANIEL MARCELO ALDERETES 14"/>
    <x v="1186"/>
    <n v="5939616.8499999996"/>
    <x v="192"/>
    <x v="1"/>
    <s v="pagado"/>
    <s v="pagado"/>
    <x v="0"/>
  </r>
  <r>
    <n v="3000000494"/>
    <d v="2026-04-14T00:00:00"/>
    <n v="10210542.4"/>
    <s v="Pulverizaciones Tuninetti S.R.Las Rosas 01"/>
    <x v="1187"/>
    <n v="10210542.4"/>
    <x v="192"/>
    <x v="1"/>
    <s v="pagado"/>
    <s v="pagado"/>
    <x v="0"/>
  </r>
  <r>
    <n v="3000000495"/>
    <d v="2026-04-14T00:00:00"/>
    <n v="17192470"/>
    <s v="EDET S.A. SAN MIGUEL DE TUCUMAN 14"/>
    <x v="1188"/>
    <n v="17192470"/>
    <x v="192"/>
    <x v="1"/>
    <s v="pagado"/>
    <s v="pagado"/>
    <x v="0"/>
  </r>
  <r>
    <n v="1200000671"/>
    <d v="2026-04-14T00:00:00"/>
    <n v="5551808.4400000004"/>
    <s v="Cheque de terceros TUCUMAN"/>
    <x v="1189"/>
    <n v="5551808.4400000004"/>
    <x v="192"/>
    <x v="1"/>
    <s v="pagado"/>
    <s v="pagado"/>
    <x v="0"/>
  </r>
  <r>
    <n v="1200000671"/>
    <d v="2026-04-14T00:00:00"/>
    <n v="35776848.380000003"/>
    <s v="Cheque de terceros TUCUMAN"/>
    <x v="1190"/>
    <n v="35776848.380000003"/>
    <x v="192"/>
    <x v="1"/>
    <s v="pagado"/>
    <s v="pagado"/>
    <x v="0"/>
  </r>
  <r>
    <n v="3000000510"/>
    <d v="2026-04-17T00:00:00"/>
    <n v="561372.24"/>
    <s v=". TUCUMAN"/>
    <x v="1191"/>
    <n v="561372.24"/>
    <x v="193"/>
    <x v="1"/>
    <s v="pagado"/>
    <s v="pagado"/>
    <x v="0"/>
  </r>
  <r>
    <n v="3000000511"/>
    <d v="2026-04-17T00:00:00"/>
    <n v="5399758.4199999999"/>
    <s v=". TUCUMAN"/>
    <x v="1192"/>
    <n v="5399758.4199999999"/>
    <x v="193"/>
    <x v="1"/>
    <s v="pagado"/>
    <s v="pagado"/>
    <x v="0"/>
  </r>
  <r>
    <n v="3000000519"/>
    <d v="2026-04-20T00:00:00"/>
    <n v="9542604.9800000004"/>
    <s v="AYALA WALTER DANIEL ALDERETES 14"/>
    <x v="1193"/>
    <n v="9542604.9800000004"/>
    <x v="194"/>
    <x v="1"/>
    <s v="pagado"/>
    <s v="pagado"/>
    <x v="0"/>
  </r>
  <r>
    <n v="3000000520"/>
    <d v="2026-04-20T00:00:00"/>
    <n v="8929576.6500000004"/>
    <s v="ALMIROTY E HIJOS SRL CABA 00"/>
    <x v="1194"/>
    <n v="8929576.6500000004"/>
    <x v="194"/>
    <x v="1"/>
    <s v="pagado"/>
    <s v="pagado"/>
    <x v="0"/>
  </r>
  <r>
    <n v="3000000521"/>
    <d v="2026-04-20T00:00:00"/>
    <n v="19514985.899999999"/>
    <s v="LOS LAURELES SERVICIOS AGRICOLSan Miguel De Tucuman 14"/>
    <x v="1195"/>
    <n v="19514985.899999999"/>
    <x v="194"/>
    <x v="1"/>
    <s v="pagado"/>
    <s v="pagado"/>
    <x v="0"/>
  </r>
  <r>
    <n v="3000000522"/>
    <d v="2026-04-20T00:00:00"/>
    <n v="6530503.4000000004"/>
    <s v="Medina Lauro Jose Las Cejas 14"/>
    <x v="1196"/>
    <n v="6530503.4000000004"/>
    <x v="194"/>
    <x v="1"/>
    <s v="pagado"/>
    <s v="pagado"/>
    <x v="0"/>
  </r>
  <r>
    <n v="3000000523"/>
    <d v="2026-04-20T00:00:00"/>
    <n v="9223368"/>
    <s v="Pulverizaciones Tuninetti S.R.Las Rosas 01"/>
    <x v="1197"/>
    <n v="9223368"/>
    <x v="194"/>
    <x v="1"/>
    <s v="pagado"/>
    <s v="pagado"/>
    <x v="0"/>
  </r>
  <r>
    <n v="3000000524"/>
    <d v="2026-04-20T00:00:00"/>
    <n v="6285659.9000000004"/>
    <s v="Pulmajo S.R.L. CONCEPCION 14"/>
    <x v="1198"/>
    <n v="6285659.9000000004"/>
    <x v="194"/>
    <x v="1"/>
    <s v="pagado"/>
    <s v="pagado"/>
    <x v="0"/>
  </r>
  <r>
    <n v="3000000525"/>
    <d v="2026-04-20T00:00:00"/>
    <n v="13655492.380000001"/>
    <s v="SANTOS JUAN ALBERTO SANTIAGO DEL ESTERO 13"/>
    <x v="1199"/>
    <n v="13655492.380000001"/>
    <x v="194"/>
    <x v="1"/>
    <s v="pagado"/>
    <s v="pagado"/>
    <x v="0"/>
  </r>
  <r>
    <n v="3000000526"/>
    <d v="2026-04-20T00:00:00"/>
    <n v="12146115.800000001"/>
    <s v="ACOSTA EMILIA ROMINA JOAQUIN V GONZALEZ 09"/>
    <x v="1200"/>
    <n v="12146115.800000001"/>
    <x v="194"/>
    <x v="1"/>
    <s v="pagado"/>
    <s v="pagado"/>
    <x v="0"/>
  </r>
  <r>
    <n v="1200000849"/>
    <d v="2026-04-22T00:00:00"/>
    <n v="25265784.289999999"/>
    <s v="Cheque de terceros TUCUMAN"/>
    <x v="1201"/>
    <n v="25265784.289999999"/>
    <x v="193"/>
    <x v="1"/>
    <s v="pagado"/>
    <s v="pagado"/>
    <x v="0"/>
  </r>
  <r>
    <n v="1200001122"/>
    <d v="2026-04-27T00:00:00"/>
    <n v="7425059.3200000003"/>
    <s v="Cheque de terceros TUCUMAN"/>
    <x v="1202"/>
    <n v="7425059.3200000003"/>
    <x v="195"/>
    <x v="1"/>
    <s v="pagado"/>
    <s v="pagado"/>
    <x v="0"/>
  </r>
  <r>
    <n v="1200001122"/>
    <d v="2026-04-27T00:00:00"/>
    <n v="9432485.7899999991"/>
    <s v="Cheque de terceros TUCUMAN"/>
    <x v="1203"/>
    <n v="9432485.7899999991"/>
    <x v="195"/>
    <x v="1"/>
    <s v="pagado"/>
    <s v="pagado"/>
    <x v="0"/>
  </r>
  <r>
    <n v="1200001122"/>
    <d v="2026-04-27T00:00:00"/>
    <n v="5265960.8"/>
    <s v="Cheque de terceros TUCUMAN"/>
    <x v="1204"/>
    <n v="5265960.8"/>
    <x v="195"/>
    <x v="1"/>
    <s v="pagado"/>
    <s v="pagado"/>
    <x v="0"/>
  </r>
  <r>
    <n v="3000000539"/>
    <d v="2026-04-27T00:00:00"/>
    <n v="10875733"/>
    <s v="GRUPO MARGEN DEL NOA SA YERBA BUENA 14"/>
    <x v="1205"/>
    <n v="10875733"/>
    <x v="195"/>
    <x v="1"/>
    <s v="pagado"/>
    <s v="pagado"/>
    <x v="0"/>
  </r>
  <r>
    <n v="3000000556"/>
    <d v="2026-04-27T00:00:00"/>
    <n v="3463900.79"/>
    <s v="TRANSPORTE BARBERAN HNOS SRL CHABAS 12"/>
    <x v="1206"/>
    <n v="3463900.79"/>
    <x v="195"/>
    <x v="1"/>
    <s v="pagado"/>
    <s v="pagado"/>
    <x v="0"/>
  </r>
  <r>
    <n v="3000000557"/>
    <d v="2026-04-27T00:00:00"/>
    <n v="9326088.1199999992"/>
    <s v="ILUZZI MIGUEL ANGEL CIUDAD AUTONOMA BUENOS AIRES 00"/>
    <x v="1207"/>
    <n v="9326088.1199999992"/>
    <x v="195"/>
    <x v="1"/>
    <s v="pagado"/>
    <s v="pagado"/>
    <x v="0"/>
  </r>
  <r>
    <n v="3000000558"/>
    <d v="2026-04-27T00:00:00"/>
    <n v="9301754"/>
    <s v="RODRIGUEZ NESTOR HORACIO YERBA BUENA 14"/>
    <x v="1208"/>
    <n v="9301754"/>
    <x v="195"/>
    <x v="1"/>
    <s v="pagado"/>
    <s v="pagado"/>
    <x v="0"/>
  </r>
  <r>
    <n v="3000000559"/>
    <d v="2026-04-27T00:00:00"/>
    <n v="5075501.34"/>
    <s v="CAMPOAGRO SRL YERBA BUENA 14"/>
    <x v="1209"/>
    <n v="5075501.34"/>
    <x v="195"/>
    <x v="1"/>
    <s v="pagado"/>
    <s v="pagado"/>
    <x v="0"/>
  </r>
  <r>
    <n v="3000000560"/>
    <d v="2026-04-27T00:00:00"/>
    <n v="10963120.4"/>
    <s v="ROMAN BARCELO Y JORGE CARRERASLAS LAJITAS 09"/>
    <x v="1210"/>
    <n v="10963120.4"/>
    <x v="195"/>
    <x v="1"/>
    <s v="pagado"/>
    <s v="pagado"/>
    <x v="0"/>
  </r>
  <r>
    <n v="3000000572"/>
    <d v="2026-04-30T00:00:00"/>
    <n v="5000000"/>
    <s v="AGROGANADERA DEL NOA CEVIL POZO 14"/>
    <x v="1211"/>
    <n v="5000000"/>
    <x v="196"/>
    <x v="1"/>
    <s v="pagado"/>
    <s v="pagado"/>
    <x v="0"/>
  </r>
  <r>
    <n v="3000000572"/>
    <d v="2026-04-30T00:00:00"/>
    <n v="5000000"/>
    <s v="AGROGANADERA DEL NOA CEVIL POZO 14"/>
    <x v="1212"/>
    <n v="5000000"/>
    <x v="196"/>
    <x v="1"/>
    <s v="pagado"/>
    <s v="pagado"/>
    <x v="0"/>
  </r>
  <r>
    <n v="3000000572"/>
    <d v="2026-04-30T00:00:00"/>
    <n v="5271843.6500000004"/>
    <s v="AGROGANADERA DEL NOA CEVIL POZO 14"/>
    <x v="1213"/>
    <n v="5271843.6500000004"/>
    <x v="196"/>
    <x v="1"/>
    <s v="pagado"/>
    <s v="pagado"/>
    <x v="0"/>
  </r>
  <r>
    <n v="3000000579"/>
    <d v="2026-05-04T00:00:00"/>
    <n v="18060803.399999999"/>
    <s v="DON KOKO S.R.L CAMILO ALDAO 03"/>
    <x v="1214"/>
    <n v="18060803.399999999"/>
    <x v="197"/>
    <x v="1"/>
    <s v="pagado"/>
    <s v="pagado"/>
    <x v="0"/>
  </r>
  <r>
    <n v="3000000580"/>
    <d v="2026-05-04T00:00:00"/>
    <n v="15017429.57"/>
    <s v="LUBRE S.R.L. LOS NOGALES 14"/>
    <x v="1215"/>
    <n v="15017429.57"/>
    <x v="197"/>
    <x v="1"/>
    <s v="pagado"/>
    <s v="pagado"/>
    <x v="0"/>
  </r>
  <r>
    <n v="3000000581"/>
    <d v="2026-05-04T00:00:00"/>
    <n v="24232803.399999999"/>
    <s v="GRUPO MARGEN DEL NOA SA YERBA BUENA 14"/>
    <x v="1216"/>
    <n v="24232803.399999999"/>
    <x v="197"/>
    <x v="1"/>
    <s v="pagado"/>
    <s v="pagado"/>
    <x v="0"/>
  </r>
  <r>
    <n v="3000000582"/>
    <d v="2026-05-04T00:00:00"/>
    <n v="40857330.399999999"/>
    <s v="Medina Lauro Jose Las Cejas 14"/>
    <x v="1217"/>
    <n v="40857330.399999999"/>
    <x v="197"/>
    <x v="1"/>
    <s v="pagado"/>
    <s v="pagado"/>
    <x v="0"/>
  </r>
  <r>
    <n v="3000000583"/>
    <d v="2026-05-04T00:00:00"/>
    <n v="6316267.4000000004"/>
    <s v="CARIGNANO RAUL JUAN YERBA BUENA 14"/>
    <x v="1218"/>
    <n v="6316267.4000000004"/>
    <x v="197"/>
    <x v="1"/>
    <s v="pagado"/>
    <s v="pagado"/>
    <x v="0"/>
  </r>
  <r>
    <n v="3000000584"/>
    <d v="2026-05-04T00:00:00"/>
    <n v="8875288.9900000002"/>
    <s v="ACOSTA EMILIA ROMINA JOAQUIN V GONZALEZ 09"/>
    <x v="1219"/>
    <n v="8875288.9900000002"/>
    <x v="197"/>
    <x v="1"/>
    <s v="pagado"/>
    <s v="pagado"/>
    <x v="0"/>
  </r>
  <r>
    <n v="3000000590"/>
    <d v="2026-05-05T00:00:00"/>
    <n v="30109014.800000001"/>
    <s v="TRANSPORTE BARBERAN HNOS SRL CHABAS 12"/>
    <x v="1220"/>
    <n v="30109014.800000001"/>
    <x v="197"/>
    <x v="1"/>
    <s v="pagado"/>
    <s v="pagado"/>
    <x v="0"/>
  </r>
  <r>
    <n v="3000000591"/>
    <d v="2026-05-05T00:00:00"/>
    <n v="23535376.43"/>
    <s v="LOGISTICA CENTRO S.R.L CORONDA 12"/>
    <x v="1221"/>
    <n v="23535376.43"/>
    <x v="197"/>
    <x v="1"/>
    <s v="pagado"/>
    <s v="pagado"/>
    <x v="0"/>
  </r>
  <r>
    <n v="3000000592"/>
    <d v="2026-05-05T00:00:00"/>
    <n v="4458306.43"/>
    <s v="JAVIER EDUARDO PRADO FLORIDA 13"/>
    <x v="1222"/>
    <n v="4458306.43"/>
    <x v="197"/>
    <x v="1"/>
    <s v="pagado"/>
    <s v="pagado"/>
    <x v="0"/>
  </r>
  <r>
    <n v="3000000593"/>
    <d v="2026-05-05T00:00:00"/>
    <n v="5550532.9400000004"/>
    <s v="FLETES Y SERVICIOS PUJATO S.A PUJATO 12"/>
    <x v="1223"/>
    <n v="5550532.9400000004"/>
    <x v="197"/>
    <x v="1"/>
    <s v="pagado"/>
    <s v="pagado"/>
    <x v="0"/>
  </r>
  <r>
    <n v="3000000607"/>
    <d v="2026-05-11T00:00:00"/>
    <n v="4647459.4400000004"/>
    <s v="AACREA BUENOS AIRES 01"/>
    <x v="1224"/>
    <n v="4647459.4400000004"/>
    <x v="198"/>
    <x v="1"/>
    <s v="pagado"/>
    <s v="pagado"/>
    <x v="0"/>
  </r>
  <r>
    <n v="3000000608"/>
    <d v="2026-05-11T00:00:00"/>
    <n v="25323832.899999999"/>
    <s v="ROMAN BARCELO Y JORGE CARRERASLAS LAJITAS 09"/>
    <x v="1225"/>
    <n v="25323832.899999999"/>
    <x v="198"/>
    <x v="1"/>
    <s v="pagado"/>
    <s v="pagado"/>
    <x v="0"/>
  </r>
  <r>
    <n v="3000000609"/>
    <d v="2026-05-11T00:00:00"/>
    <n v="6127444.5"/>
    <s v="LOS LAURELES SERVICIOS AGRICOLSan Miguel De Tucuman 14"/>
    <x v="1226"/>
    <n v="6127444.5"/>
    <x v="198"/>
    <x v="1"/>
    <s v="no pagado"/>
    <s v="fuera de fecha"/>
    <x v="0"/>
  </r>
  <r>
    <n v="3000000610"/>
    <d v="2026-05-11T00:00:00"/>
    <n v="4108613.36"/>
    <s v="VERON MARIANA BEATRIZ NUEVA ESPERANZA 13"/>
    <x v="1227"/>
    <n v="4108613.36"/>
    <x v="198"/>
    <x v="1"/>
    <s v="pagado"/>
    <s v="pagado"/>
    <x v="0"/>
  </r>
  <r>
    <n v="3000000611"/>
    <d v="2026-05-11T00:00:00"/>
    <n v="10515583.4"/>
    <s v="SALTOS JOSUE GONZALO NUEVA ESPERANZA 13"/>
    <x v="1228"/>
    <n v="10515583.4"/>
    <x v="198"/>
    <x v="1"/>
    <s v="pagado"/>
    <s v="pagado"/>
    <x v="0"/>
  </r>
  <r>
    <n v="3000000612"/>
    <d v="2026-05-11T00:00:00"/>
    <n v="24626487.789999999"/>
    <s v="THEAUX AGUSTIN LA COCHA 14"/>
    <x v="1229"/>
    <n v="24626487.789999999"/>
    <x v="198"/>
    <x v="1"/>
    <s v="pagado"/>
    <s v="pagado"/>
    <x v="0"/>
  </r>
  <r>
    <n v="3000000613"/>
    <d v="2026-05-11T00:00:00"/>
    <n v="6905805.8399999999"/>
    <s v="SANTOS JUAN ALBERTO SANTIAGO DEL ESTERO 13"/>
    <x v="1230"/>
    <n v="6905805.8399999999"/>
    <x v="198"/>
    <x v="1"/>
    <s v="pagado"/>
    <s v="pagado"/>
    <x v="0"/>
  </r>
  <r>
    <n v="3000000614"/>
    <d v="2026-05-11T00:00:00"/>
    <n v="10480658.4"/>
    <s v="SUAREZ GABRIEL SEBASTIAN SANTIAGO DEL ESTERO 13"/>
    <x v="1231"/>
    <n v="10480658.4"/>
    <x v="198"/>
    <x v="1"/>
    <s v="pagado"/>
    <s v="pagado"/>
    <x v="0"/>
  </r>
  <r>
    <n v="3000000615"/>
    <d v="2026-05-11T00:00:00"/>
    <n v="4954841.78"/>
    <s v="AYALA HERNAN OSVALDO SAN MIGUEL DE TUCUMAN 14"/>
    <x v="1232"/>
    <n v="4954841.78"/>
    <x v="198"/>
    <x v="1"/>
    <s v="pagado"/>
    <s v="pagado"/>
    <x v="0"/>
  </r>
  <r>
    <n v="3000000616"/>
    <d v="2026-05-12T00:00:00"/>
    <n v="17940355.829999998"/>
    <s v="SIGMA AGRO SA MERCEDES 01"/>
    <x v="1233"/>
    <n v="17940355.829999998"/>
    <x v="199"/>
    <x v="1"/>
    <s v="pagado"/>
    <s v="pagado"/>
    <x v="0"/>
  </r>
  <r>
    <n v="3000000403"/>
    <d v="2026-03-25T00:00:00"/>
    <n v="0"/>
    <s v="invalidado med.EOLIVERA -Vencimiento BCRA"/>
    <x v="1167"/>
    <n v="0"/>
    <x v="186"/>
    <x v="1"/>
    <s v="no pagado"/>
    <s v="fuera de fecha"/>
    <x v="0"/>
  </r>
  <r>
    <n v="3000000633"/>
    <d v="2026-05-13T00:00:00"/>
    <n v="18464270"/>
    <s v="EDET S.A. SAN MIGUEL DE TUCUMAN 14"/>
    <x v="1234"/>
    <n v="18464270"/>
    <x v="198"/>
    <x v="1"/>
    <s v="pagado"/>
    <s v="pagado"/>
    <x v="0"/>
  </r>
  <r>
    <n v="3000000403"/>
    <d v="2026-05-13T00:00:00"/>
    <n v="7254347.0999999996"/>
    <s v="LIZONDO OSCAR FABIAN METAN 09"/>
    <x v="1235"/>
    <n v="7254347.0999999996"/>
    <x v="200"/>
    <x v="1"/>
    <s v="pagado"/>
    <s v="pagado"/>
    <x v="0"/>
  </r>
  <r>
    <n v="3000000651"/>
    <d v="2026-05-19T00:00:00"/>
    <n v="8328689.8499999996"/>
    <s v="LOGISTICA CENTRO S.R.L CORONDA 12"/>
    <x v="1236"/>
    <n v="8328689.8499999996"/>
    <x v="201"/>
    <x v="1"/>
    <s v="no pagado"/>
    <s v="fuera de fecha"/>
    <x v="0"/>
  </r>
  <r>
    <n v="3000000652"/>
    <d v="2026-05-19T00:00:00"/>
    <n v="5502512.3200000003"/>
    <s v="TRANS TRUCKS SRL SOLDINI 12"/>
    <x v="1237"/>
    <n v="5502512.3200000003"/>
    <x v="201"/>
    <x v="1"/>
    <s v="no pagado"/>
    <s v="fuera de fecha"/>
    <x v="0"/>
  </r>
  <r>
    <n v="3000000686"/>
    <d v="2026-05-26T00:00:00"/>
    <n v="22000000"/>
    <s v="JAVIER EDUARDO PRADO FLORIDA 13"/>
    <x v="1238"/>
    <n v="22000000"/>
    <x v="202"/>
    <x v="1"/>
    <s v="pagado"/>
    <s v="pagado"/>
    <x v="0"/>
  </r>
  <r>
    <n v="3000000686"/>
    <d v="2026-05-26T00:00:00"/>
    <n v="22845348.390000001"/>
    <s v="JAVIER EDUARDO PRADO FLORIDA 13"/>
    <x v="1239"/>
    <n v="22845348.390000001"/>
    <x v="203"/>
    <x v="1"/>
    <s v="pagado"/>
    <s v="pagado"/>
    <x v="0"/>
  </r>
  <r>
    <n v="3000000688"/>
    <d v="2026-05-26T00:00:00"/>
    <n v="20000000"/>
    <s v="TRANSPORTE BARBERAN HNOS SRL CHABAS 12"/>
    <x v="1240"/>
    <n v="20000000"/>
    <x v="202"/>
    <x v="1"/>
    <s v="pagado"/>
    <s v="pagado"/>
    <x v="0"/>
  </r>
  <r>
    <n v="3000000688"/>
    <d v="2026-05-26T00:00:00"/>
    <n v="17568570.309999999"/>
    <s v="TRANSPORTE BARBERAN HNOS SRL CHABAS 12"/>
    <x v="1241"/>
    <n v="17568570.309999999"/>
    <x v="203"/>
    <x v="1"/>
    <s v="pagado"/>
    <s v="pagado"/>
    <x v="0"/>
  </r>
  <r>
    <n v="3000000679"/>
    <d v="2026-05-26T00:00:00"/>
    <n v="7999281.9299999997"/>
    <s v="MAGLI FLORENCIA CAROLINA LAS TALITAS 14"/>
    <x v="1242"/>
    <n v="7999281.9299999997"/>
    <x v="202"/>
    <x v="1"/>
    <s v="pagado"/>
    <s v="pagado"/>
    <x v="0"/>
  </r>
  <r>
    <n v="3000000680"/>
    <d v="2026-05-26T00:00:00"/>
    <n v="6231435.5999999996"/>
    <s v="LANGELLA JUAN RODOLFO ALDERETES 14"/>
    <x v="1243"/>
    <n v="6231435.5999999996"/>
    <x v="202"/>
    <x v="1"/>
    <s v="pagado"/>
    <s v="pagado"/>
    <x v="0"/>
  </r>
  <r>
    <n v="3000000681"/>
    <d v="2026-05-26T00:00:00"/>
    <n v="4206842.33"/>
    <s v="TRANSPORTE RAUL S.R.L SAN MIGUEL DE TUCUMAN 14"/>
    <x v="1244"/>
    <n v="4206842.33"/>
    <x v="202"/>
    <x v="1"/>
    <s v="pagado"/>
    <s v="pagado"/>
    <x v="0"/>
  </r>
  <r>
    <n v="3000000682"/>
    <d v="2026-05-26T00:00:00"/>
    <n v="15800091.18"/>
    <s v="BLEXA S. A. SALTA 09"/>
    <x v="1245"/>
    <n v="15800091.18"/>
    <x v="202"/>
    <x v="1"/>
    <s v="pagado"/>
    <s v="pagado"/>
    <x v="0"/>
  </r>
  <r>
    <n v="3000000683"/>
    <d v="2026-05-26T00:00:00"/>
    <n v="19170614.399999999"/>
    <s v="Pulmajo S.R.L. CONCEPCION 14"/>
    <x v="1246"/>
    <n v="19170614.399999999"/>
    <x v="202"/>
    <x v="1"/>
    <s v="pagado"/>
    <s v="pagado"/>
    <x v="0"/>
  </r>
  <r>
    <n v="3000000684"/>
    <d v="2026-05-26T00:00:00"/>
    <n v="21325187.800000001"/>
    <s v="RODRIGUEZ NESTOR HORACIO YERBA BUENA 14"/>
    <x v="1247"/>
    <n v="21325187.800000001"/>
    <x v="202"/>
    <x v="1"/>
    <s v="pagado"/>
    <s v="pagado"/>
    <x v="0"/>
  </r>
  <r>
    <n v="3000000685"/>
    <d v="2026-05-26T00:00:00"/>
    <n v="16986475"/>
    <s v="Suc. de Ventimiglia Nelly IrmJesus Maria 03"/>
    <x v="1248"/>
    <n v="16986475"/>
    <x v="202"/>
    <x v="1"/>
    <s v="pagado"/>
    <s v="pagado"/>
    <x v="0"/>
  </r>
  <r>
    <n v="3000000687"/>
    <d v="2026-05-26T00:00:00"/>
    <n v="13230926.49"/>
    <s v="GOMEZ JESSICA NOELIA LAS TALITAS 14"/>
    <x v="1249"/>
    <n v="13230926.49"/>
    <x v="202"/>
    <x v="1"/>
    <s v="pagado"/>
    <s v="pagado"/>
    <x v="0"/>
  </r>
  <r>
    <n v="3000000689"/>
    <d v="2026-05-26T00:00:00"/>
    <n v="7851768.5499999998"/>
    <s v="TRANSPORTE GLOBAL SAS SAN MIGUEL DE TUCUMAN 14"/>
    <x v="1250"/>
    <n v="7851768.5499999998"/>
    <x v="202"/>
    <x v="1"/>
    <s v="pagado"/>
    <s v="pagado"/>
    <x v="0"/>
  </r>
  <r>
    <n v="3000000690"/>
    <d v="2026-05-26T00:00:00"/>
    <n v="25082412.280000001"/>
    <s v="GUERRERO DANIEL MARCELO ALDERETES 14"/>
    <x v="1251"/>
    <n v="25082412.280000001"/>
    <x v="203"/>
    <x v="1"/>
    <s v="pagado"/>
    <s v="pagado"/>
    <x v="0"/>
  </r>
  <r>
    <n v="3000000691"/>
    <d v="2026-05-26T00:00:00"/>
    <n v="27931324.600000001"/>
    <s v="PAIS WALTER LUIS SAN MIGUEL DE TUCUMAN 14"/>
    <x v="1252"/>
    <n v="27931324.600000001"/>
    <x v="203"/>
    <x v="1"/>
    <s v="pagado"/>
    <s v="pagado"/>
    <x v="0"/>
  </r>
  <r>
    <n v="3000000708"/>
    <d v="2026-05-28T00:00:00"/>
    <n v="1729418.55"/>
    <s v="AGROGANADERA DEL NOA CEVIL POZO 14"/>
    <x v="1253"/>
    <n v="1729418.55"/>
    <x v="204"/>
    <x v="1"/>
    <s v="pagado"/>
    <s v="pagado"/>
    <x v="0"/>
  </r>
  <r>
    <n v="3000000714"/>
    <d v="2026-06-01T00:00:00"/>
    <n v="39510383.93"/>
    <s v="AYALA WALTER DANIEL ALDERETES 14"/>
    <x v="1254"/>
    <n v="39510383.93"/>
    <x v="205"/>
    <x v="1"/>
    <s v="pagado"/>
    <s v="pagado"/>
    <x v="0"/>
  </r>
  <r>
    <n v="3000000715"/>
    <d v="2026-06-01T00:00:00"/>
    <n v="11421078.9"/>
    <s v="LOS LAURELES SERVICIOS AGRICOLSan Miguel De Tucuman 14"/>
    <x v="1255"/>
    <n v="11421078.9"/>
    <x v="205"/>
    <x v="1"/>
    <s v="pagado"/>
    <s v="pagado"/>
    <x v="0"/>
  </r>
  <r>
    <n v="3000000716"/>
    <d v="2026-06-01T00:00:00"/>
    <n v="24707948.550000001"/>
    <s v="DON KOKO S.R.L CAMILO ALDAO 03"/>
    <x v="1256"/>
    <n v="24707948.550000001"/>
    <x v="205"/>
    <x v="1"/>
    <s v="pagado"/>
    <s v="pagado"/>
    <x v="0"/>
  </r>
  <r>
    <n v="3000000717"/>
    <d v="2026-06-01T00:00:00"/>
    <n v="16760426.4"/>
    <s v="Medina Lauro Jose Las Cejas 14"/>
    <x v="1257"/>
    <n v="16760426.4"/>
    <x v="205"/>
    <x v="1"/>
    <s v="pagado"/>
    <s v="pagado"/>
    <x v="0"/>
  </r>
  <r>
    <n v="3000000718"/>
    <d v="2026-06-01T00:00:00"/>
    <n v="5347592.75"/>
    <s v="TRT SA SANTA FE 12"/>
    <x v="1258"/>
    <n v="5347592.75"/>
    <x v="205"/>
    <x v="1"/>
    <s v="pagado"/>
    <s v="pagado"/>
    <x v="0"/>
  </r>
  <r>
    <n v="3000000719"/>
    <d v="2026-06-01T00:00:00"/>
    <n v="6045237.5800000001"/>
    <s v="TRANSPORTE Y LOG VIENTO NORTE LAS TALITAS 14"/>
    <x v="1259"/>
    <n v="6045237.5800000001"/>
    <x v="205"/>
    <x v="1"/>
    <s v="pagado"/>
    <s v="pagado"/>
    <x v="0"/>
  </r>
  <r>
    <n v="3000000720"/>
    <d v="2026-06-01T00:00:00"/>
    <n v="20749620.039999999"/>
    <s v="JAVIER EDUARDO PRADO FLORIDA 13"/>
    <x v="1260"/>
    <n v="20749620.039999999"/>
    <x v="205"/>
    <x v="1"/>
    <s v="pagado"/>
    <s v="pagado"/>
    <x v="0"/>
  </r>
  <r>
    <n v="3000000721"/>
    <d v="2026-06-01T00:00:00"/>
    <n v="47956213.560000002"/>
    <s v="DANIEL MARCELO GUERRERO ALDERETES 14"/>
    <x v="1261"/>
    <n v="47956213.560000002"/>
    <x v="205"/>
    <x v="1"/>
    <s v="pagado"/>
    <s v="pagado"/>
    <x v="0"/>
  </r>
  <r>
    <n v="3000000722"/>
    <d v="2026-06-01T00:00:00"/>
    <n v="27326253.989999998"/>
    <s v="GOMEZ JESSICA NOELIA LAS TALITAS 14"/>
    <x v="1262"/>
    <n v="27326253.989999998"/>
    <x v="205"/>
    <x v="1"/>
    <s v="pagado"/>
    <s v="pagado"/>
    <x v="0"/>
  </r>
  <r>
    <n v="3000000723"/>
    <d v="2026-06-02T00:00:00"/>
    <n v="26125000"/>
    <s v="GRUPO MARGEN DEL NOA SA YERBA BUENA 14"/>
    <x v="1263"/>
    <n v="26125000"/>
    <x v="205"/>
    <x v="1"/>
    <s v="pagado"/>
    <s v="pagado"/>
    <x v="0"/>
  </r>
  <r>
    <n v="3000000723"/>
    <d v="2026-06-02T00:00:00"/>
    <n v="26125000"/>
    <s v="GRUPO MARGEN DEL NOA SA YERBA BUENA 14"/>
    <x v="1264"/>
    <n v="26125000"/>
    <x v="205"/>
    <x v="1"/>
    <s v="pagado"/>
    <s v="pagado"/>
    <x v="0"/>
  </r>
  <r>
    <n v="3000000723"/>
    <d v="2026-06-02T00:00:00"/>
    <n v="26125000"/>
    <s v="GRUPO MARGEN DEL NOA SA YERBA BUENA 14"/>
    <x v="1265"/>
    <n v="26125000"/>
    <x v="205"/>
    <x v="1"/>
    <s v="pagado"/>
    <s v="pagado"/>
    <x v="0"/>
  </r>
  <r>
    <n v="3000000723"/>
    <d v="2026-06-02T00:00:00"/>
    <n v="26125000"/>
    <s v="GRUPO MARGEN DEL NOA SA YERBA BUENA 14"/>
    <x v="1266"/>
    <n v="26125000"/>
    <x v="205"/>
    <x v="1"/>
    <s v="pagado"/>
    <s v="pagado"/>
    <x v="0"/>
  </r>
  <r>
    <n v="3000000723"/>
    <d v="2026-06-02T00:00:00"/>
    <n v="26125000"/>
    <s v="GRUPO MARGEN DEL NOA SA YERBA BUENA 14"/>
    <x v="1267"/>
    <n v="26125000"/>
    <x v="205"/>
    <x v="1"/>
    <s v="pagado"/>
    <s v="pagado"/>
    <x v="0"/>
  </r>
  <r>
    <n v="3000000723"/>
    <d v="2026-06-02T00:00:00"/>
    <n v="26126343.399999999"/>
    <s v="GRUPO MARGEN DEL NOA SA YERBA BUENA 14"/>
    <x v="1268"/>
    <n v="26126343.399999999"/>
    <x v="205"/>
    <x v="1"/>
    <s v="pagado"/>
    <s v="pagado"/>
    <x v="0"/>
  </r>
  <r>
    <n v="3000000727"/>
    <d v="2026-06-03T00:00:00"/>
    <n v="13223336.6"/>
    <s v="SAN LORENZO CEREALES S.R.L SAN LORENZO 12"/>
    <x v="1269"/>
    <n v="13223336.6"/>
    <x v="206"/>
    <x v="1"/>
    <s v="pagado"/>
    <s v="pagado"/>
    <x v="0"/>
  </r>
  <r>
    <n v="3000000727"/>
    <d v="2026-06-03T00:00:00"/>
    <n v="10000000"/>
    <s v="SAN LORENZO CEREALES S.R.L SAN LORENZO 12"/>
    <x v="1270"/>
    <n v="10000000"/>
    <x v="207"/>
    <x v="1"/>
    <s v="pagado"/>
    <s v="pagado"/>
    <x v="0"/>
  </r>
  <r>
    <n v="3000000728"/>
    <d v="2026-06-03T00:00:00"/>
    <n v="18325012.579999998"/>
    <s v="MOLINA JUAN F. Y MOLINA ROQUE Lastenia 14"/>
    <x v="1271"/>
    <n v="18325012.579999998"/>
    <x v="206"/>
    <x v="1"/>
    <s v="pagado"/>
    <s v="pagado"/>
    <x v="0"/>
  </r>
  <r>
    <n v="3000000728"/>
    <d v="2026-06-03T00:00:00"/>
    <n v="10000000"/>
    <s v="MOLINA JUAN F. Y MOLINA ROQUE Lastenia 14"/>
    <x v="1272"/>
    <n v="10000000"/>
    <x v="207"/>
    <x v="1"/>
    <s v="pagado"/>
    <s v="pagado"/>
    <x v="0"/>
  </r>
  <r>
    <n v="3000000728"/>
    <d v="2026-06-03T00:00:00"/>
    <n v="10000000"/>
    <s v="MOLINA JUAN F. Y MOLINA ROQUE Lastenia 14"/>
    <x v="1273"/>
    <n v="10000000"/>
    <x v="207"/>
    <x v="1"/>
    <s v="pagado"/>
    <s v="pagado"/>
    <x v="0"/>
  </r>
  <r>
    <n v="3000000729"/>
    <d v="2026-06-03T00:00:00"/>
    <n v="8666567.9199999999"/>
    <s v="ARAGON CARLOS DANIEL LA BANDA 13"/>
    <x v="1274"/>
    <n v="8666567.9199999999"/>
    <x v="207"/>
    <x v="1"/>
    <s v="pagado"/>
    <s v="pagado"/>
    <x v="0"/>
  </r>
  <r>
    <n v="3000000730"/>
    <d v="2026-06-03T00:00:00"/>
    <n v="8848172.2400000002"/>
    <s v="RUIZ CRISTIAN ALEJANDRO . LA FLORIDA 14"/>
    <x v="1275"/>
    <n v="8848172.2400000002"/>
    <x v="207"/>
    <x v="1"/>
    <s v="pagado"/>
    <s v="pagado"/>
    <x v="0"/>
  </r>
  <r>
    <n v="3000000731"/>
    <d v="2026-06-03T00:00:00"/>
    <n v="8566961.3000000007"/>
    <s v="MEDINA DISTRIBUCIONES SAS TAFI VIEJO 14"/>
    <x v="1276"/>
    <n v="8566961.3000000007"/>
    <x v="207"/>
    <x v="1"/>
    <s v="pagado"/>
    <s v="pagado"/>
    <x v="0"/>
  </r>
  <r>
    <n v="3000000748"/>
    <d v="2026-06-09T00:00:00"/>
    <n v="386632.5"/>
    <s v="ALGOSERVICIOS SA CAPTAL FEDERAL 00"/>
    <x v="1277"/>
    <n v="386632.5"/>
    <x v="208"/>
    <x v="1"/>
    <s v="pagado"/>
    <s v="pagado"/>
    <x v="0"/>
  </r>
  <r>
    <n v="3000000750"/>
    <d v="2026-06-09T00:00:00"/>
    <n v="3930543.4"/>
    <s v="Pulmajo S.R.L. CONCEPCION 14"/>
    <x v="1278"/>
    <n v="3930543.4"/>
    <x v="209"/>
    <x v="1"/>
    <s v="pagado"/>
    <s v="pagado"/>
    <x v="0"/>
  </r>
  <r>
    <n v="3000000751"/>
    <d v="2026-06-09T00:00:00"/>
    <n v="4029520"/>
    <s v="Medina Lauro Jose Las Cejas 14"/>
    <x v="1279"/>
    <n v="4029520"/>
    <x v="209"/>
    <x v="1"/>
    <s v="pagado"/>
    <s v="pagado"/>
    <x v="0"/>
  </r>
  <r>
    <n v="3000000752"/>
    <d v="2026-06-09T00:00:00"/>
    <n v="7160429.4000000004"/>
    <s v="RODRIGUEZ NESTOR HORACIO YERBA BUENA 14"/>
    <x v="1280"/>
    <n v="7160429.4000000004"/>
    <x v="209"/>
    <x v="1"/>
    <s v="pagado"/>
    <s v="pagado"/>
    <x v="0"/>
  </r>
  <r>
    <n v="3000000753"/>
    <d v="2026-06-09T00:00:00"/>
    <n v="30975818.530000001"/>
    <s v="DON KOKO S.R.L CAMILO ALDAO 03"/>
    <x v="1281"/>
    <n v="30975818.530000001"/>
    <x v="209"/>
    <x v="1"/>
    <s v="pagado"/>
    <s v="pagado"/>
    <x v="0"/>
  </r>
  <r>
    <n v="3000000767"/>
    <d v="2026-06-11T00:00:00"/>
    <n v="6266927.9400000004"/>
    <s v="SAN LORENZO CEREALES S.R.L SAN LORENZO 12"/>
    <x v="1282"/>
    <n v="6266927.9400000004"/>
    <x v="210"/>
    <x v="1"/>
    <s v="pagado"/>
    <s v="pagado"/>
    <x v="0"/>
  </r>
  <r>
    <n v="3000000768"/>
    <d v="2026-06-11T00:00:00"/>
    <n v="22805764.469999999"/>
    <s v="JAVIER EDUARDO PRADO FLORIDA 13"/>
    <x v="1283"/>
    <n v="22805764.469999999"/>
    <x v="211"/>
    <x v="1"/>
    <s v="pagado"/>
    <s v="pagado"/>
    <x v="0"/>
  </r>
  <r>
    <n v="3000000769"/>
    <d v="2026-06-11T00:00:00"/>
    <n v="11180191.359999999"/>
    <s v="MAGLI FLORENCIA CAROLINA LAS TALITAS 14"/>
    <x v="1284"/>
    <n v="11180191.359999999"/>
    <x v="210"/>
    <x v="1"/>
    <s v="pagado"/>
    <s v="pagado"/>
    <x v="0"/>
  </r>
  <r>
    <n v="3000000770"/>
    <d v="2026-06-12T00:00:00"/>
    <n v="12469246.310000001"/>
    <s v="TRANSPORTE BARBERAN HNOS SRL CHABAS 12"/>
    <x v="1285"/>
    <n v="12469246.310000001"/>
    <x v="211"/>
    <x v="1"/>
    <s v="pagado"/>
    <s v="pagado"/>
    <x v="0"/>
  </r>
  <r>
    <n v="3000000771"/>
    <d v="2026-06-12T00:00:00"/>
    <n v="5559589.7300000004"/>
    <s v="RUIZ CRISTIAN ALEJANDRO . LA FLORIDA 14"/>
    <x v="1286"/>
    <n v="5559589.7300000004"/>
    <x v="210"/>
    <x v="1"/>
    <s v="pagado"/>
    <s v="pagado"/>
    <x v="0"/>
  </r>
  <r>
    <n v="3000000772"/>
    <d v="2026-06-12T00:00:00"/>
    <n v="14191958.359999999"/>
    <s v="ANTONACCI LUIS GABRIEL LA FLORIDA 14"/>
    <x v="1287"/>
    <n v="14191958.359999999"/>
    <x v="210"/>
    <x v="1"/>
    <s v="pagado"/>
    <s v="pagado"/>
    <x v="0"/>
  </r>
  <r>
    <n v="3000000784"/>
    <d v="2026-06-16T00:00:00"/>
    <n v="10897105"/>
    <s v="RASUK JORGE LUIS YERBA BUENA 14"/>
    <x v="1288"/>
    <n v="10897105"/>
    <x v="212"/>
    <x v="1"/>
    <s v="pagado"/>
    <s v="pagado"/>
    <x v="0"/>
  </r>
  <r>
    <n v="3000000785"/>
    <d v="2026-06-16T00:00:00"/>
    <n v="6774027.6399999997"/>
    <s v="BLEXA S. A. SALTA 09"/>
    <x v="1289"/>
    <n v="6774027.6399999997"/>
    <x v="212"/>
    <x v="1"/>
    <s v="pagado"/>
    <s v="pagado"/>
    <x v="0"/>
  </r>
  <r>
    <n v="3000000786"/>
    <d v="2026-06-16T00:00:00"/>
    <n v="11517045.15"/>
    <s v="ROMAN BARCELO Y JORGE CARRERASLAS LAJITAS 09"/>
    <x v="1290"/>
    <n v="11517045.15"/>
    <x v="212"/>
    <x v="1"/>
    <s v="pagado"/>
    <s v="pagado"/>
    <x v="0"/>
  </r>
  <r>
    <n v="3000000787"/>
    <d v="2026-06-16T00:00:00"/>
    <n v="11485588.4"/>
    <s v="M.A.D Serv y mant eléctri SAN MIGUEL DE TUCUMAN 14"/>
    <x v="1291"/>
    <n v="11485588.4"/>
    <x v="212"/>
    <x v="1"/>
    <s v="pagado"/>
    <s v="pagado"/>
    <x v="0"/>
  </r>
  <r>
    <n v="3000000788"/>
    <d v="2026-06-16T00:00:00"/>
    <n v="20517150.07"/>
    <s v="AYALA HERNAN OSVALDO SAN MIGUEL DE TUCUMAN 14"/>
    <x v="1292"/>
    <n v="20517150.07"/>
    <x v="212"/>
    <x v="1"/>
    <s v="pagado"/>
    <s v="pagado"/>
    <x v="0"/>
  </r>
  <r>
    <n v="3000000789"/>
    <d v="2026-06-16T00:00:00"/>
    <n v="25452864.899999999"/>
    <s v="GRUPO MARGEN DEL NOA SA YERBA BUENA 14"/>
    <x v="1293"/>
    <n v="25452864.899999999"/>
    <x v="212"/>
    <x v="1"/>
    <s v="pagado"/>
    <s v="pagado"/>
    <x v="0"/>
  </r>
  <r>
    <n v="3000000790"/>
    <d v="2026-06-16T00:00:00"/>
    <n v="8802519.6999999993"/>
    <s v="RODRIGUEZ NESTOR HORACIO YERBA BUENA 14"/>
    <x v="1294"/>
    <n v="8802519.6999999993"/>
    <x v="212"/>
    <x v="1"/>
    <s v="pagado"/>
    <s v="pagado"/>
    <x v="0"/>
  </r>
  <r>
    <n v="3000000791"/>
    <d v="2026-06-16T00:00:00"/>
    <n v="21621949.449999999"/>
    <s v="Medina Lauro Jose Las Cejas 14"/>
    <x v="1295"/>
    <n v="21621949.449999999"/>
    <x v="212"/>
    <x v="1"/>
    <s v="pagado"/>
    <s v="pagado"/>
    <x v="0"/>
  </r>
  <r>
    <n v="3000000793"/>
    <d v="2026-06-17T00:00:00"/>
    <n v="6035817.04"/>
    <s v="LANGELLA JUAN RODOLFO ALDERETES 14"/>
    <x v="1296"/>
    <n v="6035817.04"/>
    <x v="113"/>
    <x v="1"/>
    <s v="pagado"/>
    <s v="pagado"/>
    <x v="0"/>
  </r>
  <r>
    <n v="3000000794"/>
    <d v="2026-06-17T00:00:00"/>
    <n v="41101116.460000001"/>
    <s v="TRANSPORTE LUIS SANDOVAL S.A.SLOS VALLISTOS 14"/>
    <x v="1297"/>
    <n v="41101116.460000001"/>
    <x v="113"/>
    <x v="1"/>
    <s v="pagado"/>
    <s v="pagado"/>
    <x v="0"/>
  </r>
  <r>
    <n v="3000000795"/>
    <d v="2026-06-17T00:00:00"/>
    <n v="10343247.779999999"/>
    <s v="ABUT TRANSPORTES SA CENTENO 12"/>
    <x v="1298"/>
    <n v="10343247.779999999"/>
    <x v="113"/>
    <x v="1"/>
    <s v="pagado"/>
    <s v="pagado"/>
    <x v="0"/>
  </r>
  <r>
    <n v="3000000796"/>
    <d v="2026-06-17T00:00:00"/>
    <n v="11355557.26"/>
    <s v="LOGISTICA CENTRO S.R.L CORONDA 12"/>
    <x v="1299"/>
    <n v="11355557.26"/>
    <x v="113"/>
    <x v="1"/>
    <s v="pagado"/>
    <s v="pagado"/>
    <x v="0"/>
  </r>
  <r>
    <n v="3000000797"/>
    <d v="2026-06-17T00:00:00"/>
    <n v="37723375.840000004"/>
    <s v="DANIEL MARCELO GUERRERO ALDERETES 14"/>
    <x v="1300"/>
    <n v="37723375.840000004"/>
    <x v="113"/>
    <x v="1"/>
    <s v="pagado"/>
    <s v="pagado"/>
    <x v="0"/>
  </r>
  <r>
    <n v="3000000798"/>
    <d v="2026-06-17T00:00:00"/>
    <n v="7284326.3700000001"/>
    <s v="TRANSPORTE BARBERAN HNOS SRL CHABAS 12"/>
    <x v="1301"/>
    <n v="7284326.3700000001"/>
    <x v="113"/>
    <x v="1"/>
    <s v="pagado"/>
    <s v="pagado"/>
    <x v="0"/>
  </r>
  <r>
    <n v="3000000799"/>
    <d v="2026-06-17T00:00:00"/>
    <n v="14125784.199999999"/>
    <s v="MOYANO SERGIO ESTEBAN BANDA DEL RIO SALI 14"/>
    <x v="1302"/>
    <n v="14125784.199999999"/>
    <x v="113"/>
    <x v="1"/>
    <s v="pagado"/>
    <s v="pagado"/>
    <x v="0"/>
  </r>
  <r>
    <n v="3000000800"/>
    <d v="2026-06-17T00:00:00"/>
    <n v="8687299.3599999994"/>
    <s v="LOGISTICA DEL NORTE S.R.L. SAN MIGUEL DE TUCUMAN 14"/>
    <x v="1303"/>
    <n v="8687299.3599999994"/>
    <x v="113"/>
    <x v="1"/>
    <s v="pagado"/>
    <s v="pagado"/>
    <x v="0"/>
  </r>
  <r>
    <n v="3000000824"/>
    <d v="2026-06-22T00:00:00"/>
    <n v="14822176.32"/>
    <s v="LOS LAURELES SERVICIOS AGRICOLSan Miguel De Tucuman 14"/>
    <x v="1304"/>
    <n v="14822176.32"/>
    <x v="213"/>
    <x v="1"/>
    <s v="pagado"/>
    <s v="pagado"/>
    <x v="0"/>
  </r>
  <r>
    <n v="3000000825"/>
    <d v="2026-06-22T00:00:00"/>
    <n v="5539094.4299999997"/>
    <s v="GARCIA JORGE LUIS METAN 09"/>
    <x v="1305"/>
    <n v="5539094.4299999997"/>
    <x v="213"/>
    <x v="1"/>
    <s v="pagado"/>
    <s v="pagado"/>
    <x v="0"/>
  </r>
  <r>
    <n v="3000000826"/>
    <d v="2026-06-22T00:00:00"/>
    <n v="9873160"/>
    <s v="Pulmajo S.R.L. CONCEPCION 14"/>
    <x v="1306"/>
    <n v="9873160"/>
    <x v="213"/>
    <x v="1"/>
    <s v="pagado"/>
    <s v="pagado"/>
    <x v="0"/>
  </r>
  <r>
    <n v="3000000827"/>
    <d v="2026-06-22T00:00:00"/>
    <n v="9808121.3300000001"/>
    <s v="AYALA WALTER DANIEL ALDERETES 14"/>
    <x v="1307"/>
    <n v="9808121.3300000001"/>
    <x v="213"/>
    <x v="1"/>
    <s v="pagado"/>
    <s v="pagado"/>
    <x v="0"/>
  </r>
  <r>
    <n v="3000000828"/>
    <d v="2026-06-22T00:00:00"/>
    <n v="2097127.05"/>
    <s v="BLEXA S. A. SALTA 09"/>
    <x v="1308"/>
    <n v="2097127.05"/>
    <x v="213"/>
    <x v="1"/>
    <s v="pagado"/>
    <s v="pagado"/>
    <x v="0"/>
  </r>
  <r>
    <n v="3000000836"/>
    <d v="2026-06-23T00:00:00"/>
    <n v="3385381.52"/>
    <s v="CITRUSVIL S.A. CEVIL POZO 14"/>
    <x v="1309"/>
    <n v="3385381.52"/>
    <x v="214"/>
    <x v="1"/>
    <s v="pagado"/>
    <s v="pagado"/>
    <x v="0"/>
  </r>
  <r>
    <n v="3000000836"/>
    <d v="2026-06-23T00:00:00"/>
    <n v="3077021.59"/>
    <s v="CITRUSVIL S.A. CEVIL POZO 14"/>
    <x v="1310"/>
    <n v="3077021.59"/>
    <x v="214"/>
    <x v="1"/>
    <s v="pagado"/>
    <s v="pagado"/>
    <x v="0"/>
  </r>
  <r>
    <n v="3000000837"/>
    <d v="2026-06-23T00:00:00"/>
    <n v="22174245.18"/>
    <s v="AGROGANADERA DEL NOA CEVIL POZO 14"/>
    <x v="1311"/>
    <n v="22174245.18"/>
    <x v="214"/>
    <x v="1"/>
    <s v="pagado"/>
    <s v="pagado"/>
    <x v="0"/>
  </r>
  <r>
    <n v="3000000842"/>
    <d v="2026-06-24T00:00:00"/>
    <n v="1805517.4"/>
    <s v="Consorcio de Propietarios SPCLLules 14"/>
    <x v="1312"/>
    <n v="1805517.4"/>
    <x v="96"/>
    <x v="1"/>
    <s v="pagado"/>
    <s v="pagado"/>
    <x v="0"/>
  </r>
  <r>
    <n v="3000000842"/>
    <d v="2026-06-24T00:00:00"/>
    <n v="15829312.57"/>
    <s v="Consorcio de Propietarios SPCLLules 14"/>
    <x v="1313"/>
    <n v="15829312.57"/>
    <x v="96"/>
    <x v="1"/>
    <s v="pagado"/>
    <s v="pagado"/>
    <x v="0"/>
  </r>
  <r>
    <n v="3000000859"/>
    <d v="2026-06-29T00:00:00"/>
    <n v="7812295"/>
    <s v="M.A.D Serv y mant eléctri SAN MIGUEL DE TUCUMAN 14"/>
    <x v="1314"/>
    <n v="7812295"/>
    <x v="215"/>
    <x v="1"/>
    <s v="pagado"/>
    <s v="pagado"/>
    <x v="0"/>
  </r>
  <r>
    <n v="3000000860"/>
    <d v="2026-06-29T00:00:00"/>
    <n v="10861100.939999999"/>
    <s v="JAVIER EDUARDO FLORIDA 13"/>
    <x v="1315"/>
    <n v="10861100.939999999"/>
    <x v="215"/>
    <x v="1"/>
    <s v="pagado"/>
    <s v="pagado"/>
    <x v="0"/>
  </r>
  <r>
    <n v="3000000861"/>
    <d v="2026-06-29T00:00:00"/>
    <n v="7269071.96"/>
    <s v="AGROTRANSPORTE ALDAO S.A. CAMILO ALDAO 03"/>
    <x v="1316"/>
    <n v="7269071.96"/>
    <x v="215"/>
    <x v="1"/>
    <s v="pagado"/>
    <s v="pagado"/>
    <x v="0"/>
  </r>
  <r>
    <n v="3000000862"/>
    <d v="2026-06-29T00:00:00"/>
    <n v="7771500"/>
    <s v="ARAGON CARLOS DANIEL LA BANDA 13"/>
    <x v="1317"/>
    <n v="7771500"/>
    <x v="215"/>
    <x v="1"/>
    <s v="pagado"/>
    <s v="pagado"/>
    <x v="0"/>
  </r>
  <r>
    <n v="3000000863"/>
    <d v="2026-06-29T00:00:00"/>
    <n v="20747224.84"/>
    <s v="PAIS WALTER LUIS SAN MIGUEL DE TUCUMAN 14"/>
    <x v="1318"/>
    <n v="20747224.84"/>
    <x v="215"/>
    <x v="1"/>
    <s v="pagado"/>
    <s v="pagado"/>
    <x v="0"/>
  </r>
  <r>
    <n v="3000000864"/>
    <d v="2026-06-29T00:00:00"/>
    <n v="11348690.77"/>
    <s v="MOYANO JULIO CESAR BANDA DEL RIO SALI 14"/>
    <x v="1319"/>
    <n v="11348690.77"/>
    <x v="215"/>
    <x v="1"/>
    <s v="pagado"/>
    <s v="pagado"/>
    <x v="0"/>
  </r>
  <r>
    <n v="3000000865"/>
    <d v="2026-06-29T00:00:00"/>
    <n v="8193693.7199999997"/>
    <s v="ECONOMIC FUEL SRL JUJUY 08"/>
    <x v="1320"/>
    <n v="8193693.7199999997"/>
    <x v="215"/>
    <x v="1"/>
    <s v="pagado"/>
    <s v="pagado"/>
    <x v="0"/>
  </r>
  <r>
    <n v="3000000866"/>
    <d v="2026-06-29T00:00:00"/>
    <n v="6782084.4500000002"/>
    <s v="ADVANTA SEMILLAS SAIC JUNIN 01"/>
    <x v="1321"/>
    <n v="6782084.4500000002"/>
    <x v="215"/>
    <x v="1"/>
    <s v="pagado"/>
    <s v="pagado"/>
    <x v="0"/>
  </r>
  <r>
    <n v="3000000867"/>
    <d v="2026-06-29T00:00:00"/>
    <n v="9006315.8900000006"/>
    <s v="LASTRINA CARMELO ALTO VERDE 14"/>
    <x v="1322"/>
    <n v="9006315.8900000006"/>
    <x v="215"/>
    <x v="1"/>
    <s v="pagado"/>
    <s v="pagado"/>
    <x v="0"/>
  </r>
  <r>
    <n v="3000000868"/>
    <d v="2026-06-29T00:00:00"/>
    <n v="9031874.2599999998"/>
    <s v="AGUERA CRISTIAN MARTIN CONCEPCION 14"/>
    <x v="1323"/>
    <n v="9031874.2599999998"/>
    <x v="215"/>
    <x v="1"/>
    <s v="pagado"/>
    <s v="pagado"/>
    <x v="0"/>
  </r>
  <r>
    <n v="3000000875"/>
    <d v="2026-07-01T00:00:00"/>
    <n v="7897880.0199999996"/>
    <s v="BUSTOS CESAR ANIBAL BANDAL DE RIO SALI 14"/>
    <x v="1324"/>
    <n v="7897880.0199999996"/>
    <x v="216"/>
    <x v="1"/>
    <s v="pagado"/>
    <s v="pagado"/>
    <x v="0"/>
  </r>
  <r>
    <n v="3000000876"/>
    <d v="2026-07-01T00:00:00"/>
    <n v="13435725.32"/>
    <s v="LOGISTICA CENTRO S.R.L CORONDA 12"/>
    <x v="1325"/>
    <n v="13435725.32"/>
    <x v="216"/>
    <x v="1"/>
    <s v="pagado"/>
    <s v="pagado"/>
    <x v="0"/>
  </r>
  <r>
    <n v="3000000877"/>
    <d v="2026-07-01T00:00:00"/>
    <n v="14261542.75"/>
    <s v="DANIEL MARCELO GUERRERO ALDERETES 14"/>
    <x v="1326"/>
    <n v="14261542.75"/>
    <x v="216"/>
    <x v="1"/>
    <s v="pagado"/>
    <s v="pagado"/>
    <x v="0"/>
  </r>
  <r>
    <n v="3000000878"/>
    <d v="2026-07-01T00:00:00"/>
    <n v="11987886.460000001"/>
    <s v="ANTONACCI LUIS GABRIEL LA FLORIDA 14"/>
    <x v="1327"/>
    <n v="11987886.460000001"/>
    <x v="216"/>
    <x v="1"/>
    <s v="pagado"/>
    <s v="pagado"/>
    <x v="0"/>
  </r>
  <r>
    <n v="3000000879"/>
    <d v="2026-07-01T00:00:00"/>
    <n v="16382120.58"/>
    <s v="TRANSPORTE BARBERAN HNOS SRL CHABAS 12"/>
    <x v="1328"/>
    <n v="16382120.58"/>
    <x v="216"/>
    <x v="1"/>
    <s v="pagado"/>
    <s v="pagado"/>
    <x v="0"/>
  </r>
  <r>
    <n v="3000000880"/>
    <d v="2026-07-01T00:00:00"/>
    <n v="19203466.359999999"/>
    <s v="TRANSPORTE LUIS SANDOVAL S.A.SLOS VALLISTOS 14"/>
    <x v="1329"/>
    <n v="19203466.359999999"/>
    <x v="216"/>
    <x v="1"/>
    <s v="pagado"/>
    <s v="pagado"/>
    <x v="0"/>
  </r>
  <r>
    <n v="3000000905"/>
    <d v="2026-07-06T00:00:00"/>
    <n v="30141525.699999999"/>
    <s v="LASTRINA CARMELO ALTO VERDE 14"/>
    <x v="1330"/>
    <n v="30141525.699999999"/>
    <x v="217"/>
    <x v="1"/>
    <s v="pagado"/>
    <s v="pagado"/>
    <x v="0"/>
  </r>
  <r>
    <n v="3000000906"/>
    <d v="2026-07-06T00:00:00"/>
    <n v="15720081.48"/>
    <s v="AYALA HERNAN OSVALDO SAN MIGUEL DE TUCUMAN 14"/>
    <x v="1331"/>
    <n v="15720081.48"/>
    <x v="217"/>
    <x v="1"/>
    <s v="pagado"/>
    <s v="pagado"/>
    <x v="0"/>
  </r>
  <r>
    <n v="3000000907"/>
    <d v="2026-07-06T00:00:00"/>
    <n v="5805977.9299999997"/>
    <s v="COMBUSTIBLES DEL NORTE S.A. LAS LAJITAS 09"/>
    <x v="1332"/>
    <n v="5805977.9299999997"/>
    <x v="217"/>
    <x v="1"/>
    <s v="pagado"/>
    <s v="pagado"/>
    <x v="0"/>
  </r>
  <r>
    <n v="3000000908"/>
    <d v="2026-07-06T00:00:00"/>
    <n v="13423667.92"/>
    <s v="ARAGON CARLOS DANIEL LA BANDA 13"/>
    <x v="1333"/>
    <n v="13423667.92"/>
    <x v="217"/>
    <x v="1"/>
    <s v="pagado"/>
    <s v="pagado"/>
    <x v="0"/>
  </r>
  <r>
    <n v="3000000909"/>
    <d v="2026-07-06T00:00:00"/>
    <n v="5858098.1500000004"/>
    <s v="Laborda Carlos SAN MIGUEL DE TUCUMAN 14"/>
    <x v="1334"/>
    <n v="5858098.1500000004"/>
    <x v="217"/>
    <x v="1"/>
    <s v="pagado"/>
    <s v="pagado"/>
    <x v="0"/>
  </r>
  <r>
    <n v="3000000910"/>
    <d v="2026-07-06T00:00:00"/>
    <n v="10319600.529999999"/>
    <s v="AYALA WALTER DANIEL ALDERETES 14"/>
    <x v="1335"/>
    <n v="10319600.529999999"/>
    <x v="217"/>
    <x v="1"/>
    <s v="pagado"/>
    <s v="pagado"/>
    <x v="0"/>
  </r>
  <r>
    <n v="3000000911"/>
    <d v="2026-07-06T00:00:00"/>
    <n v="23154483.899999999"/>
    <s v="ROMAN BARCELO Y JORGE CARRERASLAS LAJITAS 09"/>
    <x v="1336"/>
    <n v="23154483.899999999"/>
    <x v="217"/>
    <x v="1"/>
    <s v="pagado"/>
    <s v="pagado"/>
    <x v="0"/>
  </r>
  <r>
    <n v="3000000912"/>
    <d v="2026-07-06T00:00:00"/>
    <n v="10485049.050000001"/>
    <s v="MARIA FERNANDA SRL LA TRINIDAD 14"/>
    <x v="1337"/>
    <n v="10485049.050000001"/>
    <x v="217"/>
    <x v="1"/>
    <s v="pagado"/>
    <s v="pagado"/>
    <x v="0"/>
  </r>
  <r>
    <n v="3000000929"/>
    <d v="2026-07-13T00:00:00"/>
    <n v="10981812.15"/>
    <s v="RASUK JORGE LUIS YERBA BUENA 14"/>
    <x v="1338"/>
    <n v="10981812.15"/>
    <x v="218"/>
    <x v="1"/>
    <s v="pagado"/>
    <s v="pagado"/>
    <x v="0"/>
  </r>
  <r>
    <n v="3000000930"/>
    <d v="2026-07-13T00:00:00"/>
    <n v="9825984.3399999999"/>
    <s v="AGUERA CRISTIAN MARTIN CONCEPCION 14"/>
    <x v="1339"/>
    <n v="9825984.3399999999"/>
    <x v="218"/>
    <x v="1"/>
    <s v="pagado"/>
    <s v="pagado"/>
    <x v="0"/>
  </r>
  <r>
    <n v="3000000931"/>
    <d v="2026-07-14T00:00:00"/>
    <n v="30000000"/>
    <s v="CERGEN SRL CAPITAL FEDERAL 00"/>
    <x v="1340"/>
    <n v="30000000"/>
    <x v="219"/>
    <x v="1"/>
    <s v="pagado"/>
    <s v="pagado"/>
    <x v="0"/>
  </r>
  <r>
    <n v="3000000931"/>
    <d v="2026-07-14T00:00:00"/>
    <n v="30262600"/>
    <s v="CERGEN SRL CAPITAL FEDERAL 00"/>
    <x v="1341"/>
    <n v="30262600"/>
    <x v="220"/>
    <x v="1"/>
    <s v="pagado"/>
    <s v="pagado"/>
    <x v="0"/>
  </r>
  <r>
    <n v="3000000945"/>
    <d v="2026-07-15T00:00:00"/>
    <n v="8371185.4900000002"/>
    <s v="PAIS WALTER LUIS SAN MIGUEL DE TUCUMAN 14"/>
    <x v="1342"/>
    <n v="8371185.4900000002"/>
    <x v="218"/>
    <x v="1"/>
    <s v="pagado"/>
    <s v="pagado"/>
    <x v="0"/>
  </r>
  <r>
    <n v="3000000960"/>
    <d v="2026-07-20T00:00:00"/>
    <n v="8579684.5299999993"/>
    <s v="MOYANO SERGIO ESTEBAN BANDA DEL RIO SALI 14"/>
    <x v="1343"/>
    <n v="8579684.5299999993"/>
    <x v="221"/>
    <x v="1"/>
    <s v="pagado"/>
    <s v="pagado"/>
    <x v="0"/>
  </r>
  <r>
    <n v="3000000961"/>
    <d v="2026-07-20T00:00:00"/>
    <n v="6423589.4199999999"/>
    <s v="AGROTRANSPORTE ALDAO S.A. CAMILO ALDAO 03"/>
    <x v="1344"/>
    <n v="6423589.4199999999"/>
    <x v="221"/>
    <x v="1"/>
    <s v="pagado"/>
    <s v="pagado"/>
    <x v="0"/>
  </r>
  <r>
    <n v="3000000962"/>
    <d v="2026-07-20T00:00:00"/>
    <n v="22608000"/>
    <s v="ARAGON CARLOS DANIEL LA BANDA 13"/>
    <x v="1345"/>
    <n v="22608000"/>
    <x v="221"/>
    <x v="1"/>
    <s v="pagado"/>
    <s v="pagado"/>
    <x v="0"/>
  </r>
  <r>
    <n v="3000000963"/>
    <d v="2026-07-20T00:00:00"/>
    <n v="10141885.949999999"/>
    <s v="TRANSPORTE BARBERAN HNOS SRL CHABAS 12"/>
    <x v="1346"/>
    <n v="10141885.949999999"/>
    <x v="221"/>
    <x v="1"/>
    <s v="pagado"/>
    <s v="pagado"/>
    <x v="0"/>
  </r>
  <r>
    <n v="3000000964"/>
    <d v="2026-07-20T00:00:00"/>
    <n v="7630354.5099999998"/>
    <s v="ANTONACCI LUIS GABRIEL LA FLORIDA 14"/>
    <x v="1347"/>
    <n v="7630354.5099999998"/>
    <x v="221"/>
    <x v="1"/>
    <s v="pagado"/>
    <s v="pagado"/>
    <x v="0"/>
  </r>
  <r>
    <n v="3000000965"/>
    <d v="2026-07-20T00:00:00"/>
    <n v="20509347.620000001"/>
    <s v="FLETES Y SERVICIOS PUJATO S.A PUJATO 12"/>
    <x v="1348"/>
    <n v="20509347.620000001"/>
    <x v="221"/>
    <x v="1"/>
    <s v="pagado"/>
    <s v="pagado"/>
    <x v="0"/>
  </r>
  <r>
    <n v="3000000966"/>
    <d v="2026-07-20T00:00:00"/>
    <n v="11830993.4"/>
    <s v="GEOTECNOLOGIA S.R.L SAN MIGUEL DE TUCUMAN 14"/>
    <x v="1349"/>
    <n v="11830993.4"/>
    <x v="221"/>
    <x v="1"/>
    <s v="pagado"/>
    <s v="pagado"/>
    <x v="0"/>
  </r>
  <r>
    <n v="3000000967"/>
    <d v="2026-07-20T00:00:00"/>
    <n v="5802305.3799999999"/>
    <s v="COMBUSTIBLES DEL NORTE S.A. LAS LAJITAS 09"/>
    <x v="1350"/>
    <n v="5802305.3799999999"/>
    <x v="221"/>
    <x v="1"/>
    <s v="pagado"/>
    <s v="pagado"/>
    <x v="0"/>
  </r>
  <r>
    <n v="3000000968"/>
    <d v="2026-07-20T00:00:00"/>
    <n v="6200993.4000000004"/>
    <s v="M.A.D Serv y mant eléctri SAN MIGUEL DE TUCUMAN 14"/>
    <x v="1351"/>
    <n v="6200993.4000000004"/>
    <x v="221"/>
    <x v="1"/>
    <s v="pagado"/>
    <s v="pagado"/>
    <x v="0"/>
  </r>
  <r>
    <n v="3000000969"/>
    <d v="2026-07-20T00:00:00"/>
    <n v="11050117.720000001"/>
    <s v="Medina Lauro Jose Las Cejas 14"/>
    <x v="1352"/>
    <n v="11050117.720000001"/>
    <x v="221"/>
    <x v="1"/>
    <s v="pagado"/>
    <s v="pagado"/>
    <x v="0"/>
  </r>
  <r>
    <n v="3000000992"/>
    <d v="2026-07-22T00:00:00"/>
    <n v="3160406.72"/>
    <s v="BUSTOS EXEQUIEL ANTONIO BANDA DEL RIO SALI 14"/>
    <x v="1353"/>
    <n v="3160406.72"/>
    <x v="221"/>
    <x v="1"/>
    <s v="pagado"/>
    <s v="pagado"/>
    <x v="0"/>
  </r>
  <r>
    <n v="3000000994"/>
    <d v="2026-07-23T00:00:00"/>
    <n v="470000000"/>
    <s v="PROFERTIL S.A. Bahia Blanca 01"/>
    <x v="1354"/>
    <n v="470000000"/>
    <x v="222"/>
    <x v="1"/>
    <s v="pagado"/>
    <s v="pagado"/>
    <x v="0"/>
  </r>
  <r>
    <n v="3000000994"/>
    <d v="2026-07-23T00:00:00"/>
    <n v="468216094.19999999"/>
    <s v="PROFERTIL S.A. Bahia Blanca 01"/>
    <x v="1355"/>
    <n v="468216094.19999999"/>
    <x v="223"/>
    <x v="1"/>
    <s v="pagado"/>
    <s v="pagado"/>
    <x v="0"/>
  </r>
  <r>
    <n v="3000001005"/>
    <d v="2026-07-27T00:00:00"/>
    <n v="26777571.600000001"/>
    <s v="LASTRINA CARMELO ALTO VERDE 14"/>
    <x v="1356"/>
    <n v="26777571.600000001"/>
    <x v="224"/>
    <x v="1"/>
    <s v="pagado"/>
    <s v="pagado"/>
    <x v="0"/>
  </r>
  <r>
    <n v="3000001006"/>
    <d v="2026-07-27T00:00:00"/>
    <n v="23348431.379999999"/>
    <s v="Medina Lauro Jose Las Cejas 14"/>
    <x v="1357"/>
    <n v="23348431.379999999"/>
    <x v="224"/>
    <x v="1"/>
    <s v="pagado"/>
    <s v="pagado"/>
    <x v="0"/>
  </r>
  <r>
    <n v="3000001032"/>
    <d v="2026-07-29T00:00:00"/>
    <n v="10000000"/>
    <s v="CITRUSVIL S.A. CEVIL POZO 14"/>
    <x v="1358"/>
    <n v="10000000"/>
    <x v="225"/>
    <x v="1"/>
    <s v="pagado"/>
    <s v="pagado"/>
    <x v="0"/>
  </r>
  <r>
    <n v="3000001032"/>
    <d v="2026-07-29T00:00:00"/>
    <n v="10000000"/>
    <s v="CITRUSVIL S.A. CEVIL POZO 14"/>
    <x v="1359"/>
    <n v="10000000"/>
    <x v="225"/>
    <x v="1"/>
    <s v="pagado"/>
    <s v="pagado"/>
    <x v="0"/>
  </r>
  <r>
    <n v="3000001032"/>
    <d v="2026-07-29T00:00:00"/>
    <n v="10000000"/>
    <s v="CITRUSVIL S.A. CEVIL POZO 14"/>
    <x v="1360"/>
    <n v="10000000"/>
    <x v="225"/>
    <x v="1"/>
    <s v="pagado"/>
    <s v="pagado"/>
    <x v="0"/>
  </r>
  <r>
    <n v="3000001032"/>
    <d v="2026-07-29T00:00:00"/>
    <n v="9744627.7200000007"/>
    <s v="CITRUSVIL S.A. CEVIL POZO 14"/>
    <x v="1361"/>
    <n v="9744627.7200000007"/>
    <x v="225"/>
    <x v="1"/>
    <s v="pagado"/>
    <s v="pagado"/>
    <x v="0"/>
  </r>
  <r>
    <n v="3000001023"/>
    <d v="2026-07-29T00:00:00"/>
    <n v="5720868.3700000001"/>
    <s v="LOGISTICA CENTRO S.R.L CORONDA 12"/>
    <x v="1362"/>
    <n v="5720868.3700000001"/>
    <x v="226"/>
    <x v="1"/>
    <s v="pagado"/>
    <s v="pagado"/>
    <x v="0"/>
  </r>
  <r>
    <n v="3000001024"/>
    <d v="2026-07-29T00:00:00"/>
    <n v="5670205.5499999998"/>
    <s v="FLETES Y SERVICIOS PUJATO S.A PUJATO 12"/>
    <x v="1363"/>
    <n v="5670205.5499999998"/>
    <x v="226"/>
    <x v="1"/>
    <s v="pagado"/>
    <s v="pagado"/>
    <x v="0"/>
  </r>
  <r>
    <n v="3000001025"/>
    <d v="2026-07-29T00:00:00"/>
    <n v="15126590.32"/>
    <s v="BERNADAL SERGIO RODOLFO BANDA DEL RIO SALI- TUCUMAN 14"/>
    <x v="1364"/>
    <n v="15126590.32"/>
    <x v="226"/>
    <x v="1"/>
    <s v="pagado"/>
    <s v="pagado"/>
    <x v="0"/>
  </r>
  <r>
    <n v="3000001026"/>
    <d v="2026-07-29T00:00:00"/>
    <n v="13223837.07"/>
    <s v="GOMEZ JESSICA NOELIA LAS TALITAS 14"/>
    <x v="1365"/>
    <n v="13223837.07"/>
    <x v="226"/>
    <x v="1"/>
    <s v="pagado"/>
    <s v="pagado"/>
    <x v="0"/>
  </r>
  <r>
    <n v="3000001027"/>
    <d v="2026-07-29T00:00:00"/>
    <n v="17022511.420000002"/>
    <s v="LOGISTICA DEL NORTE S.R.L. SAN MIGUEL DE TUCUMAN 14"/>
    <x v="1366"/>
    <n v="17022511.420000002"/>
    <x v="226"/>
    <x v="1"/>
    <s v="pagado"/>
    <s v="pagado"/>
    <x v="0"/>
  </r>
  <r>
    <n v="3000001028"/>
    <d v="2026-07-29T00:00:00"/>
    <n v="7294060.7199999997"/>
    <s v="ARAGON CARLOS DANIEL LA BANDA 13"/>
    <x v="1367"/>
    <n v="7294060.7199999997"/>
    <x v="226"/>
    <x v="1"/>
    <s v="pagado"/>
    <s v="pagado"/>
    <x v="0"/>
  </r>
  <r>
    <n v="3000001029"/>
    <d v="2026-07-29T00:00:00"/>
    <n v="7595580.4800000004"/>
    <s v="RAMIREZ CECILIA LORENA LAS LAJITAS 09"/>
    <x v="1368"/>
    <n v="7595580.4800000004"/>
    <x v="226"/>
    <x v="1"/>
    <s v="pagado"/>
    <s v="pagado"/>
    <x v="0"/>
  </r>
  <r>
    <n v="3000001030"/>
    <d v="2026-07-29T00:00:00"/>
    <n v="792616.06"/>
    <s v="ANTONACCI LUIS GABRIEL LA FLORIDA 14"/>
    <x v="1369"/>
    <n v="792616.06"/>
    <x v="226"/>
    <x v="1"/>
    <s v="pagado"/>
    <s v="pagado"/>
    <x v="0"/>
  </r>
  <r>
    <n v="3000001031"/>
    <d v="2026-07-29T00:00:00"/>
    <n v="23411119.449999999"/>
    <s v="TRANSPORTE BARBERAN HNOS SRL CHABAS 12"/>
    <x v="1370"/>
    <n v="23411119.449999999"/>
    <x v="226"/>
    <x v="1"/>
    <s v="pagado"/>
    <s v="pagado"/>
    <x v="0"/>
  </r>
  <r>
    <n v="3000001043"/>
    <d v="2026-08-03T00:00:00"/>
    <n v="6956819.2800000003"/>
    <s v="Establecimiento Minero Sofia SElena 03"/>
    <x v="1371"/>
    <n v="6956819.2800000003"/>
    <x v="227"/>
    <x v="1"/>
    <s v="pagado"/>
    <s v="pagado"/>
    <x v="0"/>
  </r>
  <r>
    <n v="3000001044"/>
    <d v="2026-08-03T00:00:00"/>
    <n v="7547084.4000000004"/>
    <s v="ROMAN BARCELO Y JORGE CARRERASLAS LAJITAS 09"/>
    <x v="1372"/>
    <n v="7547084.4000000004"/>
    <x v="227"/>
    <x v="1"/>
    <s v="pagado"/>
    <s v="pagado"/>
    <x v="0"/>
  </r>
  <r>
    <n v="3000001045"/>
    <d v="2026-08-03T00:00:00"/>
    <n v="45921778.399999999"/>
    <s v="Medina Lauro Jose Las Cejas 14"/>
    <x v="1373"/>
    <n v="45921778.399999999"/>
    <x v="227"/>
    <x v="1"/>
    <s v="pagado"/>
    <s v="pagado"/>
    <x v="0"/>
  </r>
  <r>
    <n v="3000001046"/>
    <d v="2026-08-03T00:00:00"/>
    <n v="10167538.4"/>
    <s v="AYALA HERNAN OSVALDO SAN MIGUEL DE TUCUMAN 14"/>
    <x v="1374"/>
    <n v="10167538.4"/>
    <x v="227"/>
    <x v="1"/>
    <s v="pagado"/>
    <s v="pagado"/>
    <x v="0"/>
  </r>
  <r>
    <n v="1200001909"/>
    <d v="2026-08-03T00:00:00"/>
    <n v="600002.55000000005"/>
    <s v=". TUCUMAN"/>
    <x v="1375"/>
    <n v="600002.55000000005"/>
    <x v="226"/>
    <x v="1"/>
    <s v="pagado"/>
    <s v="pagado"/>
    <x v="0"/>
  </r>
  <r>
    <n v="3000001064"/>
    <d v="2026-08-05T00:00:00"/>
    <n v="5733803.6500000004"/>
    <s v="LENARDUZZI DIEGO LEONARDO SAN JUSTO 12"/>
    <x v="1376"/>
    <n v="5733803.6500000004"/>
    <x v="228"/>
    <x v="1"/>
    <s v="pagado"/>
    <s v="pagado"/>
    <x v="0"/>
  </r>
  <r>
    <n v="3000001065"/>
    <d v="2026-08-05T00:00:00"/>
    <n v="17772649.149999999"/>
    <s v="TRANSPORTE LUIS SANDOVAL S.A.SLOS VALLISTOS 14"/>
    <x v="1377"/>
    <n v="17772649.149999999"/>
    <x v="228"/>
    <x v="1"/>
    <s v="pagado"/>
    <s v="pagado"/>
    <x v="0"/>
  </r>
  <r>
    <n v="3000001066"/>
    <d v="2026-08-05T00:00:00"/>
    <n v="9539475.5399999991"/>
    <s v="EDUARDO SAN ROMAN TUCUMN 14"/>
    <x v="1378"/>
    <n v="9539475.5399999991"/>
    <x v="228"/>
    <x v="1"/>
    <s v="pagado"/>
    <s v="pagado"/>
    <x v="0"/>
  </r>
  <r>
    <n v="3000001067"/>
    <d v="2026-08-05T00:00:00"/>
    <n v="8291483.7599999998"/>
    <s v="JAVIER EDUARDO PRADO FLORIDA 13"/>
    <x v="1379"/>
    <n v="8291483.7599999998"/>
    <x v="228"/>
    <x v="1"/>
    <s v="pagado"/>
    <s v="pagado"/>
    <x v="0"/>
  </r>
  <r>
    <n v="3000001068"/>
    <d v="2026-08-05T00:00:00"/>
    <n v="3757704"/>
    <s v="CASAS GERMAN DAVID YERBA BENA 14"/>
    <x v="1380"/>
    <n v="3757704"/>
    <x v="228"/>
    <x v="1"/>
    <s v="pagado"/>
    <s v="pagado"/>
    <x v="0"/>
  </r>
  <r>
    <n v="3000001069"/>
    <d v="2026-08-05T00:00:00"/>
    <n v="7471579.0899999999"/>
    <s v="TRANSPORTE RAUL S.R.L SAN MIGUEL DE TUCUMAN 14"/>
    <x v="1381"/>
    <n v="7471579.0899999999"/>
    <x v="228"/>
    <x v="1"/>
    <s v="pagado"/>
    <s v="pagado"/>
    <x v="0"/>
  </r>
  <r>
    <n v="3000001088"/>
    <d v="2026-08-10T00:00:00"/>
    <n v="4730418.83"/>
    <s v="AYALA WALTER DANIEL ALDERETES 14"/>
    <x v="1382"/>
    <n v="4730418.83"/>
    <x v="229"/>
    <x v="1"/>
    <s v="pagado"/>
    <s v="pagado"/>
    <x v="0"/>
  </r>
  <r>
    <n v="3000001089"/>
    <d v="2026-08-10T00:00:00"/>
    <n v="24462703.399999999"/>
    <s v="Pulmajo S.R.L. CONCEPCION 14"/>
    <x v="1383"/>
    <n v="24462703.399999999"/>
    <x v="112"/>
    <x v="1"/>
    <s v="no pagado"/>
    <s v="en periodo de pago"/>
    <x v="1"/>
  </r>
  <r>
    <n v="3000001090"/>
    <d v="2026-08-10T00:00:00"/>
    <n v="6068600.8799999999"/>
    <s v="Medina Lauro Jose Las Cejas 14"/>
    <x v="1384"/>
    <n v="6068600.8799999999"/>
    <x v="112"/>
    <x v="1"/>
    <s v="pagado"/>
    <s v="pagado"/>
    <x v="0"/>
  </r>
  <r>
    <n v="3000001091"/>
    <d v="2026-08-10T00:00:00"/>
    <n v="1945285.65"/>
    <s v="RODRIGUEZ NESTOR HORACIO YERBA BUENA 14"/>
    <x v="1385"/>
    <n v="1945285.65"/>
    <x v="112"/>
    <x v="1"/>
    <s v="pagado"/>
    <s v="pagado"/>
    <x v="0"/>
  </r>
  <r>
    <n v="3000001092"/>
    <d v="2026-08-10T00:00:00"/>
    <n v="6995139.4100000001"/>
    <s v="LIZONDO OSCAR FABIAN METAN 09"/>
    <x v="1386"/>
    <n v="6995139.4100000001"/>
    <x v="112"/>
    <x v="1"/>
    <s v="pagado"/>
    <s v="pagado"/>
    <x v="0"/>
  </r>
  <r>
    <n v="3000001093"/>
    <d v="2026-08-11T00:00:00"/>
    <n v="14076451.49"/>
    <s v="RAMIREZ CECILIA LORENA LAS LAJITAS 09"/>
    <x v="1387"/>
    <n v="14076451.49"/>
    <x v="112"/>
    <x v="1"/>
    <s v="pagado"/>
    <s v="pagado"/>
    <x v="0"/>
  </r>
  <r>
    <n v="3000001094"/>
    <d v="2026-08-11T00:00:00"/>
    <n v="19033404.379999999"/>
    <s v="LOGISTICA CENTRO S.R.L CORONDA 12"/>
    <x v="1388"/>
    <n v="19033404.379999999"/>
    <x v="112"/>
    <x v="1"/>
    <s v="pagado"/>
    <s v="pagado"/>
    <x v="0"/>
  </r>
  <r>
    <n v="3000001095"/>
    <d v="2026-08-11T00:00:00"/>
    <n v="14938322.109999999"/>
    <s v="OLIVA DANIEL DAVID PICHANAL 09"/>
    <x v="1389"/>
    <n v="14938322.109999999"/>
    <x v="112"/>
    <x v="1"/>
    <s v="pagado"/>
    <s v="pagado"/>
    <x v="0"/>
  </r>
  <r>
    <n v="1200002000"/>
    <d v="2026-08-12T00:00:00"/>
    <n v="961845.52"/>
    <s v="Cheque de terceros TUCUMAN"/>
    <x v="1390"/>
    <n v="961845.52"/>
    <x v="230"/>
    <x v="1"/>
    <s v="pagado"/>
    <s v="pagado"/>
    <x v="0"/>
  </r>
  <r>
    <n v="1200002000"/>
    <d v="2026-08-12T00:00:00"/>
    <n v="1005454.13"/>
    <s v="Cheque de terceros TUCUMAN"/>
    <x v="1391"/>
    <n v="1005454.13"/>
    <x v="230"/>
    <x v="1"/>
    <s v="pagado"/>
    <s v="pagado"/>
    <x v="0"/>
  </r>
  <r>
    <n v="1200002000"/>
    <d v="2026-08-12T00:00:00"/>
    <n v="986143.72"/>
    <s v="Cheque de terceros TUCUMAN"/>
    <x v="1392"/>
    <n v="986143.72"/>
    <x v="230"/>
    <x v="1"/>
    <s v="pagado"/>
    <s v="pagado"/>
    <x v="0"/>
  </r>
  <r>
    <n v="1200002000"/>
    <d v="2026-08-12T00:00:00"/>
    <n v="2517703.4"/>
    <s v="Cheque de terceros TUCUMAN"/>
    <x v="1393"/>
    <n v="2517703.4"/>
    <x v="230"/>
    <x v="1"/>
    <s v="pagado"/>
    <s v="pagado"/>
    <x v="0"/>
  </r>
  <r>
    <n v="1200002000"/>
    <d v="2026-08-12T00:00:00"/>
    <n v="1700000"/>
    <s v="Cheque de terceros TUCUMAN"/>
    <x v="1394"/>
    <n v="1700000"/>
    <x v="230"/>
    <x v="1"/>
    <s v="pagado"/>
    <s v="pagado"/>
    <x v="0"/>
  </r>
  <r>
    <n v="1200002000"/>
    <d v="2026-08-12T00:00:00"/>
    <n v="1454760.61"/>
    <s v="Cheque de terceros TUCUMAN"/>
    <x v="1395"/>
    <n v="1454760.61"/>
    <x v="230"/>
    <x v="1"/>
    <s v="pagado"/>
    <s v="pagado"/>
    <x v="0"/>
  </r>
  <r>
    <n v="1200002000"/>
    <d v="2026-08-12T00:00:00"/>
    <n v="2128465.09"/>
    <s v="Cheque de terceros TUCUMAN"/>
    <x v="1396"/>
    <n v="2128465.09"/>
    <x v="230"/>
    <x v="1"/>
    <s v="pagado"/>
    <s v="pagado"/>
    <x v="0"/>
  </r>
  <r>
    <n v="1200002000"/>
    <d v="2026-08-12T00:00:00"/>
    <n v="2307494.96"/>
    <s v="Cheque de terceros TUCUMAN"/>
    <x v="1397"/>
    <n v="2307494.96"/>
    <x v="230"/>
    <x v="1"/>
    <s v="pagado"/>
    <s v="pagado"/>
    <x v="0"/>
  </r>
  <r>
    <n v="1200002000"/>
    <d v="2026-08-12T00:00:00"/>
    <n v="2199922.09"/>
    <s v="Cheque de terceros TUCUMAN"/>
    <x v="1398"/>
    <n v="2199922.09"/>
    <x v="230"/>
    <x v="1"/>
    <s v="pagado"/>
    <s v="pagado"/>
    <x v="0"/>
  </r>
  <r>
    <n v="1200002000"/>
    <d v="2026-08-12T00:00:00"/>
    <n v="1798877.51"/>
    <s v="Cheque de terceros TUCUMAN"/>
    <x v="1399"/>
    <n v="1798877.51"/>
    <x v="230"/>
    <x v="1"/>
    <s v="pagado"/>
    <s v="pagado"/>
    <x v="0"/>
  </r>
  <r>
    <n v="1200002000"/>
    <d v="2026-08-12T00:00:00"/>
    <n v="27642343.399999999"/>
    <s v="Cheque de terceros TUCUMAN"/>
    <x v="1400"/>
    <n v="27642343.399999999"/>
    <x v="230"/>
    <x v="1"/>
    <s v="pagado"/>
    <s v="pagado"/>
    <x v="0"/>
  </r>
  <r>
    <n v="1200002000"/>
    <d v="2026-08-12T00:00:00"/>
    <n v="5085818.84"/>
    <s v="Cheque de terceros TUCUMAN"/>
    <x v="1401"/>
    <n v="5085818.84"/>
    <x v="230"/>
    <x v="1"/>
    <s v="pagado"/>
    <s v="pagado"/>
    <x v="0"/>
  </r>
  <r>
    <n v="1200002000"/>
    <d v="2026-08-12T00:00:00"/>
    <n v="4094806.23"/>
    <s v="Cheque de terceros TUCUMAN"/>
    <x v="1402"/>
    <n v="4094806.23"/>
    <x v="230"/>
    <x v="1"/>
    <s v="pagado"/>
    <s v="pagado"/>
    <x v="0"/>
  </r>
  <r>
    <n v="1200002000"/>
    <d v="2026-08-12T00:00:00"/>
    <n v="20231172.510000002"/>
    <s v="Cheque de terceros TUCUMAN"/>
    <x v="1403"/>
    <n v="20231172.510000002"/>
    <x v="230"/>
    <x v="1"/>
    <s v="pagado"/>
    <s v="pagado"/>
    <x v="0"/>
  </r>
  <r>
    <n v="1200002000"/>
    <d v="2026-08-12T00:00:00"/>
    <n v="4908915.92"/>
    <s v="Cheque de terceros TUCUMAN"/>
    <x v="1404"/>
    <n v="4908915.92"/>
    <x v="230"/>
    <x v="1"/>
    <s v="pagado"/>
    <s v="pagado"/>
    <x v="0"/>
  </r>
  <r>
    <n v="1200002000"/>
    <d v="2026-08-12T00:00:00"/>
    <n v="11198543.4"/>
    <s v="Cheque de terceros TUCUMAN"/>
    <x v="1405"/>
    <n v="11198543.4"/>
    <x v="230"/>
    <x v="1"/>
    <s v="pagado"/>
    <s v="pagado"/>
    <x v="0"/>
  </r>
  <r>
    <n v="1200002000"/>
    <d v="2026-08-12T00:00:00"/>
    <n v="13217657.550000001"/>
    <s v="Cheque de terceros TUCUMAN"/>
    <x v="1406"/>
    <n v="13217657.550000001"/>
    <x v="230"/>
    <x v="1"/>
    <s v="pagado"/>
    <s v="pagado"/>
    <x v="0"/>
  </r>
  <r>
    <n v="1200002000"/>
    <d v="2026-08-12T00:00:00"/>
    <n v="15651790"/>
    <s v="Cheque de terceros TUCUMAN"/>
    <x v="1407"/>
    <n v="15651790"/>
    <x v="230"/>
    <x v="1"/>
    <s v="pagado"/>
    <s v="pagado"/>
    <x v="0"/>
  </r>
  <r>
    <n v="1200002000"/>
    <d v="2026-08-12T00:00:00"/>
    <n v="27154458.43"/>
    <s v="Cheque de terceros TUCUMAN"/>
    <x v="1408"/>
    <n v="27154458.43"/>
    <x v="230"/>
    <x v="1"/>
    <s v="pagado"/>
    <s v="pagado"/>
    <x v="0"/>
  </r>
  <r>
    <n v="1200002000"/>
    <d v="2026-08-12T00:00:00"/>
    <n v="9061038.2300000004"/>
    <s v="Cheque de terceros TUCUMAN"/>
    <x v="1409"/>
    <n v="9061038.2300000004"/>
    <x v="230"/>
    <x v="1"/>
    <s v="pagado"/>
    <s v="pagado"/>
    <x v="0"/>
  </r>
  <r>
    <n v="1200002000"/>
    <d v="2026-08-12T00:00:00"/>
    <n v="29610909.670000002"/>
    <s v="Cheque de terceros TUCUMAN"/>
    <x v="1410"/>
    <n v="29610909.670000002"/>
    <x v="230"/>
    <x v="1"/>
    <s v="pagado"/>
    <s v="pagado"/>
    <x v="0"/>
  </r>
  <r>
    <n v="1200002000"/>
    <d v="2026-08-12T00:00:00"/>
    <n v="3504787.91"/>
    <s v="Cheque de terceros TUCUMAN"/>
    <x v="1411"/>
    <n v="3504787.91"/>
    <x v="230"/>
    <x v="1"/>
    <s v="pagado"/>
    <s v="pagado"/>
    <x v="0"/>
  </r>
  <r>
    <n v="1200002000"/>
    <d v="2026-08-12T00:00:00"/>
    <n v="17057543.399999999"/>
    <s v="Cheque de terceros TUCUMAN"/>
    <x v="1412"/>
    <n v="17057543.399999999"/>
    <x v="230"/>
    <x v="1"/>
    <s v="pagado"/>
    <s v="pagado"/>
    <x v="0"/>
  </r>
  <r>
    <n v="1200002001"/>
    <d v="2026-08-12T00:00:00"/>
    <n v="4380397.5199999996"/>
    <s v="Cheque de terceros TUCUMAN"/>
    <x v="1413"/>
    <n v="4380397.5199999996"/>
    <x v="230"/>
    <x v="1"/>
    <s v="pagado"/>
    <s v="pagado"/>
    <x v="0"/>
  </r>
  <r>
    <n v="1200002001"/>
    <d v="2026-08-12T00:00:00"/>
    <n v="28482262.600000001"/>
    <s v="Cheque de terceros TUCUMAN"/>
    <x v="1414"/>
    <n v="28482262.600000001"/>
    <x v="230"/>
    <x v="1"/>
    <s v="pagado"/>
    <s v="pagado"/>
    <x v="0"/>
  </r>
  <r>
    <n v="1200002001"/>
    <d v="2026-08-12T00:00:00"/>
    <n v="1522501.04"/>
    <s v="Cheque de terceros TUCUMAN"/>
    <x v="1415"/>
    <n v="1522501.04"/>
    <x v="230"/>
    <x v="1"/>
    <s v="pagado"/>
    <s v="pagado"/>
    <x v="0"/>
  </r>
  <r>
    <n v="1200002005"/>
    <d v="2026-08-19T00:00:00"/>
    <n v="4285746.5999999996"/>
    <s v="Cheque de terceros TUCUMAN"/>
    <x v="1416"/>
    <n v="4285746.5999999996"/>
    <x v="231"/>
    <x v="1"/>
    <s v="pagado"/>
    <s v="pagado"/>
    <x v="0"/>
  </r>
  <r>
    <n v="1200002005"/>
    <d v="2026-08-19T00:00:00"/>
    <n v="3639813.28"/>
    <s v="Cheque de terceros TUCUMAN"/>
    <x v="1417"/>
    <n v="3639813.28"/>
    <x v="231"/>
    <x v="1"/>
    <s v="pagado"/>
    <s v="pagado"/>
    <x v="0"/>
  </r>
  <r>
    <n v="1200002005"/>
    <d v="2026-08-19T00:00:00"/>
    <n v="13415875.960000001"/>
    <s v="Cheque de terceros TUCUMAN"/>
    <x v="1418"/>
    <n v="13415875.960000001"/>
    <x v="231"/>
    <x v="1"/>
    <s v="pagado"/>
    <s v="pagado"/>
    <x v="0"/>
  </r>
  <r>
    <n v="1200002005"/>
    <d v="2026-08-19T00:00:00"/>
    <n v="11901343.4"/>
    <s v="Cheque de terceros TUCUMAN"/>
    <x v="1419"/>
    <n v="11901343.4"/>
    <x v="231"/>
    <x v="1"/>
    <s v="pagado"/>
    <s v="pagado"/>
    <x v="0"/>
  </r>
  <r>
    <n v="1200002005"/>
    <d v="2026-08-19T00:00:00"/>
    <n v="21703321.93"/>
    <s v="Cheque de terceros TUCUMAN"/>
    <x v="1420"/>
    <n v="21703321.93"/>
    <x v="231"/>
    <x v="1"/>
    <s v="pagado"/>
    <s v="pagado"/>
    <x v="0"/>
  </r>
  <r>
    <n v="1200002005"/>
    <d v="2026-08-19T00:00:00"/>
    <n v="9122652.75"/>
    <s v="Cheque de terceros TUCUMAN"/>
    <x v="1421"/>
    <n v="9122652.75"/>
    <x v="231"/>
    <x v="1"/>
    <s v="pagado"/>
    <s v="pagado"/>
    <x v="0"/>
  </r>
  <r>
    <n v="1200002005"/>
    <d v="2026-08-19T00:00:00"/>
    <n v="6740095.9500000002"/>
    <s v="Cheque de terceros TUCUMAN"/>
    <x v="1422"/>
    <n v="6740095.9500000002"/>
    <x v="231"/>
    <x v="1"/>
    <s v="pagado"/>
    <s v="pagado"/>
    <x v="0"/>
  </r>
  <r>
    <n v="1200002005"/>
    <d v="2026-08-19T00:00:00"/>
    <n v="8269643.5499999998"/>
    <s v="Cheque de terceros TUCUMAN"/>
    <x v="1423"/>
    <n v="8269643.5499999998"/>
    <x v="231"/>
    <x v="1"/>
    <s v="pagado"/>
    <s v="pagado"/>
    <x v="0"/>
  </r>
  <r>
    <n v="1200002005"/>
    <d v="2026-08-19T00:00:00"/>
    <n v="8145986.96"/>
    <s v="Cheque de terceros TUCUMAN"/>
    <x v="1424"/>
    <n v="8145986.96"/>
    <x v="231"/>
    <x v="1"/>
    <s v="pagado"/>
    <s v="pagado"/>
    <x v="0"/>
  </r>
  <r>
    <n v="3000001131"/>
    <d v="2026-08-19T00:00:00"/>
    <n v="3901560.17"/>
    <s v=". TUCUMAN"/>
    <x v="1425"/>
    <n v="3901560.17"/>
    <x v="232"/>
    <x v="1"/>
    <s v="pagado"/>
    <s v="pagado"/>
    <x v="0"/>
  </r>
  <r>
    <n v="3000001132"/>
    <d v="2026-08-19T00:00:00"/>
    <n v="6614654.2300000004"/>
    <s v="Establecimiento Minero Sofia SElena 03"/>
    <x v="1426"/>
    <n v="6614654.2300000004"/>
    <x v="220"/>
    <x v="1"/>
    <s v="pagado"/>
    <s v="pagado"/>
    <x v="0"/>
  </r>
  <r>
    <n v="3000001133"/>
    <d v="2026-08-19T00:00:00"/>
    <n v="32516843.399999999"/>
    <s v="La Cosecha S.R.L. Las Parejas 12"/>
    <x v="1427"/>
    <n v="32516843.399999999"/>
    <x v="220"/>
    <x v="1"/>
    <s v="pagado"/>
    <s v="pagado"/>
    <x v="0"/>
  </r>
  <r>
    <n v="3000001134"/>
    <d v="2026-08-19T00:00:00"/>
    <n v="16771441.75"/>
    <s v="ROMAN BARCELO Y JORGE CARRERASLAS LAJITAS 09"/>
    <x v="1428"/>
    <n v="16771441.75"/>
    <x v="220"/>
    <x v="1"/>
    <s v="pagado"/>
    <s v="pagado"/>
    <x v="0"/>
  </r>
  <r>
    <n v="3000001135"/>
    <d v="2026-08-19T00:00:00"/>
    <n v="26695988"/>
    <s v="Medina Lauro Jose Las Cejas 14"/>
    <x v="1429"/>
    <n v="26695988"/>
    <x v="220"/>
    <x v="1"/>
    <s v="pagado"/>
    <s v="pagado"/>
    <x v="0"/>
  </r>
  <r>
    <n v="3000001136"/>
    <d v="2026-08-19T00:00:00"/>
    <n v="5355577.2699999996"/>
    <s v="GARCIA JORGE LUIS METAN 09"/>
    <x v="1430"/>
    <n v="5355577.2699999996"/>
    <x v="220"/>
    <x v="1"/>
    <s v="pagado"/>
    <s v="pagado"/>
    <x v="0"/>
  </r>
  <r>
    <n v="3000001137"/>
    <d v="2026-08-19T00:00:00"/>
    <n v="10153294.92"/>
    <s v="SERRANO GUERRERO GERARDO FRANCSAN MIGUEL DE TUCUMAN 14"/>
    <x v="1431"/>
    <n v="10153294.92"/>
    <x v="220"/>
    <x v="1"/>
    <s v="pagado"/>
    <s v="pagado"/>
    <x v="0"/>
  </r>
  <r>
    <n v="3000001138"/>
    <d v="2026-08-19T00:00:00"/>
    <n v="13320893.58"/>
    <s v="TRANSPORTE LUIS SANDOVAL S.A.SLOS VALLISTOS 14"/>
    <x v="1432"/>
    <n v="13320893.58"/>
    <x v="220"/>
    <x v="1"/>
    <s v="pagado"/>
    <s v="pagado"/>
    <x v="0"/>
  </r>
  <r>
    <n v="3000001139"/>
    <d v="2026-08-19T00:00:00"/>
    <n v="8475041.1199999992"/>
    <s v="BERNADAL SERGIO RODOLFO BANDA DEL RIO SALI- TUCUMAN 14"/>
    <x v="1433"/>
    <n v="8475041.1199999992"/>
    <x v="220"/>
    <x v="1"/>
    <s v="pagado"/>
    <s v="pagado"/>
    <x v="0"/>
  </r>
  <r>
    <n v="3000001140"/>
    <d v="2026-08-19T00:00:00"/>
    <n v="13387257.369999999"/>
    <s v="WILLIAMS LOGISTICA SA CIUDAD AUTONOMA BUENOS AIRES 00"/>
    <x v="1434"/>
    <n v="13387257.369999999"/>
    <x v="220"/>
    <x v="1"/>
    <s v="pagado"/>
    <s v="pagado"/>
    <x v="0"/>
  </r>
  <r>
    <n v="3000001141"/>
    <d v="2026-08-19T00:00:00"/>
    <n v="25651738.300000001"/>
    <s v="JAVIER EDUARDO PRADO FLORIDA 13"/>
    <x v="1435"/>
    <n v="25651738.300000001"/>
    <x v="220"/>
    <x v="1"/>
    <s v="pagado"/>
    <s v="pagado"/>
    <x v="0"/>
  </r>
  <r>
    <n v="3000001165"/>
    <d v="2026-08-24T00:00:00"/>
    <n v="39119079.82"/>
    <s v="MOYANO SERGIO ESTEBAN BANDA DEL RIO SALI 14"/>
    <x v="1436"/>
    <n v="39119079.82"/>
    <x v="220"/>
    <x v="1"/>
    <s v="pagado"/>
    <s v="pagado"/>
    <x v="0"/>
  </r>
  <r>
    <n v="3000001166"/>
    <d v="2026-08-24T00:00:00"/>
    <n v="5112382.3499999996"/>
    <s v="RODRIGUEZ NESTOR HORACIO YERBA BUENA 14"/>
    <x v="1437"/>
    <n v="5112382.3499999996"/>
    <x v="233"/>
    <x v="1"/>
    <s v="pagado"/>
    <s v="pagado"/>
    <x v="0"/>
  </r>
  <r>
    <n v="3000001167"/>
    <d v="2026-08-24T00:00:00"/>
    <n v="13745643.689999999"/>
    <s v="TRANSPORTE CLASON SRL ROSARIO 12"/>
    <x v="1438"/>
    <n v="13745643.689999999"/>
    <x v="233"/>
    <x v="1"/>
    <s v="pagado"/>
    <s v="pagado"/>
    <x v="0"/>
  </r>
  <r>
    <n v="3000001168"/>
    <d v="2026-08-24T00:00:00"/>
    <n v="23961670.82"/>
    <s v="TRANSPORTE BARBERAN HNOS SRL CHABAS 12"/>
    <x v="1439"/>
    <n v="23961670.82"/>
    <x v="233"/>
    <x v="1"/>
    <s v="pagado"/>
    <s v="pagado"/>
    <x v="0"/>
  </r>
  <r>
    <n v="3000001169"/>
    <d v="2026-08-24T00:00:00"/>
    <n v="16518800.85"/>
    <s v="GOMEZ JESSICA NOELIA LAS TALITAS 14"/>
    <x v="1440"/>
    <n v="16518800.85"/>
    <x v="233"/>
    <x v="1"/>
    <s v="pagado"/>
    <s v="pagado"/>
    <x v="0"/>
  </r>
  <r>
    <n v="3000001170"/>
    <d v="2026-08-24T00:00:00"/>
    <n v="7201730.7199999997"/>
    <s v="LOGISTICA DEL NORTE S.R.L. SAN MIGUEL DE TUCUMAN 14"/>
    <x v="1441"/>
    <n v="7201730.7199999997"/>
    <x v="233"/>
    <x v="1"/>
    <s v="pagado"/>
    <s v="pagado"/>
    <x v="0"/>
  </r>
  <r>
    <n v="3000001171"/>
    <d v="2026-08-24T00:00:00"/>
    <n v="15852618.869999999"/>
    <s v="TRANSPORTE Y LOG VIENTO NORTE LAS TALITAS 14"/>
    <x v="1442"/>
    <n v="15852618.869999999"/>
    <x v="233"/>
    <x v="1"/>
    <s v="pagado"/>
    <s v="pagado"/>
    <x v="0"/>
  </r>
  <r>
    <n v="3000001172"/>
    <d v="2026-08-24T00:00:00"/>
    <n v="21422548.719999999"/>
    <s v="BUENA RUTA SA YERBA BUENA 14"/>
    <x v="1443"/>
    <n v="21422548.719999999"/>
    <x v="233"/>
    <x v="1"/>
    <s v="pagado"/>
    <s v="pagado"/>
    <x v="0"/>
  </r>
  <r>
    <n v="3000001173"/>
    <d v="2026-08-24T00:00:00"/>
    <n v="19715626.260000002"/>
    <s v="TRANSPORTE RAUL S.R.L SAN MIGUEL DE TUCUMAN 14"/>
    <x v="1444"/>
    <n v="19715626.260000002"/>
    <x v="233"/>
    <x v="1"/>
    <s v="pagado"/>
    <s v="pagado"/>
    <x v="0"/>
  </r>
  <r>
    <n v="3000001174"/>
    <d v="2026-08-24T00:00:00"/>
    <n v="8602316.4399999995"/>
    <s v="MOYANO JULIO CESAR BANDA DEL RIO SALI 14"/>
    <x v="1445"/>
    <n v="8602316.4399999995"/>
    <x v="233"/>
    <x v="1"/>
    <s v="pagado"/>
    <s v="pagado"/>
    <x v="0"/>
  </r>
  <r>
    <n v="3000001175"/>
    <d v="2026-08-24T00:00:00"/>
    <n v="23213701.489999998"/>
    <s v="COMBUSTIBLES DEL NORTE S.A. LAS LAJITAS 09"/>
    <x v="1446"/>
    <n v="23213701.489999998"/>
    <x v="233"/>
    <x v="1"/>
    <s v="pagado"/>
    <s v="pagado"/>
    <x v="0"/>
  </r>
  <r>
    <n v="3000001176"/>
    <d v="2026-08-24T00:00:00"/>
    <n v="12117029.67"/>
    <s v="AGROQUIMICA ALBERDI S.R.L. CONCEPCION 14"/>
    <x v="1447"/>
    <n v="12117029.67"/>
    <x v="233"/>
    <x v="1"/>
    <s v="pagado"/>
    <s v="pagado"/>
    <x v="0"/>
  </r>
  <r>
    <n v="3000001177"/>
    <d v="2026-08-24T00:00:00"/>
    <n v="5434059.75"/>
    <s v="Pulverizaciones Tuninetti S.R.Las Rosas 01"/>
    <x v="1448"/>
    <n v="5434059.75"/>
    <x v="233"/>
    <x v="1"/>
    <s v="pagado"/>
    <s v="pagado"/>
    <x v="0"/>
  </r>
  <r>
    <n v="3000001178"/>
    <d v="2026-08-24T00:00:00"/>
    <n v="21597500"/>
    <s v="La Cosecha S.R.L. Las Parejas 12"/>
    <x v="1449"/>
    <n v="21597500"/>
    <x v="233"/>
    <x v="1"/>
    <s v="pagado"/>
    <s v="pagado"/>
    <x v="0"/>
  </r>
  <r>
    <n v="3000001179"/>
    <d v="2026-08-24T00:00:00"/>
    <n v="17915480"/>
    <s v="Pulmajo S.R.L. CONCEPCION 14"/>
    <x v="1450"/>
    <n v="17915480"/>
    <x v="233"/>
    <x v="1"/>
    <s v="pagado"/>
    <s v="pagado"/>
    <x v="0"/>
  </r>
  <r>
    <n v="3000001180"/>
    <d v="2026-08-24T00:00:00"/>
    <n v="15403763.08"/>
    <s v="AYALA HERNAN OSVALDO SAN MIGUEL DE TUCUMAN 14"/>
    <x v="1451"/>
    <n v="15403763.08"/>
    <x v="233"/>
    <x v="1"/>
    <s v="no pagado"/>
    <s v="en periodo de pago"/>
    <x v="1"/>
  </r>
  <r>
    <n v="3000001181"/>
    <d v="2026-08-24T00:00:00"/>
    <n v="4239167.92"/>
    <s v="ARAGON CARLOS DANIEL LA BANDA 13"/>
    <x v="1452"/>
    <n v="4239167.92"/>
    <x v="233"/>
    <x v="1"/>
    <s v="pagado"/>
    <s v="pagado"/>
    <x v="0"/>
  </r>
  <r>
    <n v="3000001182"/>
    <d v="2026-08-24T00:00:00"/>
    <n v="1896020.5"/>
    <s v="EDUARDO SAN ROMAN TUCUMN 14"/>
    <x v="1453"/>
    <n v="1896020.5"/>
    <x v="233"/>
    <x v="1"/>
    <s v="pagado"/>
    <s v="pagado"/>
    <x v="0"/>
  </r>
  <r>
    <n v="3000001183"/>
    <d v="2026-08-24T00:00:00"/>
    <n v="5268011"/>
    <s v="DANIEL MARCELO GUERRERO ALDERETES 14"/>
    <x v="1454"/>
    <n v="5268011"/>
    <x v="233"/>
    <x v="1"/>
    <s v="pagado"/>
    <s v="pagado"/>
    <x v="0"/>
  </r>
  <r>
    <n v="3000001193"/>
    <d v="2026-08-25T00:00:00"/>
    <n v="9622132.0299999993"/>
    <s v="Agro Yutuyaco S.R.L. Laferrere 01"/>
    <x v="1455"/>
    <n v="9622132.0299999993"/>
    <x v="234"/>
    <x v="1"/>
    <s v="pagado"/>
    <s v="pagado"/>
    <x v="0"/>
  </r>
  <r>
    <n v="3000001194"/>
    <d v="2026-08-25T00:00:00"/>
    <n v="7168098.4500000002"/>
    <s v="JAVIER EDUARDO PRADO FLORIDA 13"/>
    <x v="1456"/>
    <n v="7168098.4500000002"/>
    <x v="234"/>
    <x v="1"/>
    <s v="pagado"/>
    <s v="pagado"/>
    <x v="0"/>
  </r>
  <r>
    <n v="3000001195"/>
    <d v="2026-08-25T00:00:00"/>
    <n v="12445216.41"/>
    <s v="ANTONACCI LUIS GABRIEL LA FLORIDA 14"/>
    <x v="1457"/>
    <n v="12445216.41"/>
    <x v="234"/>
    <x v="1"/>
    <s v="pagado"/>
    <s v="pagado"/>
    <x v="0"/>
  </r>
  <r>
    <n v="3000001212"/>
    <d v="2026-08-31T00:00:00"/>
    <n v="44935981.170000002"/>
    <s v="LOGISTICA CENTRO S.R.L CORONDA 12"/>
    <x v="1458"/>
    <n v="44935981.170000002"/>
    <x v="235"/>
    <x v="1"/>
    <s v="no pagado"/>
    <s v="en periodo de pago"/>
    <x v="1"/>
  </r>
  <r>
    <n v="3000001213"/>
    <d v="2026-08-31T00:00:00"/>
    <n v="6617092.5"/>
    <s v="WILLIAMS LOGISTICA SA CIUDAD AUTONOMA BUENOS AIRES 00"/>
    <x v="1459"/>
    <n v="6617092.5"/>
    <x v="235"/>
    <x v="1"/>
    <s v="no pagado"/>
    <s v="en periodo de pago"/>
    <x v="1"/>
  </r>
  <r>
    <n v="3000001214"/>
    <d v="2026-08-31T00:00:00"/>
    <n v="9242374.6300000008"/>
    <s v="DANIEL MARCELO GUERRERO ALDERETES 14"/>
    <x v="1460"/>
    <n v="9242374.6300000008"/>
    <x v="235"/>
    <x v="1"/>
    <s v="no pagado"/>
    <s v="en periodo de pago"/>
    <x v="1"/>
  </r>
  <r>
    <n v="3000001215"/>
    <d v="2026-08-31T00:00:00"/>
    <n v="6838598.46"/>
    <s v="TRANSPORTE LUIS SANDOVAL S.A.SLOS VALLISTOS 14"/>
    <x v="1461"/>
    <n v="6838598.46"/>
    <x v="235"/>
    <x v="1"/>
    <s v="no pagado"/>
    <s v="en periodo de pago"/>
    <x v="1"/>
  </r>
  <r>
    <n v="3000001216"/>
    <d v="2026-08-31T00:00:00"/>
    <n v="11569820.039999999"/>
    <s v="RAMIREZ CECILIA LORENA LAS LAJITAS 09"/>
    <x v="1462"/>
    <n v="11569820.039999999"/>
    <x v="235"/>
    <x v="1"/>
    <s v="no pagado"/>
    <s v="en periodo de pago"/>
    <x v="1"/>
  </r>
  <r>
    <n v="3000001217"/>
    <d v="2026-08-31T00:00:00"/>
    <n v="12163459.77"/>
    <s v="GARCIA JORGE LUIS METAN 09"/>
    <x v="1463"/>
    <n v="12163459.77"/>
    <x v="235"/>
    <x v="1"/>
    <s v="no pagado"/>
    <s v="en periodo de pago"/>
    <x v="1"/>
  </r>
  <r>
    <n v="3000001228"/>
    <d v="2026-09-02T00:00:00"/>
    <n v="6682500.8799999999"/>
    <s v=". TUCUMAN"/>
    <x v="1464"/>
    <n v="6682500.8799999999"/>
    <x v="235"/>
    <x v="1"/>
    <s v="pagado"/>
    <s v="pagado"/>
    <x v="0"/>
  </r>
  <r>
    <n v="3000001229"/>
    <d v="2026-09-02T00:00:00"/>
    <n v="14441329.720000001"/>
    <s v="TRANSPORTE Y LOG VIENTO NORTE LAS TALITAS 14"/>
    <x v="1465"/>
    <n v="14441329.720000001"/>
    <x v="236"/>
    <x v="1"/>
    <s v="no pagado"/>
    <s v="en periodo de pago"/>
    <x v="2"/>
  </r>
  <r>
    <n v="3000001230"/>
    <d v="2026-09-02T00:00:00"/>
    <n v="9377491.0399999991"/>
    <s v="Paz Pablo Jose SAN MIGUEL DE TUCUMAN 14"/>
    <x v="1466"/>
    <n v="9377491.0399999991"/>
    <x v="236"/>
    <x v="1"/>
    <s v="no pagado"/>
    <s v="en periodo de pago"/>
    <x v="2"/>
  </r>
  <r>
    <n v="3000001231"/>
    <d v="2026-09-02T00:00:00"/>
    <n v="8437567.5600000005"/>
    <s v="SAN LORENZO CEREALES S.R.L SAN LORENZO 12"/>
    <x v="1467"/>
    <n v="8437567.5600000005"/>
    <x v="236"/>
    <x v="1"/>
    <s v="no pagado"/>
    <s v="en periodo de pago"/>
    <x v="2"/>
  </r>
  <r>
    <n v="3000001232"/>
    <d v="2026-09-02T00:00:00"/>
    <n v="22752607.420000002"/>
    <s v="TRANSPORTE BARBERAN HNOS SRL CHABAS 12"/>
    <x v="1468"/>
    <n v="22752607.420000002"/>
    <x v="236"/>
    <x v="1"/>
    <s v="no pagado"/>
    <s v="en periodo de pago"/>
    <x v="2"/>
  </r>
  <r>
    <n v="3000001233"/>
    <d v="2026-09-02T00:00:00"/>
    <n v="8576316.9199999999"/>
    <s v="SERRANO GUERRERO GERARDO FRANCSAN MIGUEL DE TUCUMAN 14"/>
    <x v="1469"/>
    <n v="8576316.9199999999"/>
    <x v="236"/>
    <x v="1"/>
    <s v="no pagado"/>
    <s v="en periodo de pago"/>
    <x v="2"/>
  </r>
  <r>
    <n v="3000001234"/>
    <d v="2026-09-02T00:00:00"/>
    <n v="9846655.1999999993"/>
    <s v="CASAS GERMAN DAVID YERBA BENA 14"/>
    <x v="1470"/>
    <n v="9846655.1999999993"/>
    <x v="236"/>
    <x v="1"/>
    <s v="no pagado"/>
    <s v="en periodo de pago"/>
    <x v="2"/>
  </r>
  <r>
    <n v="3000001235"/>
    <d v="2026-09-02T00:00:00"/>
    <n v="5962450.4199999999"/>
    <s v="ALBORNOZ RODRIGO EZEQUIEL - PAMPA MAYO 14"/>
    <x v="1471"/>
    <n v="5962450.4199999999"/>
    <x v="236"/>
    <x v="1"/>
    <s v="no pagado"/>
    <s v="en periodo de pago"/>
    <x v="2"/>
  </r>
  <r>
    <n v="3000001236"/>
    <d v="2026-09-02T00:00:00"/>
    <n v="7573756.0599999996"/>
    <s v="ANTONACCI LUIS GABRIEL LA FLORIDA 14"/>
    <x v="1472"/>
    <n v="7573756.0599999996"/>
    <x v="236"/>
    <x v="1"/>
    <s v="no pagado"/>
    <s v="en periodo de pago"/>
    <x v="2"/>
  </r>
  <r>
    <n v="3000001237"/>
    <d v="2026-09-02T00:00:00"/>
    <n v="44769025.859999999"/>
    <s v="GOMEZ JESSICA NOELIA LAS TALITAS 14"/>
    <x v="1473"/>
    <n v="44769025.859999999"/>
    <x v="236"/>
    <x v="1"/>
    <s v="no pagado"/>
    <s v="en periodo de pago"/>
    <x v="2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s v="no pagado"/>
    <s v="fuera de fecha"/>
    <x v="0"/>
  </r>
  <r>
    <m/>
    <m/>
    <m/>
    <m/>
    <x v="1474"/>
    <m/>
    <x v="237"/>
    <x v="2"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1000000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Q12:T20" firstHeaderRow="1" firstDataRow="2" firstDataCol="2" rowPageCount="1" colPageCount="1"/>
  <pivotFields count="13">
    <pivotField showAll="0"/>
    <pivotField showAll="0"/>
    <pivotField showAll="0"/>
    <pivotField showAll="0"/>
    <pivotField axis="axisRow" outline="0" showAll="0" defaultSubtotal="0">
      <items count="8000">
        <item m="1" x="3506"/>
        <item m="1" x="3507"/>
        <item m="1" x="3534"/>
        <item m="1" x="3535"/>
        <item m="1" x="3536"/>
        <item m="1" x="3537"/>
        <item m="1" x="3538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648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60"/>
        <item m="1" x="3761"/>
        <item m="1" x="3762"/>
        <item m="1" x="3763"/>
        <item m="1" x="3764"/>
        <item m="1" x="3765"/>
        <item m="1" x="3766"/>
        <item m="1" x="3767"/>
        <item m="1" x="3783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925"/>
        <item m="1" x="3926"/>
        <item m="1" x="3927"/>
        <item m="1" x="3928"/>
        <item m="1" x="3929"/>
        <item m="1" x="3930"/>
        <item m="1" x="3931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45"/>
        <item m="1" x="4046"/>
        <item m="1" x="4047"/>
        <item m="1" x="4048"/>
        <item m="1" x="4049"/>
        <item m="1" x="4050"/>
        <item m="1" x="4051"/>
        <item m="1" x="4068"/>
        <item m="1" x="4069"/>
        <item m="1" x="4070"/>
        <item m="1" x="4071"/>
        <item m="1" x="4083"/>
        <item m="1" x="4084"/>
        <item m="1" x="4085"/>
        <item m="1" x="4086"/>
        <item m="1" x="4087"/>
        <item m="1" x="4089"/>
        <item m="1" x="4092"/>
        <item m="1" x="4088"/>
        <item m="1" x="4141"/>
        <item m="1" x="4138"/>
        <item m="1" x="4139"/>
        <item m="1" x="4140"/>
        <item m="1" x="4143"/>
        <item m="1" x="4144"/>
        <item m="1" x="4142"/>
        <item m="1" x="4145"/>
        <item m="1" x="4146"/>
        <item m="1" x="4147"/>
        <item m="1" x="4148"/>
        <item m="1" x="4149"/>
        <item m="1" x="4163"/>
        <item m="1" x="4164"/>
        <item m="1" x="4150"/>
        <item m="1" x="4165"/>
        <item m="1" x="4166"/>
        <item m="1" x="4167"/>
        <item m="1" x="4168"/>
        <item m="1" x="4169"/>
        <item m="1" x="4170"/>
        <item m="1" x="4171"/>
        <item m="1" x="4175"/>
        <item m="1" x="4176"/>
        <item m="1" x="4178"/>
        <item m="1" x="4179"/>
        <item m="1" x="4180"/>
        <item m="1" x="4181"/>
        <item m="1" x="4185"/>
        <item m="1" x="4183"/>
        <item m="1" x="4184"/>
        <item m="1" x="4182"/>
        <item m="1" x="4186"/>
        <item m="1" x="4187"/>
        <item m="1" x="4188"/>
        <item m="1" x="4189"/>
        <item m="1" x="4177"/>
        <item m="1" x="4190"/>
        <item m="1" x="4191"/>
        <item m="1" x="4174"/>
        <item m="1" x="4173"/>
        <item m="1" x="4172"/>
        <item m="1" x="4192"/>
        <item m="1" x="4227"/>
        <item m="1" x="4228"/>
        <item m="1" x="4193"/>
        <item m="1" x="4229"/>
        <item m="1" x="4233"/>
        <item m="1" x="4231"/>
        <item m="1" x="4232"/>
        <item m="1" x="4234"/>
        <item m="1" x="4230"/>
        <item m="1" x="4235"/>
        <item m="1" x="4236"/>
        <item m="1" x="4237"/>
        <item m="1" x="4238"/>
        <item m="1" x="4242"/>
        <item m="1" x="4243"/>
        <item m="1" x="4244"/>
        <item m="1" x="4245"/>
        <item m="1" x="4249"/>
        <item m="1" x="4248"/>
        <item m="1" x="4247"/>
        <item m="1" x="4246"/>
        <item m="1" x="4251"/>
        <item m="1" x="4250"/>
        <item m="1" x="4252"/>
        <item m="1" x="4253"/>
        <item m="1" x="4254"/>
        <item m="1" x="4288"/>
        <item m="1" x="4289"/>
        <item m="1" x="4290"/>
        <item m="1" x="4286"/>
        <item m="1" x="4287"/>
        <item m="1" x="4284"/>
        <item m="1" x="4285"/>
        <item m="1" x="4291"/>
        <item m="1" x="4292"/>
        <item m="1" x="4293"/>
        <item m="1" x="4294"/>
        <item m="1" x="4295"/>
        <item m="1" x="4296"/>
        <item m="1" x="4297"/>
        <item m="1" x="4298"/>
        <item m="1" x="4301"/>
        <item m="1" x="4299"/>
        <item m="1" x="4300"/>
        <item m="1" x="4302"/>
        <item m="1" x="4304"/>
        <item m="1" x="4303"/>
        <item m="1" x="4308"/>
        <item m="1" x="4309"/>
        <item m="1" x="4310"/>
        <item m="1" x="4305"/>
        <item m="1" x="4306"/>
        <item m="1" x="4307"/>
        <item m="1" x="4311"/>
        <item m="1" x="4312"/>
        <item m="1" x="4357"/>
        <item m="1" x="4358"/>
        <item m="1" x="4362"/>
        <item m="1" x="4360"/>
        <item m="1" x="4361"/>
        <item m="1" x="4365"/>
        <item m="1" x="4359"/>
        <item m="1" x="4367"/>
        <item m="1" x="4366"/>
        <item m="1" x="4363"/>
        <item m="1" x="4364"/>
        <item m="1" x="4368"/>
        <item m="1" x="4369"/>
        <item m="1" x="4370"/>
        <item m="1" x="4371"/>
        <item m="1" x="4380"/>
        <item m="1" x="4379"/>
        <item m="1" x="4378"/>
        <item m="1" x="4377"/>
        <item m="1" x="4428"/>
        <item m="1" x="4372"/>
        <item m="1" x="4373"/>
        <item m="1" x="4374"/>
        <item m="1" x="4376"/>
        <item m="1" x="4381"/>
        <item m="1" x="4426"/>
        <item m="1" x="4429"/>
        <item m="1" x="4375"/>
        <item m="1" x="4427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67"/>
        <item m="1" x="4474"/>
        <item m="1" x="4475"/>
        <item m="1" x="4461"/>
        <item m="1" x="4462"/>
        <item m="1" x="4463"/>
        <item m="1" x="4464"/>
        <item m="1" x="4465"/>
        <item m="1" x="4472"/>
        <item m="1" x="4473"/>
        <item m="1" x="4468"/>
        <item m="1" x="4470"/>
        <item m="1" x="4466"/>
        <item m="1" x="4471"/>
        <item m="1" x="4469"/>
        <item m="1" x="4479"/>
        <item m="1" x="4481"/>
        <item m="1" x="4480"/>
        <item m="1" x="4477"/>
        <item m="1" x="4478"/>
        <item m="1" x="4476"/>
        <item m="1" x="4482"/>
        <item m="1" x="4492"/>
        <item m="1" x="4491"/>
        <item m="1" x="4493"/>
        <item m="1" x="4494"/>
        <item m="1" x="4483"/>
        <item m="1" x="4484"/>
        <item m="1" x="4485"/>
        <item m="1" x="4486"/>
        <item m="1" x="4487"/>
        <item m="1" x="4488"/>
        <item m="1" x="4489"/>
        <item m="1" x="4490"/>
        <item m="1" x="4495"/>
        <item m="1" x="4522"/>
        <item m="1" x="4523"/>
        <item m="1" x="4524"/>
        <item m="1" x="4525"/>
        <item m="1" x="4530"/>
        <item m="1" x="4531"/>
        <item m="1" x="4532"/>
        <item m="1" x="4533"/>
        <item m="1" x="4534"/>
        <item m="1" x="4536"/>
        <item m="1" x="4535"/>
        <item m="1" x="4529"/>
        <item m="1" x="4526"/>
        <item m="1" x="4527"/>
        <item m="1" x="4528"/>
        <item m="1" x="4537"/>
        <item m="1" x="4546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70"/>
        <item m="1" x="4569"/>
        <item m="1" x="4571"/>
        <item m="1" x="4572"/>
        <item m="1" x="4573"/>
        <item m="1" x="4574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98"/>
        <item m="1" x="4599"/>
        <item m="1" x="4600"/>
        <item m="1" x="4601"/>
        <item m="1" x="4602"/>
        <item m="1" x="4603"/>
        <item m="1" x="4611"/>
        <item m="1" x="4612"/>
        <item m="1" x="4613"/>
        <item m="1" x="4614"/>
        <item m="1" x="4615"/>
        <item m="1" x="4616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6"/>
        <item m="1" x="4657"/>
        <item m="1" x="4658"/>
        <item m="1" x="4659"/>
        <item m="1" x="4660"/>
        <item m="1" x="4654"/>
        <item m="1" x="4655"/>
        <item m="1" x="4661"/>
        <item m="1" x="4662"/>
        <item m="1" x="4675"/>
        <item m="1" x="4676"/>
        <item m="1" x="4677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6"/>
        <item m="1" x="4707"/>
        <item m="1" x="4712"/>
        <item m="1" x="4713"/>
        <item m="1" x="4714"/>
        <item m="1" x="4715"/>
        <item m="1" x="4716"/>
        <item m="1" x="4717"/>
        <item m="1" x="4718"/>
        <item m="1" x="4719"/>
        <item m="1" x="4795"/>
        <item m="1" x="4796"/>
        <item m="1" x="4797"/>
        <item m="1" x="4798"/>
        <item m="1" x="4799"/>
        <item m="1" x="4803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7"/>
        <item m="1" x="4918"/>
        <item m="1" x="4919"/>
        <item m="1" x="4920"/>
        <item m="1" x="4921"/>
        <item m="1" x="4922"/>
        <item m="1" x="4923"/>
        <item m="1" x="4940"/>
        <item m="1" x="4941"/>
        <item m="1" x="4942"/>
        <item m="1" x="4943"/>
        <item m="1" x="4944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3"/>
        <item m="1" x="5214"/>
        <item m="1" x="5215"/>
        <item m="1" x="5217"/>
        <item m="1" x="5219"/>
        <item m="1" x="5216"/>
        <item m="1" x="5218"/>
        <item m="1" x="5220"/>
        <item m="1" x="5221"/>
        <item m="1" x="5222"/>
        <item m="1" x="5223"/>
        <item m="1" x="5224"/>
        <item m="1" x="5225"/>
        <item m="1" x="5226"/>
        <item m="1" x="5227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493"/>
        <item m="1" x="5543"/>
        <item m="1" x="5544"/>
        <item m="1" x="5545"/>
        <item m="1" x="5546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95"/>
        <item m="1" x="5596"/>
        <item m="1" x="5597"/>
        <item m="1" x="5598"/>
        <item m="1" x="5599"/>
        <item m="1" x="5600"/>
        <item m="1" x="5589"/>
        <item m="1" x="5590"/>
        <item m="1" x="5591"/>
        <item m="1" x="5592"/>
        <item m="1" x="5593"/>
        <item m="1" x="5594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6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6"/>
        <item m="1" x="5697"/>
        <item m="1" x="5694"/>
        <item m="1" x="5695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817"/>
        <item m="1" x="6033"/>
        <item m="1" x="6034"/>
        <item m="1" x="6035"/>
        <item m="1" x="6036"/>
        <item m="1" x="6037"/>
        <item m="1" x="6038"/>
        <item m="1" x="6039"/>
        <item m="1" x="6040"/>
        <item m="1" x="6044"/>
        <item m="1" x="4708"/>
        <item m="1" x="4709"/>
        <item m="1" x="4710"/>
        <item m="1" x="4720"/>
        <item m="1" x="4721"/>
        <item m="1" x="4722"/>
        <item m="1" x="4723"/>
        <item m="1" x="4724"/>
        <item m="1" x="4725"/>
        <item m="1" x="4726"/>
        <item m="1" x="4727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844"/>
        <item m="1" x="4845"/>
        <item m="1" x="4846"/>
        <item m="1" x="4847"/>
        <item m="1" x="4848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5072"/>
        <item m="1" x="5073"/>
        <item m="1" x="5249"/>
        <item m="1" x="5250"/>
        <item m="1" x="5251"/>
        <item m="1" x="5252"/>
        <item m="1" x="5253"/>
        <item m="1" x="5254"/>
        <item m="1" x="5540"/>
        <item m="1" x="5541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3"/>
        <item m="1" x="5833"/>
        <item m="1" x="5834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1"/>
        <item m="1" x="5912"/>
        <item m="1" x="5913"/>
        <item m="1" x="5914"/>
        <item m="1" x="5916"/>
        <item m="1" x="5917"/>
        <item m="1" x="5919"/>
        <item m="1" x="5920"/>
        <item m="1" x="5921"/>
        <item m="1" x="6077"/>
        <item m="1" x="5949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41"/>
        <item m="1" x="6042"/>
        <item m="1" x="6043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2"/>
        <item m="1" x="6073"/>
        <item m="1" x="6074"/>
        <item m="1" x="6075"/>
        <item m="1" x="6076"/>
        <item m="1" x="6078"/>
        <item m="1" x="6079"/>
        <item m="1" x="6080"/>
        <item m="1" x="6083"/>
        <item m="1" x="6084"/>
        <item m="1" x="6085"/>
        <item m="1" x="6086"/>
        <item m="1" x="6087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47"/>
        <item m="1" x="6153"/>
        <item m="1" x="6154"/>
        <item m="1" x="6155"/>
        <item m="1" x="6156"/>
        <item m="1" x="6157"/>
        <item m="1" x="6159"/>
        <item m="1" x="6160"/>
        <item m="1" x="616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9"/>
        <item m="1" x="6210"/>
        <item m="1" x="6211"/>
        <item m="1" x="6217"/>
        <item m="1" x="6218"/>
        <item m="1" x="6219"/>
        <item m="1" x="6220"/>
        <item m="1" x="6221"/>
        <item m="1" x="6222"/>
        <item m="1" x="6223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10"/>
        <item m="1" x="6314"/>
        <item m="1" x="6315"/>
        <item m="1" x="6316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51"/>
        <item m="1" x="6352"/>
        <item m="1" x="6353"/>
        <item m="1" x="6354"/>
        <item m="1" x="6355"/>
        <item m="1" x="6356"/>
        <item m="1" x="6357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23"/>
        <item m="1" x="6524"/>
        <item m="1" x="6525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6"/>
        <item m="1" x="6557"/>
        <item m="1" x="6558"/>
        <item m="1" x="6559"/>
        <item m="1" x="6560"/>
        <item m="1" x="6561"/>
        <item m="1" x="6562"/>
        <item m="1" x="6553"/>
        <item m="1" x="6554"/>
        <item m="1" x="6555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70"/>
        <item m="1" x="6671"/>
        <item m="1" x="6672"/>
        <item m="1" x="6673"/>
        <item m="1" x="6674"/>
        <item m="1" x="6675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9"/>
        <item m="1" x="6820"/>
        <item m="1" x="6821"/>
        <item m="1" x="6822"/>
        <item m="1" x="6823"/>
        <item m="1" x="6824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51"/>
        <item m="1" x="6852"/>
        <item m="1" x="6853"/>
        <item m="1" x="6854"/>
        <item m="1" x="6855"/>
        <item m="1" x="6863"/>
        <item m="1" x="6864"/>
        <item m="1" x="6865"/>
        <item m="1" x="6866"/>
        <item m="1" x="6867"/>
        <item m="1" x="6868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2"/>
        <item m="1" x="6963"/>
        <item m="1" x="6964"/>
        <item m="1" x="6965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6"/>
        <item m="1" x="7057"/>
        <item m="1" x="7058"/>
        <item m="1" x="7059"/>
        <item m="1" x="7060"/>
        <item m="1" x="7061"/>
        <item m="1" x="7062"/>
        <item m="1" x="7064"/>
        <item m="1" x="7065"/>
        <item m="1" x="7066"/>
        <item m="1" x="7067"/>
        <item m="1" x="7083"/>
        <item m="1" x="7084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63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71"/>
        <item m="1" x="7272"/>
        <item m="1" x="7273"/>
        <item m="1" x="7274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400"/>
        <item m="1" x="7401"/>
        <item m="1" x="7402"/>
        <item m="1" x="7403"/>
        <item m="1" x="7404"/>
        <item m="1" x="7405"/>
        <item m="1" x="7406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3"/>
        <item m="1" x="7444"/>
        <item m="1" x="7445"/>
        <item m="1" x="7448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503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360"/>
        <item m="1" x="6361"/>
        <item m="1" x="6362"/>
        <item m="1" x="2359"/>
        <item m="1" x="2536"/>
        <item m="1" x="2537"/>
        <item m="1" x="2539"/>
        <item m="1" x="2540"/>
        <item m="1" x="2541"/>
        <item m="1" x="2542"/>
        <item m="1" x="2543"/>
        <item m="1" x="2544"/>
        <item m="1" x="2545"/>
        <item m="1" x="2546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5282"/>
        <item m="1" x="5283"/>
        <item m="1" x="5380"/>
        <item m="1" x="5381"/>
        <item m="1" x="5539"/>
        <item m="1" x="5552"/>
        <item m="1" x="581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510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8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9"/>
        <item m="1" x="3540"/>
        <item m="1" x="3541"/>
        <item m="1" x="3573"/>
        <item m="1" x="3574"/>
        <item m="1" x="3575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576"/>
        <item m="1" x="3577"/>
        <item m="1" x="3578"/>
        <item m="1" x="3579"/>
        <item m="1" x="3580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90"/>
        <item m="1" x="4091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39"/>
        <item m="1" x="4240"/>
        <item m="1" x="4241"/>
        <item m="1" x="4255"/>
        <item m="1" x="4256"/>
        <item m="1" x="4257"/>
        <item m="1" x="4258"/>
        <item m="1" x="4259"/>
        <item m="1" x="4260"/>
        <item m="1" x="4261"/>
        <item m="1" x="4262"/>
        <item m="1" x="4333"/>
        <item m="1" x="4334"/>
        <item m="1" x="4347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75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604"/>
        <item m="1" x="4605"/>
        <item m="1" x="4606"/>
        <item m="1" x="4607"/>
        <item m="1" x="4608"/>
        <item m="1" x="4609"/>
        <item m="1" x="4610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89"/>
        <item m="1" x="4690"/>
        <item m="1" x="4691"/>
        <item m="1" x="4692"/>
        <item m="1" x="4705"/>
        <item m="1" x="4711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800"/>
        <item m="1" x="4801"/>
        <item m="1" x="4802"/>
        <item m="1" x="4804"/>
        <item m="1" x="4805"/>
        <item m="1" x="4806"/>
        <item m="1" x="4807"/>
        <item m="1" x="4808"/>
        <item m="1" x="4809"/>
        <item m="1" x="4810"/>
        <item m="1" x="4811"/>
        <item m="1" x="4843"/>
        <item m="1" x="4849"/>
        <item m="1" x="4850"/>
        <item m="1" x="4851"/>
        <item m="1" x="4852"/>
        <item m="1" x="4853"/>
        <item m="1" x="4854"/>
        <item m="1" x="4855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13"/>
        <item m="1" x="4914"/>
        <item m="1" x="4915"/>
        <item m="1" x="4916"/>
        <item m="1" x="4972"/>
        <item m="1" x="4973"/>
        <item m="1" x="4974"/>
        <item m="1" x="4975"/>
        <item m="1" x="5007"/>
        <item m="1" x="5008"/>
        <item m="1" x="5009"/>
        <item m="1" x="5010"/>
        <item m="1" x="5011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212"/>
        <item m="1" x="5228"/>
        <item m="1" x="5229"/>
        <item m="1" x="5230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74"/>
        <item m="1" x="5375"/>
        <item m="1" x="5376"/>
        <item m="1" x="5377"/>
        <item m="1" x="5378"/>
        <item m="1" x="5379"/>
        <item m="1" x="5382"/>
        <item m="1" x="5403"/>
        <item m="1" x="5404"/>
        <item m="1" x="5405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542"/>
        <item m="1" x="5547"/>
        <item m="1" x="5548"/>
        <item m="1" x="5549"/>
        <item m="1" x="5550"/>
        <item m="1" x="5551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87"/>
        <item m="1" x="5588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75"/>
        <item m="1" x="5677"/>
        <item m="1" x="5678"/>
        <item m="1" x="5679"/>
        <item m="1" x="5698"/>
        <item m="1" x="5699"/>
        <item m="1" x="5700"/>
        <item m="1" x="5701"/>
        <item m="1" x="5702"/>
        <item m="1" x="570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812"/>
        <item m="1" x="5814"/>
        <item m="1" x="5815"/>
        <item m="1" x="5816"/>
        <item m="1" x="5818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910"/>
        <item m="1" x="5915"/>
        <item m="1" x="5918"/>
        <item m="1" x="5922"/>
        <item m="1" x="5950"/>
        <item m="1" x="5960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45"/>
        <item m="1" x="6071"/>
        <item m="1" x="6081"/>
        <item m="1" x="6082"/>
        <item m="1" x="6088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8"/>
        <item m="1" x="6149"/>
        <item m="1" x="6150"/>
        <item m="1" x="6151"/>
        <item m="1" x="6152"/>
        <item m="1" x="6158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207"/>
        <item m="1" x="6208"/>
        <item m="1" x="6212"/>
        <item m="1" x="6213"/>
        <item m="1" x="6214"/>
        <item m="1" x="6215"/>
        <item m="1" x="6216"/>
        <item m="1" x="6224"/>
        <item m="1" x="6225"/>
        <item m="1" x="6226"/>
        <item m="1" x="623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1"/>
        <item m="1" x="6312"/>
        <item m="1" x="6313"/>
        <item m="1" x="6317"/>
        <item m="1" x="6318"/>
        <item m="1" x="6319"/>
        <item m="1" x="6320"/>
        <item m="1" x="6321"/>
        <item m="1" x="6322"/>
        <item m="1" x="6343"/>
        <item m="1" x="6344"/>
        <item m="1" x="6345"/>
        <item m="1" x="6346"/>
        <item m="1" x="6347"/>
        <item m="1" x="6348"/>
        <item m="1" x="6349"/>
        <item m="1" x="6350"/>
        <item m="1" x="6358"/>
        <item m="1" x="635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418"/>
        <item m="1" x="6419"/>
        <item m="1" x="6450"/>
        <item m="1" x="6451"/>
        <item m="1" x="6452"/>
        <item m="1" x="6453"/>
        <item m="1" x="645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6"/>
        <item m="1" x="6552"/>
        <item m="1" x="6563"/>
        <item m="1" x="6564"/>
        <item m="1" x="6565"/>
        <item m="1" x="6566"/>
        <item m="1" x="6567"/>
        <item m="1" x="6568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28"/>
        <item m="1" x="6629"/>
        <item m="1" x="6630"/>
        <item m="1" x="6631"/>
        <item m="1" x="6632"/>
        <item m="1" x="6633"/>
        <item m="1" x="6634"/>
        <item m="1" x="6635"/>
        <item m="1" x="6650"/>
        <item m="1" x="6651"/>
        <item m="1" x="6652"/>
        <item m="1" x="6653"/>
        <item m="1" x="6669"/>
        <item m="1" x="6676"/>
        <item m="1" x="6677"/>
        <item m="1" x="6678"/>
        <item m="1" x="6679"/>
        <item m="1" x="6680"/>
        <item m="1" x="6681"/>
        <item m="1" x="6682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9"/>
        <item m="1" x="6740"/>
        <item m="1" x="6741"/>
        <item m="1" x="6742"/>
        <item m="1" x="6743"/>
        <item m="1" x="6744"/>
        <item m="1" x="6745"/>
        <item m="1" x="6746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17"/>
        <item m="1" x="6818"/>
        <item m="1" x="6825"/>
        <item m="1" x="6844"/>
        <item m="1" x="6845"/>
        <item m="1" x="6846"/>
        <item m="1" x="6847"/>
        <item m="1" x="6848"/>
        <item m="1" x="6849"/>
        <item m="1" x="6850"/>
        <item m="1" x="6856"/>
        <item m="1" x="6857"/>
        <item m="1" x="6858"/>
        <item m="1" x="6859"/>
        <item m="1" x="6860"/>
        <item m="1" x="6861"/>
        <item m="1" x="6862"/>
        <item m="1" x="6869"/>
        <item m="1" x="6891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60"/>
        <item m="1" x="6961"/>
        <item m="1" x="6966"/>
        <item m="1" x="6992"/>
        <item m="1" x="6993"/>
        <item m="1" x="6994"/>
        <item m="1" x="6995"/>
        <item m="1" x="6996"/>
        <item m="1" x="6997"/>
        <item m="1" x="6998"/>
        <item m="1" x="7054"/>
        <item m="1" x="7055"/>
        <item m="1" x="7063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5"/>
        <item m="1" x="7086"/>
        <item m="1" x="7087"/>
        <item m="1" x="7088"/>
        <item m="1" x="7089"/>
        <item m="1" x="7099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4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204"/>
        <item m="1" x="7205"/>
        <item m="1" x="7206"/>
        <item m="1" x="7207"/>
        <item m="1" x="7208"/>
        <item m="1" x="7209"/>
        <item m="1" x="7210"/>
        <item m="1" x="721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54"/>
        <item m="1" x="7255"/>
        <item m="1" x="7256"/>
        <item m="1" x="7257"/>
        <item m="1" x="7268"/>
        <item m="1" x="7269"/>
        <item m="1" x="7270"/>
        <item m="1" x="7275"/>
        <item m="1" x="7276"/>
        <item m="1" x="7310"/>
        <item m="1" x="7311"/>
        <item m="1" x="7312"/>
        <item m="1" x="7343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99"/>
        <item m="1" x="7407"/>
        <item m="1" x="7408"/>
        <item m="1" x="7409"/>
        <item m="1" x="7410"/>
        <item m="1" x="7423"/>
        <item m="1" x="7424"/>
        <item m="1" x="7442"/>
        <item m="1" x="7446"/>
        <item m="1" x="7447"/>
        <item m="1" x="7449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4"/>
        <item m="1" x="7520"/>
        <item x="1474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50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425"/>
        <item m="1" x="1475"/>
        <item m="1" x="1476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</items>
    </pivotField>
    <pivotField dataField="1" showAll="0"/>
    <pivotField axis="axisRow" showAll="0">
      <items count="239">
        <item x="237"/>
        <item x="14"/>
        <item x="30"/>
        <item x="1"/>
        <item x="2"/>
        <item x="3"/>
        <item x="4"/>
        <item x="5"/>
        <item x="8"/>
        <item x="10"/>
        <item x="13"/>
        <item x="11"/>
        <item x="12"/>
        <item x="15"/>
        <item x="16"/>
        <item x="20"/>
        <item x="19"/>
        <item x="21"/>
        <item x="23"/>
        <item x="24"/>
        <item x="27"/>
        <item x="33"/>
        <item x="34"/>
        <item x="36"/>
        <item x="35"/>
        <item x="37"/>
        <item x="38"/>
        <item x="40"/>
        <item x="44"/>
        <item x="45"/>
        <item x="46"/>
        <item x="49"/>
        <item x="50"/>
        <item x="53"/>
        <item x="52"/>
        <item x="54"/>
        <item x="55"/>
        <item x="41"/>
        <item x="56"/>
        <item x="57"/>
        <item x="60"/>
        <item x="61"/>
        <item x="62"/>
        <item x="64"/>
        <item x="63"/>
        <item x="68"/>
        <item x="69"/>
        <item x="70"/>
        <item x="72"/>
        <item x="42"/>
        <item x="75"/>
        <item x="73"/>
        <item x="74"/>
        <item x="76"/>
        <item x="77"/>
        <item x="78"/>
        <item x="79"/>
        <item x="81"/>
        <item x="82"/>
        <item x="84"/>
        <item x="85"/>
        <item x="90"/>
        <item x="86"/>
        <item x="87"/>
        <item x="89"/>
        <item x="92"/>
        <item x="94"/>
        <item x="106"/>
        <item x="110"/>
        <item x="95"/>
        <item x="98"/>
        <item x="119"/>
        <item x="137"/>
        <item x="149"/>
        <item x="99"/>
        <item x="101"/>
        <item x="100"/>
        <item x="102"/>
        <item x="103"/>
        <item x="105"/>
        <item x="108"/>
        <item x="109"/>
        <item x="139"/>
        <item x="118"/>
        <item x="111"/>
        <item x="114"/>
        <item x="115"/>
        <item x="116"/>
        <item x="117"/>
        <item x="127"/>
        <item x="147"/>
        <item x="120"/>
        <item x="121"/>
        <item x="122"/>
        <item x="124"/>
        <item x="123"/>
        <item x="125"/>
        <item x="157"/>
        <item x="132"/>
        <item x="142"/>
        <item x="138"/>
        <item x="140"/>
        <item x="152"/>
        <item x="172"/>
        <item x="143"/>
        <item x="144"/>
        <item x="148"/>
        <item x="175"/>
        <item x="128"/>
        <item x="154"/>
        <item x="155"/>
        <item x="136"/>
        <item x="158"/>
        <item x="159"/>
        <item x="161"/>
        <item x="164"/>
        <item x="135"/>
        <item x="165"/>
        <item x="166"/>
        <item x="151"/>
        <item x="167"/>
        <item x="168"/>
        <item x="156"/>
        <item x="169"/>
        <item x="186"/>
        <item x="170"/>
        <item x="163"/>
        <item x="173"/>
        <item x="177"/>
        <item x="146"/>
        <item x="174"/>
        <item x="176"/>
        <item x="179"/>
        <item x="131"/>
        <item x="180"/>
        <item x="22"/>
        <item x="6"/>
        <item x="7"/>
        <item x="26"/>
        <item x="17"/>
        <item x="18"/>
        <item x="31"/>
        <item x="29"/>
        <item x="32"/>
        <item x="48"/>
        <item x="58"/>
        <item x="39"/>
        <item x="43"/>
        <item x="65"/>
        <item x="71"/>
        <item x="47"/>
        <item x="51"/>
        <item x="59"/>
        <item x="126"/>
        <item x="80"/>
        <item x="83"/>
        <item x="150"/>
        <item x="88"/>
        <item x="91"/>
        <item x="97"/>
        <item x="104"/>
        <item x="133"/>
        <item x="141"/>
        <item x="162"/>
        <item x="160"/>
        <item x="178"/>
        <item x="130"/>
        <item x="197"/>
        <item x="171"/>
        <item x="184"/>
        <item x="0"/>
        <item x="9"/>
        <item x="25"/>
        <item x="28"/>
        <item x="66"/>
        <item x="67"/>
        <item x="93"/>
        <item x="96"/>
        <item x="107"/>
        <item x="112"/>
        <item x="113"/>
        <item x="129"/>
        <item x="134"/>
        <item x="145"/>
        <item x="153"/>
        <item x="181"/>
        <item x="182"/>
        <item x="183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axis="axisCol" showAll="0">
      <items count="15">
        <item n="GALICIA +" x="0"/>
        <item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1"/>
        <item t="default"/>
      </items>
    </pivotField>
    <pivotField showAll="0"/>
    <pivotField showAll="0"/>
    <pivotField multipleItemSelectionAllowed="1" showAll="0"/>
    <pivotField outline="0" showAll="0" insertBlankRow="1"/>
    <pivotField axis="axisPage" multipleItemSelectionAllowed="1" showAll="0" defaultSubtotal="0">
      <items count="3">
        <item x="1"/>
        <item h="1" x="0"/>
        <item h="1" x="2"/>
      </items>
    </pivotField>
  </pivotFields>
  <rowFields count="2">
    <field x="4"/>
    <field x="6"/>
  </rowFields>
  <rowItems count="7">
    <i>
      <x v="7984"/>
      <x v="236"/>
    </i>
    <i>
      <x v="7985"/>
      <x v="236"/>
    </i>
    <i>
      <x v="7986"/>
      <x v="236"/>
    </i>
    <i>
      <x v="7987"/>
      <x v="236"/>
    </i>
    <i>
      <x v="7988"/>
      <x v="236"/>
    </i>
    <i>
      <x v="7989"/>
      <x v="236"/>
    </i>
    <i t="grand">
      <x/>
    </i>
  </rowItems>
  <colFields count="1">
    <field x="7"/>
  </colFields>
  <colItems count="2">
    <i>
      <x v="13"/>
    </i>
    <i t="grand">
      <x/>
    </i>
  </colItems>
  <pageFields count="1">
    <pageField fld="12" hier="-1"/>
  </pageFields>
  <dataFields count="1">
    <dataField name="Suma de importe" fld="5" baseField="4" baseItem="0" numFmtId="4"/>
  </dataFields>
  <formats count="3">
    <format dxfId="2">
      <pivotArea field="6" type="button" dataOnly="0" labelOnly="1" outline="0" axis="axisRow" fieldPosition="1"/>
    </format>
    <format dxfId="1">
      <pivotArea dataOnly="0" labelOnly="1" grandRow="1" outline="0" fieldPosition="0"/>
    </format>
    <format dxfId="0">
      <pivotArea dataOnly="0" labelOnly="1" fieldPosition="0">
        <references count="2">
          <reference field="4" count="1" selected="0">
            <x v="5183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3000000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J12:M23" firstHeaderRow="1" firstDataRow="2" firstDataCol="2" rowPageCount="2" colPageCount="1"/>
  <pivotFields count="12">
    <pivotField showAll="0"/>
    <pivotField showAll="0"/>
    <pivotField showAll="0"/>
    <pivotField showAll="0"/>
    <pivotField axis="axisRow" outline="0" showAll="0" sortType="ascending" defaultSubtotal="0">
      <items count="8000">
        <item m="1" x="3506"/>
        <item m="1" x="3507"/>
        <item m="1" x="3534"/>
        <item m="1" x="3535"/>
        <item m="1" x="3536"/>
        <item m="1" x="3537"/>
        <item m="1" x="3538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648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60"/>
        <item m="1" x="3761"/>
        <item m="1" x="3762"/>
        <item m="1" x="3763"/>
        <item m="1" x="3764"/>
        <item m="1" x="3765"/>
        <item m="1" x="3766"/>
        <item m="1" x="3767"/>
        <item m="1" x="3783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925"/>
        <item m="1" x="3926"/>
        <item m="1" x="3927"/>
        <item m="1" x="3928"/>
        <item m="1" x="3929"/>
        <item m="1" x="3930"/>
        <item m="1" x="3931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45"/>
        <item m="1" x="4046"/>
        <item m="1" x="4047"/>
        <item m="1" x="4048"/>
        <item m="1" x="4049"/>
        <item m="1" x="4050"/>
        <item m="1" x="4051"/>
        <item m="1" x="4068"/>
        <item m="1" x="4069"/>
        <item m="1" x="4070"/>
        <item m="1" x="4071"/>
        <item m="1" x="4083"/>
        <item m="1" x="4084"/>
        <item m="1" x="4085"/>
        <item m="1" x="4086"/>
        <item m="1" x="4087"/>
        <item m="1" x="4089"/>
        <item m="1" x="4092"/>
        <item m="1" x="4088"/>
        <item m="1" x="4141"/>
        <item m="1" x="4138"/>
        <item m="1" x="4139"/>
        <item m="1" x="4140"/>
        <item m="1" x="4143"/>
        <item m="1" x="4144"/>
        <item m="1" x="4142"/>
        <item m="1" x="4145"/>
        <item m="1" x="4146"/>
        <item m="1" x="4147"/>
        <item m="1" x="4148"/>
        <item m="1" x="4149"/>
        <item m="1" x="4163"/>
        <item m="1" x="4164"/>
        <item m="1" x="4150"/>
        <item m="1" x="4165"/>
        <item m="1" x="4166"/>
        <item m="1" x="4167"/>
        <item m="1" x="4168"/>
        <item m="1" x="4169"/>
        <item m="1" x="4170"/>
        <item m="1" x="4171"/>
        <item m="1" x="4175"/>
        <item m="1" x="4176"/>
        <item m="1" x="4178"/>
        <item m="1" x="4179"/>
        <item m="1" x="4180"/>
        <item m="1" x="4181"/>
        <item m="1" x="4185"/>
        <item m="1" x="4183"/>
        <item m="1" x="4184"/>
        <item m="1" x="4182"/>
        <item m="1" x="4186"/>
        <item m="1" x="4187"/>
        <item m="1" x="4188"/>
        <item m="1" x="4189"/>
        <item m="1" x="4177"/>
        <item m="1" x="4190"/>
        <item m="1" x="4191"/>
        <item m="1" x="4174"/>
        <item m="1" x="4173"/>
        <item m="1" x="4172"/>
        <item m="1" x="4192"/>
        <item m="1" x="4227"/>
        <item m="1" x="4228"/>
        <item m="1" x="4193"/>
        <item m="1" x="4229"/>
        <item m="1" x="4233"/>
        <item m="1" x="4231"/>
        <item m="1" x="4232"/>
        <item m="1" x="4234"/>
        <item m="1" x="4230"/>
        <item m="1" x="4235"/>
        <item m="1" x="4236"/>
        <item m="1" x="4237"/>
        <item m="1" x="4238"/>
        <item m="1" x="4242"/>
        <item m="1" x="4243"/>
        <item m="1" x="4244"/>
        <item m="1" x="4245"/>
        <item m="1" x="4249"/>
        <item m="1" x="4248"/>
        <item m="1" x="4247"/>
        <item m="1" x="4246"/>
        <item m="1" x="4251"/>
        <item m="1" x="4250"/>
        <item m="1" x="4252"/>
        <item m="1" x="4253"/>
        <item m="1" x="4254"/>
        <item m="1" x="4288"/>
        <item m="1" x="4289"/>
        <item m="1" x="4290"/>
        <item m="1" x="4286"/>
        <item m="1" x="4287"/>
        <item m="1" x="4284"/>
        <item m="1" x="4285"/>
        <item m="1" x="4291"/>
        <item m="1" x="4292"/>
        <item m="1" x="4293"/>
        <item m="1" x="4294"/>
        <item m="1" x="4295"/>
        <item m="1" x="4296"/>
        <item m="1" x="4297"/>
        <item m="1" x="4298"/>
        <item m="1" x="4301"/>
        <item m="1" x="4299"/>
        <item m="1" x="4300"/>
        <item m="1" x="4302"/>
        <item m="1" x="4304"/>
        <item m="1" x="4303"/>
        <item m="1" x="4308"/>
        <item m="1" x="4309"/>
        <item m="1" x="4310"/>
        <item m="1" x="4305"/>
        <item m="1" x="4306"/>
        <item m="1" x="4307"/>
        <item m="1" x="4311"/>
        <item m="1" x="4312"/>
        <item m="1" x="4357"/>
        <item m="1" x="4358"/>
        <item m="1" x="4362"/>
        <item m="1" x="4360"/>
        <item m="1" x="4361"/>
        <item m="1" x="4365"/>
        <item m="1" x="4359"/>
        <item m="1" x="4367"/>
        <item m="1" x="4366"/>
        <item m="1" x="4363"/>
        <item m="1" x="4364"/>
        <item m="1" x="4368"/>
        <item m="1" x="4369"/>
        <item m="1" x="4370"/>
        <item m="1" x="4371"/>
        <item m="1" x="4380"/>
        <item m="1" x="4379"/>
        <item m="1" x="4378"/>
        <item m="1" x="4377"/>
        <item m="1" x="4428"/>
        <item m="1" x="4372"/>
        <item m="1" x="4373"/>
        <item m="1" x="4374"/>
        <item m="1" x="4376"/>
        <item m="1" x="4381"/>
        <item m="1" x="4426"/>
        <item m="1" x="4429"/>
        <item m="1" x="4375"/>
        <item m="1" x="4427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67"/>
        <item m="1" x="4474"/>
        <item m="1" x="4475"/>
        <item m="1" x="4461"/>
        <item m="1" x="4462"/>
        <item m="1" x="4463"/>
        <item m="1" x="4464"/>
        <item m="1" x="4465"/>
        <item m="1" x="4472"/>
        <item m="1" x="4473"/>
        <item m="1" x="4468"/>
        <item m="1" x="4470"/>
        <item m="1" x="4466"/>
        <item m="1" x="4471"/>
        <item m="1" x="4469"/>
        <item m="1" x="4479"/>
        <item m="1" x="4481"/>
        <item m="1" x="4480"/>
        <item m="1" x="4477"/>
        <item m="1" x="4478"/>
        <item m="1" x="4476"/>
        <item m="1" x="4482"/>
        <item m="1" x="4492"/>
        <item m="1" x="4491"/>
        <item m="1" x="4493"/>
        <item m="1" x="4494"/>
        <item m="1" x="4483"/>
        <item m="1" x="4484"/>
        <item m="1" x="4485"/>
        <item m="1" x="4486"/>
        <item m="1" x="4487"/>
        <item m="1" x="4488"/>
        <item m="1" x="4489"/>
        <item m="1" x="4490"/>
        <item m="1" x="4495"/>
        <item m="1" x="4522"/>
        <item m="1" x="4523"/>
        <item m="1" x="4524"/>
        <item m="1" x="4525"/>
        <item m="1" x="4530"/>
        <item m="1" x="4531"/>
        <item m="1" x="4532"/>
        <item m="1" x="4533"/>
        <item m="1" x="4534"/>
        <item m="1" x="4536"/>
        <item m="1" x="4535"/>
        <item m="1" x="4529"/>
        <item m="1" x="4526"/>
        <item m="1" x="4527"/>
        <item m="1" x="4528"/>
        <item m="1" x="4537"/>
        <item m="1" x="4546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70"/>
        <item m="1" x="4569"/>
        <item m="1" x="4571"/>
        <item m="1" x="4572"/>
        <item m="1" x="4573"/>
        <item m="1" x="4574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98"/>
        <item m="1" x="4599"/>
        <item m="1" x="4600"/>
        <item m="1" x="4601"/>
        <item m="1" x="4602"/>
        <item m="1" x="4603"/>
        <item m="1" x="4611"/>
        <item m="1" x="4612"/>
        <item m="1" x="4613"/>
        <item m="1" x="4614"/>
        <item m="1" x="4615"/>
        <item m="1" x="4616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6"/>
        <item m="1" x="4657"/>
        <item m="1" x="4658"/>
        <item m="1" x="4659"/>
        <item m="1" x="4660"/>
        <item m="1" x="4654"/>
        <item m="1" x="4655"/>
        <item m="1" x="4661"/>
        <item m="1" x="4662"/>
        <item m="1" x="4675"/>
        <item m="1" x="4676"/>
        <item m="1" x="4677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6"/>
        <item m="1" x="4707"/>
        <item m="1" x="4712"/>
        <item m="1" x="4713"/>
        <item m="1" x="4714"/>
        <item m="1" x="4715"/>
        <item m="1" x="4716"/>
        <item m="1" x="4717"/>
        <item m="1" x="4718"/>
        <item m="1" x="4719"/>
        <item m="1" x="4795"/>
        <item m="1" x="4796"/>
        <item m="1" x="4797"/>
        <item m="1" x="4798"/>
        <item m="1" x="4799"/>
        <item m="1" x="4803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7"/>
        <item m="1" x="4918"/>
        <item m="1" x="4919"/>
        <item m="1" x="4920"/>
        <item m="1" x="4921"/>
        <item m="1" x="4922"/>
        <item m="1" x="4923"/>
        <item m="1" x="4940"/>
        <item m="1" x="4941"/>
        <item m="1" x="4942"/>
        <item m="1" x="4943"/>
        <item m="1" x="4944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3"/>
        <item m="1" x="5214"/>
        <item m="1" x="5215"/>
        <item m="1" x="5217"/>
        <item m="1" x="5219"/>
        <item m="1" x="5216"/>
        <item m="1" x="5218"/>
        <item m="1" x="5220"/>
        <item m="1" x="5221"/>
        <item m="1" x="5222"/>
        <item m="1" x="5223"/>
        <item m="1" x="5224"/>
        <item m="1" x="5225"/>
        <item m="1" x="5226"/>
        <item m="1" x="5227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493"/>
        <item m="1" x="5543"/>
        <item m="1" x="5544"/>
        <item m="1" x="5545"/>
        <item m="1" x="5546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95"/>
        <item m="1" x="5596"/>
        <item m="1" x="5597"/>
        <item m="1" x="5598"/>
        <item m="1" x="5599"/>
        <item m="1" x="5600"/>
        <item m="1" x="5589"/>
        <item m="1" x="5590"/>
        <item m="1" x="5591"/>
        <item m="1" x="5592"/>
        <item m="1" x="5593"/>
        <item m="1" x="5594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6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6"/>
        <item m="1" x="5697"/>
        <item m="1" x="5694"/>
        <item m="1" x="5695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817"/>
        <item m="1" x="6033"/>
        <item m="1" x="6034"/>
        <item m="1" x="6035"/>
        <item m="1" x="6036"/>
        <item m="1" x="6037"/>
        <item m="1" x="6038"/>
        <item m="1" x="6039"/>
        <item m="1" x="6040"/>
        <item m="1" x="6044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54"/>
        <item m="1" x="7655"/>
        <item m="1" x="7656"/>
        <item m="1" x="7653"/>
        <item m="1" x="7651"/>
        <item m="1" x="7652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31"/>
        <item m="1" x="4708"/>
        <item m="1" x="4709"/>
        <item m="1" x="4710"/>
        <item m="1" x="4720"/>
        <item m="1" x="4721"/>
        <item m="1" x="4722"/>
        <item m="1" x="4723"/>
        <item m="1" x="4724"/>
        <item m="1" x="4725"/>
        <item m="1" x="4726"/>
        <item m="1" x="4727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844"/>
        <item m="1" x="4845"/>
        <item m="1" x="4846"/>
        <item m="1" x="4847"/>
        <item m="1" x="4848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5072"/>
        <item m="1" x="5073"/>
        <item m="1" x="5249"/>
        <item m="1" x="5250"/>
        <item m="1" x="5251"/>
        <item m="1" x="5252"/>
        <item m="1" x="5253"/>
        <item m="1" x="5254"/>
        <item m="1" x="5540"/>
        <item m="1" x="5541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3"/>
        <item m="1" x="5833"/>
        <item m="1" x="5834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1"/>
        <item m="1" x="5912"/>
        <item m="1" x="5913"/>
        <item m="1" x="5914"/>
        <item m="1" x="5916"/>
        <item m="1" x="5917"/>
        <item m="1" x="5919"/>
        <item m="1" x="5920"/>
        <item m="1" x="5921"/>
        <item m="1" x="6077"/>
        <item m="1" x="5949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41"/>
        <item m="1" x="6042"/>
        <item m="1" x="6043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2"/>
        <item m="1" x="6073"/>
        <item m="1" x="6074"/>
        <item m="1" x="6075"/>
        <item m="1" x="6076"/>
        <item m="1" x="6078"/>
        <item m="1" x="6079"/>
        <item m="1" x="6080"/>
        <item m="1" x="6083"/>
        <item m="1" x="6084"/>
        <item m="1" x="6085"/>
        <item m="1" x="6086"/>
        <item m="1" x="6087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47"/>
        <item m="1" x="6153"/>
        <item m="1" x="6154"/>
        <item m="1" x="6155"/>
        <item m="1" x="6156"/>
        <item m="1" x="6157"/>
        <item m="1" x="6159"/>
        <item m="1" x="6160"/>
        <item m="1" x="616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9"/>
        <item m="1" x="6210"/>
        <item m="1" x="6211"/>
        <item m="1" x="6217"/>
        <item m="1" x="6218"/>
        <item m="1" x="6219"/>
        <item m="1" x="6220"/>
        <item m="1" x="6221"/>
        <item m="1" x="6222"/>
        <item m="1" x="6223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10"/>
        <item m="1" x="6314"/>
        <item m="1" x="6315"/>
        <item m="1" x="6316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51"/>
        <item m="1" x="6352"/>
        <item m="1" x="6353"/>
        <item m="1" x="6354"/>
        <item m="1" x="6355"/>
        <item m="1" x="6356"/>
        <item m="1" x="6357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23"/>
        <item m="1" x="6524"/>
        <item m="1" x="6525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6"/>
        <item m="1" x="6557"/>
        <item m="1" x="6558"/>
        <item m="1" x="6559"/>
        <item m="1" x="6560"/>
        <item m="1" x="6561"/>
        <item m="1" x="6562"/>
        <item m="1" x="6553"/>
        <item m="1" x="6554"/>
        <item m="1" x="6555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70"/>
        <item m="1" x="6671"/>
        <item m="1" x="6672"/>
        <item m="1" x="6673"/>
        <item m="1" x="6674"/>
        <item m="1" x="6675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9"/>
        <item m="1" x="6820"/>
        <item m="1" x="6821"/>
        <item m="1" x="6822"/>
        <item m="1" x="6823"/>
        <item m="1" x="6824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51"/>
        <item m="1" x="6852"/>
        <item m="1" x="6853"/>
        <item m="1" x="6854"/>
        <item m="1" x="6855"/>
        <item m="1" x="6863"/>
        <item m="1" x="6864"/>
        <item m="1" x="6865"/>
        <item m="1" x="6866"/>
        <item m="1" x="6867"/>
        <item m="1" x="6868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2"/>
        <item m="1" x="6963"/>
        <item m="1" x="6964"/>
        <item m="1" x="6965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6"/>
        <item m="1" x="7057"/>
        <item m="1" x="7058"/>
        <item m="1" x="7059"/>
        <item m="1" x="7060"/>
        <item m="1" x="7061"/>
        <item m="1" x="7062"/>
        <item m="1" x="7064"/>
        <item m="1" x="7065"/>
        <item m="1" x="7066"/>
        <item m="1" x="7067"/>
        <item m="1" x="7083"/>
        <item m="1" x="7084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63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71"/>
        <item m="1" x="7272"/>
        <item m="1" x="7273"/>
        <item m="1" x="7274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400"/>
        <item m="1" x="7401"/>
        <item m="1" x="7402"/>
        <item m="1" x="7403"/>
        <item m="1" x="7404"/>
        <item m="1" x="7405"/>
        <item m="1" x="7406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3"/>
        <item m="1" x="7444"/>
        <item m="1" x="7445"/>
        <item m="1" x="7448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503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7"/>
        <item m="1" x="7568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8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72"/>
        <item m="1" x="7873"/>
        <item m="1" x="7874"/>
        <item m="1" x="7875"/>
        <item m="1" x="7876"/>
        <item m="1" x="7877"/>
        <item m="1" x="7878"/>
        <item m="1" x="7879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48"/>
        <item m="1" x="7949"/>
        <item m="1" x="7950"/>
        <item m="1" x="7953"/>
        <item m="1" x="7954"/>
        <item m="1" x="7955"/>
        <item m="1" x="7956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483"/>
        <item m="1" x="1477"/>
        <item m="1" x="1478"/>
        <item m="1" x="1479"/>
        <item m="1" x="1480"/>
        <item m="1" x="1481"/>
        <item m="1" x="1482"/>
        <item m="1" x="1492"/>
        <item m="1" x="1493"/>
        <item m="1" x="1494"/>
        <item m="1" x="1495"/>
        <item m="1" x="1496"/>
        <item m="1" x="1497"/>
        <item m="1" x="1498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9"/>
        <item m="1" x="1590"/>
        <item m="1" x="1591"/>
        <item m="1" x="1592"/>
        <item m="1" x="1624"/>
        <item m="1" x="1625"/>
        <item m="1" x="1627"/>
        <item m="1" x="1628"/>
        <item m="1" x="1629"/>
        <item m="1" x="1630"/>
        <item x="0"/>
        <item x="1"/>
        <item x="25"/>
        <item x="35"/>
        <item x="36"/>
        <item x="28"/>
        <item x="29"/>
        <item x="30"/>
        <item x="37"/>
        <item x="31"/>
        <item x="32"/>
        <item x="33"/>
        <item x="34"/>
        <item x="26"/>
        <item x="2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90"/>
        <item x="86"/>
        <item x="87"/>
        <item x="91"/>
        <item x="88"/>
        <item x="89"/>
        <item x="92"/>
        <item x="93"/>
        <item x="95"/>
        <item x="96"/>
        <item x="97"/>
        <item x="98"/>
        <item x="122"/>
        <item x="136"/>
        <item x="137"/>
        <item x="138"/>
        <item x="139"/>
        <item x="140"/>
        <item x="141"/>
        <item x="142"/>
        <item x="143"/>
        <item x="144"/>
        <item x="145"/>
        <item x="151"/>
        <item x="152"/>
        <item x="146"/>
        <item x="147"/>
        <item x="148"/>
        <item x="149"/>
        <item x="153"/>
        <item x="154"/>
        <item x="155"/>
        <item x="156"/>
        <item x="160"/>
        <item x="161"/>
        <item x="166"/>
        <item x="167"/>
        <item x="157"/>
        <item x="158"/>
        <item x="159"/>
        <item x="162"/>
        <item x="163"/>
        <item x="164"/>
        <item x="165"/>
        <item x="168"/>
        <item x="169"/>
        <item x="170"/>
        <item x="171"/>
        <item x="172"/>
        <item x="173"/>
        <item x="174"/>
        <item x="175"/>
        <item x="182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275"/>
        <item x="276"/>
        <item m="1" x="162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360"/>
        <item m="1" x="6361"/>
        <item m="1" x="6362"/>
        <item x="487"/>
        <item x="786"/>
        <item x="902"/>
        <item x="1191"/>
        <item x="1192"/>
        <item x="1234"/>
        <item x="1375"/>
        <item x="1464"/>
        <item m="1" x="2359"/>
        <item m="1" x="2536"/>
        <item m="1" x="2537"/>
        <item m="1" x="2539"/>
        <item m="1" x="2540"/>
        <item m="1" x="2541"/>
        <item m="1" x="2542"/>
        <item m="1" x="2543"/>
        <item m="1" x="2544"/>
        <item m="1" x="2545"/>
        <item m="1" x="2546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5282"/>
        <item m="1" x="5283"/>
        <item m="1" x="5380"/>
        <item m="1" x="5381"/>
        <item m="1" x="5539"/>
        <item m="1" x="5552"/>
        <item m="1" x="5819"/>
        <item m="1" x="1530"/>
        <item m="1" x="1531"/>
        <item m="1" x="1532"/>
        <item m="1" x="1533"/>
        <item m="1" x="1831"/>
        <item m="1" x="1849"/>
        <item m="1" x="1913"/>
        <item m="1" x="2026"/>
        <item m="1" x="2050"/>
        <item m="1" x="2093"/>
        <item m="1" x="2109"/>
        <item m="1" x="2110"/>
        <item m="1" x="2131"/>
        <item m="1" x="2168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510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6"/>
        <item m="1" x="2085"/>
        <item m="1" x="2087"/>
        <item m="1" x="2088"/>
        <item m="1" x="2089"/>
        <item m="1" x="2090"/>
        <item m="1" x="2091"/>
        <item m="1" x="2092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216"/>
        <item m="1" x="2306"/>
        <item m="1" x="230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8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9"/>
        <item m="1" x="3540"/>
        <item m="1" x="3541"/>
        <item m="1" x="3573"/>
        <item m="1" x="3574"/>
        <item m="1" x="3575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576"/>
        <item m="1" x="3577"/>
        <item m="1" x="3578"/>
        <item m="1" x="3579"/>
        <item m="1" x="3580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90"/>
        <item m="1" x="4091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39"/>
        <item m="1" x="4240"/>
        <item m="1" x="4241"/>
        <item m="1" x="4255"/>
        <item m="1" x="4256"/>
        <item m="1" x="4257"/>
        <item m="1" x="4258"/>
        <item m="1" x="4259"/>
        <item m="1" x="4260"/>
        <item m="1" x="4261"/>
        <item m="1" x="4262"/>
        <item m="1" x="4333"/>
        <item m="1" x="4334"/>
        <item m="1" x="4347"/>
        <item m="1" x="1484"/>
        <item m="1" x="1485"/>
        <item m="1" x="1486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75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604"/>
        <item m="1" x="4605"/>
        <item m="1" x="4606"/>
        <item m="1" x="4607"/>
        <item m="1" x="4608"/>
        <item m="1" x="4609"/>
        <item m="1" x="4610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89"/>
        <item m="1" x="4690"/>
        <item m="1" x="4691"/>
        <item m="1" x="4692"/>
        <item m="1" x="4705"/>
        <item m="1" x="4711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800"/>
        <item m="1" x="4801"/>
        <item m="1" x="4802"/>
        <item m="1" x="4804"/>
        <item m="1" x="4805"/>
        <item m="1" x="4806"/>
        <item m="1" x="4807"/>
        <item m="1" x="4808"/>
        <item m="1" x="4809"/>
        <item m="1" x="4810"/>
        <item m="1" x="4811"/>
        <item m="1" x="4843"/>
        <item m="1" x="4849"/>
        <item m="1" x="4850"/>
        <item m="1" x="4851"/>
        <item m="1" x="4852"/>
        <item m="1" x="4853"/>
        <item m="1" x="4854"/>
        <item m="1" x="4855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13"/>
        <item m="1" x="4914"/>
        <item m="1" x="4915"/>
        <item m="1" x="4916"/>
        <item m="1" x="4972"/>
        <item m="1" x="4973"/>
        <item m="1" x="4974"/>
        <item m="1" x="4975"/>
        <item m="1" x="5007"/>
        <item m="1" x="5008"/>
        <item m="1" x="5009"/>
        <item m="1" x="5010"/>
        <item m="1" x="5011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212"/>
        <item m="1" x="5228"/>
        <item m="1" x="5229"/>
        <item m="1" x="5230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74"/>
        <item m="1" x="5375"/>
        <item m="1" x="5376"/>
        <item m="1" x="5377"/>
        <item m="1" x="5378"/>
        <item m="1" x="5379"/>
        <item m="1" x="5382"/>
        <item m="1" x="5403"/>
        <item m="1" x="5404"/>
        <item m="1" x="5405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542"/>
        <item m="1" x="5547"/>
        <item m="1" x="5548"/>
        <item m="1" x="5549"/>
        <item m="1" x="5550"/>
        <item m="1" x="5551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87"/>
        <item m="1" x="5588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75"/>
        <item m="1" x="5677"/>
        <item m="1" x="5678"/>
        <item m="1" x="5679"/>
        <item m="1" x="5698"/>
        <item m="1" x="5699"/>
        <item m="1" x="5700"/>
        <item m="1" x="5701"/>
        <item m="1" x="5702"/>
        <item m="1" x="570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812"/>
        <item m="1" x="5814"/>
        <item m="1" x="5815"/>
        <item m="1" x="5816"/>
        <item m="1" x="5818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910"/>
        <item m="1" x="5915"/>
        <item m="1" x="5918"/>
        <item m="1" x="5922"/>
        <item m="1" x="5950"/>
        <item m="1" x="5960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45"/>
        <item m="1" x="6071"/>
        <item m="1" x="6081"/>
        <item m="1" x="6082"/>
        <item m="1" x="6088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8"/>
        <item m="1" x="6149"/>
        <item m="1" x="6150"/>
        <item m="1" x="6151"/>
        <item m="1" x="6152"/>
        <item m="1" x="6158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207"/>
        <item m="1" x="6208"/>
        <item m="1" x="6212"/>
        <item m="1" x="6213"/>
        <item m="1" x="6214"/>
        <item m="1" x="6215"/>
        <item m="1" x="6216"/>
        <item m="1" x="6224"/>
        <item m="1" x="6225"/>
        <item m="1" x="6226"/>
        <item m="1" x="623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1"/>
        <item m="1" x="6312"/>
        <item m="1" x="6313"/>
        <item m="1" x="6317"/>
        <item m="1" x="6318"/>
        <item m="1" x="6319"/>
        <item m="1" x="6320"/>
        <item m="1" x="6321"/>
        <item m="1" x="6322"/>
        <item m="1" x="6343"/>
        <item m="1" x="6344"/>
        <item m="1" x="6345"/>
        <item m="1" x="6346"/>
        <item m="1" x="6347"/>
        <item m="1" x="6348"/>
        <item m="1" x="6349"/>
        <item m="1" x="6350"/>
        <item m="1" x="6358"/>
        <item m="1" x="635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418"/>
        <item m="1" x="6419"/>
        <item m="1" x="6450"/>
        <item m="1" x="6451"/>
        <item m="1" x="6452"/>
        <item m="1" x="6453"/>
        <item m="1" x="645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6"/>
        <item m="1" x="6552"/>
        <item m="1" x="6563"/>
        <item m="1" x="6564"/>
        <item m="1" x="6565"/>
        <item m="1" x="6566"/>
        <item m="1" x="6567"/>
        <item m="1" x="6568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28"/>
        <item m="1" x="6629"/>
        <item m="1" x="6630"/>
        <item m="1" x="6631"/>
        <item m="1" x="6632"/>
        <item m="1" x="6633"/>
        <item m="1" x="6634"/>
        <item m="1" x="6635"/>
        <item m="1" x="6650"/>
        <item m="1" x="6651"/>
        <item m="1" x="6652"/>
        <item m="1" x="6653"/>
        <item m="1" x="6669"/>
        <item m="1" x="6676"/>
        <item m="1" x="6677"/>
        <item m="1" x="6678"/>
        <item m="1" x="6679"/>
        <item m="1" x="6680"/>
        <item m="1" x="6681"/>
        <item m="1" x="6682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9"/>
        <item m="1" x="6740"/>
        <item m="1" x="6741"/>
        <item m="1" x="6742"/>
        <item m="1" x="6743"/>
        <item m="1" x="6744"/>
        <item m="1" x="6745"/>
        <item m="1" x="6746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17"/>
        <item m="1" x="6818"/>
        <item m="1" x="6825"/>
        <item m="1" x="6844"/>
        <item m="1" x="6845"/>
        <item m="1" x="6846"/>
        <item m="1" x="6847"/>
        <item m="1" x="6848"/>
        <item m="1" x="6849"/>
        <item m="1" x="6850"/>
        <item m="1" x="6856"/>
        <item m="1" x="6857"/>
        <item m="1" x="6858"/>
        <item m="1" x="6859"/>
        <item m="1" x="6860"/>
        <item m="1" x="6861"/>
        <item m="1" x="6862"/>
        <item m="1" x="6869"/>
        <item m="1" x="6891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60"/>
        <item m="1" x="6961"/>
        <item m="1" x="6966"/>
        <item m="1" x="6992"/>
        <item m="1" x="6993"/>
        <item m="1" x="6994"/>
        <item m="1" x="6995"/>
        <item m="1" x="6996"/>
        <item m="1" x="6997"/>
        <item m="1" x="6998"/>
        <item m="1" x="7054"/>
        <item m="1" x="7055"/>
        <item m="1" x="7063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5"/>
        <item m="1" x="7086"/>
        <item m="1" x="7087"/>
        <item m="1" x="7088"/>
        <item m="1" x="7089"/>
        <item m="1" x="7099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4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204"/>
        <item m="1" x="7205"/>
        <item m="1" x="7206"/>
        <item m="1" x="7207"/>
        <item m="1" x="7208"/>
        <item m="1" x="7209"/>
        <item m="1" x="7210"/>
        <item m="1" x="721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54"/>
        <item m="1" x="7255"/>
        <item m="1" x="7256"/>
        <item m="1" x="7257"/>
        <item m="1" x="7268"/>
        <item m="1" x="7269"/>
        <item m="1" x="7270"/>
        <item m="1" x="7275"/>
        <item m="1" x="7276"/>
        <item m="1" x="7310"/>
        <item m="1" x="7311"/>
        <item m="1" x="7312"/>
        <item m="1" x="7343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99"/>
        <item m="1" x="7407"/>
        <item m="1" x="7408"/>
        <item m="1" x="7409"/>
        <item m="1" x="7410"/>
        <item m="1" x="7423"/>
        <item m="1" x="7424"/>
        <item m="1" x="7442"/>
        <item m="1" x="7446"/>
        <item m="1" x="7447"/>
        <item m="1" x="7449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4"/>
        <item m="1" x="7520"/>
        <item m="1" x="7521"/>
        <item m="1" x="7547"/>
        <item m="1" x="7548"/>
        <item m="1" x="7549"/>
        <item m="1" x="7550"/>
        <item m="1" x="7566"/>
        <item m="1" x="7569"/>
        <item m="1" x="7597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91"/>
        <item m="1" x="7692"/>
        <item m="1" x="7707"/>
        <item m="1" x="7708"/>
        <item m="1" x="7720"/>
        <item m="1" x="7721"/>
        <item m="1" x="7738"/>
        <item m="1" x="7739"/>
        <item m="1" x="7740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804"/>
        <item m="1" x="7824"/>
        <item m="1" x="7825"/>
        <item m="1" x="7826"/>
        <item m="1" x="7827"/>
        <item m="1" x="7828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80"/>
        <item m="1" x="7892"/>
        <item m="1" x="7893"/>
        <item m="1" x="7894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51"/>
        <item m="1" x="7952"/>
        <item m="1" x="7957"/>
        <item m="1" x="7958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x="2"/>
        <item x="3"/>
        <item x="4"/>
        <item x="5"/>
        <item x="6"/>
        <item x="7"/>
        <item x="8"/>
        <item x="9"/>
        <item x="1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94"/>
        <item x="99"/>
        <item x="100"/>
        <item x="101"/>
        <item x="102"/>
        <item x="103"/>
        <item x="104"/>
        <item x="105"/>
        <item x="106"/>
        <item x="150"/>
        <item x="189"/>
        <item x="197"/>
        <item x="232"/>
        <item x="233"/>
        <item x="234"/>
        <item x="235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83"/>
        <item x="284"/>
        <item x="285"/>
        <item x="286"/>
        <item x="339"/>
        <item x="360"/>
        <item x="361"/>
        <item x="362"/>
        <item x="363"/>
        <item x="364"/>
        <item x="365"/>
        <item x="366"/>
        <item x="391"/>
        <item x="404"/>
        <item x="405"/>
        <item x="406"/>
        <item x="407"/>
        <item m="1" x="1562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67"/>
        <item m="1" x="1668"/>
        <item m="1" x="1669"/>
        <item m="1" x="1670"/>
        <item m="1" x="1722"/>
        <item m="1" x="1772"/>
        <item m="1" x="1789"/>
        <item m="1" x="1487"/>
        <item m="1" x="1488"/>
        <item m="1" x="1489"/>
        <item m="1" x="1490"/>
        <item m="1" x="1491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25"/>
        <item m="1" x="1526"/>
        <item m="1" x="1527"/>
        <item m="1" x="1528"/>
        <item m="1" x="1529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84"/>
        <item m="1" x="1585"/>
        <item m="1" x="1586"/>
        <item m="1" x="1587"/>
        <item m="1" x="1588"/>
        <item m="1" x="1593"/>
        <item m="1" x="1594"/>
        <item m="1" x="1595"/>
        <item m="1" x="1596"/>
        <item m="1" x="1597"/>
        <item m="1" x="1598"/>
        <item m="1" x="1599"/>
        <item m="1" x="1616"/>
        <item m="1" x="1617"/>
        <item m="1" x="1618"/>
        <item m="1" x="1619"/>
        <item m="1" x="1620"/>
        <item m="1" x="1621"/>
        <item m="1" x="1622"/>
        <item m="1" x="1623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3"/>
        <item m="1" x="1774"/>
        <item m="1" x="1775"/>
        <item m="1" x="1776"/>
        <item m="1" x="1777"/>
        <item m="1" x="1778"/>
        <item m="1" x="1779"/>
        <item x="545"/>
        <item x="621"/>
        <item x="685"/>
        <item x="686"/>
        <item x="1018"/>
        <item x="1097"/>
        <item x="1129"/>
        <item x="1143"/>
        <item x="1425"/>
        <item m="1" x="1475"/>
        <item m="1" x="1476"/>
        <item x="11"/>
        <item x="12"/>
        <item x="13"/>
        <item x="14"/>
        <item x="21"/>
        <item x="15"/>
        <item x="16"/>
        <item x="17"/>
        <item x="18"/>
        <item x="22"/>
        <item x="23"/>
        <item x="24"/>
        <item x="19"/>
        <item x="2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2"/>
        <item x="133"/>
        <item x="123"/>
        <item x="124"/>
        <item x="134"/>
        <item x="135"/>
        <item x="125"/>
        <item x="126"/>
        <item x="127"/>
        <item x="128"/>
        <item x="129"/>
        <item x="130"/>
        <item x="131"/>
        <item x="198"/>
        <item x="199"/>
        <item x="212"/>
        <item x="213"/>
        <item x="214"/>
        <item x="200"/>
        <item x="201"/>
        <item x="202"/>
        <item x="203"/>
        <item x="204"/>
        <item x="205"/>
        <item x="206"/>
        <item x="207"/>
        <item x="215"/>
        <item x="208"/>
        <item x="209"/>
        <item x="216"/>
        <item x="210"/>
        <item x="211"/>
        <item x="217"/>
        <item x="218"/>
        <item x="219"/>
        <item x="220"/>
        <item x="221"/>
        <item x="222"/>
        <item x="223"/>
        <item x="224"/>
        <item x="229"/>
        <item x="230"/>
        <item x="225"/>
        <item x="226"/>
        <item x="231"/>
        <item x="227"/>
        <item x="228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64"/>
        <item x="265"/>
        <item x="266"/>
        <item x="271"/>
        <item x="272"/>
        <item x="267"/>
        <item x="268"/>
        <item x="269"/>
        <item x="270"/>
        <item x="273"/>
        <item x="274"/>
        <item x="279"/>
        <item x="280"/>
        <item x="281"/>
        <item x="277"/>
        <item x="278"/>
        <item x="282"/>
        <item x="291"/>
        <item x="292"/>
        <item x="293"/>
        <item x="294"/>
        <item x="295"/>
        <item x="299"/>
        <item x="296"/>
        <item x="297"/>
        <item x="298"/>
        <item x="287"/>
        <item x="288"/>
        <item x="289"/>
        <item x="290"/>
        <item x="300"/>
        <item x="301"/>
        <item x="302"/>
        <item x="303"/>
        <item x="304"/>
        <item x="305"/>
        <item x="622"/>
        <item x="312"/>
        <item x="306"/>
        <item x="307"/>
        <item x="313"/>
        <item x="308"/>
        <item x="309"/>
        <item x="314"/>
        <item x="315"/>
        <item x="316"/>
        <item x="317"/>
        <item x="318"/>
        <item x="319"/>
        <item x="320"/>
        <item x="321"/>
        <item x="322"/>
        <item x="323"/>
        <item x="310"/>
        <item x="311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48"/>
        <item x="340"/>
        <item x="341"/>
        <item x="342"/>
        <item x="343"/>
        <item x="344"/>
        <item x="345"/>
        <item x="346"/>
        <item x="351"/>
        <item x="347"/>
        <item x="349"/>
        <item x="350"/>
        <item x="358"/>
        <item x="352"/>
        <item x="353"/>
        <item x="354"/>
        <item x="355"/>
        <item x="356"/>
        <item x="357"/>
        <item x="359"/>
        <item x="373"/>
        <item x="374"/>
        <item x="375"/>
        <item x="376"/>
        <item x="377"/>
        <item x="378"/>
        <item x="379"/>
        <item x="380"/>
        <item x="381"/>
        <item x="367"/>
        <item x="368"/>
        <item x="369"/>
        <item x="370"/>
        <item x="371"/>
        <item x="372"/>
        <item x="382"/>
        <item x="383"/>
        <item x="384"/>
        <item x="385"/>
        <item x="386"/>
        <item x="387"/>
        <item x="388"/>
        <item x="389"/>
        <item x="390"/>
        <item x="396"/>
        <item x="397"/>
        <item x="398"/>
        <item x="399"/>
        <item x="392"/>
        <item x="393"/>
        <item x="400"/>
        <item x="401"/>
        <item x="394"/>
        <item x="395"/>
        <item x="402"/>
        <item x="403"/>
        <item x="408"/>
        <item x="409"/>
        <item x="410"/>
        <item x="411"/>
        <item x="412"/>
        <item x="413"/>
        <item x="414"/>
        <item x="415"/>
        <item x="421"/>
        <item x="422"/>
        <item x="423"/>
        <item x="424"/>
        <item x="425"/>
        <item x="416"/>
        <item x="417"/>
        <item x="426"/>
        <item x="427"/>
        <item x="418"/>
        <item x="419"/>
        <item x="420"/>
        <item x="432"/>
        <item x="433"/>
        <item x="434"/>
        <item x="428"/>
        <item x="429"/>
        <item x="435"/>
        <item x="430"/>
        <item x="431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7"/>
        <item x="468"/>
        <item x="466"/>
        <item x="465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33"/>
        <item x="521"/>
        <item x="522"/>
        <item x="534"/>
        <item x="535"/>
        <item x="523"/>
        <item x="524"/>
        <item x="525"/>
        <item x="526"/>
        <item x="536"/>
        <item x="527"/>
        <item x="528"/>
        <item x="529"/>
        <item x="530"/>
        <item x="531"/>
        <item x="532"/>
        <item x="537"/>
        <item x="538"/>
        <item x="539"/>
        <item x="540"/>
        <item x="541"/>
        <item x="542"/>
        <item x="543"/>
        <item x="544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9"/>
        <item x="620"/>
        <item x="615"/>
        <item x="616"/>
        <item x="617"/>
        <item x="618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7"/>
        <item x="688"/>
        <item x="689"/>
        <item x="690"/>
        <item x="691"/>
        <item x="692"/>
        <item x="693"/>
        <item x="694"/>
        <item x="697"/>
        <item x="698"/>
        <item x="699"/>
        <item x="700"/>
        <item x="695"/>
        <item x="696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64"/>
        <item x="765"/>
        <item x="756"/>
        <item x="757"/>
        <item x="758"/>
        <item x="759"/>
        <item x="769"/>
        <item x="766"/>
        <item x="767"/>
        <item x="760"/>
        <item x="761"/>
        <item x="768"/>
        <item x="762"/>
        <item x="763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40"/>
        <item x="941"/>
        <item x="942"/>
        <item x="943"/>
        <item x="934"/>
        <item x="935"/>
        <item x="936"/>
        <item x="937"/>
        <item x="938"/>
        <item x="939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1008"/>
        <item x="1009"/>
        <item x="1010"/>
        <item x="996"/>
        <item x="997"/>
        <item x="998"/>
        <item x="999"/>
        <item x="1011"/>
        <item x="1012"/>
        <item x="1013"/>
        <item x="1000"/>
        <item x="1001"/>
        <item x="1014"/>
        <item x="1002"/>
        <item x="1003"/>
        <item x="1004"/>
        <item x="1005"/>
        <item x="1015"/>
        <item x="1006"/>
        <item x="1007"/>
        <item x="1016"/>
        <item x="1017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7"/>
        <item x="1038"/>
        <item x="1031"/>
        <item x="1032"/>
        <item x="1039"/>
        <item x="1040"/>
        <item x="1041"/>
        <item x="1042"/>
        <item x="1043"/>
        <item x="1044"/>
        <item x="1033"/>
        <item x="1034"/>
        <item x="1045"/>
        <item x="1046"/>
        <item x="1047"/>
        <item x="1048"/>
        <item x="1035"/>
        <item x="1036"/>
        <item x="1049"/>
        <item x="1050"/>
        <item x="1051"/>
        <item x="1064"/>
        <item x="1052"/>
        <item x="1053"/>
        <item x="1054"/>
        <item x="1055"/>
        <item x="1065"/>
        <item x="1066"/>
        <item x="1067"/>
        <item x="1068"/>
        <item x="1069"/>
        <item x="1070"/>
        <item x="1056"/>
        <item x="1057"/>
        <item x="1058"/>
        <item x="1059"/>
        <item x="1060"/>
        <item x="1061"/>
        <item x="1062"/>
        <item x="1063"/>
        <item x="1071"/>
        <item x="1072"/>
        <item x="1073"/>
        <item x="1074"/>
        <item x="1075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76"/>
        <item x="1077"/>
        <item x="1078"/>
        <item x="1079"/>
        <item x="1080"/>
        <item x="1092"/>
        <item x="1093"/>
        <item x="1094"/>
        <item x="1095"/>
        <item x="1096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4"/>
        <item x="1145"/>
        <item x="1146"/>
        <item x="1147"/>
        <item x="1148"/>
        <item x="1149"/>
        <item x="1150"/>
        <item x="1151"/>
        <item x="1152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53"/>
        <item x="1154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3"/>
        <item x="1194"/>
        <item x="1195"/>
        <item x="1196"/>
        <item x="1197"/>
        <item x="1198"/>
        <item x="1199"/>
        <item x="1200"/>
        <item x="1201"/>
        <item x="1205"/>
        <item x="1206"/>
        <item x="1207"/>
        <item x="1208"/>
        <item x="1209"/>
        <item x="1210"/>
        <item x="1202"/>
        <item x="1203"/>
        <item x="1204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5"/>
        <item x="1236"/>
        <item x="1237"/>
        <item x="1242"/>
        <item x="1243"/>
        <item x="1244"/>
        <item x="1245"/>
        <item x="1246"/>
        <item x="1247"/>
        <item x="1248"/>
        <item x="1238"/>
        <item x="1239"/>
        <item x="1249"/>
        <item x="1240"/>
        <item x="1241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62"/>
        <item x="1363"/>
        <item x="1364"/>
        <item x="1365"/>
        <item x="1366"/>
        <item x="1367"/>
        <item x="1368"/>
        <item x="1369"/>
        <item x="1370"/>
        <item x="1358"/>
        <item x="1359"/>
        <item x="1360"/>
        <item x="1361"/>
        <item x="1371"/>
        <item x="1372"/>
        <item x="1373"/>
        <item x="1374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26"/>
        <item x="1427"/>
        <item x="1428"/>
        <item x="1429"/>
        <item x="1430"/>
        <item x="1431"/>
        <item x="1432"/>
        <item x="1433"/>
        <item x="1434"/>
        <item x="1435"/>
        <item x="1416"/>
        <item x="1417"/>
        <item x="1418"/>
        <item x="1419"/>
        <item x="1420"/>
        <item x="1421"/>
        <item x="1422"/>
        <item x="1423"/>
        <item x="1424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5"/>
        <item x="1466"/>
        <item x="1467"/>
        <item x="1468"/>
        <item x="1469"/>
        <item x="1470"/>
        <item x="1471"/>
        <item x="1472"/>
        <item x="1473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905"/>
        <item m="1" x="1906"/>
        <item m="1" x="1907"/>
        <item m="1" x="1908"/>
        <item m="1" x="1909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10"/>
        <item m="1" x="1911"/>
        <item m="1" x="1912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x="1474"/>
      </items>
    </pivotField>
    <pivotField dataField="1" showAll="0"/>
    <pivotField axis="axisRow" outline="0" showAll="0" sortType="ascending" defaultSubtotal="0">
      <items count="238">
        <item x="0"/>
        <item x="1"/>
        <item x="2"/>
        <item x="3"/>
        <item x="4"/>
        <item x="5"/>
        <item x="6"/>
        <item x="7"/>
        <item x="8"/>
        <item x="10"/>
        <item x="9"/>
        <item x="13"/>
        <item x="11"/>
        <item x="12"/>
        <item x="14"/>
        <item x="15"/>
        <item x="16"/>
        <item x="17"/>
        <item x="18"/>
        <item x="19"/>
        <item x="21"/>
        <item x="20"/>
        <item x="22"/>
        <item x="23"/>
        <item x="24"/>
        <item x="25"/>
        <item x="26"/>
        <item x="27"/>
        <item x="28"/>
        <item x="31"/>
        <item x="29"/>
        <item x="30"/>
        <item x="32"/>
        <item x="33"/>
        <item x="34"/>
        <item x="35"/>
        <item x="36"/>
        <item x="37"/>
        <item x="38"/>
        <item x="39"/>
        <item x="40"/>
        <item x="43"/>
        <item x="44"/>
        <item x="45"/>
        <item x="46"/>
        <item x="47"/>
        <item x="48"/>
        <item x="49"/>
        <item x="50"/>
        <item x="53"/>
        <item x="51"/>
        <item x="52"/>
        <item x="54"/>
        <item x="55"/>
        <item x="41"/>
        <item x="56"/>
        <item x="57"/>
        <item x="58"/>
        <item x="59"/>
        <item x="60"/>
        <item x="61"/>
        <item x="62"/>
        <item x="63"/>
        <item x="64"/>
        <item x="67"/>
        <item x="65"/>
        <item x="66"/>
        <item x="68"/>
        <item x="69"/>
        <item x="71"/>
        <item x="42"/>
        <item x="70"/>
        <item x="72"/>
        <item x="75"/>
        <item x="73"/>
        <item x="74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107"/>
        <item x="95"/>
        <item x="98"/>
        <item x="97"/>
        <item x="99"/>
        <item x="100"/>
        <item x="101"/>
        <item x="106"/>
        <item x="102"/>
        <item x="103"/>
        <item x="104"/>
        <item x="105"/>
        <item x="108"/>
        <item x="109"/>
        <item x="110"/>
        <item x="111"/>
        <item x="114"/>
        <item x="115"/>
        <item x="116"/>
        <item x="118"/>
        <item x="117"/>
        <item x="119"/>
        <item x="120"/>
        <item x="121"/>
        <item x="122"/>
        <item x="123"/>
        <item x="124"/>
        <item x="125"/>
        <item x="126"/>
        <item x="127"/>
        <item x="132"/>
        <item x="137"/>
        <item x="139"/>
        <item x="140"/>
        <item x="142"/>
        <item x="141"/>
        <item x="133"/>
        <item x="147"/>
        <item x="143"/>
        <item x="144"/>
        <item x="148"/>
        <item x="138"/>
        <item x="128"/>
        <item x="136"/>
        <item x="149"/>
        <item x="154"/>
        <item x="155"/>
        <item x="158"/>
        <item x="157"/>
        <item x="159"/>
        <item x="150"/>
        <item x="129"/>
        <item x="160"/>
        <item x="161"/>
        <item x="162"/>
        <item x="164"/>
        <item x="165"/>
        <item x="135"/>
        <item x="152"/>
        <item x="166"/>
        <item x="145"/>
        <item x="151"/>
        <item x="167"/>
        <item x="168"/>
        <item x="130"/>
        <item x="163"/>
        <item x="156"/>
        <item x="169"/>
        <item x="170"/>
        <item x="171"/>
        <item x="153"/>
        <item x="173"/>
        <item x="172"/>
        <item x="146"/>
        <item x="174"/>
        <item x="175"/>
        <item x="176"/>
        <item x="177"/>
        <item x="178"/>
        <item x="179"/>
        <item x="131"/>
        <item x="180"/>
        <item x="181"/>
        <item x="182"/>
        <item x="183"/>
        <item x="184"/>
        <item x="185"/>
        <item x="186"/>
        <item x="187"/>
        <item x="188"/>
        <item x="190"/>
        <item x="191"/>
        <item x="192"/>
        <item x="193"/>
        <item x="194"/>
        <item x="195"/>
        <item x="196"/>
        <item x="189"/>
        <item x="197"/>
        <item x="199"/>
        <item x="198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113"/>
        <item x="213"/>
        <item x="214"/>
        <item x="96"/>
        <item x="215"/>
        <item x="216"/>
        <item x="217"/>
        <item x="218"/>
        <item x="219"/>
        <item x="221"/>
        <item x="224"/>
        <item x="226"/>
        <item x="225"/>
        <item x="227"/>
        <item x="228"/>
        <item x="229"/>
        <item x="112"/>
        <item x="230"/>
        <item x="232"/>
        <item x="222"/>
        <item x="220"/>
        <item x="231"/>
        <item x="223"/>
        <item x="233"/>
        <item x="234"/>
        <item x="235"/>
        <item x="134"/>
        <item x="236"/>
        <item x="237"/>
      </items>
    </pivotField>
    <pivotField axis="axisCol" showAll="0">
      <items count="8">
        <item m="1" x="5"/>
        <item m="1" x="3"/>
        <item n="GALICIA +" x="0"/>
        <item m="1" x="4"/>
        <item x="2"/>
        <item m="1" x="6"/>
        <item x="1"/>
        <item t="default"/>
      </items>
    </pivotField>
    <pivotField showAll="0"/>
    <pivotField showAll="0"/>
    <pivotField axis="axisPage" multipleItemSelectionAllowed="1" showAll="0">
      <items count="6">
        <item h="1" x="1"/>
        <item h="1" x="0"/>
        <item h="1" x="3"/>
        <item x="2"/>
        <item h="1" m="1" x="4"/>
        <item t="default"/>
      </items>
    </pivotField>
    <pivotField axis="axisPage" outline="0" multipleItemSelectionAllowed="1" showAll="0" insertBlankRow="1">
      <items count="5">
        <item x="0"/>
        <item x="1"/>
        <item x="2"/>
        <item m="1" x="3"/>
        <item t="default"/>
      </items>
    </pivotField>
  </pivotFields>
  <rowFields count="2">
    <field x="6"/>
    <field x="4"/>
  </rowFields>
  <rowItems count="10">
    <i>
      <x v="236"/>
      <x v="7790"/>
    </i>
    <i r="1">
      <x v="7791"/>
    </i>
    <i r="1">
      <x v="7792"/>
    </i>
    <i r="1">
      <x v="7793"/>
    </i>
    <i r="1">
      <x v="7794"/>
    </i>
    <i r="1">
      <x v="7795"/>
    </i>
    <i r="1">
      <x v="7796"/>
    </i>
    <i r="1">
      <x v="7797"/>
    </i>
    <i r="1">
      <x v="7798"/>
    </i>
    <i t="grand">
      <x/>
    </i>
  </rowItems>
  <colFields count="1">
    <field x="7"/>
  </colFields>
  <colItems count="2">
    <i>
      <x v="6"/>
    </i>
    <i t="grand">
      <x/>
    </i>
  </colItems>
  <pageFields count="2">
    <pageField fld="10" hier="-1"/>
    <pageField fld="11" hier="-1"/>
  </pageFields>
  <dataFields count="1">
    <dataField name="Suma de importe" fld="5" baseField="4" baseItem="0" numFmtId="4"/>
  </dataFields>
  <formats count="3">
    <format dxfId="5">
      <pivotArea field="6" type="button" dataOnly="0" labelOnly="1" outline="0" axis="axisRow" fieldPosition="0"/>
    </format>
    <format dxfId="4">
      <pivotArea dataOnly="0" labelOnly="1" grandRow="1" outline="0" fieldPosition="0"/>
    </format>
    <format dxfId="3">
      <pivotArea dataOnly="0" labelOnly="1" fieldPosition="0">
        <references count="2">
          <reference field="4" count="1" selected="0">
            <x v="7999"/>
          </reference>
          <reference field="6" count="1">
            <x v="23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2000000}" name="TablaDiná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>
  <location ref="A13:D24" firstHeaderRow="1" firstDataRow="2" firstDataCol="2" rowPageCount="1" colPageCount="1"/>
  <pivotFields count="11">
    <pivotField showAll="0"/>
    <pivotField showAll="0"/>
    <pivotField showAll="0"/>
    <pivotField showAll="0"/>
    <pivotField axis="axisRow" outline="0" showAll="0" defaultSubtotal="0">
      <items count="8000">
        <item m="1" x="3506"/>
        <item m="1" x="3507"/>
        <item m="1" x="3534"/>
        <item m="1" x="3535"/>
        <item m="1" x="3536"/>
        <item m="1" x="3537"/>
        <item m="1" x="3538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648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60"/>
        <item m="1" x="3761"/>
        <item m="1" x="3762"/>
        <item m="1" x="3763"/>
        <item m="1" x="3764"/>
        <item m="1" x="3765"/>
        <item m="1" x="3766"/>
        <item m="1" x="3767"/>
        <item m="1" x="3783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925"/>
        <item m="1" x="3926"/>
        <item m="1" x="3927"/>
        <item m="1" x="3928"/>
        <item m="1" x="3929"/>
        <item m="1" x="3930"/>
        <item m="1" x="3931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45"/>
        <item m="1" x="4046"/>
        <item m="1" x="4047"/>
        <item m="1" x="4048"/>
        <item m="1" x="4049"/>
        <item m="1" x="4050"/>
        <item m="1" x="4051"/>
        <item m="1" x="4068"/>
        <item m="1" x="4069"/>
        <item m="1" x="4070"/>
        <item m="1" x="4071"/>
        <item m="1" x="4083"/>
        <item m="1" x="4084"/>
        <item m="1" x="4085"/>
        <item m="1" x="4086"/>
        <item m="1" x="4087"/>
        <item m="1" x="4089"/>
        <item m="1" x="4092"/>
        <item m="1" x="4088"/>
        <item m="1" x="4141"/>
        <item m="1" x="4138"/>
        <item m="1" x="4139"/>
        <item m="1" x="4140"/>
        <item m="1" x="4143"/>
        <item m="1" x="4144"/>
        <item m="1" x="4142"/>
        <item m="1" x="4145"/>
        <item m="1" x="4146"/>
        <item m="1" x="4147"/>
        <item m="1" x="4148"/>
        <item m="1" x="4149"/>
        <item m="1" x="4163"/>
        <item m="1" x="4164"/>
        <item m="1" x="4150"/>
        <item m="1" x="4165"/>
        <item m="1" x="4166"/>
        <item m="1" x="4167"/>
        <item m="1" x="4168"/>
        <item m="1" x="4169"/>
        <item m="1" x="4170"/>
        <item m="1" x="4171"/>
        <item m="1" x="4175"/>
        <item m="1" x="4176"/>
        <item m="1" x="4178"/>
        <item m="1" x="4179"/>
        <item m="1" x="4180"/>
        <item m="1" x="4181"/>
        <item m="1" x="4185"/>
        <item m="1" x="4183"/>
        <item m="1" x="4184"/>
        <item m="1" x="4182"/>
        <item m="1" x="4186"/>
        <item m="1" x="4187"/>
        <item m="1" x="4188"/>
        <item m="1" x="4189"/>
        <item m="1" x="4177"/>
        <item m="1" x="4190"/>
        <item m="1" x="4191"/>
        <item m="1" x="4174"/>
        <item m="1" x="4173"/>
        <item m="1" x="4172"/>
        <item m="1" x="4192"/>
        <item m="1" x="4227"/>
        <item m="1" x="4228"/>
        <item m="1" x="4193"/>
        <item m="1" x="4229"/>
        <item m="1" x="4233"/>
        <item m="1" x="4231"/>
        <item m="1" x="4232"/>
        <item m="1" x="4234"/>
        <item m="1" x="4230"/>
        <item m="1" x="4235"/>
        <item m="1" x="4236"/>
        <item m="1" x="4237"/>
        <item m="1" x="4238"/>
        <item m="1" x="4242"/>
        <item m="1" x="4243"/>
        <item m="1" x="4244"/>
        <item m="1" x="4245"/>
        <item m="1" x="4249"/>
        <item m="1" x="4248"/>
        <item m="1" x="4247"/>
        <item m="1" x="4246"/>
        <item m="1" x="4251"/>
        <item m="1" x="4250"/>
        <item m="1" x="4252"/>
        <item m="1" x="4253"/>
        <item m="1" x="4254"/>
        <item m="1" x="4288"/>
        <item m="1" x="4289"/>
        <item m="1" x="4290"/>
        <item m="1" x="4286"/>
        <item m="1" x="4287"/>
        <item m="1" x="4284"/>
        <item m="1" x="4285"/>
        <item m="1" x="4291"/>
        <item m="1" x="4292"/>
        <item m="1" x="4293"/>
        <item m="1" x="4294"/>
        <item m="1" x="4295"/>
        <item m="1" x="4296"/>
        <item m="1" x="4297"/>
        <item m="1" x="4298"/>
        <item m="1" x="4301"/>
        <item m="1" x="4299"/>
        <item m="1" x="4300"/>
        <item m="1" x="4302"/>
        <item m="1" x="4304"/>
        <item m="1" x="4303"/>
        <item m="1" x="4308"/>
        <item m="1" x="4309"/>
        <item m="1" x="4310"/>
        <item m="1" x="4305"/>
        <item m="1" x="4306"/>
        <item m="1" x="4307"/>
        <item m="1" x="4311"/>
        <item m="1" x="4312"/>
        <item m="1" x="4357"/>
        <item m="1" x="4358"/>
        <item m="1" x="4362"/>
        <item m="1" x="4360"/>
        <item m="1" x="4361"/>
        <item m="1" x="4365"/>
        <item m="1" x="4359"/>
        <item m="1" x="4367"/>
        <item m="1" x="4366"/>
        <item m="1" x="4363"/>
        <item m="1" x="4364"/>
        <item m="1" x="4368"/>
        <item m="1" x="4369"/>
        <item m="1" x="4370"/>
        <item m="1" x="4371"/>
        <item m="1" x="4380"/>
        <item m="1" x="4379"/>
        <item m="1" x="4378"/>
        <item m="1" x="4377"/>
        <item m="1" x="4428"/>
        <item m="1" x="4372"/>
        <item m="1" x="4373"/>
        <item m="1" x="4374"/>
        <item m="1" x="4376"/>
        <item m="1" x="4381"/>
        <item m="1" x="4426"/>
        <item m="1" x="4429"/>
        <item m="1" x="4375"/>
        <item m="1" x="4427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67"/>
        <item m="1" x="4474"/>
        <item m="1" x="4475"/>
        <item m="1" x="4461"/>
        <item m="1" x="4462"/>
        <item m="1" x="4463"/>
        <item m="1" x="4464"/>
        <item m="1" x="4465"/>
        <item m="1" x="4472"/>
        <item m="1" x="4473"/>
        <item m="1" x="4468"/>
        <item m="1" x="4470"/>
        <item m="1" x="4466"/>
        <item m="1" x="4471"/>
        <item m="1" x="4469"/>
        <item m="1" x="4479"/>
        <item m="1" x="4481"/>
        <item m="1" x="4480"/>
        <item m="1" x="4477"/>
        <item m="1" x="4478"/>
        <item m="1" x="4476"/>
        <item m="1" x="4482"/>
        <item m="1" x="4492"/>
        <item m="1" x="4491"/>
        <item m="1" x="4493"/>
        <item m="1" x="4494"/>
        <item m="1" x="4483"/>
        <item m="1" x="4484"/>
        <item m="1" x="4485"/>
        <item m="1" x="4486"/>
        <item m="1" x="4487"/>
        <item m="1" x="4488"/>
        <item m="1" x="4489"/>
        <item m="1" x="4490"/>
        <item m="1" x="4495"/>
        <item m="1" x="4522"/>
        <item m="1" x="4523"/>
        <item m="1" x="4524"/>
        <item m="1" x="4525"/>
        <item m="1" x="4530"/>
        <item m="1" x="4531"/>
        <item m="1" x="4532"/>
        <item m="1" x="4533"/>
        <item m="1" x="4534"/>
        <item m="1" x="4536"/>
        <item m="1" x="4535"/>
        <item m="1" x="4529"/>
        <item m="1" x="4526"/>
        <item m="1" x="4527"/>
        <item m="1" x="4528"/>
        <item m="1" x="4537"/>
        <item m="1" x="4546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70"/>
        <item m="1" x="4569"/>
        <item m="1" x="4571"/>
        <item m="1" x="4572"/>
        <item m="1" x="4573"/>
        <item m="1" x="4574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98"/>
        <item m="1" x="4599"/>
        <item m="1" x="4600"/>
        <item m="1" x="4601"/>
        <item m="1" x="4602"/>
        <item m="1" x="4603"/>
        <item m="1" x="4611"/>
        <item m="1" x="4612"/>
        <item m="1" x="4613"/>
        <item m="1" x="4614"/>
        <item m="1" x="4615"/>
        <item m="1" x="4616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6"/>
        <item m="1" x="4657"/>
        <item m="1" x="4658"/>
        <item m="1" x="4659"/>
        <item m="1" x="4660"/>
        <item m="1" x="4654"/>
        <item m="1" x="4655"/>
        <item m="1" x="4661"/>
        <item m="1" x="4662"/>
        <item m="1" x="4675"/>
        <item m="1" x="4676"/>
        <item m="1" x="4677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6"/>
        <item m="1" x="4707"/>
        <item m="1" x="4712"/>
        <item m="1" x="4713"/>
        <item m="1" x="4714"/>
        <item m="1" x="4715"/>
        <item m="1" x="4716"/>
        <item m="1" x="4717"/>
        <item m="1" x="4718"/>
        <item m="1" x="4719"/>
        <item m="1" x="4795"/>
        <item m="1" x="4796"/>
        <item m="1" x="4797"/>
        <item m="1" x="4798"/>
        <item m="1" x="4799"/>
        <item m="1" x="4803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7"/>
        <item m="1" x="4918"/>
        <item m="1" x="4919"/>
        <item m="1" x="4920"/>
        <item m="1" x="4921"/>
        <item m="1" x="4922"/>
        <item m="1" x="4923"/>
        <item m="1" x="4940"/>
        <item m="1" x="4941"/>
        <item m="1" x="4942"/>
        <item m="1" x="4943"/>
        <item m="1" x="4944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3"/>
        <item m="1" x="5214"/>
        <item m="1" x="5215"/>
        <item m="1" x="5217"/>
        <item m="1" x="5219"/>
        <item m="1" x="5216"/>
        <item m="1" x="5218"/>
        <item m="1" x="5220"/>
        <item m="1" x="5221"/>
        <item m="1" x="5222"/>
        <item m="1" x="5223"/>
        <item m="1" x="5224"/>
        <item m="1" x="5225"/>
        <item m="1" x="5226"/>
        <item m="1" x="5227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493"/>
        <item m="1" x="5543"/>
        <item m="1" x="5544"/>
        <item m="1" x="5545"/>
        <item m="1" x="5546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95"/>
        <item m="1" x="5596"/>
        <item m="1" x="5597"/>
        <item m="1" x="5598"/>
        <item m="1" x="5599"/>
        <item m="1" x="5600"/>
        <item m="1" x="5589"/>
        <item m="1" x="5590"/>
        <item m="1" x="5591"/>
        <item m="1" x="5592"/>
        <item m="1" x="5593"/>
        <item m="1" x="5594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6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6"/>
        <item m="1" x="5697"/>
        <item m="1" x="5694"/>
        <item m="1" x="5695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817"/>
        <item m="1" x="6033"/>
        <item m="1" x="6034"/>
        <item m="1" x="6035"/>
        <item m="1" x="6036"/>
        <item m="1" x="6037"/>
        <item m="1" x="6038"/>
        <item m="1" x="6039"/>
        <item m="1" x="6040"/>
        <item m="1" x="6044"/>
        <item m="1" x="4708"/>
        <item m="1" x="4709"/>
        <item m="1" x="4710"/>
        <item m="1" x="4720"/>
        <item m="1" x="4721"/>
        <item m="1" x="4722"/>
        <item m="1" x="4723"/>
        <item m="1" x="4724"/>
        <item m="1" x="4725"/>
        <item m="1" x="4726"/>
        <item m="1" x="4727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844"/>
        <item m="1" x="4845"/>
        <item m="1" x="4846"/>
        <item m="1" x="4847"/>
        <item m="1" x="4848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5072"/>
        <item m="1" x="5073"/>
        <item m="1" x="5249"/>
        <item m="1" x="5250"/>
        <item m="1" x="5251"/>
        <item m="1" x="5252"/>
        <item m="1" x="5253"/>
        <item m="1" x="5254"/>
        <item m="1" x="5540"/>
        <item m="1" x="5541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3"/>
        <item m="1" x="5833"/>
        <item m="1" x="5834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5"/>
        <item m="1" x="5836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1"/>
        <item m="1" x="5912"/>
        <item m="1" x="5913"/>
        <item m="1" x="5914"/>
        <item m="1" x="5916"/>
        <item m="1" x="5917"/>
        <item m="1" x="5919"/>
        <item m="1" x="5920"/>
        <item m="1" x="5921"/>
        <item m="1" x="6077"/>
        <item m="1" x="5949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41"/>
        <item m="1" x="6042"/>
        <item m="1" x="6043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2"/>
        <item m="1" x="6073"/>
        <item m="1" x="6074"/>
        <item m="1" x="6075"/>
        <item m="1" x="6076"/>
        <item m="1" x="6078"/>
        <item m="1" x="6079"/>
        <item m="1" x="6080"/>
        <item m="1" x="6083"/>
        <item m="1" x="6084"/>
        <item m="1" x="6085"/>
        <item m="1" x="6086"/>
        <item m="1" x="6087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47"/>
        <item m="1" x="6153"/>
        <item m="1" x="6154"/>
        <item m="1" x="6155"/>
        <item m="1" x="6156"/>
        <item m="1" x="6157"/>
        <item m="1" x="6159"/>
        <item m="1" x="6160"/>
        <item m="1" x="616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9"/>
        <item m="1" x="6210"/>
        <item m="1" x="6211"/>
        <item m="1" x="6217"/>
        <item m="1" x="6218"/>
        <item m="1" x="6219"/>
        <item m="1" x="6220"/>
        <item m="1" x="6221"/>
        <item m="1" x="6222"/>
        <item m="1" x="6223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10"/>
        <item m="1" x="6314"/>
        <item m="1" x="6315"/>
        <item m="1" x="6316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51"/>
        <item m="1" x="6352"/>
        <item m="1" x="6353"/>
        <item m="1" x="6354"/>
        <item m="1" x="6355"/>
        <item m="1" x="6356"/>
        <item m="1" x="6357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23"/>
        <item m="1" x="6524"/>
        <item m="1" x="6525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6"/>
        <item m="1" x="6557"/>
        <item m="1" x="6558"/>
        <item m="1" x="6559"/>
        <item m="1" x="6560"/>
        <item m="1" x="6561"/>
        <item m="1" x="6562"/>
        <item m="1" x="6553"/>
        <item m="1" x="6554"/>
        <item m="1" x="6555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70"/>
        <item m="1" x="6671"/>
        <item m="1" x="6672"/>
        <item m="1" x="6673"/>
        <item m="1" x="6674"/>
        <item m="1" x="6675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9"/>
        <item m="1" x="6820"/>
        <item m="1" x="6821"/>
        <item m="1" x="6822"/>
        <item m="1" x="6823"/>
        <item m="1" x="6824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51"/>
        <item m="1" x="6852"/>
        <item m="1" x="6853"/>
        <item m="1" x="6854"/>
        <item m="1" x="6855"/>
        <item m="1" x="6863"/>
        <item m="1" x="6864"/>
        <item m="1" x="6865"/>
        <item m="1" x="6866"/>
        <item m="1" x="6867"/>
        <item m="1" x="6868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2"/>
        <item m="1" x="6963"/>
        <item m="1" x="6964"/>
        <item m="1" x="6965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6"/>
        <item m="1" x="7057"/>
        <item m="1" x="7058"/>
        <item m="1" x="7059"/>
        <item m="1" x="7060"/>
        <item m="1" x="7061"/>
        <item m="1" x="7062"/>
        <item m="1" x="7064"/>
        <item m="1" x="7065"/>
        <item m="1" x="7066"/>
        <item m="1" x="7067"/>
        <item m="1" x="7083"/>
        <item m="1" x="7084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63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43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71"/>
        <item m="1" x="7272"/>
        <item m="1" x="7273"/>
        <item m="1" x="7274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400"/>
        <item m="1" x="7401"/>
        <item m="1" x="7402"/>
        <item m="1" x="7403"/>
        <item m="1" x="7404"/>
        <item m="1" x="7405"/>
        <item m="1" x="7406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3"/>
        <item m="1" x="7444"/>
        <item m="1" x="7445"/>
        <item m="1" x="7448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503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360"/>
        <item m="1" x="6361"/>
        <item m="1" x="6362"/>
        <item m="1" x="2359"/>
        <item m="1" x="2536"/>
        <item m="1" x="2537"/>
        <item m="1" x="2539"/>
        <item m="1" x="2540"/>
        <item m="1" x="2541"/>
        <item m="1" x="2542"/>
        <item m="1" x="2543"/>
        <item m="1" x="2544"/>
        <item m="1" x="2545"/>
        <item m="1" x="2546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5282"/>
        <item m="1" x="5283"/>
        <item m="1" x="5380"/>
        <item m="1" x="5381"/>
        <item m="1" x="5539"/>
        <item m="1" x="5552"/>
        <item m="1" x="581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510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8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9"/>
        <item m="1" x="3540"/>
        <item m="1" x="3541"/>
        <item m="1" x="3573"/>
        <item m="1" x="3574"/>
        <item m="1" x="3575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576"/>
        <item m="1" x="3577"/>
        <item m="1" x="3578"/>
        <item m="1" x="3579"/>
        <item m="1" x="3580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90"/>
        <item m="1" x="4091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39"/>
        <item m="1" x="4240"/>
        <item m="1" x="4241"/>
        <item m="1" x="4255"/>
        <item m="1" x="4256"/>
        <item m="1" x="4257"/>
        <item m="1" x="4258"/>
        <item m="1" x="4259"/>
        <item m="1" x="4260"/>
        <item m="1" x="4261"/>
        <item m="1" x="4262"/>
        <item m="1" x="4333"/>
        <item m="1" x="4334"/>
        <item m="1" x="4347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38"/>
        <item m="1" x="4539"/>
        <item m="1" x="4540"/>
        <item m="1" x="4541"/>
        <item m="1" x="4542"/>
        <item m="1" x="4543"/>
        <item m="1" x="4544"/>
        <item m="1" x="4545"/>
        <item m="1" x="4547"/>
        <item m="1" x="4575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604"/>
        <item m="1" x="4605"/>
        <item m="1" x="4606"/>
        <item m="1" x="4607"/>
        <item m="1" x="4608"/>
        <item m="1" x="4609"/>
        <item m="1" x="4610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89"/>
        <item m="1" x="4690"/>
        <item m="1" x="4691"/>
        <item m="1" x="4692"/>
        <item m="1" x="4705"/>
        <item m="1" x="4711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800"/>
        <item m="1" x="4801"/>
        <item m="1" x="4802"/>
        <item m="1" x="4804"/>
        <item m="1" x="4805"/>
        <item m="1" x="4806"/>
        <item m="1" x="4807"/>
        <item m="1" x="4808"/>
        <item m="1" x="4809"/>
        <item m="1" x="4810"/>
        <item m="1" x="4811"/>
        <item m="1" x="4843"/>
        <item m="1" x="4849"/>
        <item m="1" x="4850"/>
        <item m="1" x="4851"/>
        <item m="1" x="4852"/>
        <item m="1" x="4853"/>
        <item m="1" x="4854"/>
        <item m="1" x="4855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13"/>
        <item m="1" x="4914"/>
        <item m="1" x="4915"/>
        <item m="1" x="4916"/>
        <item m="1" x="4972"/>
        <item m="1" x="4973"/>
        <item m="1" x="4974"/>
        <item m="1" x="4975"/>
        <item m="1" x="5007"/>
        <item m="1" x="5008"/>
        <item m="1" x="5009"/>
        <item m="1" x="5010"/>
        <item m="1" x="5011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212"/>
        <item m="1" x="5228"/>
        <item m="1" x="5229"/>
        <item m="1" x="5230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74"/>
        <item m="1" x="5375"/>
        <item m="1" x="5376"/>
        <item m="1" x="5377"/>
        <item m="1" x="5378"/>
        <item m="1" x="5379"/>
        <item m="1" x="5382"/>
        <item m="1" x="5403"/>
        <item m="1" x="5404"/>
        <item m="1" x="5405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542"/>
        <item m="1" x="5547"/>
        <item m="1" x="5548"/>
        <item m="1" x="5549"/>
        <item m="1" x="5550"/>
        <item m="1" x="5551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87"/>
        <item m="1" x="5588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75"/>
        <item m="1" x="5677"/>
        <item m="1" x="5678"/>
        <item m="1" x="5679"/>
        <item m="1" x="5698"/>
        <item m="1" x="5699"/>
        <item m="1" x="5700"/>
        <item m="1" x="5701"/>
        <item m="1" x="5702"/>
        <item m="1" x="570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812"/>
        <item m="1" x="5814"/>
        <item m="1" x="5815"/>
        <item m="1" x="5816"/>
        <item m="1" x="5818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910"/>
        <item m="1" x="5915"/>
        <item m="1" x="5918"/>
        <item m="1" x="5922"/>
        <item m="1" x="5950"/>
        <item m="1" x="5960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45"/>
        <item m="1" x="6071"/>
        <item m="1" x="6081"/>
        <item m="1" x="6082"/>
        <item m="1" x="6088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8"/>
        <item m="1" x="6149"/>
        <item m="1" x="6150"/>
        <item m="1" x="6151"/>
        <item m="1" x="6152"/>
        <item m="1" x="6158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207"/>
        <item m="1" x="6208"/>
        <item m="1" x="6212"/>
        <item m="1" x="6213"/>
        <item m="1" x="6214"/>
        <item m="1" x="6215"/>
        <item m="1" x="6216"/>
        <item m="1" x="6224"/>
        <item m="1" x="6225"/>
        <item m="1" x="6226"/>
        <item m="1" x="623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1"/>
        <item m="1" x="6312"/>
        <item m="1" x="6313"/>
        <item m="1" x="6317"/>
        <item m="1" x="6318"/>
        <item m="1" x="6319"/>
        <item m="1" x="6320"/>
        <item m="1" x="6321"/>
        <item m="1" x="6322"/>
        <item m="1" x="6343"/>
        <item m="1" x="6344"/>
        <item m="1" x="6345"/>
        <item m="1" x="6346"/>
        <item m="1" x="6347"/>
        <item m="1" x="6348"/>
        <item m="1" x="6349"/>
        <item m="1" x="6350"/>
        <item m="1" x="6358"/>
        <item m="1" x="6359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418"/>
        <item m="1" x="6419"/>
        <item m="1" x="6450"/>
        <item m="1" x="6451"/>
        <item m="1" x="6452"/>
        <item m="1" x="6453"/>
        <item m="1" x="645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6"/>
        <item m="1" x="6552"/>
        <item m="1" x="6563"/>
        <item m="1" x="6564"/>
        <item m="1" x="6565"/>
        <item m="1" x="6566"/>
        <item m="1" x="6567"/>
        <item m="1" x="6568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6592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28"/>
        <item m="1" x="6629"/>
        <item m="1" x="6630"/>
        <item m="1" x="6631"/>
        <item m="1" x="6632"/>
        <item m="1" x="6633"/>
        <item m="1" x="6634"/>
        <item m="1" x="6635"/>
        <item m="1" x="6650"/>
        <item m="1" x="6651"/>
        <item m="1" x="6652"/>
        <item m="1" x="6653"/>
        <item m="1" x="6669"/>
        <item m="1" x="6676"/>
        <item m="1" x="6677"/>
        <item m="1" x="6678"/>
        <item m="1" x="6679"/>
        <item m="1" x="6680"/>
        <item m="1" x="6681"/>
        <item m="1" x="6682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9"/>
        <item m="1" x="6740"/>
        <item m="1" x="6741"/>
        <item m="1" x="6742"/>
        <item m="1" x="6743"/>
        <item m="1" x="6744"/>
        <item m="1" x="6745"/>
        <item m="1" x="6746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17"/>
        <item m="1" x="6818"/>
        <item m="1" x="6825"/>
        <item m="1" x="6844"/>
        <item m="1" x="6845"/>
        <item m="1" x="6846"/>
        <item m="1" x="6847"/>
        <item m="1" x="6848"/>
        <item m="1" x="6849"/>
        <item m="1" x="6850"/>
        <item m="1" x="6856"/>
        <item m="1" x="6857"/>
        <item m="1" x="6858"/>
        <item m="1" x="6859"/>
        <item m="1" x="6860"/>
        <item m="1" x="6861"/>
        <item m="1" x="6862"/>
        <item m="1" x="6869"/>
        <item m="1" x="6891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60"/>
        <item m="1" x="6961"/>
        <item m="1" x="6966"/>
        <item m="1" x="6992"/>
        <item m="1" x="6993"/>
        <item m="1" x="6994"/>
        <item m="1" x="6995"/>
        <item m="1" x="6996"/>
        <item m="1" x="6997"/>
        <item m="1" x="6998"/>
        <item m="1" x="7054"/>
        <item m="1" x="7055"/>
        <item m="1" x="7063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5"/>
        <item m="1" x="7086"/>
        <item m="1" x="7087"/>
        <item m="1" x="7088"/>
        <item m="1" x="7089"/>
        <item m="1" x="7099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4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204"/>
        <item m="1" x="7205"/>
        <item m="1" x="7206"/>
        <item m="1" x="7207"/>
        <item m="1" x="7208"/>
        <item m="1" x="7209"/>
        <item m="1" x="7210"/>
        <item m="1" x="721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54"/>
        <item m="1" x="7255"/>
        <item m="1" x="7256"/>
        <item m="1" x="7257"/>
        <item m="1" x="7268"/>
        <item m="1" x="7269"/>
        <item m="1" x="7270"/>
        <item m="1" x="7275"/>
        <item m="1" x="7276"/>
        <item m="1" x="7310"/>
        <item m="1" x="7311"/>
        <item m="1" x="7312"/>
        <item m="1" x="7343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99"/>
        <item m="1" x="7407"/>
        <item m="1" x="7408"/>
        <item m="1" x="7409"/>
        <item m="1" x="7410"/>
        <item m="1" x="7423"/>
        <item m="1" x="7424"/>
        <item m="1" x="7442"/>
        <item m="1" x="7446"/>
        <item m="1" x="7447"/>
        <item m="1" x="7449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4"/>
        <item m="1" x="7520"/>
        <item x="1474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50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425"/>
        <item m="1" x="1475"/>
        <item m="1" x="1476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</items>
    </pivotField>
    <pivotField dataField="1" showAll="0"/>
    <pivotField axis="axisRow" showAll="0">
      <items count="239">
        <item x="237"/>
        <item x="14"/>
        <item x="30"/>
        <item x="1"/>
        <item x="2"/>
        <item x="3"/>
        <item x="4"/>
        <item x="5"/>
        <item x="8"/>
        <item x="10"/>
        <item x="13"/>
        <item x="11"/>
        <item x="12"/>
        <item x="15"/>
        <item x="16"/>
        <item x="20"/>
        <item x="19"/>
        <item x="21"/>
        <item x="23"/>
        <item x="24"/>
        <item x="27"/>
        <item x="33"/>
        <item x="34"/>
        <item x="36"/>
        <item x="35"/>
        <item x="37"/>
        <item x="38"/>
        <item x="40"/>
        <item x="44"/>
        <item x="45"/>
        <item x="46"/>
        <item x="49"/>
        <item x="50"/>
        <item x="53"/>
        <item x="52"/>
        <item x="54"/>
        <item x="55"/>
        <item x="41"/>
        <item x="56"/>
        <item x="57"/>
        <item x="60"/>
        <item x="61"/>
        <item x="62"/>
        <item x="64"/>
        <item x="63"/>
        <item x="68"/>
        <item x="69"/>
        <item x="70"/>
        <item x="72"/>
        <item x="42"/>
        <item x="75"/>
        <item x="73"/>
        <item x="74"/>
        <item x="76"/>
        <item x="77"/>
        <item x="78"/>
        <item x="79"/>
        <item x="81"/>
        <item x="82"/>
        <item x="84"/>
        <item x="85"/>
        <item x="90"/>
        <item x="86"/>
        <item x="87"/>
        <item x="89"/>
        <item x="92"/>
        <item x="94"/>
        <item x="106"/>
        <item x="110"/>
        <item x="95"/>
        <item x="98"/>
        <item x="119"/>
        <item x="137"/>
        <item x="149"/>
        <item x="99"/>
        <item x="101"/>
        <item x="100"/>
        <item x="102"/>
        <item x="103"/>
        <item x="105"/>
        <item x="108"/>
        <item x="109"/>
        <item x="139"/>
        <item x="118"/>
        <item x="111"/>
        <item x="114"/>
        <item x="115"/>
        <item x="116"/>
        <item x="117"/>
        <item x="127"/>
        <item x="147"/>
        <item x="120"/>
        <item x="121"/>
        <item x="122"/>
        <item x="124"/>
        <item x="123"/>
        <item x="125"/>
        <item x="157"/>
        <item x="132"/>
        <item x="142"/>
        <item x="138"/>
        <item x="140"/>
        <item x="152"/>
        <item x="172"/>
        <item x="143"/>
        <item x="144"/>
        <item x="148"/>
        <item x="175"/>
        <item x="128"/>
        <item x="154"/>
        <item x="155"/>
        <item x="136"/>
        <item x="158"/>
        <item x="159"/>
        <item x="161"/>
        <item x="164"/>
        <item x="135"/>
        <item x="165"/>
        <item x="166"/>
        <item x="151"/>
        <item x="167"/>
        <item x="168"/>
        <item x="156"/>
        <item x="169"/>
        <item x="186"/>
        <item x="170"/>
        <item x="163"/>
        <item x="173"/>
        <item x="177"/>
        <item x="146"/>
        <item x="174"/>
        <item x="176"/>
        <item x="179"/>
        <item x="131"/>
        <item x="180"/>
        <item x="22"/>
        <item x="6"/>
        <item x="7"/>
        <item x="26"/>
        <item x="17"/>
        <item x="18"/>
        <item x="31"/>
        <item x="29"/>
        <item x="32"/>
        <item x="48"/>
        <item x="58"/>
        <item x="39"/>
        <item x="43"/>
        <item x="65"/>
        <item x="71"/>
        <item x="47"/>
        <item x="51"/>
        <item x="59"/>
        <item x="126"/>
        <item x="80"/>
        <item x="83"/>
        <item x="150"/>
        <item x="88"/>
        <item x="91"/>
        <item x="97"/>
        <item x="104"/>
        <item x="133"/>
        <item x="141"/>
        <item x="162"/>
        <item x="160"/>
        <item x="178"/>
        <item x="130"/>
        <item x="197"/>
        <item x="171"/>
        <item x="184"/>
        <item x="0"/>
        <item x="9"/>
        <item x="25"/>
        <item x="28"/>
        <item x="66"/>
        <item x="67"/>
        <item x="93"/>
        <item x="96"/>
        <item x="107"/>
        <item x="112"/>
        <item x="113"/>
        <item x="129"/>
        <item x="134"/>
        <item x="145"/>
        <item x="153"/>
        <item x="181"/>
        <item x="182"/>
        <item x="183"/>
        <item x="185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t="default"/>
      </items>
    </pivotField>
    <pivotField axis="axisCol" showAll="0">
      <items count="15">
        <item n="GALICIA +" x="0"/>
        <item x="2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x="1"/>
        <item t="default"/>
      </items>
    </pivotField>
    <pivotField showAll="0"/>
    <pivotField showAll="0"/>
    <pivotField axis="axisPage" multipleItemSelectionAllowed="1" showAll="0">
      <items count="6">
        <item x="1"/>
        <item h="1" x="0"/>
        <item h="1" x="3"/>
        <item h="1" x="2"/>
        <item h="1" m="1" x="4"/>
        <item t="default"/>
      </items>
    </pivotField>
  </pivotFields>
  <rowFields count="2">
    <field x="4"/>
    <field x="6"/>
  </rowFields>
  <rowItems count="10">
    <i>
      <x v="7288"/>
      <x v="182"/>
    </i>
    <i>
      <x v="7910"/>
      <x v="179"/>
    </i>
    <i>
      <x v="7977"/>
      <x v="234"/>
    </i>
    <i>
      <x v="7984"/>
      <x v="236"/>
    </i>
    <i>
      <x v="7985"/>
      <x v="236"/>
    </i>
    <i>
      <x v="7986"/>
      <x v="236"/>
    </i>
    <i>
      <x v="7987"/>
      <x v="236"/>
    </i>
    <i>
      <x v="7988"/>
      <x v="236"/>
    </i>
    <i>
      <x v="7989"/>
      <x v="236"/>
    </i>
    <i t="grand">
      <x/>
    </i>
  </rowItems>
  <colFields count="1">
    <field x="7"/>
  </colFields>
  <colItems count="2">
    <i>
      <x v="13"/>
    </i>
    <i t="grand">
      <x/>
    </i>
  </colItems>
  <pageFields count="1">
    <pageField fld="10" hier="-1"/>
  </pageFields>
  <dataFields count="1">
    <dataField name="Suma de importe" fld="5" baseField="4" baseItem="0" numFmtId="4"/>
  </dataFields>
  <formats count="3">
    <format dxfId="8">
      <pivotArea field="6" type="button" dataOnly="0" labelOnly="1" outline="0" axis="axisRow" fieldPosition="1"/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4" count="1" selected="0">
            <x v="5183"/>
          </reference>
          <reference field="6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4D1C77-29CA-40EA-9C09-5C31FF5434F7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753"/>
  <sheetViews>
    <sheetView topLeftCell="A1462" zoomScaleNormal="100" workbookViewId="0">
      <selection activeCell="B1480" sqref="B1480"/>
    </sheetView>
  </sheetViews>
  <sheetFormatPr baseColWidth="10" defaultColWidth="11.42578125" defaultRowHeight="15" x14ac:dyDescent="0.25"/>
  <cols>
    <col min="1" max="1" width="12" style="37" bestFit="1" customWidth="1"/>
    <col min="2" max="2" width="11.7109375" style="37" bestFit="1" customWidth="1"/>
    <col min="3" max="3" width="14.85546875" style="39" bestFit="1" customWidth="1"/>
    <col min="4" max="4" width="72.85546875" style="37" bestFit="1" customWidth="1"/>
    <col min="5" max="5" width="11.7109375" style="37" bestFit="1" customWidth="1"/>
    <col min="6" max="6" width="15.5703125" style="39" bestFit="1" customWidth="1"/>
    <col min="7" max="7" width="11.7109375" style="38" bestFit="1" customWidth="1"/>
    <col min="8" max="8" width="10.85546875"/>
    <col min="9" max="9" width="11.85546875" style="37" bestFit="1" customWidth="1"/>
    <col min="10" max="10" width="18.28515625" style="37" bestFit="1" customWidth="1"/>
    <col min="11" max="12" width="0" style="37" hidden="1" customWidth="1"/>
    <col min="13" max="13" width="11.42578125" style="37"/>
    <col min="14" max="16" width="11.7109375" style="37" bestFit="1" customWidth="1"/>
    <col min="17" max="17" width="22.5703125" style="37" bestFit="1" customWidth="1"/>
    <col min="18" max="18" width="14" style="37" bestFit="1" customWidth="1"/>
    <col min="19" max="19" width="11.85546875" style="37" customWidth="1"/>
    <col min="20" max="20" width="11.7109375" style="37" bestFit="1" customWidth="1"/>
    <col min="21" max="21" width="13.42578125" style="37" bestFit="1" customWidth="1"/>
    <col min="22" max="22" width="16.7109375" style="37" bestFit="1" customWidth="1"/>
    <col min="23" max="23" width="14.5703125" style="37" customWidth="1"/>
    <col min="24" max="24" width="11.42578125" style="37"/>
    <col min="25" max="25" width="11.5703125" style="37" bestFit="1" customWidth="1"/>
    <col min="26" max="26" width="11.42578125" style="37"/>
    <col min="27" max="27" width="11.5703125" style="37" bestFit="1" customWidth="1"/>
    <col min="28" max="29" width="0" style="37" hidden="1" customWidth="1"/>
    <col min="30" max="16384" width="11.42578125" style="37"/>
  </cols>
  <sheetData>
    <row r="1" spans="1:27" ht="25.5" x14ac:dyDescent="0.25">
      <c r="A1" s="34" t="s">
        <v>2</v>
      </c>
      <c r="B1" s="34" t="s">
        <v>3</v>
      </c>
      <c r="C1" s="35" t="s">
        <v>4</v>
      </c>
      <c r="D1" s="34" t="s">
        <v>5</v>
      </c>
      <c r="E1" s="34" t="s">
        <v>33</v>
      </c>
      <c r="F1" s="35" t="s">
        <v>34</v>
      </c>
      <c r="G1" s="36" t="s">
        <v>6</v>
      </c>
      <c r="H1" t="s">
        <v>17</v>
      </c>
      <c r="I1" s="43" t="s">
        <v>35</v>
      </c>
      <c r="J1" s="43" t="s">
        <v>36</v>
      </c>
      <c r="K1" s="43" t="s">
        <v>37</v>
      </c>
      <c r="L1" s="43" t="s">
        <v>40</v>
      </c>
      <c r="M1" s="43" t="s">
        <v>41</v>
      </c>
      <c r="N1" s="44" t="s">
        <v>50</v>
      </c>
      <c r="O1" s="44" t="s">
        <v>47</v>
      </c>
      <c r="P1" s="44" t="s">
        <v>51</v>
      </c>
      <c r="Q1" s="44" t="s">
        <v>48</v>
      </c>
      <c r="R1" s="44" t="s">
        <v>49</v>
      </c>
      <c r="S1" s="44"/>
      <c r="T1" s="45" t="s">
        <v>42</v>
      </c>
      <c r="U1" s="46" t="s">
        <v>43</v>
      </c>
      <c r="V1" s="47">
        <f ca="1">+IF(U1="HOY",Y1,AA1)</f>
        <v>46272</v>
      </c>
      <c r="X1" s="48" t="s">
        <v>43</v>
      </c>
      <c r="Y1" s="49">
        <f ca="1">+TODAY()</f>
        <v>46272</v>
      </c>
      <c r="Z1" s="48" t="s">
        <v>44</v>
      </c>
      <c r="AA1" s="49">
        <v>44629</v>
      </c>
    </row>
    <row r="2" spans="1:27" customFormat="1" x14ac:dyDescent="0.25">
      <c r="A2" s="21">
        <v>3000000005</v>
      </c>
      <c r="B2" s="22">
        <v>45660</v>
      </c>
      <c r="C2" s="20">
        <v>1996725.84</v>
      </c>
      <c r="D2" s="21" t="s">
        <v>334</v>
      </c>
      <c r="E2" s="21">
        <v>3111702</v>
      </c>
      <c r="F2" s="20">
        <v>1996725.84</v>
      </c>
      <c r="G2" s="22">
        <v>45660</v>
      </c>
      <c r="H2" t="s">
        <v>13</v>
      </c>
      <c r="I2" s="51" t="str">
        <f>IFERROR(IF(VLOOKUP(E2,extracto!C:C,1,FALSE)=E2,"pagado","no pagado"),"no pagado")</f>
        <v>pagado</v>
      </c>
      <c r="J2" s="52" t="str">
        <f t="shared" ref="J2:J6" si="0">IF(I2="pagado","pagado",IF(G2&lt;$V$1-30,"fuera de fecha","en periodo de pago"))</f>
        <v>pagado</v>
      </c>
      <c r="K2" s="51" t="str">
        <f t="shared" ref="K2:K6" ca="1" si="1">+IF(B2&gt;$V$1,"excluir",IF(J2="en periodo de pago",IF($V$1&gt;G2,"a pagar","proximo a vencer"),"excluir"))</f>
        <v>excluir</v>
      </c>
      <c r="L2" s="51" t="str">
        <f t="shared" ref="L2:L6" ca="1" si="2">+IF(K2="proximo a vencer",IF($V$1+5&gt;G2,"para la semana","no semana"),"no semana")</f>
        <v>no semana</v>
      </c>
      <c r="M2" s="51" t="str">
        <f>IFERROR(VLOOKUP(E2,'cheques a conf'!A:D,4,FALSE),"no clearing")</f>
        <v>no clearing</v>
      </c>
      <c r="N2" s="51">
        <f t="shared" ref="N2:N6" si="3">+WEEKNUM(G2,2)</f>
        <v>1</v>
      </c>
      <c r="O2" s="53">
        <f t="shared" ref="O2:O6" si="4">+MONTH(G2)</f>
        <v>1</v>
      </c>
      <c r="P2" s="53">
        <f t="shared" ref="P2:P6" si="5">+YEAR(G2)</f>
        <v>2025</v>
      </c>
    </row>
    <row r="3" spans="1:27" customFormat="1" x14ac:dyDescent="0.25">
      <c r="A3" s="21">
        <v>3000000006</v>
      </c>
      <c r="B3" s="22">
        <v>45660</v>
      </c>
      <c r="C3" s="20">
        <v>3586921.37</v>
      </c>
      <c r="D3" s="21" t="s">
        <v>335</v>
      </c>
      <c r="E3" s="21">
        <v>3111703</v>
      </c>
      <c r="F3" s="20">
        <v>3586921.37</v>
      </c>
      <c r="G3" s="22">
        <v>45660</v>
      </c>
      <c r="H3" t="s">
        <v>13</v>
      </c>
      <c r="I3" s="51" t="str">
        <f>IFERROR(IF(VLOOKUP(E3,extracto!C:C,1,FALSE)=E3,"pagado","no pagado"),"no pagado")</f>
        <v>pagado</v>
      </c>
      <c r="J3" s="52" t="str">
        <f t="shared" si="0"/>
        <v>pagado</v>
      </c>
      <c r="K3" s="51" t="str">
        <f t="shared" ca="1" si="1"/>
        <v>excluir</v>
      </c>
      <c r="L3" s="51" t="str">
        <f t="shared" ca="1" si="2"/>
        <v>no semana</v>
      </c>
      <c r="M3" s="51" t="str">
        <f>IFERROR(VLOOKUP(E3,'cheques a conf'!A:D,4,FALSE),"no clearing")</f>
        <v>no clearing</v>
      </c>
      <c r="N3" s="51">
        <f t="shared" si="3"/>
        <v>1</v>
      </c>
      <c r="O3" s="53">
        <f t="shared" si="4"/>
        <v>1</v>
      </c>
      <c r="P3" s="53">
        <f t="shared" si="5"/>
        <v>2025</v>
      </c>
    </row>
    <row r="4" spans="1:27" customFormat="1" x14ac:dyDescent="0.25">
      <c r="A4" s="21">
        <v>3000000034</v>
      </c>
      <c r="B4" s="22">
        <v>45665</v>
      </c>
      <c r="C4" s="20">
        <v>2000000</v>
      </c>
      <c r="D4" s="21" t="s">
        <v>287</v>
      </c>
      <c r="E4" s="21">
        <v>94231468</v>
      </c>
      <c r="F4" s="20">
        <v>2000000</v>
      </c>
      <c r="G4" s="22">
        <v>45667</v>
      </c>
      <c r="H4" t="s">
        <v>13</v>
      </c>
      <c r="I4" s="51" t="str">
        <f>IFERROR(IF(VLOOKUP(E4,extracto!C:C,1,FALSE)=E4,"pagado","no pagado"),"no pagado")</f>
        <v>pagado</v>
      </c>
      <c r="J4" s="52" t="str">
        <f t="shared" si="0"/>
        <v>pagado</v>
      </c>
      <c r="K4" s="51" t="str">
        <f t="shared" ca="1" si="1"/>
        <v>excluir</v>
      </c>
      <c r="L4" s="51" t="str">
        <f t="shared" ca="1" si="2"/>
        <v>no semana</v>
      </c>
      <c r="M4" s="51" t="str">
        <f>IFERROR(VLOOKUP(E4,'cheques a conf'!A:D,4,FALSE),"no clearing")</f>
        <v>no clearing</v>
      </c>
      <c r="N4" s="51">
        <f t="shared" si="3"/>
        <v>2</v>
      </c>
      <c r="O4" s="53">
        <f t="shared" si="4"/>
        <v>1</v>
      </c>
      <c r="P4" s="53">
        <f t="shared" si="5"/>
        <v>2025</v>
      </c>
    </row>
    <row r="5" spans="1:27" customFormat="1" x14ac:dyDescent="0.25">
      <c r="A5" s="21">
        <v>3000000034</v>
      </c>
      <c r="B5" s="22">
        <v>45665</v>
      </c>
      <c r="C5" s="20">
        <v>2000000</v>
      </c>
      <c r="D5" s="21" t="s">
        <v>287</v>
      </c>
      <c r="E5" s="21">
        <v>94231469</v>
      </c>
      <c r="F5" s="20">
        <v>2000000</v>
      </c>
      <c r="G5" s="22">
        <v>45667</v>
      </c>
      <c r="H5" t="s">
        <v>13</v>
      </c>
      <c r="I5" s="51" t="str">
        <f>IFERROR(IF(VLOOKUP(E5,extracto!C:C,1,FALSE)=E5,"pagado","no pagado"),"no pagado")</f>
        <v>pagado</v>
      </c>
      <c r="J5" s="52" t="str">
        <f t="shared" si="0"/>
        <v>pagado</v>
      </c>
      <c r="K5" s="51" t="str">
        <f t="shared" ca="1" si="1"/>
        <v>excluir</v>
      </c>
      <c r="L5" s="51" t="str">
        <f t="shared" ca="1" si="2"/>
        <v>no semana</v>
      </c>
      <c r="M5" s="51" t="str">
        <f>IFERROR(VLOOKUP(E5,'cheques a conf'!A:D,4,FALSE),"no clearing")</f>
        <v>no clearing</v>
      </c>
      <c r="N5" s="51">
        <f t="shared" si="3"/>
        <v>2</v>
      </c>
      <c r="O5" s="53">
        <f t="shared" si="4"/>
        <v>1</v>
      </c>
      <c r="P5" s="53">
        <f t="shared" si="5"/>
        <v>2025</v>
      </c>
    </row>
    <row r="6" spans="1:27" customFormat="1" x14ac:dyDescent="0.25">
      <c r="A6" s="21">
        <v>3000000034</v>
      </c>
      <c r="B6" s="22">
        <v>45665</v>
      </c>
      <c r="C6" s="20">
        <v>2000000</v>
      </c>
      <c r="D6" s="21" t="s">
        <v>287</v>
      </c>
      <c r="E6" s="21">
        <v>94231470</v>
      </c>
      <c r="F6" s="20">
        <v>2000000</v>
      </c>
      <c r="G6" s="22">
        <v>45667</v>
      </c>
      <c r="H6" t="s">
        <v>13</v>
      </c>
      <c r="I6" s="51" t="str">
        <f>IFERROR(IF(VLOOKUP(E6,extracto!C:C,1,FALSE)=E6,"pagado","no pagado"),"no pagado")</f>
        <v>pagado</v>
      </c>
      <c r="J6" s="52" t="str">
        <f t="shared" si="0"/>
        <v>pagado</v>
      </c>
      <c r="K6" s="51" t="str">
        <f t="shared" ca="1" si="1"/>
        <v>excluir</v>
      </c>
      <c r="L6" s="51" t="str">
        <f t="shared" ca="1" si="2"/>
        <v>no semana</v>
      </c>
      <c r="M6" s="51" t="str">
        <f>IFERROR(VLOOKUP(E6,'cheques a conf'!A:D,4,FALSE),"no clearing")</f>
        <v>no clearing</v>
      </c>
      <c r="N6" s="51">
        <f t="shared" si="3"/>
        <v>2</v>
      </c>
      <c r="O6" s="53">
        <f t="shared" si="4"/>
        <v>1</v>
      </c>
      <c r="P6" s="53">
        <f t="shared" si="5"/>
        <v>2025</v>
      </c>
    </row>
    <row r="7" spans="1:27" customFormat="1" x14ac:dyDescent="0.25">
      <c r="A7" s="21">
        <v>3000000034</v>
      </c>
      <c r="B7" s="22">
        <v>45665</v>
      </c>
      <c r="C7" s="20">
        <v>3000000</v>
      </c>
      <c r="D7" s="21" t="s">
        <v>287</v>
      </c>
      <c r="E7" s="21">
        <v>94231471</v>
      </c>
      <c r="F7" s="20">
        <v>3000000</v>
      </c>
      <c r="G7" s="22">
        <v>45667</v>
      </c>
      <c r="H7" t="s">
        <v>13</v>
      </c>
      <c r="I7" s="51" t="str">
        <f>IFERROR(IF(VLOOKUP(E7,extracto!C:C,1,FALSE)=E7,"pagado","no pagado"),"no pagado")</f>
        <v>pagado</v>
      </c>
      <c r="J7" s="52" t="str">
        <f t="shared" ref="J7:J19" si="6">IF(I7="pagado","pagado",IF(G7&lt;$V$1-30,"fuera de fecha","en periodo de pago"))</f>
        <v>pagado</v>
      </c>
      <c r="K7" s="51" t="str">
        <f t="shared" ref="K7:K19" ca="1" si="7">+IF(B7&gt;$V$1,"excluir",IF(J7="en periodo de pago",IF($V$1&gt;G7,"a pagar","proximo a vencer"),"excluir"))</f>
        <v>excluir</v>
      </c>
      <c r="L7" s="51" t="str">
        <f t="shared" ref="L7:L19" ca="1" si="8">+IF(K7="proximo a vencer",IF($V$1+5&gt;G7,"para la semana","no semana"),"no semana")</f>
        <v>no semana</v>
      </c>
      <c r="M7" s="51" t="str">
        <f>IFERROR(VLOOKUP(E7,'cheques a conf'!A:D,4,FALSE),"no clearing")</f>
        <v>no clearing</v>
      </c>
      <c r="N7" s="51">
        <f t="shared" ref="N7:N19" si="9">+WEEKNUM(G7,2)</f>
        <v>2</v>
      </c>
      <c r="O7" s="53">
        <f t="shared" ref="O7:O19" si="10">+MONTH(G7)</f>
        <v>1</v>
      </c>
      <c r="P7" s="53">
        <f t="shared" ref="P7:P19" si="11">+YEAR(G7)</f>
        <v>2025</v>
      </c>
    </row>
    <row r="8" spans="1:27" customFormat="1" x14ac:dyDescent="0.25">
      <c r="A8" s="21">
        <v>3000000034</v>
      </c>
      <c r="B8" s="22">
        <v>45665</v>
      </c>
      <c r="C8" s="20">
        <v>3000000</v>
      </c>
      <c r="D8" s="21" t="s">
        <v>287</v>
      </c>
      <c r="E8" s="21">
        <v>94231472</v>
      </c>
      <c r="F8" s="20">
        <v>3000000</v>
      </c>
      <c r="G8" s="22">
        <v>45667</v>
      </c>
      <c r="H8" t="s">
        <v>13</v>
      </c>
      <c r="I8" s="51" t="str">
        <f>IFERROR(IF(VLOOKUP(E8,extracto!C:C,1,FALSE)=E8,"pagado","no pagado"),"no pagado")</f>
        <v>pagado</v>
      </c>
      <c r="J8" s="52" t="str">
        <f t="shared" si="6"/>
        <v>pagado</v>
      </c>
      <c r="K8" s="51" t="str">
        <f t="shared" ca="1" si="7"/>
        <v>excluir</v>
      </c>
      <c r="L8" s="51" t="str">
        <f t="shared" ca="1" si="8"/>
        <v>no semana</v>
      </c>
      <c r="M8" s="51" t="str">
        <f>IFERROR(VLOOKUP(E8,'cheques a conf'!A:D,4,FALSE),"no clearing")</f>
        <v>no clearing</v>
      </c>
      <c r="N8" s="51">
        <f t="shared" si="9"/>
        <v>2</v>
      </c>
      <c r="O8" s="53">
        <f t="shared" si="10"/>
        <v>1</v>
      </c>
      <c r="P8" s="53">
        <f t="shared" si="11"/>
        <v>2025</v>
      </c>
    </row>
    <row r="9" spans="1:27" customFormat="1" x14ac:dyDescent="0.25">
      <c r="A9" s="21">
        <v>3000000034</v>
      </c>
      <c r="B9" s="22">
        <v>45665</v>
      </c>
      <c r="C9" s="20">
        <v>3000000</v>
      </c>
      <c r="D9" s="21" t="s">
        <v>287</v>
      </c>
      <c r="E9" s="21">
        <v>94231473</v>
      </c>
      <c r="F9" s="20">
        <v>3000000</v>
      </c>
      <c r="G9" s="22">
        <v>45667</v>
      </c>
      <c r="H9" t="s">
        <v>13</v>
      </c>
      <c r="I9" s="51" t="str">
        <f>IFERROR(IF(VLOOKUP(E9,extracto!C:C,1,FALSE)=E9,"pagado","no pagado"),"no pagado")</f>
        <v>pagado</v>
      </c>
      <c r="J9" s="52" t="str">
        <f t="shared" si="6"/>
        <v>pagado</v>
      </c>
      <c r="K9" s="51" t="str">
        <f t="shared" ca="1" si="7"/>
        <v>excluir</v>
      </c>
      <c r="L9" s="51" t="str">
        <f t="shared" ca="1" si="8"/>
        <v>no semana</v>
      </c>
      <c r="M9" s="51" t="str">
        <f>IFERROR(VLOOKUP(E9,'cheques a conf'!A:D,4,FALSE),"no clearing")</f>
        <v>no clearing</v>
      </c>
      <c r="N9" s="51">
        <f t="shared" si="9"/>
        <v>2</v>
      </c>
      <c r="O9" s="53">
        <f t="shared" si="10"/>
        <v>1</v>
      </c>
      <c r="P9" s="53">
        <f t="shared" si="11"/>
        <v>2025</v>
      </c>
    </row>
    <row r="10" spans="1:27" customFormat="1" x14ac:dyDescent="0.25">
      <c r="A10" s="21">
        <v>3000000034</v>
      </c>
      <c r="B10" s="22">
        <v>45665</v>
      </c>
      <c r="C10" s="20">
        <v>3846551.55</v>
      </c>
      <c r="D10" s="21" t="s">
        <v>287</v>
      </c>
      <c r="E10" s="21">
        <v>94231474</v>
      </c>
      <c r="F10" s="20">
        <v>3846551.55</v>
      </c>
      <c r="G10" s="22">
        <v>45670</v>
      </c>
      <c r="H10" t="s">
        <v>13</v>
      </c>
      <c r="I10" s="51" t="str">
        <f>IFERROR(IF(VLOOKUP(E10,extracto!C:C,1,FALSE)=E10,"pagado","no pagado"),"no pagado")</f>
        <v>pagado</v>
      </c>
      <c r="J10" s="52" t="str">
        <f t="shared" si="6"/>
        <v>pagado</v>
      </c>
      <c r="K10" s="51" t="str">
        <f t="shared" ca="1" si="7"/>
        <v>excluir</v>
      </c>
      <c r="L10" s="51" t="str">
        <f t="shared" ca="1" si="8"/>
        <v>no semana</v>
      </c>
      <c r="M10" s="51" t="str">
        <f>IFERROR(VLOOKUP(E10,'cheques a conf'!A:D,4,FALSE),"no clearing")</f>
        <v>no clearing</v>
      </c>
      <c r="N10" s="51">
        <f t="shared" si="9"/>
        <v>3</v>
      </c>
      <c r="O10" s="53">
        <f t="shared" si="10"/>
        <v>1</v>
      </c>
      <c r="P10" s="53">
        <f t="shared" si="11"/>
        <v>2025</v>
      </c>
    </row>
    <row r="11" spans="1:27" customFormat="1" x14ac:dyDescent="0.25">
      <c r="A11" s="21">
        <v>3000000034</v>
      </c>
      <c r="B11" s="22">
        <v>45665</v>
      </c>
      <c r="C11" s="20">
        <v>5000000</v>
      </c>
      <c r="D11" s="21" t="s">
        <v>287</v>
      </c>
      <c r="E11" s="21">
        <v>94231475</v>
      </c>
      <c r="F11" s="20">
        <v>5000000</v>
      </c>
      <c r="G11" s="22">
        <v>45670</v>
      </c>
      <c r="H11" t="s">
        <v>13</v>
      </c>
      <c r="I11" s="51" t="str">
        <f>IFERROR(IF(VLOOKUP(E11,extracto!C:C,1,FALSE)=E11,"pagado","no pagado"),"no pagado")</f>
        <v>pagado</v>
      </c>
      <c r="J11" s="52" t="str">
        <f t="shared" si="6"/>
        <v>pagado</v>
      </c>
      <c r="K11" s="51" t="str">
        <f t="shared" ca="1" si="7"/>
        <v>excluir</v>
      </c>
      <c r="L11" s="51" t="str">
        <f t="shared" ca="1" si="8"/>
        <v>no semana</v>
      </c>
      <c r="M11" s="51" t="str">
        <f>IFERROR(VLOOKUP(E11,'cheques a conf'!A:D,4,FALSE),"no clearing")</f>
        <v>no clearing</v>
      </c>
      <c r="N11" s="51">
        <f t="shared" si="9"/>
        <v>3</v>
      </c>
      <c r="O11" s="53">
        <f t="shared" si="10"/>
        <v>1</v>
      </c>
      <c r="P11" s="53">
        <f t="shared" si="11"/>
        <v>2025</v>
      </c>
    </row>
    <row r="12" spans="1:27" customFormat="1" x14ac:dyDescent="0.25">
      <c r="A12" s="21">
        <v>3000000034</v>
      </c>
      <c r="B12" s="22">
        <v>45665</v>
      </c>
      <c r="C12" s="20">
        <v>5000000</v>
      </c>
      <c r="D12" s="21" t="s">
        <v>287</v>
      </c>
      <c r="E12" s="21">
        <v>94231476</v>
      </c>
      <c r="F12" s="20">
        <v>5000000</v>
      </c>
      <c r="G12" s="22">
        <v>45670</v>
      </c>
      <c r="H12" t="s">
        <v>13</v>
      </c>
      <c r="I12" s="51" t="str">
        <f>IFERROR(IF(VLOOKUP(E12,extracto!C:C,1,FALSE)=E12,"pagado","no pagado"),"no pagado")</f>
        <v>pagado</v>
      </c>
      <c r="J12" s="52" t="str">
        <f t="shared" si="6"/>
        <v>pagado</v>
      </c>
      <c r="K12" s="51" t="str">
        <f t="shared" ca="1" si="7"/>
        <v>excluir</v>
      </c>
      <c r="L12" s="51" t="str">
        <f t="shared" ca="1" si="8"/>
        <v>no semana</v>
      </c>
      <c r="M12" s="51" t="str">
        <f>IFERROR(VLOOKUP(E12,'cheques a conf'!A:D,4,FALSE),"no clearing")</f>
        <v>no clearing</v>
      </c>
      <c r="N12" s="51">
        <f t="shared" si="9"/>
        <v>3</v>
      </c>
      <c r="O12" s="53">
        <f t="shared" si="10"/>
        <v>1</v>
      </c>
      <c r="P12" s="53">
        <f t="shared" si="11"/>
        <v>2025</v>
      </c>
    </row>
    <row r="13" spans="1:27" customFormat="1" x14ac:dyDescent="0.25">
      <c r="A13" s="21">
        <v>3000000030</v>
      </c>
      <c r="B13" s="22">
        <v>45665</v>
      </c>
      <c r="C13" s="20">
        <v>5005406.93</v>
      </c>
      <c r="D13" s="21" t="s">
        <v>302</v>
      </c>
      <c r="E13" s="21">
        <v>97123392</v>
      </c>
      <c r="F13" s="20">
        <v>5005406.93</v>
      </c>
      <c r="G13" s="22">
        <v>45667</v>
      </c>
      <c r="H13" t="s">
        <v>61</v>
      </c>
      <c r="I13" s="51" t="str">
        <f>IFERROR(IF(VLOOKUP(E13,extracto!C:C,1,FALSE)=E13,"pagado","no pagado"),"no pagado")</f>
        <v>pagado</v>
      </c>
      <c r="J13" s="52" t="str">
        <f t="shared" si="6"/>
        <v>pagado</v>
      </c>
      <c r="K13" s="51" t="str">
        <f t="shared" ca="1" si="7"/>
        <v>excluir</v>
      </c>
      <c r="L13" s="51" t="str">
        <f t="shared" ca="1" si="8"/>
        <v>no semana</v>
      </c>
      <c r="M13" s="51" t="str">
        <f>IFERROR(VLOOKUP(E13,'cheques a conf'!A:D,4,FALSE),"no clearing")</f>
        <v>no clearing</v>
      </c>
      <c r="N13" s="51">
        <f t="shared" si="9"/>
        <v>2</v>
      </c>
      <c r="O13" s="53">
        <f t="shared" si="10"/>
        <v>1</v>
      </c>
      <c r="P13" s="53">
        <f t="shared" si="11"/>
        <v>2025</v>
      </c>
    </row>
    <row r="14" spans="1:27" customFormat="1" x14ac:dyDescent="0.25">
      <c r="A14" s="21">
        <v>3000000031</v>
      </c>
      <c r="B14" s="22">
        <v>45665</v>
      </c>
      <c r="C14" s="20">
        <v>2452021.27</v>
      </c>
      <c r="D14" s="21" t="s">
        <v>26</v>
      </c>
      <c r="E14" s="21">
        <v>97123393</v>
      </c>
      <c r="F14" s="20">
        <v>2452021.27</v>
      </c>
      <c r="G14" s="22">
        <v>45667</v>
      </c>
      <c r="H14" t="s">
        <v>61</v>
      </c>
      <c r="I14" s="51" t="str">
        <f>IFERROR(IF(VLOOKUP(E14,extracto!C:C,1,FALSE)=E14,"pagado","no pagado"),"no pagado")</f>
        <v>pagado</v>
      </c>
      <c r="J14" s="52" t="str">
        <f t="shared" si="6"/>
        <v>pagado</v>
      </c>
      <c r="K14" s="51" t="str">
        <f t="shared" ca="1" si="7"/>
        <v>excluir</v>
      </c>
      <c r="L14" s="51" t="str">
        <f t="shared" ca="1" si="8"/>
        <v>no semana</v>
      </c>
      <c r="M14" s="51" t="str">
        <f>IFERROR(VLOOKUP(E14,'cheques a conf'!A:D,4,FALSE),"no clearing")</f>
        <v>no clearing</v>
      </c>
      <c r="N14" s="51">
        <f t="shared" si="9"/>
        <v>2</v>
      </c>
      <c r="O14" s="53">
        <f t="shared" si="10"/>
        <v>1</v>
      </c>
      <c r="P14" s="53">
        <f t="shared" si="11"/>
        <v>2025</v>
      </c>
    </row>
    <row r="15" spans="1:27" customFormat="1" x14ac:dyDescent="0.25">
      <c r="A15" s="21">
        <v>3000000032</v>
      </c>
      <c r="B15" s="22">
        <v>45665</v>
      </c>
      <c r="C15" s="20">
        <v>5036570.32</v>
      </c>
      <c r="D15" s="21" t="s">
        <v>336</v>
      </c>
      <c r="E15" s="21">
        <v>97123394</v>
      </c>
      <c r="F15" s="20">
        <v>5036570.32</v>
      </c>
      <c r="G15" s="22">
        <v>45667</v>
      </c>
      <c r="H15" t="s">
        <v>61</v>
      </c>
      <c r="I15" s="51" t="str">
        <f>IFERROR(IF(VLOOKUP(E15,extracto!C:C,1,FALSE)=E15,"pagado","no pagado"),"no pagado")</f>
        <v>pagado</v>
      </c>
      <c r="J15" s="52" t="str">
        <f t="shared" si="6"/>
        <v>pagado</v>
      </c>
      <c r="K15" s="51" t="str">
        <f t="shared" ca="1" si="7"/>
        <v>excluir</v>
      </c>
      <c r="L15" s="51" t="str">
        <f t="shared" ca="1" si="8"/>
        <v>no semana</v>
      </c>
      <c r="M15" s="51" t="str">
        <f>IFERROR(VLOOKUP(E15,'cheques a conf'!A:D,4,FALSE),"no clearing")</f>
        <v>no clearing</v>
      </c>
      <c r="N15" s="51">
        <f t="shared" si="9"/>
        <v>2</v>
      </c>
      <c r="O15" s="53">
        <f t="shared" si="10"/>
        <v>1</v>
      </c>
      <c r="P15" s="53">
        <f t="shared" si="11"/>
        <v>2025</v>
      </c>
    </row>
    <row r="16" spans="1:27" customFormat="1" x14ac:dyDescent="0.25">
      <c r="A16" s="21">
        <v>3000000033</v>
      </c>
      <c r="B16" s="22">
        <v>45665</v>
      </c>
      <c r="C16" s="20">
        <v>3151742.92</v>
      </c>
      <c r="D16" s="21" t="s">
        <v>303</v>
      </c>
      <c r="E16" s="21">
        <v>97123395</v>
      </c>
      <c r="F16" s="20">
        <v>3151742.92</v>
      </c>
      <c r="G16" s="22">
        <v>45667</v>
      </c>
      <c r="H16" t="s">
        <v>61</v>
      </c>
      <c r="I16" s="51" t="str">
        <f>IFERROR(IF(VLOOKUP(E16,extracto!C:C,1,FALSE)=E16,"pagado","no pagado"),"no pagado")</f>
        <v>pagado</v>
      </c>
      <c r="J16" s="52" t="str">
        <f t="shared" si="6"/>
        <v>pagado</v>
      </c>
      <c r="K16" s="51" t="str">
        <f t="shared" ca="1" si="7"/>
        <v>excluir</v>
      </c>
      <c r="L16" s="51" t="str">
        <f t="shared" ca="1" si="8"/>
        <v>no semana</v>
      </c>
      <c r="M16" s="51" t="str">
        <f>IFERROR(VLOOKUP(E16,'cheques a conf'!A:D,4,FALSE),"no clearing")</f>
        <v>no clearing</v>
      </c>
      <c r="N16" s="51">
        <f t="shared" si="9"/>
        <v>2</v>
      </c>
      <c r="O16" s="53">
        <f t="shared" si="10"/>
        <v>1</v>
      </c>
      <c r="P16" s="53">
        <f t="shared" si="11"/>
        <v>2025</v>
      </c>
    </row>
    <row r="17" spans="1:16" customFormat="1" x14ac:dyDescent="0.25">
      <c r="A17" s="21">
        <v>3000000037</v>
      </c>
      <c r="B17" s="22">
        <v>45666</v>
      </c>
      <c r="C17" s="20">
        <v>13000000</v>
      </c>
      <c r="D17" s="21" t="s">
        <v>337</v>
      </c>
      <c r="E17" s="21">
        <v>97123397</v>
      </c>
      <c r="F17" s="20">
        <v>13000000</v>
      </c>
      <c r="G17" s="22">
        <v>45672</v>
      </c>
      <c r="H17" t="s">
        <v>61</v>
      </c>
      <c r="I17" s="51" t="str">
        <f>IFERROR(IF(VLOOKUP(E17,extracto!C:C,1,FALSE)=E17,"pagado","no pagado"),"no pagado")</f>
        <v>pagado</v>
      </c>
      <c r="J17" s="52" t="str">
        <f t="shared" si="6"/>
        <v>pagado</v>
      </c>
      <c r="K17" s="51" t="str">
        <f t="shared" ca="1" si="7"/>
        <v>excluir</v>
      </c>
      <c r="L17" s="51" t="str">
        <f t="shared" ca="1" si="8"/>
        <v>no semana</v>
      </c>
      <c r="M17" s="51" t="str">
        <f>IFERROR(VLOOKUP(E17,'cheques a conf'!A:D,4,FALSE),"no clearing")</f>
        <v>no clearing</v>
      </c>
      <c r="N17" s="51">
        <f t="shared" si="9"/>
        <v>3</v>
      </c>
      <c r="O17" s="53">
        <f t="shared" si="10"/>
        <v>1</v>
      </c>
      <c r="P17" s="53">
        <f t="shared" si="11"/>
        <v>2025</v>
      </c>
    </row>
    <row r="18" spans="1:16" customFormat="1" x14ac:dyDescent="0.25">
      <c r="A18" s="21">
        <v>3000000037</v>
      </c>
      <c r="B18" s="22">
        <v>45666</v>
      </c>
      <c r="C18" s="20">
        <v>10991765.83</v>
      </c>
      <c r="D18" s="21" t="s">
        <v>337</v>
      </c>
      <c r="E18" s="21">
        <v>97123398</v>
      </c>
      <c r="F18" s="20">
        <v>10991765.83</v>
      </c>
      <c r="G18" s="22">
        <v>45673</v>
      </c>
      <c r="H18" t="s">
        <v>61</v>
      </c>
      <c r="I18" s="51" t="str">
        <f>IFERROR(IF(VLOOKUP(E18,extracto!C:C,1,FALSE)=E18,"pagado","no pagado"),"no pagado")</f>
        <v>pagado</v>
      </c>
      <c r="J18" s="52" t="str">
        <f t="shared" si="6"/>
        <v>pagado</v>
      </c>
      <c r="K18" s="51" t="str">
        <f t="shared" ca="1" si="7"/>
        <v>excluir</v>
      </c>
      <c r="L18" s="51" t="str">
        <f t="shared" ca="1" si="8"/>
        <v>no semana</v>
      </c>
      <c r="M18" s="51" t="str">
        <f>IFERROR(VLOOKUP(E18,'cheques a conf'!A:D,4,FALSE),"no clearing")</f>
        <v>no clearing</v>
      </c>
      <c r="N18" s="51">
        <f t="shared" si="9"/>
        <v>3</v>
      </c>
      <c r="O18" s="53">
        <f t="shared" si="10"/>
        <v>1</v>
      </c>
      <c r="P18" s="53">
        <f t="shared" si="11"/>
        <v>2025</v>
      </c>
    </row>
    <row r="19" spans="1:16" customFormat="1" x14ac:dyDescent="0.25">
      <c r="A19" s="21">
        <v>3000000038</v>
      </c>
      <c r="B19" s="22">
        <v>45666</v>
      </c>
      <c r="C19" s="20">
        <v>11000000</v>
      </c>
      <c r="D19" s="21" t="s">
        <v>338</v>
      </c>
      <c r="E19" s="21">
        <v>97123399</v>
      </c>
      <c r="F19" s="20">
        <v>11000000</v>
      </c>
      <c r="G19" s="22">
        <v>45672</v>
      </c>
      <c r="H19" t="s">
        <v>61</v>
      </c>
      <c r="I19" s="51" t="str">
        <f>IFERROR(IF(VLOOKUP(E19,extracto!C:C,1,FALSE)=E19,"pagado","no pagado"),"no pagado")</f>
        <v>pagado</v>
      </c>
      <c r="J19" s="52" t="str">
        <f t="shared" si="6"/>
        <v>pagado</v>
      </c>
      <c r="K19" s="51" t="str">
        <f t="shared" ca="1" si="7"/>
        <v>excluir</v>
      </c>
      <c r="L19" s="51" t="str">
        <f t="shared" ca="1" si="8"/>
        <v>no semana</v>
      </c>
      <c r="M19" s="51" t="str">
        <f>IFERROR(VLOOKUP(E19,'cheques a conf'!A:D,4,FALSE),"no clearing")</f>
        <v>no clearing</v>
      </c>
      <c r="N19" s="51">
        <f t="shared" si="9"/>
        <v>3</v>
      </c>
      <c r="O19" s="53">
        <f t="shared" si="10"/>
        <v>1</v>
      </c>
      <c r="P19" s="53">
        <f t="shared" si="11"/>
        <v>2025</v>
      </c>
    </row>
    <row r="20" spans="1:16" customFormat="1" x14ac:dyDescent="0.25">
      <c r="A20" s="21">
        <v>3000000038</v>
      </c>
      <c r="B20" s="22">
        <v>45666</v>
      </c>
      <c r="C20" s="20">
        <v>10929172.970000001</v>
      </c>
      <c r="D20" s="21" t="s">
        <v>338</v>
      </c>
      <c r="E20" s="21">
        <v>97123400</v>
      </c>
      <c r="F20" s="20">
        <v>10929172.970000001</v>
      </c>
      <c r="G20" s="22">
        <v>45673</v>
      </c>
      <c r="H20" t="s">
        <v>61</v>
      </c>
      <c r="I20" s="51" t="str">
        <f>IFERROR(IF(VLOOKUP(E20,extracto!C:C,1,FALSE)=E20,"pagado","no pagado"),"no pagado")</f>
        <v>pagado</v>
      </c>
      <c r="J20" s="52" t="str">
        <f t="shared" ref="J20:J27" si="12">IF(I20="pagado","pagado",IF(G20&lt;$V$1-30,"fuera de fecha","en periodo de pago"))</f>
        <v>pagado</v>
      </c>
      <c r="K20" s="51" t="str">
        <f t="shared" ref="K20:K27" ca="1" si="13">+IF(B20&gt;$V$1,"excluir",IF(J20="en periodo de pago",IF($V$1&gt;G20,"a pagar","proximo a vencer"),"excluir"))</f>
        <v>excluir</v>
      </c>
      <c r="L20" s="51" t="str">
        <f t="shared" ref="L20:L27" ca="1" si="14">+IF(K20="proximo a vencer",IF($V$1+5&gt;G20,"para la semana","no semana"),"no semana")</f>
        <v>no semana</v>
      </c>
      <c r="M20" s="51" t="str">
        <f>IFERROR(VLOOKUP(E20,'cheques a conf'!A:D,4,FALSE),"no clearing")</f>
        <v>no clearing</v>
      </c>
      <c r="N20" s="51">
        <f t="shared" ref="N20:N27" si="15">+WEEKNUM(G20,2)</f>
        <v>3</v>
      </c>
      <c r="O20" s="53">
        <f t="shared" ref="O20:O27" si="16">+MONTH(G20)</f>
        <v>1</v>
      </c>
      <c r="P20" s="53">
        <f t="shared" ref="P20:P27" si="17">+YEAR(G20)</f>
        <v>2025</v>
      </c>
    </row>
    <row r="21" spans="1:16" customFormat="1" x14ac:dyDescent="0.25">
      <c r="A21" s="21">
        <v>3000000042</v>
      </c>
      <c r="B21" s="22">
        <v>45666</v>
      </c>
      <c r="C21" s="20">
        <v>10000000</v>
      </c>
      <c r="D21" s="21" t="s">
        <v>339</v>
      </c>
      <c r="E21" s="21">
        <v>97123404</v>
      </c>
      <c r="F21" s="20">
        <v>10000000</v>
      </c>
      <c r="G21" s="22">
        <v>45672</v>
      </c>
      <c r="H21" t="s">
        <v>61</v>
      </c>
      <c r="I21" s="51" t="str">
        <f>IFERROR(IF(VLOOKUP(E21,extracto!C:C,1,FALSE)=E21,"pagado","no pagado"),"no pagado")</f>
        <v>pagado</v>
      </c>
      <c r="J21" s="52" t="str">
        <f t="shared" si="12"/>
        <v>pagado</v>
      </c>
      <c r="K21" s="51" t="str">
        <f t="shared" ca="1" si="13"/>
        <v>excluir</v>
      </c>
      <c r="L21" s="51" t="str">
        <f t="shared" ca="1" si="14"/>
        <v>no semana</v>
      </c>
      <c r="M21" s="51" t="str">
        <f>IFERROR(VLOOKUP(E21,'cheques a conf'!A:D,4,FALSE),"no clearing")</f>
        <v>no clearing</v>
      </c>
      <c r="N21" s="51">
        <f t="shared" si="15"/>
        <v>3</v>
      </c>
      <c r="O21" s="53">
        <f t="shared" si="16"/>
        <v>1</v>
      </c>
      <c r="P21" s="53">
        <f t="shared" si="17"/>
        <v>2025</v>
      </c>
    </row>
    <row r="22" spans="1:16" customFormat="1" x14ac:dyDescent="0.25">
      <c r="A22" s="21">
        <v>3000000042</v>
      </c>
      <c r="B22" s="22">
        <v>45666</v>
      </c>
      <c r="C22" s="20">
        <v>10139779.18</v>
      </c>
      <c r="D22" s="21" t="s">
        <v>339</v>
      </c>
      <c r="E22" s="21">
        <v>97123405</v>
      </c>
      <c r="F22" s="20">
        <v>10139779.18</v>
      </c>
      <c r="G22" s="22">
        <v>45673</v>
      </c>
      <c r="H22" t="s">
        <v>61</v>
      </c>
      <c r="I22" s="51" t="str">
        <f>IFERROR(IF(VLOOKUP(E22,extracto!C:C,1,FALSE)=E22,"pagado","no pagado"),"no pagado")</f>
        <v>pagado</v>
      </c>
      <c r="J22" s="52" t="str">
        <f t="shared" si="12"/>
        <v>pagado</v>
      </c>
      <c r="K22" s="51" t="str">
        <f t="shared" ca="1" si="13"/>
        <v>excluir</v>
      </c>
      <c r="L22" s="51" t="str">
        <f t="shared" ca="1" si="14"/>
        <v>no semana</v>
      </c>
      <c r="M22" s="51" t="str">
        <f>IFERROR(VLOOKUP(E22,'cheques a conf'!A:D,4,FALSE),"no clearing")</f>
        <v>no clearing</v>
      </c>
      <c r="N22" s="51">
        <f t="shared" si="15"/>
        <v>3</v>
      </c>
      <c r="O22" s="53">
        <f t="shared" si="16"/>
        <v>1</v>
      </c>
      <c r="P22" s="53">
        <f t="shared" si="17"/>
        <v>2025</v>
      </c>
    </row>
    <row r="23" spans="1:16" customFormat="1" x14ac:dyDescent="0.25">
      <c r="A23" s="21">
        <v>3000000036</v>
      </c>
      <c r="B23" s="22">
        <v>45666</v>
      </c>
      <c r="C23" s="20">
        <v>7098663.9100000001</v>
      </c>
      <c r="D23" s="21" t="s">
        <v>340</v>
      </c>
      <c r="E23" s="21">
        <v>97123396</v>
      </c>
      <c r="F23" s="20">
        <v>7098663.9100000001</v>
      </c>
      <c r="G23" s="22">
        <v>45672</v>
      </c>
      <c r="H23" t="s">
        <v>61</v>
      </c>
      <c r="I23" s="51" t="str">
        <f>IFERROR(IF(VLOOKUP(E23,extracto!C:C,1,FALSE)=E23,"pagado","no pagado"),"no pagado")</f>
        <v>pagado</v>
      </c>
      <c r="J23" s="52" t="str">
        <f t="shared" si="12"/>
        <v>pagado</v>
      </c>
      <c r="K23" s="51" t="str">
        <f t="shared" ca="1" si="13"/>
        <v>excluir</v>
      </c>
      <c r="L23" s="51" t="str">
        <f t="shared" ca="1" si="14"/>
        <v>no semana</v>
      </c>
      <c r="M23" s="51" t="str">
        <f>IFERROR(VLOOKUP(E23,'cheques a conf'!A:D,4,FALSE),"no clearing")</f>
        <v>no clearing</v>
      </c>
      <c r="N23" s="51">
        <f t="shared" si="15"/>
        <v>3</v>
      </c>
      <c r="O23" s="53">
        <f t="shared" si="16"/>
        <v>1</v>
      </c>
      <c r="P23" s="53">
        <f t="shared" si="17"/>
        <v>2025</v>
      </c>
    </row>
    <row r="24" spans="1:16" customFormat="1" x14ac:dyDescent="0.25">
      <c r="A24" s="21">
        <v>3000000039</v>
      </c>
      <c r="B24" s="22">
        <v>45666</v>
      </c>
      <c r="C24" s="20">
        <v>4483078.24</v>
      </c>
      <c r="D24" s="21" t="s">
        <v>341</v>
      </c>
      <c r="E24" s="21">
        <v>97123401</v>
      </c>
      <c r="F24" s="20">
        <v>4483078.24</v>
      </c>
      <c r="G24" s="22">
        <v>45672</v>
      </c>
      <c r="H24" t="s">
        <v>61</v>
      </c>
      <c r="I24" s="51" t="str">
        <f>IFERROR(IF(VLOOKUP(E24,extracto!C:C,1,FALSE)=E24,"pagado","no pagado"),"no pagado")</f>
        <v>pagado</v>
      </c>
      <c r="J24" s="52" t="str">
        <f t="shared" si="12"/>
        <v>pagado</v>
      </c>
      <c r="K24" s="51" t="str">
        <f t="shared" ca="1" si="13"/>
        <v>excluir</v>
      </c>
      <c r="L24" s="51" t="str">
        <f t="shared" ca="1" si="14"/>
        <v>no semana</v>
      </c>
      <c r="M24" s="51" t="str">
        <f>IFERROR(VLOOKUP(E24,'cheques a conf'!A:D,4,FALSE),"no clearing")</f>
        <v>no clearing</v>
      </c>
      <c r="N24" s="51">
        <f t="shared" si="15"/>
        <v>3</v>
      </c>
      <c r="O24" s="53">
        <f t="shared" si="16"/>
        <v>1</v>
      </c>
      <c r="P24" s="53">
        <f t="shared" si="17"/>
        <v>2025</v>
      </c>
    </row>
    <row r="25" spans="1:16" customFormat="1" x14ac:dyDescent="0.25">
      <c r="A25" s="21">
        <v>3000000040</v>
      </c>
      <c r="B25" s="22">
        <v>45666</v>
      </c>
      <c r="C25" s="20">
        <v>4488596.37</v>
      </c>
      <c r="D25" s="21" t="s">
        <v>295</v>
      </c>
      <c r="E25" s="21">
        <v>97123402</v>
      </c>
      <c r="F25" s="20">
        <v>4488596.37</v>
      </c>
      <c r="G25" s="22">
        <v>45672</v>
      </c>
      <c r="H25" t="s">
        <v>61</v>
      </c>
      <c r="I25" s="51" t="str">
        <f>IFERROR(IF(VLOOKUP(E25,extracto!C:C,1,FALSE)=E25,"pagado","no pagado"),"no pagado")</f>
        <v>pagado</v>
      </c>
      <c r="J25" s="52" t="str">
        <f t="shared" si="12"/>
        <v>pagado</v>
      </c>
      <c r="K25" s="51" t="str">
        <f t="shared" ca="1" si="13"/>
        <v>excluir</v>
      </c>
      <c r="L25" s="51" t="str">
        <f t="shared" ca="1" si="14"/>
        <v>no semana</v>
      </c>
      <c r="M25" s="51" t="str">
        <f>IFERROR(VLOOKUP(E25,'cheques a conf'!A:D,4,FALSE),"no clearing")</f>
        <v>no clearing</v>
      </c>
      <c r="N25" s="51">
        <f t="shared" si="15"/>
        <v>3</v>
      </c>
      <c r="O25" s="53">
        <f t="shared" si="16"/>
        <v>1</v>
      </c>
      <c r="P25" s="53">
        <f t="shared" si="17"/>
        <v>2025</v>
      </c>
    </row>
    <row r="26" spans="1:16" customFormat="1" x14ac:dyDescent="0.25">
      <c r="A26" s="21">
        <v>3000000041</v>
      </c>
      <c r="B26" s="22">
        <v>45666</v>
      </c>
      <c r="C26" s="20">
        <v>7956945.7800000003</v>
      </c>
      <c r="D26" s="21" t="s">
        <v>342</v>
      </c>
      <c r="E26" s="21">
        <v>97123403</v>
      </c>
      <c r="F26" s="20">
        <v>7956945.7800000003</v>
      </c>
      <c r="G26" s="22">
        <v>45672</v>
      </c>
      <c r="H26" t="s">
        <v>61</v>
      </c>
      <c r="I26" s="51" t="str">
        <f>IFERROR(IF(VLOOKUP(E26,extracto!C:C,1,FALSE)=E26,"pagado","no pagado"),"no pagado")</f>
        <v>pagado</v>
      </c>
      <c r="J26" s="52" t="str">
        <f t="shared" si="12"/>
        <v>pagado</v>
      </c>
      <c r="K26" s="51" t="str">
        <f t="shared" ca="1" si="13"/>
        <v>excluir</v>
      </c>
      <c r="L26" s="51" t="str">
        <f t="shared" ca="1" si="14"/>
        <v>no semana</v>
      </c>
      <c r="M26" s="51" t="str">
        <f>IFERROR(VLOOKUP(E26,'cheques a conf'!A:D,4,FALSE),"no clearing")</f>
        <v>no clearing</v>
      </c>
      <c r="N26" s="51">
        <f t="shared" si="15"/>
        <v>3</v>
      </c>
      <c r="O26" s="53">
        <f t="shared" si="16"/>
        <v>1</v>
      </c>
      <c r="P26" s="53">
        <f t="shared" si="17"/>
        <v>2025</v>
      </c>
    </row>
    <row r="27" spans="1:16" customFormat="1" x14ac:dyDescent="0.25">
      <c r="A27" s="21">
        <v>3000000044</v>
      </c>
      <c r="B27" s="22">
        <v>45667</v>
      </c>
      <c r="C27" s="9">
        <v>34636482.159999996</v>
      </c>
      <c r="D27" s="21" t="s">
        <v>343</v>
      </c>
      <c r="E27" s="21">
        <v>3111704</v>
      </c>
      <c r="F27" s="9">
        <v>34636482.159999996</v>
      </c>
      <c r="G27" s="22">
        <v>45667</v>
      </c>
      <c r="H27" t="s">
        <v>13</v>
      </c>
      <c r="I27" s="51" t="str">
        <f>IFERROR(IF(VLOOKUP(E27,extracto!C:C,1,FALSE)=E27,"pagado","no pagado"),"no pagado")</f>
        <v>pagado</v>
      </c>
      <c r="J27" s="52" t="str">
        <f t="shared" si="12"/>
        <v>pagado</v>
      </c>
      <c r="K27" s="51" t="str">
        <f t="shared" ca="1" si="13"/>
        <v>excluir</v>
      </c>
      <c r="L27" s="51" t="str">
        <f t="shared" ca="1" si="14"/>
        <v>no semana</v>
      </c>
      <c r="M27" s="51" t="str">
        <f>IFERROR(VLOOKUP(E27,'cheques a conf'!A:D,4,FALSE),"no clearing")</f>
        <v>no clearing</v>
      </c>
      <c r="N27" s="51">
        <f t="shared" si="15"/>
        <v>2</v>
      </c>
      <c r="O27" s="53">
        <f t="shared" si="16"/>
        <v>1</v>
      </c>
      <c r="P27" s="53">
        <f t="shared" si="17"/>
        <v>2025</v>
      </c>
    </row>
    <row r="28" spans="1:16" customFormat="1" x14ac:dyDescent="0.25">
      <c r="A28">
        <v>3000000063</v>
      </c>
      <c r="B28" s="3">
        <v>45672</v>
      </c>
      <c r="C28" s="9">
        <v>6992278.7800000003</v>
      </c>
      <c r="D28" t="s">
        <v>344</v>
      </c>
      <c r="E28">
        <v>3111715</v>
      </c>
      <c r="F28" s="9">
        <v>6992278.7800000003</v>
      </c>
      <c r="G28" s="3">
        <v>45674</v>
      </c>
      <c r="H28" t="s">
        <v>13</v>
      </c>
      <c r="I28" s="51" t="str">
        <f>IFERROR(IF(VLOOKUP(E28,extracto!C:C,1,FALSE)=E28,"pagado","no pagado"),"no pagado")</f>
        <v>pagado</v>
      </c>
      <c r="J28" s="52" t="str">
        <f t="shared" ref="J28:J30" si="18">IF(I28="pagado","pagado",IF(G28&lt;$V$1-30,"fuera de fecha","en periodo de pago"))</f>
        <v>pagado</v>
      </c>
      <c r="K28" s="51" t="str">
        <f t="shared" ref="K28:K30" ca="1" si="19">+IF(B28&gt;$V$1,"excluir",IF(J28="en periodo de pago",IF($V$1&gt;G28,"a pagar","proximo a vencer"),"excluir"))</f>
        <v>excluir</v>
      </c>
      <c r="L28" s="51" t="str">
        <f t="shared" ref="L28:L30" ca="1" si="20">+IF(K28="proximo a vencer",IF($V$1+5&gt;G28,"para la semana","no semana"),"no semana")</f>
        <v>no semana</v>
      </c>
      <c r="M28" s="51" t="str">
        <f>IFERROR(VLOOKUP(E28,'cheques a conf'!A:D,4,FALSE),"no clearing")</f>
        <v>no clearing</v>
      </c>
      <c r="N28" s="51">
        <f t="shared" ref="N28:N30" si="21">+WEEKNUM(G28,2)</f>
        <v>3</v>
      </c>
      <c r="O28" s="53">
        <f t="shared" ref="O28:O30" si="22">+MONTH(G28)</f>
        <v>1</v>
      </c>
      <c r="P28" s="53">
        <f t="shared" ref="P28:P30" si="23">+YEAR(G28)</f>
        <v>2025</v>
      </c>
    </row>
    <row r="29" spans="1:16" customFormat="1" x14ac:dyDescent="0.25">
      <c r="A29">
        <v>3000000064</v>
      </c>
      <c r="B29" s="3">
        <v>45672</v>
      </c>
      <c r="C29" s="9">
        <v>5084776.4000000004</v>
      </c>
      <c r="D29" t="s">
        <v>345</v>
      </c>
      <c r="E29">
        <v>3111716</v>
      </c>
      <c r="F29" s="9">
        <v>5084776.4000000004</v>
      </c>
      <c r="G29" s="3">
        <v>45674</v>
      </c>
      <c r="H29" t="s">
        <v>13</v>
      </c>
      <c r="I29" s="51" t="str">
        <f>IFERROR(IF(VLOOKUP(E29,extracto!C:C,1,FALSE)=E29,"pagado","no pagado"),"no pagado")</f>
        <v>pagado</v>
      </c>
      <c r="J29" s="52" t="str">
        <f t="shared" si="18"/>
        <v>pagado</v>
      </c>
      <c r="K29" s="51" t="str">
        <f t="shared" ca="1" si="19"/>
        <v>excluir</v>
      </c>
      <c r="L29" s="51" t="str">
        <f t="shared" ca="1" si="20"/>
        <v>no semana</v>
      </c>
      <c r="M29" s="51" t="str">
        <f>IFERROR(VLOOKUP(E29,'cheques a conf'!A:D,4,FALSE),"no clearing")</f>
        <v>no clearing</v>
      </c>
      <c r="N29" s="51">
        <f t="shared" si="21"/>
        <v>3</v>
      </c>
      <c r="O29" s="53">
        <f t="shared" si="22"/>
        <v>1</v>
      </c>
      <c r="P29" s="53">
        <f t="shared" si="23"/>
        <v>2025</v>
      </c>
    </row>
    <row r="30" spans="1:16" customFormat="1" x14ac:dyDescent="0.25">
      <c r="A30">
        <v>3000001431</v>
      </c>
      <c r="B30" s="3">
        <v>45672</v>
      </c>
      <c r="C30" s="9">
        <v>12595484.16</v>
      </c>
      <c r="D30" t="s">
        <v>300</v>
      </c>
      <c r="E30">
        <v>3111707</v>
      </c>
      <c r="F30" s="9">
        <v>12595484.16</v>
      </c>
      <c r="G30" s="3">
        <v>45674</v>
      </c>
      <c r="H30" t="s">
        <v>13</v>
      </c>
      <c r="I30" s="51" t="str">
        <f>IFERROR(IF(VLOOKUP(E30,extracto!C:C,1,FALSE)=E30,"pagado","no pagado"),"no pagado")</f>
        <v>pagado</v>
      </c>
      <c r="J30" s="52" t="str">
        <f t="shared" si="18"/>
        <v>pagado</v>
      </c>
      <c r="K30" s="51" t="str">
        <f t="shared" ca="1" si="19"/>
        <v>excluir</v>
      </c>
      <c r="L30" s="51" t="str">
        <f t="shared" ca="1" si="20"/>
        <v>no semana</v>
      </c>
      <c r="M30" s="51" t="str">
        <f>IFERROR(VLOOKUP(E30,'cheques a conf'!A:D,4,FALSE),"no clearing")</f>
        <v>no clearing</v>
      </c>
      <c r="N30" s="51">
        <f t="shared" si="21"/>
        <v>3</v>
      </c>
      <c r="O30" s="53">
        <f t="shared" si="22"/>
        <v>1</v>
      </c>
      <c r="P30" s="53">
        <f t="shared" si="23"/>
        <v>2025</v>
      </c>
    </row>
    <row r="31" spans="1:16" customFormat="1" x14ac:dyDescent="0.25">
      <c r="A31">
        <v>3000000059</v>
      </c>
      <c r="B31" s="3">
        <v>45672</v>
      </c>
      <c r="C31" s="9">
        <v>12000000</v>
      </c>
      <c r="D31" t="s">
        <v>346</v>
      </c>
      <c r="E31">
        <v>3111708</v>
      </c>
      <c r="F31" s="9">
        <v>12000000</v>
      </c>
      <c r="G31" s="3">
        <v>45674</v>
      </c>
      <c r="H31" t="s">
        <v>13</v>
      </c>
      <c r="I31" s="51" t="str">
        <f>IFERROR(IF(VLOOKUP(E31,extracto!C:C,1,FALSE)=E31,"pagado","no pagado"),"no pagado")</f>
        <v>pagado</v>
      </c>
      <c r="J31" s="52" t="str">
        <f t="shared" ref="J31:J42" si="24">IF(I31="pagado","pagado",IF(G31&lt;$V$1-30,"fuera de fecha","en periodo de pago"))</f>
        <v>pagado</v>
      </c>
      <c r="K31" s="51" t="str">
        <f t="shared" ref="K31:K42" ca="1" si="25">+IF(B31&gt;$V$1,"excluir",IF(J31="en periodo de pago",IF($V$1&gt;G31,"a pagar","proximo a vencer"),"excluir"))</f>
        <v>excluir</v>
      </c>
      <c r="L31" s="51" t="str">
        <f t="shared" ref="L31:L42" ca="1" si="26">+IF(K31="proximo a vencer",IF($V$1+5&gt;G31,"para la semana","no semana"),"no semana")</f>
        <v>no semana</v>
      </c>
      <c r="M31" s="51" t="str">
        <f>IFERROR(VLOOKUP(E31,'cheques a conf'!A:D,4,FALSE),"no clearing")</f>
        <v>no clearing</v>
      </c>
      <c r="N31" s="51">
        <f t="shared" ref="N31:N42" si="27">+WEEKNUM(G31,2)</f>
        <v>3</v>
      </c>
      <c r="O31" s="53">
        <f t="shared" ref="O31:O42" si="28">+MONTH(G31)</f>
        <v>1</v>
      </c>
      <c r="P31" s="53">
        <f t="shared" ref="P31:P42" si="29">+YEAR(G31)</f>
        <v>2025</v>
      </c>
    </row>
    <row r="32" spans="1:16" customFormat="1" x14ac:dyDescent="0.25">
      <c r="A32">
        <v>3000000059</v>
      </c>
      <c r="B32" s="3">
        <v>45672</v>
      </c>
      <c r="C32" s="9">
        <v>11246166.65</v>
      </c>
      <c r="D32" t="s">
        <v>346</v>
      </c>
      <c r="E32">
        <v>3111709</v>
      </c>
      <c r="F32" s="9">
        <v>11246166.65</v>
      </c>
      <c r="G32" s="3">
        <v>45677</v>
      </c>
      <c r="H32" t="s">
        <v>13</v>
      </c>
      <c r="I32" s="51" t="str">
        <f>IFERROR(IF(VLOOKUP(E32,extracto!C:C,1,FALSE)=E32,"pagado","no pagado"),"no pagado")</f>
        <v>pagado</v>
      </c>
      <c r="J32" s="52" t="str">
        <f t="shared" si="24"/>
        <v>pagado</v>
      </c>
      <c r="K32" s="51" t="str">
        <f t="shared" ca="1" si="25"/>
        <v>excluir</v>
      </c>
      <c r="L32" s="51" t="str">
        <f t="shared" ca="1" si="26"/>
        <v>no semana</v>
      </c>
      <c r="M32" s="51" t="str">
        <f>IFERROR(VLOOKUP(E32,'cheques a conf'!A:D,4,FALSE),"no clearing")</f>
        <v>no clearing</v>
      </c>
      <c r="N32" s="51">
        <f t="shared" si="27"/>
        <v>4</v>
      </c>
      <c r="O32" s="53">
        <f t="shared" si="28"/>
        <v>1</v>
      </c>
      <c r="P32" s="53">
        <f t="shared" si="29"/>
        <v>2025</v>
      </c>
    </row>
    <row r="33" spans="1:16" customFormat="1" x14ac:dyDescent="0.25">
      <c r="A33">
        <v>3000000061</v>
      </c>
      <c r="B33" s="3">
        <v>45672</v>
      </c>
      <c r="C33" s="9">
        <v>10000000</v>
      </c>
      <c r="D33" t="s">
        <v>347</v>
      </c>
      <c r="E33">
        <v>3111711</v>
      </c>
      <c r="F33" s="9">
        <v>10000000</v>
      </c>
      <c r="G33" s="3">
        <v>45674</v>
      </c>
      <c r="H33" t="s">
        <v>13</v>
      </c>
      <c r="I33" s="51" t="str">
        <f>IFERROR(IF(VLOOKUP(E33,extracto!C:C,1,FALSE)=E33,"pagado","no pagado"),"no pagado")</f>
        <v>pagado</v>
      </c>
      <c r="J33" s="52" t="str">
        <f t="shared" si="24"/>
        <v>pagado</v>
      </c>
      <c r="K33" s="51" t="str">
        <f t="shared" ca="1" si="25"/>
        <v>excluir</v>
      </c>
      <c r="L33" s="51" t="str">
        <f t="shared" ca="1" si="26"/>
        <v>no semana</v>
      </c>
      <c r="M33" s="51" t="str">
        <f>IFERROR(VLOOKUP(E33,'cheques a conf'!A:D,4,FALSE),"no clearing")</f>
        <v>no clearing</v>
      </c>
      <c r="N33" s="51">
        <f t="shared" si="27"/>
        <v>3</v>
      </c>
      <c r="O33" s="53">
        <f t="shared" si="28"/>
        <v>1</v>
      </c>
      <c r="P33" s="53">
        <f t="shared" si="29"/>
        <v>2025</v>
      </c>
    </row>
    <row r="34" spans="1:16" customFormat="1" x14ac:dyDescent="0.25">
      <c r="A34">
        <v>3000000061</v>
      </c>
      <c r="B34" s="3">
        <v>45672</v>
      </c>
      <c r="C34" s="9">
        <v>9009501.8000000007</v>
      </c>
      <c r="D34" t="s">
        <v>347</v>
      </c>
      <c r="E34">
        <v>3111712</v>
      </c>
      <c r="F34" s="9">
        <v>9009501.8000000007</v>
      </c>
      <c r="G34" s="3">
        <v>45677</v>
      </c>
      <c r="H34" t="s">
        <v>13</v>
      </c>
      <c r="I34" s="51" t="str">
        <f>IFERROR(IF(VLOOKUP(E34,extracto!C:C,1,FALSE)=E34,"pagado","no pagado"),"no pagado")</f>
        <v>pagado</v>
      </c>
      <c r="J34" s="52" t="str">
        <f t="shared" si="24"/>
        <v>pagado</v>
      </c>
      <c r="K34" s="51" t="str">
        <f t="shared" ca="1" si="25"/>
        <v>excluir</v>
      </c>
      <c r="L34" s="51" t="str">
        <f t="shared" ca="1" si="26"/>
        <v>no semana</v>
      </c>
      <c r="M34" s="51" t="str">
        <f>IFERROR(VLOOKUP(E34,'cheques a conf'!A:D,4,FALSE),"no clearing")</f>
        <v>no clearing</v>
      </c>
      <c r="N34" s="51">
        <f t="shared" si="27"/>
        <v>4</v>
      </c>
      <c r="O34" s="53">
        <f t="shared" si="28"/>
        <v>1</v>
      </c>
      <c r="P34" s="53">
        <f t="shared" si="29"/>
        <v>2025</v>
      </c>
    </row>
    <row r="35" spans="1:16" customFormat="1" x14ac:dyDescent="0.25">
      <c r="A35">
        <v>3000000062</v>
      </c>
      <c r="B35" s="3">
        <v>45672</v>
      </c>
      <c r="C35" s="9">
        <v>7000000</v>
      </c>
      <c r="D35" t="s">
        <v>348</v>
      </c>
      <c r="E35">
        <v>3111713</v>
      </c>
      <c r="F35" s="9">
        <v>7000000</v>
      </c>
      <c r="G35" s="3">
        <v>45674</v>
      </c>
      <c r="H35" t="s">
        <v>13</v>
      </c>
      <c r="I35" s="51" t="str">
        <f>IFERROR(IF(VLOOKUP(E35,extracto!C:C,1,FALSE)=E35,"pagado","no pagado"),"no pagado")</f>
        <v>pagado</v>
      </c>
      <c r="J35" s="52" t="str">
        <f t="shared" si="24"/>
        <v>pagado</v>
      </c>
      <c r="K35" s="51" t="str">
        <f t="shared" ca="1" si="25"/>
        <v>excluir</v>
      </c>
      <c r="L35" s="51" t="str">
        <f t="shared" ca="1" si="26"/>
        <v>no semana</v>
      </c>
      <c r="M35" s="51" t="str">
        <f>IFERROR(VLOOKUP(E35,'cheques a conf'!A:D,4,FALSE),"no clearing")</f>
        <v>no clearing</v>
      </c>
      <c r="N35" s="51">
        <f t="shared" si="27"/>
        <v>3</v>
      </c>
      <c r="O35" s="53">
        <f t="shared" si="28"/>
        <v>1</v>
      </c>
      <c r="P35" s="53">
        <f t="shared" si="29"/>
        <v>2025</v>
      </c>
    </row>
    <row r="36" spans="1:16" customFormat="1" x14ac:dyDescent="0.25">
      <c r="A36">
        <v>3000000062</v>
      </c>
      <c r="B36" s="3">
        <v>45672</v>
      </c>
      <c r="C36" s="9">
        <v>7648843.4000000004</v>
      </c>
      <c r="D36" t="s">
        <v>348</v>
      </c>
      <c r="E36">
        <v>3111714</v>
      </c>
      <c r="F36" s="9">
        <v>7648843.4000000004</v>
      </c>
      <c r="G36" s="3">
        <v>45677</v>
      </c>
      <c r="H36" t="s">
        <v>13</v>
      </c>
      <c r="I36" s="51" t="str">
        <f>IFERROR(IF(VLOOKUP(E36,extracto!C:C,1,FALSE)=E36,"pagado","no pagado"),"no pagado")</f>
        <v>pagado</v>
      </c>
      <c r="J36" s="52" t="str">
        <f t="shared" si="24"/>
        <v>pagado</v>
      </c>
      <c r="K36" s="51" t="str">
        <f t="shared" ca="1" si="25"/>
        <v>excluir</v>
      </c>
      <c r="L36" s="51" t="str">
        <f t="shared" ca="1" si="26"/>
        <v>no semana</v>
      </c>
      <c r="M36" s="51" t="str">
        <f>IFERROR(VLOOKUP(E36,'cheques a conf'!A:D,4,FALSE),"no clearing")</f>
        <v>no clearing</v>
      </c>
      <c r="N36" s="51">
        <f t="shared" si="27"/>
        <v>4</v>
      </c>
      <c r="O36" s="53">
        <f t="shared" si="28"/>
        <v>1</v>
      </c>
      <c r="P36" s="53">
        <f t="shared" si="29"/>
        <v>2025</v>
      </c>
    </row>
    <row r="37" spans="1:16" customFormat="1" x14ac:dyDescent="0.25">
      <c r="A37">
        <v>3000000052</v>
      </c>
      <c r="B37" s="3">
        <v>45672</v>
      </c>
      <c r="C37" s="9">
        <v>192107.1</v>
      </c>
      <c r="D37" t="s">
        <v>349</v>
      </c>
      <c r="E37">
        <v>3111705</v>
      </c>
      <c r="F37" s="9">
        <v>192107.1</v>
      </c>
      <c r="G37" s="3">
        <v>45672</v>
      </c>
      <c r="H37" t="s">
        <v>13</v>
      </c>
      <c r="I37" s="51" t="str">
        <f>IFERROR(IF(VLOOKUP(E37,extracto!C:C,1,FALSE)=E37,"pagado","no pagado"),"no pagado")</f>
        <v>pagado</v>
      </c>
      <c r="J37" s="52" t="str">
        <f t="shared" si="24"/>
        <v>pagado</v>
      </c>
      <c r="K37" s="51" t="str">
        <f t="shared" ca="1" si="25"/>
        <v>excluir</v>
      </c>
      <c r="L37" s="51" t="str">
        <f t="shared" ca="1" si="26"/>
        <v>no semana</v>
      </c>
      <c r="M37" s="51" t="str">
        <f>IFERROR(VLOOKUP(E37,'cheques a conf'!A:D,4,FALSE),"no clearing")</f>
        <v>no clearing</v>
      </c>
      <c r="N37" s="51">
        <f t="shared" si="27"/>
        <v>3</v>
      </c>
      <c r="O37" s="53">
        <f t="shared" si="28"/>
        <v>1</v>
      </c>
      <c r="P37" s="53">
        <f t="shared" si="29"/>
        <v>2025</v>
      </c>
    </row>
    <row r="38" spans="1:16" customFormat="1" x14ac:dyDescent="0.25">
      <c r="A38">
        <v>3000000053</v>
      </c>
      <c r="B38" s="3">
        <v>45672</v>
      </c>
      <c r="C38" s="9">
        <v>458773.42</v>
      </c>
      <c r="D38" t="s">
        <v>350</v>
      </c>
      <c r="E38">
        <v>3111706</v>
      </c>
      <c r="F38" s="9">
        <v>458773.42</v>
      </c>
      <c r="G38" s="3">
        <v>45672</v>
      </c>
      <c r="H38" t="s">
        <v>13</v>
      </c>
      <c r="I38" s="51" t="str">
        <f>IFERROR(IF(VLOOKUP(E38,extracto!C:C,1,FALSE)=E38,"pagado","no pagado"),"no pagado")</f>
        <v>pagado</v>
      </c>
      <c r="J38" s="52" t="str">
        <f t="shared" si="24"/>
        <v>pagado</v>
      </c>
      <c r="K38" s="51" t="str">
        <f t="shared" ca="1" si="25"/>
        <v>excluir</v>
      </c>
      <c r="L38" s="51" t="str">
        <f t="shared" ca="1" si="26"/>
        <v>no semana</v>
      </c>
      <c r="M38" s="51" t="str">
        <f>IFERROR(VLOOKUP(E38,'cheques a conf'!A:D,4,FALSE),"no clearing")</f>
        <v>no clearing</v>
      </c>
      <c r="N38" s="51">
        <f t="shared" si="27"/>
        <v>3</v>
      </c>
      <c r="O38" s="53">
        <f t="shared" si="28"/>
        <v>1</v>
      </c>
      <c r="P38" s="53">
        <f t="shared" si="29"/>
        <v>2025</v>
      </c>
    </row>
    <row r="39" spans="1:16" customFormat="1" x14ac:dyDescent="0.25">
      <c r="A39">
        <v>3000000060</v>
      </c>
      <c r="B39" s="3">
        <v>45672</v>
      </c>
      <c r="C39" s="9">
        <v>12799179.15</v>
      </c>
      <c r="D39" t="s">
        <v>286</v>
      </c>
      <c r="E39">
        <v>3111710</v>
      </c>
      <c r="F39" s="9">
        <v>12799179.15</v>
      </c>
      <c r="G39" s="3">
        <v>45674</v>
      </c>
      <c r="H39" t="s">
        <v>13</v>
      </c>
      <c r="I39" s="51" t="str">
        <f>IFERROR(IF(VLOOKUP(E39,extracto!C:C,1,FALSE)=E39,"pagado","no pagado"),"no pagado")</f>
        <v>pagado</v>
      </c>
      <c r="J39" s="52" t="str">
        <f t="shared" si="24"/>
        <v>pagado</v>
      </c>
      <c r="K39" s="51" t="str">
        <f t="shared" ca="1" si="25"/>
        <v>excluir</v>
      </c>
      <c r="L39" s="51" t="str">
        <f t="shared" ca="1" si="26"/>
        <v>no semana</v>
      </c>
      <c r="M39" s="51" t="str">
        <f>IFERROR(VLOOKUP(E39,'cheques a conf'!A:D,4,FALSE),"no clearing")</f>
        <v>no clearing</v>
      </c>
      <c r="N39" s="51">
        <f t="shared" si="27"/>
        <v>3</v>
      </c>
      <c r="O39" s="53">
        <f t="shared" si="28"/>
        <v>1</v>
      </c>
      <c r="P39" s="53">
        <f t="shared" si="29"/>
        <v>2025</v>
      </c>
    </row>
    <row r="40" spans="1:16" customFormat="1" x14ac:dyDescent="0.25">
      <c r="A40" s="21">
        <v>1200000001</v>
      </c>
      <c r="B40" s="22">
        <v>45674</v>
      </c>
      <c r="C40" s="20">
        <v>13410435.199999999</v>
      </c>
      <c r="D40" s="21" t="s">
        <v>296</v>
      </c>
      <c r="E40" s="21">
        <v>3111717</v>
      </c>
      <c r="F40" s="20">
        <v>13410435.199999999</v>
      </c>
      <c r="G40" s="22">
        <v>45679</v>
      </c>
      <c r="H40" t="s">
        <v>13</v>
      </c>
      <c r="I40" s="51" t="str">
        <f>IFERROR(IF(VLOOKUP(E40,extracto!C:C,1,FALSE)=E40,"pagado","no pagado"),"no pagado")</f>
        <v>pagado</v>
      </c>
      <c r="J40" s="52" t="str">
        <f t="shared" si="24"/>
        <v>pagado</v>
      </c>
      <c r="K40" s="51" t="str">
        <f t="shared" ca="1" si="25"/>
        <v>excluir</v>
      </c>
      <c r="L40" s="51" t="str">
        <f t="shared" ca="1" si="26"/>
        <v>no semana</v>
      </c>
      <c r="M40" s="51" t="str">
        <f>IFERROR(VLOOKUP(E40,'cheques a conf'!A:D,4,FALSE),"no clearing")</f>
        <v>no clearing</v>
      </c>
      <c r="N40" s="51">
        <f t="shared" si="27"/>
        <v>4</v>
      </c>
      <c r="O40" s="53">
        <f t="shared" si="28"/>
        <v>1</v>
      </c>
      <c r="P40" s="53">
        <f t="shared" si="29"/>
        <v>2025</v>
      </c>
    </row>
    <row r="41" spans="1:16" customFormat="1" x14ac:dyDescent="0.25">
      <c r="A41" s="21">
        <v>3000000086</v>
      </c>
      <c r="B41" s="22">
        <v>45674</v>
      </c>
      <c r="C41" s="20">
        <v>11200155.33</v>
      </c>
      <c r="D41" s="21" t="s">
        <v>351</v>
      </c>
      <c r="E41" s="21">
        <v>3111718</v>
      </c>
      <c r="F41" s="20">
        <v>11200155.33</v>
      </c>
      <c r="G41" s="22">
        <v>45674</v>
      </c>
      <c r="H41" t="s">
        <v>13</v>
      </c>
      <c r="I41" s="51" t="str">
        <f>IFERROR(IF(VLOOKUP(E41,extracto!C:C,1,FALSE)=E41,"pagado","no pagado"),"no pagado")</f>
        <v>pagado</v>
      </c>
      <c r="J41" s="52" t="str">
        <f t="shared" si="24"/>
        <v>pagado</v>
      </c>
      <c r="K41" s="51" t="str">
        <f t="shared" ca="1" si="25"/>
        <v>excluir</v>
      </c>
      <c r="L41" s="51" t="str">
        <f t="shared" ca="1" si="26"/>
        <v>no semana</v>
      </c>
      <c r="M41" s="51" t="str">
        <f>IFERROR(VLOOKUP(E41,'cheques a conf'!A:D,4,FALSE),"no clearing")</f>
        <v>no clearing</v>
      </c>
      <c r="N41" s="51">
        <f t="shared" si="27"/>
        <v>3</v>
      </c>
      <c r="O41" s="53">
        <f t="shared" si="28"/>
        <v>1</v>
      </c>
      <c r="P41" s="53">
        <f t="shared" si="29"/>
        <v>2025</v>
      </c>
    </row>
    <row r="42" spans="1:16" customFormat="1" x14ac:dyDescent="0.25">
      <c r="A42" s="21">
        <v>3000000093</v>
      </c>
      <c r="B42" s="22">
        <v>45678</v>
      </c>
      <c r="C42" s="20">
        <v>3366630.7</v>
      </c>
      <c r="D42" s="21" t="s">
        <v>284</v>
      </c>
      <c r="E42" s="21">
        <v>3111719</v>
      </c>
      <c r="F42" s="20">
        <v>3366630.7</v>
      </c>
      <c r="G42" s="22">
        <v>45681</v>
      </c>
      <c r="H42" t="s">
        <v>13</v>
      </c>
      <c r="I42" s="51" t="str">
        <f>IFERROR(IF(VLOOKUP(E42,extracto!C:C,1,FALSE)=E42,"pagado","no pagado"),"no pagado")</f>
        <v>pagado</v>
      </c>
      <c r="J42" s="52" t="str">
        <f t="shared" si="24"/>
        <v>pagado</v>
      </c>
      <c r="K42" s="51" t="str">
        <f t="shared" ca="1" si="25"/>
        <v>excluir</v>
      </c>
      <c r="L42" s="51" t="str">
        <f t="shared" ca="1" si="26"/>
        <v>no semana</v>
      </c>
      <c r="M42" s="51" t="str">
        <f>IFERROR(VLOOKUP(E42,'cheques a conf'!A:D,4,FALSE),"no clearing")</f>
        <v>no clearing</v>
      </c>
      <c r="N42" s="51">
        <f t="shared" si="27"/>
        <v>4</v>
      </c>
      <c r="O42" s="53">
        <f t="shared" si="28"/>
        <v>1</v>
      </c>
      <c r="P42" s="53">
        <f t="shared" si="29"/>
        <v>2025</v>
      </c>
    </row>
    <row r="43" spans="1:16" customFormat="1" x14ac:dyDescent="0.25">
      <c r="A43" s="21">
        <v>3000000094</v>
      </c>
      <c r="B43" s="22">
        <v>45678</v>
      </c>
      <c r="C43" s="20">
        <v>4709104.5</v>
      </c>
      <c r="D43" s="21" t="s">
        <v>289</v>
      </c>
      <c r="E43" s="21">
        <v>3111720</v>
      </c>
      <c r="F43" s="20">
        <v>4709104.5</v>
      </c>
      <c r="G43" s="22">
        <v>45681</v>
      </c>
      <c r="H43" t="s">
        <v>13</v>
      </c>
      <c r="I43" s="51" t="str">
        <f>IFERROR(IF(VLOOKUP(E43,extracto!C:C,1,FALSE)=E43,"pagado","no pagado"),"no pagado")</f>
        <v>pagado</v>
      </c>
      <c r="J43" s="52" t="str">
        <f t="shared" ref="J43:J46" si="30">IF(I43="pagado","pagado",IF(G43&lt;$V$1-30,"fuera de fecha","en periodo de pago"))</f>
        <v>pagado</v>
      </c>
      <c r="K43" s="51" t="str">
        <f t="shared" ref="K43:K46" ca="1" si="31">+IF(B43&gt;$V$1,"excluir",IF(J43="en periodo de pago",IF($V$1&gt;G43,"a pagar","proximo a vencer"),"excluir"))</f>
        <v>excluir</v>
      </c>
      <c r="L43" s="51" t="str">
        <f t="shared" ref="L43:L46" ca="1" si="32">+IF(K43="proximo a vencer",IF($V$1+5&gt;G43,"para la semana","no semana"),"no semana")</f>
        <v>no semana</v>
      </c>
      <c r="M43" s="51" t="str">
        <f>IFERROR(VLOOKUP(E43,'cheques a conf'!A:D,4,FALSE),"no clearing")</f>
        <v>no clearing</v>
      </c>
      <c r="N43" s="51">
        <f t="shared" ref="N43:N46" si="33">+WEEKNUM(G43,2)</f>
        <v>4</v>
      </c>
      <c r="O43" s="53">
        <f t="shared" ref="O43:O46" si="34">+MONTH(G43)</f>
        <v>1</v>
      </c>
      <c r="P43" s="53">
        <f t="shared" ref="P43:P46" si="35">+YEAR(G43)</f>
        <v>2025</v>
      </c>
    </row>
    <row r="44" spans="1:16" customFormat="1" x14ac:dyDescent="0.25">
      <c r="A44" s="21">
        <v>3000000095</v>
      </c>
      <c r="B44" s="22">
        <v>45679</v>
      </c>
      <c r="C44" s="20">
        <v>28667147.739999998</v>
      </c>
      <c r="D44" s="21" t="s">
        <v>352</v>
      </c>
      <c r="E44" s="21">
        <v>3111721</v>
      </c>
      <c r="F44" s="20">
        <v>28667147.739999998</v>
      </c>
      <c r="G44" s="22">
        <v>45685</v>
      </c>
      <c r="H44" t="s">
        <v>13</v>
      </c>
      <c r="I44" s="51" t="str">
        <f>IFERROR(IF(VLOOKUP(E44,extracto!C:C,1,FALSE)=E44,"pagado","no pagado"),"no pagado")</f>
        <v>pagado</v>
      </c>
      <c r="J44" s="52" t="str">
        <f t="shared" si="30"/>
        <v>pagado</v>
      </c>
      <c r="K44" s="51" t="str">
        <f t="shared" ca="1" si="31"/>
        <v>excluir</v>
      </c>
      <c r="L44" s="51" t="str">
        <f t="shared" ca="1" si="32"/>
        <v>no semana</v>
      </c>
      <c r="M44" s="51" t="str">
        <f>IFERROR(VLOOKUP(E44,'cheques a conf'!A:D,4,FALSE),"no clearing")</f>
        <v>no clearing</v>
      </c>
      <c r="N44" s="51">
        <f t="shared" si="33"/>
        <v>5</v>
      </c>
      <c r="O44" s="53">
        <f t="shared" si="34"/>
        <v>1</v>
      </c>
      <c r="P44" s="53">
        <f t="shared" si="35"/>
        <v>2025</v>
      </c>
    </row>
    <row r="45" spans="1:16" customFormat="1" x14ac:dyDescent="0.25">
      <c r="A45" s="21">
        <v>3000000099</v>
      </c>
      <c r="B45" s="22">
        <v>45679</v>
      </c>
      <c r="C45" s="20">
        <v>8807343.4000000004</v>
      </c>
      <c r="D45" s="21" t="s">
        <v>353</v>
      </c>
      <c r="E45" s="21">
        <v>3111722</v>
      </c>
      <c r="F45" s="20">
        <v>8807343.4000000004</v>
      </c>
      <c r="G45" s="22">
        <v>45684</v>
      </c>
      <c r="H45" t="s">
        <v>13</v>
      </c>
      <c r="I45" s="51" t="str">
        <f>IFERROR(IF(VLOOKUP(E45,extracto!C:C,1,FALSE)=E45,"pagado","no pagado"),"no pagado")</f>
        <v>pagado</v>
      </c>
      <c r="J45" s="52" t="str">
        <f t="shared" si="30"/>
        <v>pagado</v>
      </c>
      <c r="K45" s="51" t="str">
        <f t="shared" ca="1" si="31"/>
        <v>excluir</v>
      </c>
      <c r="L45" s="51" t="str">
        <f t="shared" ca="1" si="32"/>
        <v>no semana</v>
      </c>
      <c r="M45" s="51" t="str">
        <f>IFERROR(VLOOKUP(E45,'cheques a conf'!A:D,4,FALSE),"no clearing")</f>
        <v>no clearing</v>
      </c>
      <c r="N45" s="51">
        <f t="shared" si="33"/>
        <v>5</v>
      </c>
      <c r="O45" s="53">
        <f t="shared" si="34"/>
        <v>1</v>
      </c>
      <c r="P45" s="53">
        <f t="shared" si="35"/>
        <v>2025</v>
      </c>
    </row>
    <row r="46" spans="1:16" customFormat="1" x14ac:dyDescent="0.25">
      <c r="A46" s="21">
        <v>3000000100</v>
      </c>
      <c r="B46" s="22">
        <v>45679</v>
      </c>
      <c r="C46" s="20">
        <v>11658151.119999999</v>
      </c>
      <c r="D46" s="21" t="s">
        <v>300</v>
      </c>
      <c r="E46" s="21">
        <v>3111723</v>
      </c>
      <c r="F46" s="20">
        <v>11658151.119999999</v>
      </c>
      <c r="G46" s="22">
        <v>45684</v>
      </c>
      <c r="H46" t="s">
        <v>13</v>
      </c>
      <c r="I46" s="51" t="str">
        <f>IFERROR(IF(VLOOKUP(E46,extracto!C:C,1,FALSE)=E46,"pagado","no pagado"),"no pagado")</f>
        <v>pagado</v>
      </c>
      <c r="J46" s="52" t="str">
        <f t="shared" si="30"/>
        <v>pagado</v>
      </c>
      <c r="K46" s="51" t="str">
        <f t="shared" ca="1" si="31"/>
        <v>excluir</v>
      </c>
      <c r="L46" s="51" t="str">
        <f t="shared" ca="1" si="32"/>
        <v>no semana</v>
      </c>
      <c r="M46" s="51" t="str">
        <f>IFERROR(VLOOKUP(E46,'cheques a conf'!A:D,4,FALSE),"no clearing")</f>
        <v>no clearing</v>
      </c>
      <c r="N46" s="51">
        <f t="shared" si="33"/>
        <v>5</v>
      </c>
      <c r="O46" s="53">
        <f t="shared" si="34"/>
        <v>1</v>
      </c>
      <c r="P46" s="53">
        <f t="shared" si="35"/>
        <v>2025</v>
      </c>
    </row>
    <row r="47" spans="1:16" customFormat="1" x14ac:dyDescent="0.25">
      <c r="A47" s="21">
        <v>3000000100</v>
      </c>
      <c r="B47" s="22">
        <v>45679</v>
      </c>
      <c r="C47" s="20">
        <v>4000060.08</v>
      </c>
      <c r="D47" s="21" t="s">
        <v>300</v>
      </c>
      <c r="E47" s="21">
        <v>3111724</v>
      </c>
      <c r="F47" s="20">
        <v>4000060.08</v>
      </c>
      <c r="G47" s="22">
        <v>45684</v>
      </c>
      <c r="H47" t="s">
        <v>13</v>
      </c>
      <c r="I47" s="51" t="str">
        <f>IFERROR(IF(VLOOKUP(E47,extracto!C:C,1,FALSE)=E47,"pagado","no pagado"),"no pagado")</f>
        <v>pagado</v>
      </c>
      <c r="J47" s="52" t="str">
        <f t="shared" ref="J47:J49" si="36">IF(I47="pagado","pagado",IF(G47&lt;$V$1-30,"fuera de fecha","en periodo de pago"))</f>
        <v>pagado</v>
      </c>
      <c r="K47" s="51" t="str">
        <f t="shared" ref="K47:K49" ca="1" si="37">+IF(B47&gt;$V$1,"excluir",IF(J47="en periodo de pago",IF($V$1&gt;G47,"a pagar","proximo a vencer"),"excluir"))</f>
        <v>excluir</v>
      </c>
      <c r="L47" s="51" t="str">
        <f t="shared" ref="L47:L49" ca="1" si="38">+IF(K47="proximo a vencer",IF($V$1+5&gt;G47,"para la semana","no semana"),"no semana")</f>
        <v>no semana</v>
      </c>
      <c r="M47" s="51" t="str">
        <f>IFERROR(VLOOKUP(E47,'cheques a conf'!A:D,4,FALSE),"no clearing")</f>
        <v>no clearing</v>
      </c>
      <c r="N47" s="51">
        <f t="shared" ref="N47:N49" si="39">+WEEKNUM(G47,2)</f>
        <v>5</v>
      </c>
      <c r="O47" s="53">
        <f t="shared" ref="O47:O49" si="40">+MONTH(G47)</f>
        <v>1</v>
      </c>
      <c r="P47" s="53">
        <f t="shared" ref="P47:P49" si="41">+YEAR(G47)</f>
        <v>2025</v>
      </c>
    </row>
    <row r="48" spans="1:16" customFormat="1" x14ac:dyDescent="0.25">
      <c r="A48" s="21">
        <v>3000000101</v>
      </c>
      <c r="B48" s="22">
        <v>45679</v>
      </c>
      <c r="C48" s="20">
        <v>16000000</v>
      </c>
      <c r="D48" s="21" t="s">
        <v>350</v>
      </c>
      <c r="E48" s="21">
        <v>3111725</v>
      </c>
      <c r="F48" s="20">
        <v>16000000</v>
      </c>
      <c r="G48" s="22">
        <v>45684</v>
      </c>
      <c r="H48" t="s">
        <v>13</v>
      </c>
      <c r="I48" s="51" t="str">
        <f>IFERROR(IF(VLOOKUP(E48,extracto!C:C,1,FALSE)=E48,"pagado","no pagado"),"no pagado")</f>
        <v>pagado</v>
      </c>
      <c r="J48" s="52" t="str">
        <f t="shared" si="36"/>
        <v>pagado</v>
      </c>
      <c r="K48" s="51" t="str">
        <f t="shared" ca="1" si="37"/>
        <v>excluir</v>
      </c>
      <c r="L48" s="51" t="str">
        <f t="shared" ca="1" si="38"/>
        <v>no semana</v>
      </c>
      <c r="M48" s="51" t="str">
        <f>IFERROR(VLOOKUP(E48,'cheques a conf'!A:D,4,FALSE),"no clearing")</f>
        <v>no clearing</v>
      </c>
      <c r="N48" s="51">
        <f t="shared" si="39"/>
        <v>5</v>
      </c>
      <c r="O48" s="53">
        <f t="shared" si="40"/>
        <v>1</v>
      </c>
      <c r="P48" s="53">
        <f t="shared" si="41"/>
        <v>2025</v>
      </c>
    </row>
    <row r="49" spans="1:16" customFormat="1" x14ac:dyDescent="0.25">
      <c r="A49" s="21">
        <v>3000000101</v>
      </c>
      <c r="B49" s="22">
        <v>45679</v>
      </c>
      <c r="C49" s="20">
        <v>15648232.550000001</v>
      </c>
      <c r="D49" s="21" t="s">
        <v>350</v>
      </c>
      <c r="E49" s="21">
        <v>3111726</v>
      </c>
      <c r="F49" s="20">
        <v>15648232.550000001</v>
      </c>
      <c r="G49" s="22">
        <v>45685</v>
      </c>
      <c r="H49" t="s">
        <v>13</v>
      </c>
      <c r="I49" s="51" t="str">
        <f>IFERROR(IF(VLOOKUP(E49,extracto!C:C,1,FALSE)=E49,"pagado","no pagado"),"no pagado")</f>
        <v>pagado</v>
      </c>
      <c r="J49" s="52" t="str">
        <f t="shared" si="36"/>
        <v>pagado</v>
      </c>
      <c r="K49" s="51" t="str">
        <f t="shared" ca="1" si="37"/>
        <v>excluir</v>
      </c>
      <c r="L49" s="51" t="str">
        <f t="shared" ca="1" si="38"/>
        <v>no semana</v>
      </c>
      <c r="M49" s="51" t="str">
        <f>IFERROR(VLOOKUP(E49,'cheques a conf'!A:D,4,FALSE),"no clearing")</f>
        <v>no clearing</v>
      </c>
      <c r="N49" s="51">
        <f t="shared" si="39"/>
        <v>5</v>
      </c>
      <c r="O49" s="53">
        <f t="shared" si="40"/>
        <v>1</v>
      </c>
      <c r="P49" s="53">
        <f t="shared" si="41"/>
        <v>2025</v>
      </c>
    </row>
    <row r="50" spans="1:16" customFormat="1" x14ac:dyDescent="0.25">
      <c r="A50" s="21">
        <v>3000000102</v>
      </c>
      <c r="B50" s="22">
        <v>45679</v>
      </c>
      <c r="C50" s="20">
        <v>4066706</v>
      </c>
      <c r="D50" s="21" t="s">
        <v>354</v>
      </c>
      <c r="E50" s="21">
        <v>3111727</v>
      </c>
      <c r="F50" s="20">
        <v>4066706</v>
      </c>
      <c r="G50" s="22">
        <v>45684</v>
      </c>
      <c r="H50" t="s">
        <v>13</v>
      </c>
      <c r="I50" s="51" t="str">
        <f>IFERROR(IF(VLOOKUP(E50,extracto!C:C,1,FALSE)=E50,"pagado","no pagado"),"no pagado")</f>
        <v>pagado</v>
      </c>
      <c r="J50" s="52" t="str">
        <f t="shared" ref="J50" si="42">IF(I50="pagado","pagado",IF(G50&lt;$V$1-30,"fuera de fecha","en periodo de pago"))</f>
        <v>pagado</v>
      </c>
      <c r="K50" s="51" t="str">
        <f t="shared" ref="K50" ca="1" si="43">+IF(B50&gt;$V$1,"excluir",IF(J50="en periodo de pago",IF($V$1&gt;G50,"a pagar","proximo a vencer"),"excluir"))</f>
        <v>excluir</v>
      </c>
      <c r="L50" s="51" t="str">
        <f t="shared" ref="L50" ca="1" si="44">+IF(K50="proximo a vencer",IF($V$1+5&gt;G50,"para la semana","no semana"),"no semana")</f>
        <v>no semana</v>
      </c>
      <c r="M50" s="51" t="str">
        <f>IFERROR(VLOOKUP(E50,'cheques a conf'!A:D,4,FALSE),"no clearing")</f>
        <v>no clearing</v>
      </c>
      <c r="N50" s="51">
        <f t="shared" ref="N50" si="45">+WEEKNUM(G50,2)</f>
        <v>5</v>
      </c>
      <c r="O50" s="53">
        <f t="shared" ref="O50" si="46">+MONTH(G50)</f>
        <v>1</v>
      </c>
      <c r="P50" s="53">
        <f t="shared" ref="P50" si="47">+YEAR(G50)</f>
        <v>2025</v>
      </c>
    </row>
    <row r="51" spans="1:16" customFormat="1" x14ac:dyDescent="0.25">
      <c r="A51" s="21">
        <v>3000000103</v>
      </c>
      <c r="B51" s="22">
        <v>45679</v>
      </c>
      <c r="C51" s="20">
        <v>2906983.8</v>
      </c>
      <c r="D51" s="21" t="s">
        <v>342</v>
      </c>
      <c r="E51" s="21">
        <v>3111728</v>
      </c>
      <c r="F51" s="20">
        <v>2906983.8</v>
      </c>
      <c r="G51" s="22">
        <v>45684</v>
      </c>
      <c r="H51" t="s">
        <v>13</v>
      </c>
      <c r="I51" s="51" t="str">
        <f>IFERROR(IF(VLOOKUP(E51,extracto!C:C,1,FALSE)=E51,"pagado","no pagado"),"no pagado")</f>
        <v>pagado</v>
      </c>
      <c r="J51" s="52" t="str">
        <f t="shared" ref="J51:J58" si="48">IF(I51="pagado","pagado",IF(G51&lt;$V$1-30,"fuera de fecha","en periodo de pago"))</f>
        <v>pagado</v>
      </c>
      <c r="K51" s="51" t="str">
        <f t="shared" ref="K51:K58" ca="1" si="49">+IF(B51&gt;$V$1,"excluir",IF(J51="en periodo de pago",IF($V$1&gt;G51,"a pagar","proximo a vencer"),"excluir"))</f>
        <v>excluir</v>
      </c>
      <c r="L51" s="51" t="str">
        <f t="shared" ref="L51:L58" ca="1" si="50">+IF(K51="proximo a vencer",IF($V$1+5&gt;G51,"para la semana","no semana"),"no semana")</f>
        <v>no semana</v>
      </c>
      <c r="M51" s="51" t="str">
        <f>IFERROR(VLOOKUP(E51,'cheques a conf'!A:D,4,FALSE),"no clearing")</f>
        <v>no clearing</v>
      </c>
      <c r="N51" s="51">
        <f t="shared" ref="N51:N58" si="51">+WEEKNUM(G51,2)</f>
        <v>5</v>
      </c>
      <c r="O51" s="53">
        <f t="shared" ref="O51:O58" si="52">+MONTH(G51)</f>
        <v>1</v>
      </c>
      <c r="P51" s="53">
        <f t="shared" ref="P51:P58" si="53">+YEAR(G51)</f>
        <v>2025</v>
      </c>
    </row>
    <row r="52" spans="1:16" customFormat="1" x14ac:dyDescent="0.25">
      <c r="A52" s="21">
        <v>3000000104</v>
      </c>
      <c r="B52" s="22">
        <v>45679</v>
      </c>
      <c r="C52" s="20">
        <v>6137336.0999999996</v>
      </c>
      <c r="D52" s="21" t="s">
        <v>338</v>
      </c>
      <c r="E52" s="21">
        <v>3111729</v>
      </c>
      <c r="F52" s="20">
        <v>6137336.0999999996</v>
      </c>
      <c r="G52" s="22">
        <v>45684</v>
      </c>
      <c r="H52" t="s">
        <v>13</v>
      </c>
      <c r="I52" s="51" t="str">
        <f>IFERROR(IF(VLOOKUP(E52,extracto!C:C,1,FALSE)=E52,"pagado","no pagado"),"no pagado")</f>
        <v>pagado</v>
      </c>
      <c r="J52" s="52" t="str">
        <f t="shared" si="48"/>
        <v>pagado</v>
      </c>
      <c r="K52" s="51" t="str">
        <f t="shared" ca="1" si="49"/>
        <v>excluir</v>
      </c>
      <c r="L52" s="51" t="str">
        <f t="shared" ca="1" si="50"/>
        <v>no semana</v>
      </c>
      <c r="M52" s="51" t="str">
        <f>IFERROR(VLOOKUP(E52,'cheques a conf'!A:D,4,FALSE),"no clearing")</f>
        <v>no clearing</v>
      </c>
      <c r="N52" s="51">
        <f t="shared" si="51"/>
        <v>5</v>
      </c>
      <c r="O52" s="53">
        <f t="shared" si="52"/>
        <v>1</v>
      </c>
      <c r="P52" s="53">
        <f t="shared" si="53"/>
        <v>2025</v>
      </c>
    </row>
    <row r="53" spans="1:16" customFormat="1" x14ac:dyDescent="0.25">
      <c r="A53" s="21">
        <v>3000000105</v>
      </c>
      <c r="B53" s="22">
        <v>45679</v>
      </c>
      <c r="C53" s="20">
        <v>100000</v>
      </c>
      <c r="D53" s="21" t="s">
        <v>291</v>
      </c>
      <c r="E53" s="21">
        <v>94231477</v>
      </c>
      <c r="F53" s="20">
        <v>100000</v>
      </c>
      <c r="G53" s="22">
        <v>45681</v>
      </c>
      <c r="H53" t="s">
        <v>13</v>
      </c>
      <c r="I53" s="51" t="str">
        <f>IFERROR(IF(VLOOKUP(E53,extracto!C:C,1,FALSE)=E53,"pagado","no pagado"),"no pagado")</f>
        <v>pagado</v>
      </c>
      <c r="J53" s="52" t="str">
        <f t="shared" si="48"/>
        <v>pagado</v>
      </c>
      <c r="K53" s="51" t="str">
        <f t="shared" ca="1" si="49"/>
        <v>excluir</v>
      </c>
      <c r="L53" s="51" t="str">
        <f t="shared" ca="1" si="50"/>
        <v>no semana</v>
      </c>
      <c r="M53" s="51" t="str">
        <f>IFERROR(VLOOKUP(E53,'cheques a conf'!A:D,4,FALSE),"no clearing")</f>
        <v>no clearing</v>
      </c>
      <c r="N53" s="51">
        <f t="shared" si="51"/>
        <v>4</v>
      </c>
      <c r="O53" s="53">
        <f t="shared" si="52"/>
        <v>1</v>
      </c>
      <c r="P53" s="53">
        <f t="shared" si="53"/>
        <v>2025</v>
      </c>
    </row>
    <row r="54" spans="1:16" customFormat="1" x14ac:dyDescent="0.25">
      <c r="A54" s="21">
        <v>3000000105</v>
      </c>
      <c r="B54" s="22">
        <v>45679</v>
      </c>
      <c r="C54" s="20">
        <v>100000</v>
      </c>
      <c r="D54" s="21" t="s">
        <v>291</v>
      </c>
      <c r="E54" s="21">
        <v>94231478</v>
      </c>
      <c r="F54" s="20">
        <v>100000</v>
      </c>
      <c r="G54" s="22">
        <v>45681</v>
      </c>
      <c r="H54" t="s">
        <v>13</v>
      </c>
      <c r="I54" s="51" t="str">
        <f>IFERROR(IF(VLOOKUP(E54,extracto!C:C,1,FALSE)=E54,"pagado","no pagado"),"no pagado")</f>
        <v>pagado</v>
      </c>
      <c r="J54" s="52" t="str">
        <f t="shared" si="48"/>
        <v>pagado</v>
      </c>
      <c r="K54" s="51" t="str">
        <f t="shared" ca="1" si="49"/>
        <v>excluir</v>
      </c>
      <c r="L54" s="51" t="str">
        <f t="shared" ca="1" si="50"/>
        <v>no semana</v>
      </c>
      <c r="M54" s="51" t="str">
        <f>IFERROR(VLOOKUP(E54,'cheques a conf'!A:D,4,FALSE),"no clearing")</f>
        <v>no clearing</v>
      </c>
      <c r="N54" s="51">
        <f t="shared" si="51"/>
        <v>4</v>
      </c>
      <c r="O54" s="53">
        <f t="shared" si="52"/>
        <v>1</v>
      </c>
      <c r="P54" s="53">
        <f t="shared" si="53"/>
        <v>2025</v>
      </c>
    </row>
    <row r="55" spans="1:16" customFormat="1" x14ac:dyDescent="0.25">
      <c r="A55" s="21">
        <v>3000000105</v>
      </c>
      <c r="B55" s="22">
        <v>45679</v>
      </c>
      <c r="C55" s="20">
        <v>100000</v>
      </c>
      <c r="D55" s="21" t="s">
        <v>291</v>
      </c>
      <c r="E55" s="21">
        <v>94231479</v>
      </c>
      <c r="F55" s="20">
        <v>100000</v>
      </c>
      <c r="G55" s="22">
        <v>45681</v>
      </c>
      <c r="H55" t="s">
        <v>13</v>
      </c>
      <c r="I55" s="51" t="str">
        <f>IFERROR(IF(VLOOKUP(E55,extracto!C:C,1,FALSE)=E55,"pagado","no pagado"),"no pagado")</f>
        <v>pagado</v>
      </c>
      <c r="J55" s="52" t="str">
        <f t="shared" si="48"/>
        <v>pagado</v>
      </c>
      <c r="K55" s="51" t="str">
        <f t="shared" ca="1" si="49"/>
        <v>excluir</v>
      </c>
      <c r="L55" s="51" t="str">
        <f t="shared" ca="1" si="50"/>
        <v>no semana</v>
      </c>
      <c r="M55" s="51" t="str">
        <f>IFERROR(VLOOKUP(E55,'cheques a conf'!A:D,4,FALSE),"no clearing")</f>
        <v>no clearing</v>
      </c>
      <c r="N55" s="51">
        <f t="shared" si="51"/>
        <v>4</v>
      </c>
      <c r="O55" s="53">
        <f t="shared" si="52"/>
        <v>1</v>
      </c>
      <c r="P55" s="53">
        <f t="shared" si="53"/>
        <v>2025</v>
      </c>
    </row>
    <row r="56" spans="1:16" customFormat="1" x14ac:dyDescent="0.25">
      <c r="A56" s="21">
        <v>3000000105</v>
      </c>
      <c r="B56" s="22">
        <v>45679</v>
      </c>
      <c r="C56" s="20">
        <v>100000</v>
      </c>
      <c r="D56" s="21" t="s">
        <v>291</v>
      </c>
      <c r="E56" s="21">
        <v>94231480</v>
      </c>
      <c r="F56" s="20">
        <v>100000</v>
      </c>
      <c r="G56" s="22">
        <v>45681</v>
      </c>
      <c r="H56" t="s">
        <v>13</v>
      </c>
      <c r="I56" s="51" t="str">
        <f>IFERROR(IF(VLOOKUP(E56,extracto!C:C,1,FALSE)=E56,"pagado","no pagado"),"no pagado")</f>
        <v>pagado</v>
      </c>
      <c r="J56" s="52" t="str">
        <f t="shared" si="48"/>
        <v>pagado</v>
      </c>
      <c r="K56" s="51" t="str">
        <f t="shared" ca="1" si="49"/>
        <v>excluir</v>
      </c>
      <c r="L56" s="51" t="str">
        <f t="shared" ca="1" si="50"/>
        <v>no semana</v>
      </c>
      <c r="M56" s="51" t="str">
        <f>IFERROR(VLOOKUP(E56,'cheques a conf'!A:D,4,FALSE),"no clearing")</f>
        <v>no clearing</v>
      </c>
      <c r="N56" s="51">
        <f t="shared" si="51"/>
        <v>4</v>
      </c>
      <c r="O56" s="53">
        <f t="shared" si="52"/>
        <v>1</v>
      </c>
      <c r="P56" s="53">
        <f t="shared" si="53"/>
        <v>2025</v>
      </c>
    </row>
    <row r="57" spans="1:16" customFormat="1" x14ac:dyDescent="0.25">
      <c r="A57" s="21">
        <v>3000000105</v>
      </c>
      <c r="B57" s="22">
        <v>45679</v>
      </c>
      <c r="C57" s="20">
        <v>300000</v>
      </c>
      <c r="D57" s="21" t="s">
        <v>291</v>
      </c>
      <c r="E57" s="21">
        <v>94231481</v>
      </c>
      <c r="F57" s="20">
        <v>300000</v>
      </c>
      <c r="G57" s="22">
        <v>45681</v>
      </c>
      <c r="H57" t="s">
        <v>13</v>
      </c>
      <c r="I57" s="51" t="str">
        <f>IFERROR(IF(VLOOKUP(E57,extracto!C:C,1,FALSE)=E57,"pagado","no pagado"),"no pagado")</f>
        <v>pagado</v>
      </c>
      <c r="J57" s="52" t="str">
        <f t="shared" si="48"/>
        <v>pagado</v>
      </c>
      <c r="K57" s="51" t="str">
        <f t="shared" ca="1" si="49"/>
        <v>excluir</v>
      </c>
      <c r="L57" s="51" t="str">
        <f t="shared" ca="1" si="50"/>
        <v>no semana</v>
      </c>
      <c r="M57" s="51" t="str">
        <f>IFERROR(VLOOKUP(E57,'cheques a conf'!A:D,4,FALSE),"no clearing")</f>
        <v>no clearing</v>
      </c>
      <c r="N57" s="51">
        <f t="shared" si="51"/>
        <v>4</v>
      </c>
      <c r="O57" s="53">
        <f t="shared" si="52"/>
        <v>1</v>
      </c>
      <c r="P57" s="53">
        <f t="shared" si="53"/>
        <v>2025</v>
      </c>
    </row>
    <row r="58" spans="1:16" customFormat="1" x14ac:dyDescent="0.25">
      <c r="A58" s="21">
        <v>3000000105</v>
      </c>
      <c r="B58" s="22">
        <v>45679</v>
      </c>
      <c r="C58" s="20">
        <v>300000</v>
      </c>
      <c r="D58" s="21" t="s">
        <v>291</v>
      </c>
      <c r="E58" s="21">
        <v>94231482</v>
      </c>
      <c r="F58" s="20">
        <v>300000</v>
      </c>
      <c r="G58" s="22">
        <v>45681</v>
      </c>
      <c r="H58" t="s">
        <v>13</v>
      </c>
      <c r="I58" s="51" t="str">
        <f>IFERROR(IF(VLOOKUP(E58,extracto!C:C,1,FALSE)=E58,"pagado","no pagado"),"no pagado")</f>
        <v>pagado</v>
      </c>
      <c r="J58" s="52" t="str">
        <f t="shared" si="48"/>
        <v>pagado</v>
      </c>
      <c r="K58" s="51" t="str">
        <f t="shared" ca="1" si="49"/>
        <v>excluir</v>
      </c>
      <c r="L58" s="51" t="str">
        <f t="shared" ca="1" si="50"/>
        <v>no semana</v>
      </c>
      <c r="M58" s="51" t="str">
        <f>IFERROR(VLOOKUP(E58,'cheques a conf'!A:D,4,FALSE),"no clearing")</f>
        <v>no clearing</v>
      </c>
      <c r="N58" s="51">
        <f t="shared" si="51"/>
        <v>4</v>
      </c>
      <c r="O58" s="53">
        <f t="shared" si="52"/>
        <v>1</v>
      </c>
      <c r="P58" s="53">
        <f t="shared" si="53"/>
        <v>2025</v>
      </c>
    </row>
    <row r="59" spans="1:16" customFormat="1" x14ac:dyDescent="0.25">
      <c r="A59" s="21">
        <v>3000000105</v>
      </c>
      <c r="B59" s="22">
        <v>45679</v>
      </c>
      <c r="C59" s="20">
        <v>300000</v>
      </c>
      <c r="D59" s="21" t="s">
        <v>291</v>
      </c>
      <c r="E59" s="21">
        <v>94231483</v>
      </c>
      <c r="F59" s="20">
        <v>300000</v>
      </c>
      <c r="G59" s="22">
        <v>45681</v>
      </c>
      <c r="H59" t="s">
        <v>13</v>
      </c>
      <c r="I59" s="51" t="str">
        <f>IFERROR(IF(VLOOKUP(E59,extracto!C:C,1,FALSE)=E59,"pagado","no pagado"),"no pagado")</f>
        <v>pagado</v>
      </c>
      <c r="J59" s="52" t="str">
        <f t="shared" ref="J59:J60" si="54">IF(I59="pagado","pagado",IF(G59&lt;$V$1-30,"fuera de fecha","en periodo de pago"))</f>
        <v>pagado</v>
      </c>
      <c r="K59" s="51" t="str">
        <f t="shared" ref="K59:K60" ca="1" si="55">+IF(B59&gt;$V$1,"excluir",IF(J59="en periodo de pago",IF($V$1&gt;G59,"a pagar","proximo a vencer"),"excluir"))</f>
        <v>excluir</v>
      </c>
      <c r="L59" s="51" t="str">
        <f t="shared" ref="L59:L60" ca="1" si="56">+IF(K59="proximo a vencer",IF($V$1+5&gt;G59,"para la semana","no semana"),"no semana")</f>
        <v>no semana</v>
      </c>
      <c r="M59" s="51" t="str">
        <f>IFERROR(VLOOKUP(E59,'cheques a conf'!A:D,4,FALSE),"no clearing")</f>
        <v>no clearing</v>
      </c>
      <c r="N59" s="51">
        <f t="shared" ref="N59:N60" si="57">+WEEKNUM(G59,2)</f>
        <v>4</v>
      </c>
      <c r="O59" s="53">
        <f t="shared" ref="O59:O60" si="58">+MONTH(G59)</f>
        <v>1</v>
      </c>
      <c r="P59" s="53">
        <f t="shared" ref="P59:P60" si="59">+YEAR(G59)</f>
        <v>2025</v>
      </c>
    </row>
    <row r="60" spans="1:16" customFormat="1" x14ac:dyDescent="0.25">
      <c r="A60" s="21">
        <v>3000000105</v>
      </c>
      <c r="B60" s="22">
        <v>45679</v>
      </c>
      <c r="C60" s="20">
        <v>300000</v>
      </c>
      <c r="D60" s="21" t="s">
        <v>291</v>
      </c>
      <c r="E60" s="21">
        <v>94231484</v>
      </c>
      <c r="F60" s="20">
        <v>300000</v>
      </c>
      <c r="G60" s="22">
        <v>45681</v>
      </c>
      <c r="H60" t="s">
        <v>13</v>
      </c>
      <c r="I60" s="51" t="str">
        <f>IFERROR(IF(VLOOKUP(E60,extracto!C:C,1,FALSE)=E60,"pagado","no pagado"),"no pagado")</f>
        <v>pagado</v>
      </c>
      <c r="J60" s="52" t="str">
        <f t="shared" si="54"/>
        <v>pagado</v>
      </c>
      <c r="K60" s="51" t="str">
        <f t="shared" ca="1" si="55"/>
        <v>excluir</v>
      </c>
      <c r="L60" s="51" t="str">
        <f t="shared" ca="1" si="56"/>
        <v>no semana</v>
      </c>
      <c r="M60" s="51" t="str">
        <f>IFERROR(VLOOKUP(E60,'cheques a conf'!A:D,4,FALSE),"no clearing")</f>
        <v>no clearing</v>
      </c>
      <c r="N60" s="51">
        <f t="shared" si="57"/>
        <v>4</v>
      </c>
      <c r="O60" s="53">
        <f t="shared" si="58"/>
        <v>1</v>
      </c>
      <c r="P60" s="53">
        <f t="shared" si="59"/>
        <v>2025</v>
      </c>
    </row>
    <row r="61" spans="1:16" customFormat="1" x14ac:dyDescent="0.25">
      <c r="A61" s="21">
        <v>3000000105</v>
      </c>
      <c r="B61" s="22">
        <v>45679</v>
      </c>
      <c r="C61" s="20">
        <v>500000</v>
      </c>
      <c r="D61" s="21" t="s">
        <v>291</v>
      </c>
      <c r="E61" s="21">
        <v>94231485</v>
      </c>
      <c r="F61" s="20">
        <v>500000</v>
      </c>
      <c r="G61" s="22">
        <v>45684</v>
      </c>
      <c r="H61" t="s">
        <v>13</v>
      </c>
      <c r="I61" s="51" t="str">
        <f>IFERROR(IF(VLOOKUP(E61,extracto!C:C,1,FALSE)=E61,"pagado","no pagado"),"no pagado")</f>
        <v>pagado</v>
      </c>
      <c r="J61" s="52" t="str">
        <f t="shared" ref="J61" si="60">IF(I61="pagado","pagado",IF(G61&lt;$V$1-30,"fuera de fecha","en periodo de pago"))</f>
        <v>pagado</v>
      </c>
      <c r="K61" s="51" t="str">
        <f t="shared" ref="K61" ca="1" si="61">+IF(B61&gt;$V$1,"excluir",IF(J61="en periodo de pago",IF($V$1&gt;G61,"a pagar","proximo a vencer"),"excluir"))</f>
        <v>excluir</v>
      </c>
      <c r="L61" s="51" t="str">
        <f t="shared" ref="L61" ca="1" si="62">+IF(K61="proximo a vencer",IF($V$1+5&gt;G61,"para la semana","no semana"),"no semana")</f>
        <v>no semana</v>
      </c>
      <c r="M61" s="51" t="str">
        <f>IFERROR(VLOOKUP(E61,'cheques a conf'!A:D,4,FALSE),"no clearing")</f>
        <v>no clearing</v>
      </c>
      <c r="N61" s="51">
        <f t="shared" ref="N61" si="63">+WEEKNUM(G61,2)</f>
        <v>5</v>
      </c>
      <c r="O61" s="53">
        <f t="shared" ref="O61" si="64">+MONTH(G61)</f>
        <v>1</v>
      </c>
      <c r="P61" s="53">
        <f t="shared" ref="P61" si="65">+YEAR(G61)</f>
        <v>2025</v>
      </c>
    </row>
    <row r="62" spans="1:16" customFormat="1" x14ac:dyDescent="0.25">
      <c r="A62" s="21">
        <v>3000000105</v>
      </c>
      <c r="B62" s="22">
        <v>45679</v>
      </c>
      <c r="C62" s="20">
        <v>500000</v>
      </c>
      <c r="D62" s="21" t="s">
        <v>291</v>
      </c>
      <c r="E62" s="21">
        <v>94231486</v>
      </c>
      <c r="F62" s="20">
        <v>500000</v>
      </c>
      <c r="G62" s="22">
        <v>45684</v>
      </c>
      <c r="H62" t="s">
        <v>13</v>
      </c>
      <c r="I62" s="51" t="str">
        <f>IFERROR(IF(VLOOKUP(E62,extracto!C:C,1,FALSE)=E62,"pagado","no pagado"),"no pagado")</f>
        <v>pagado</v>
      </c>
      <c r="J62" s="52" t="str">
        <f t="shared" ref="J62" si="66">IF(I62="pagado","pagado",IF(G62&lt;$V$1-30,"fuera de fecha","en periodo de pago"))</f>
        <v>pagado</v>
      </c>
      <c r="K62" s="51" t="str">
        <f t="shared" ref="K62" ca="1" si="67">+IF(B62&gt;$V$1,"excluir",IF(J62="en periodo de pago",IF($V$1&gt;G62,"a pagar","proximo a vencer"),"excluir"))</f>
        <v>excluir</v>
      </c>
      <c r="L62" s="51" t="str">
        <f t="shared" ref="L62" ca="1" si="68">+IF(K62="proximo a vencer",IF($V$1+5&gt;G62,"para la semana","no semana"),"no semana")</f>
        <v>no semana</v>
      </c>
      <c r="M62" s="51" t="str">
        <f>IFERROR(VLOOKUP(E62,'cheques a conf'!A:D,4,FALSE),"no clearing")</f>
        <v>no clearing</v>
      </c>
      <c r="N62" s="51">
        <f t="shared" ref="N62" si="69">+WEEKNUM(G62,2)</f>
        <v>5</v>
      </c>
      <c r="O62" s="53">
        <f t="shared" ref="O62" si="70">+MONTH(G62)</f>
        <v>1</v>
      </c>
      <c r="P62" s="53">
        <f t="shared" ref="P62" si="71">+YEAR(G62)</f>
        <v>2025</v>
      </c>
    </row>
    <row r="63" spans="1:16" customFormat="1" x14ac:dyDescent="0.25">
      <c r="A63" s="21">
        <v>3000000105</v>
      </c>
      <c r="B63" s="22">
        <v>45679</v>
      </c>
      <c r="C63" s="20">
        <v>500000</v>
      </c>
      <c r="D63" s="21" t="s">
        <v>291</v>
      </c>
      <c r="E63" s="21">
        <v>94231487</v>
      </c>
      <c r="F63" s="20">
        <v>500000</v>
      </c>
      <c r="G63" s="22">
        <v>45684</v>
      </c>
      <c r="H63" t="s">
        <v>13</v>
      </c>
      <c r="I63" s="51" t="str">
        <f>IFERROR(IF(VLOOKUP(E63,extracto!C:C,1,FALSE)=E63,"pagado","no pagado"),"no pagado")</f>
        <v>pagado</v>
      </c>
      <c r="J63" s="52" t="str">
        <f t="shared" ref="J63:J74" si="72">IF(I63="pagado","pagado",IF(G63&lt;$V$1-30,"fuera de fecha","en periodo de pago"))</f>
        <v>pagado</v>
      </c>
      <c r="K63" s="51" t="str">
        <f t="shared" ref="K63:K74" ca="1" si="73">+IF(B63&gt;$V$1,"excluir",IF(J63="en periodo de pago",IF($V$1&gt;G63,"a pagar","proximo a vencer"),"excluir"))</f>
        <v>excluir</v>
      </c>
      <c r="L63" s="51" t="str">
        <f t="shared" ref="L63:L74" ca="1" si="74">+IF(K63="proximo a vencer",IF($V$1+5&gt;G63,"para la semana","no semana"),"no semana")</f>
        <v>no semana</v>
      </c>
      <c r="M63" s="51" t="str">
        <f>IFERROR(VLOOKUP(E63,'cheques a conf'!A:D,4,FALSE),"no clearing")</f>
        <v>no clearing</v>
      </c>
      <c r="N63" s="51">
        <f t="shared" ref="N63:N74" si="75">+WEEKNUM(G63,2)</f>
        <v>5</v>
      </c>
      <c r="O63" s="53">
        <f t="shared" ref="O63:O74" si="76">+MONTH(G63)</f>
        <v>1</v>
      </c>
      <c r="P63" s="53">
        <f t="shared" ref="P63:P74" si="77">+YEAR(G63)</f>
        <v>2025</v>
      </c>
    </row>
    <row r="64" spans="1:16" customFormat="1" x14ac:dyDescent="0.25">
      <c r="A64" s="21">
        <v>3000000105</v>
      </c>
      <c r="B64" s="22">
        <v>45679</v>
      </c>
      <c r="C64" s="20">
        <v>500000</v>
      </c>
      <c r="D64" s="21" t="s">
        <v>291</v>
      </c>
      <c r="E64" s="21">
        <v>94231488</v>
      </c>
      <c r="F64" s="20">
        <v>500000</v>
      </c>
      <c r="G64" s="22">
        <v>45684</v>
      </c>
      <c r="H64" t="s">
        <v>13</v>
      </c>
      <c r="I64" s="51" t="str">
        <f>IFERROR(IF(VLOOKUP(E64,extracto!C:C,1,FALSE)=E64,"pagado","no pagado"),"no pagado")</f>
        <v>pagado</v>
      </c>
      <c r="J64" s="52" t="str">
        <f t="shared" si="72"/>
        <v>pagado</v>
      </c>
      <c r="K64" s="51" t="str">
        <f t="shared" ca="1" si="73"/>
        <v>excluir</v>
      </c>
      <c r="L64" s="51" t="str">
        <f t="shared" ca="1" si="74"/>
        <v>no semana</v>
      </c>
      <c r="M64" s="51" t="str">
        <f>IFERROR(VLOOKUP(E64,'cheques a conf'!A:D,4,FALSE),"no clearing")</f>
        <v>no clearing</v>
      </c>
      <c r="N64" s="51">
        <f t="shared" si="75"/>
        <v>5</v>
      </c>
      <c r="O64" s="53">
        <f t="shared" si="76"/>
        <v>1</v>
      </c>
      <c r="P64" s="53">
        <f t="shared" si="77"/>
        <v>2025</v>
      </c>
    </row>
    <row r="65" spans="1:16" customFormat="1" x14ac:dyDescent="0.25">
      <c r="A65" s="21">
        <v>3000000105</v>
      </c>
      <c r="B65" s="22">
        <v>45679</v>
      </c>
      <c r="C65" s="20">
        <v>500000</v>
      </c>
      <c r="D65" s="21" t="s">
        <v>291</v>
      </c>
      <c r="E65" s="21">
        <v>94231489</v>
      </c>
      <c r="F65" s="20">
        <v>500000</v>
      </c>
      <c r="G65" s="22">
        <v>45684</v>
      </c>
      <c r="H65" t="s">
        <v>13</v>
      </c>
      <c r="I65" s="51" t="str">
        <f>IFERROR(IF(VLOOKUP(E65,extracto!C:C,1,FALSE)=E65,"pagado","no pagado"),"no pagado")</f>
        <v>pagado</v>
      </c>
      <c r="J65" s="52" t="str">
        <f t="shared" si="72"/>
        <v>pagado</v>
      </c>
      <c r="K65" s="51" t="str">
        <f t="shared" ca="1" si="73"/>
        <v>excluir</v>
      </c>
      <c r="L65" s="51" t="str">
        <f t="shared" ca="1" si="74"/>
        <v>no semana</v>
      </c>
      <c r="M65" s="51" t="str">
        <f>IFERROR(VLOOKUP(E65,'cheques a conf'!A:D,4,FALSE),"no clearing")</f>
        <v>no clearing</v>
      </c>
      <c r="N65" s="51">
        <f t="shared" si="75"/>
        <v>5</v>
      </c>
      <c r="O65" s="53">
        <f t="shared" si="76"/>
        <v>1</v>
      </c>
      <c r="P65" s="53">
        <f t="shared" si="77"/>
        <v>2025</v>
      </c>
    </row>
    <row r="66" spans="1:16" customFormat="1" x14ac:dyDescent="0.25">
      <c r="A66" s="21">
        <v>3000000105</v>
      </c>
      <c r="B66" s="22">
        <v>45679</v>
      </c>
      <c r="C66" s="20">
        <v>500000</v>
      </c>
      <c r="D66" s="21" t="s">
        <v>291</v>
      </c>
      <c r="E66" s="21">
        <v>94231490</v>
      </c>
      <c r="F66" s="20">
        <v>500000</v>
      </c>
      <c r="G66" s="22">
        <v>45684</v>
      </c>
      <c r="H66" t="s">
        <v>13</v>
      </c>
      <c r="I66" s="51" t="str">
        <f>IFERROR(IF(VLOOKUP(E66,extracto!C:C,1,FALSE)=E66,"pagado","no pagado"),"no pagado")</f>
        <v>pagado</v>
      </c>
      <c r="J66" s="52" t="str">
        <f t="shared" si="72"/>
        <v>pagado</v>
      </c>
      <c r="K66" s="51" t="str">
        <f t="shared" ca="1" si="73"/>
        <v>excluir</v>
      </c>
      <c r="L66" s="51" t="str">
        <f t="shared" ca="1" si="74"/>
        <v>no semana</v>
      </c>
      <c r="M66" s="51" t="str">
        <f>IFERROR(VLOOKUP(E66,'cheques a conf'!A:D,4,FALSE),"no clearing")</f>
        <v>no clearing</v>
      </c>
      <c r="N66" s="51">
        <f t="shared" si="75"/>
        <v>5</v>
      </c>
      <c r="O66" s="53">
        <f t="shared" si="76"/>
        <v>1</v>
      </c>
      <c r="P66" s="53">
        <f t="shared" si="77"/>
        <v>2025</v>
      </c>
    </row>
    <row r="67" spans="1:16" customFormat="1" x14ac:dyDescent="0.25">
      <c r="A67" s="21">
        <v>3000000105</v>
      </c>
      <c r="B67" s="22">
        <v>45679</v>
      </c>
      <c r="C67" s="20">
        <v>500000</v>
      </c>
      <c r="D67" s="21" t="s">
        <v>291</v>
      </c>
      <c r="E67" s="21">
        <v>94231491</v>
      </c>
      <c r="F67" s="20">
        <v>500000</v>
      </c>
      <c r="G67" s="22">
        <v>45684</v>
      </c>
      <c r="H67" t="s">
        <v>13</v>
      </c>
      <c r="I67" s="51" t="str">
        <f>IFERROR(IF(VLOOKUP(E67,extracto!C:C,1,FALSE)=E67,"pagado","no pagado"),"no pagado")</f>
        <v>pagado</v>
      </c>
      <c r="J67" s="52" t="str">
        <f t="shared" si="72"/>
        <v>pagado</v>
      </c>
      <c r="K67" s="51" t="str">
        <f t="shared" ca="1" si="73"/>
        <v>excluir</v>
      </c>
      <c r="L67" s="51" t="str">
        <f t="shared" ca="1" si="74"/>
        <v>no semana</v>
      </c>
      <c r="M67" s="51" t="str">
        <f>IFERROR(VLOOKUP(E67,'cheques a conf'!A:D,4,FALSE),"no clearing")</f>
        <v>no clearing</v>
      </c>
      <c r="N67" s="51">
        <f t="shared" si="75"/>
        <v>5</v>
      </c>
      <c r="O67" s="53">
        <f t="shared" si="76"/>
        <v>1</v>
      </c>
      <c r="P67" s="53">
        <f t="shared" si="77"/>
        <v>2025</v>
      </c>
    </row>
    <row r="68" spans="1:16" customFormat="1" x14ac:dyDescent="0.25">
      <c r="A68" s="21">
        <v>3000000105</v>
      </c>
      <c r="B68" s="22">
        <v>45679</v>
      </c>
      <c r="C68" s="20">
        <v>1200000</v>
      </c>
      <c r="D68" s="21" t="s">
        <v>291</v>
      </c>
      <c r="E68" s="21">
        <v>94231492</v>
      </c>
      <c r="F68" s="20">
        <v>1200000</v>
      </c>
      <c r="G68" s="22">
        <v>45685</v>
      </c>
      <c r="H68" t="s">
        <v>13</v>
      </c>
      <c r="I68" s="51" t="str">
        <f>IFERROR(IF(VLOOKUP(E68,extracto!C:C,1,FALSE)=E68,"pagado","no pagado"),"no pagado")</f>
        <v>pagado</v>
      </c>
      <c r="J68" s="52" t="str">
        <f t="shared" si="72"/>
        <v>pagado</v>
      </c>
      <c r="K68" s="51" t="str">
        <f t="shared" ca="1" si="73"/>
        <v>excluir</v>
      </c>
      <c r="L68" s="51" t="str">
        <f t="shared" ca="1" si="74"/>
        <v>no semana</v>
      </c>
      <c r="M68" s="51" t="str">
        <f>IFERROR(VLOOKUP(E68,'cheques a conf'!A:D,4,FALSE),"no clearing")</f>
        <v>no clearing</v>
      </c>
      <c r="N68" s="51">
        <f t="shared" si="75"/>
        <v>5</v>
      </c>
      <c r="O68" s="53">
        <f t="shared" si="76"/>
        <v>1</v>
      </c>
      <c r="P68" s="53">
        <f t="shared" si="77"/>
        <v>2025</v>
      </c>
    </row>
    <row r="69" spans="1:16" customFormat="1" x14ac:dyDescent="0.25">
      <c r="A69" s="21">
        <v>3000000105</v>
      </c>
      <c r="B69" s="22">
        <v>45679</v>
      </c>
      <c r="C69" s="20">
        <v>30000000</v>
      </c>
      <c r="D69" s="21" t="s">
        <v>291</v>
      </c>
      <c r="E69" s="21">
        <v>94231493</v>
      </c>
      <c r="F69" s="20">
        <v>30000000</v>
      </c>
      <c r="G69" s="22">
        <v>45685</v>
      </c>
      <c r="H69" t="s">
        <v>13</v>
      </c>
      <c r="I69" s="51" t="str">
        <f>IFERROR(IF(VLOOKUP(E69,extracto!C:C,1,FALSE)=E69,"pagado","no pagado"),"no pagado")</f>
        <v>pagado</v>
      </c>
      <c r="J69" s="52" t="str">
        <f t="shared" si="72"/>
        <v>pagado</v>
      </c>
      <c r="K69" s="51" t="str">
        <f t="shared" ca="1" si="73"/>
        <v>excluir</v>
      </c>
      <c r="L69" s="51" t="str">
        <f t="shared" ca="1" si="74"/>
        <v>no semana</v>
      </c>
      <c r="M69" s="51" t="str">
        <f>IFERROR(VLOOKUP(E69,'cheques a conf'!A:D,4,FALSE),"no clearing")</f>
        <v>no clearing</v>
      </c>
      <c r="N69" s="51">
        <f t="shared" si="75"/>
        <v>5</v>
      </c>
      <c r="O69" s="53">
        <f t="shared" si="76"/>
        <v>1</v>
      </c>
      <c r="P69" s="53">
        <f t="shared" si="77"/>
        <v>2025</v>
      </c>
    </row>
    <row r="70" spans="1:16" customFormat="1" x14ac:dyDescent="0.25">
      <c r="A70" s="21">
        <v>3000000105</v>
      </c>
      <c r="B70" s="22">
        <v>45679</v>
      </c>
      <c r="C70" s="20">
        <v>3000000</v>
      </c>
      <c r="D70" s="21" t="s">
        <v>291</v>
      </c>
      <c r="E70" s="21">
        <v>94231494</v>
      </c>
      <c r="F70" s="20">
        <v>3000000</v>
      </c>
      <c r="G70" s="22">
        <v>45685</v>
      </c>
      <c r="H70" t="s">
        <v>13</v>
      </c>
      <c r="I70" s="51" t="str">
        <f>IFERROR(IF(VLOOKUP(E70,extracto!C:C,1,FALSE)=E70,"pagado","no pagado"),"no pagado")</f>
        <v>pagado</v>
      </c>
      <c r="J70" s="52" t="str">
        <f t="shared" si="72"/>
        <v>pagado</v>
      </c>
      <c r="K70" s="51" t="str">
        <f t="shared" ca="1" si="73"/>
        <v>excluir</v>
      </c>
      <c r="L70" s="51" t="str">
        <f t="shared" ca="1" si="74"/>
        <v>no semana</v>
      </c>
      <c r="M70" s="51" t="str">
        <f>IFERROR(VLOOKUP(E70,'cheques a conf'!A:D,4,FALSE),"no clearing")</f>
        <v>no clearing</v>
      </c>
      <c r="N70" s="51">
        <f t="shared" si="75"/>
        <v>5</v>
      </c>
      <c r="O70" s="53">
        <f t="shared" si="76"/>
        <v>1</v>
      </c>
      <c r="P70" s="53">
        <f t="shared" si="77"/>
        <v>2025</v>
      </c>
    </row>
    <row r="71" spans="1:16" customFormat="1" x14ac:dyDescent="0.25">
      <c r="A71" s="21">
        <v>3000000105</v>
      </c>
      <c r="B71" s="22">
        <v>45679</v>
      </c>
      <c r="C71" s="20">
        <v>3169268.9</v>
      </c>
      <c r="D71" s="21" t="s">
        <v>291</v>
      </c>
      <c r="E71" s="21">
        <v>94231495</v>
      </c>
      <c r="F71" s="20">
        <v>3169268.9</v>
      </c>
      <c r="G71" s="22">
        <v>45685</v>
      </c>
      <c r="H71" t="s">
        <v>13</v>
      </c>
      <c r="I71" s="51" t="str">
        <f>IFERROR(IF(VLOOKUP(E71,extracto!C:C,1,FALSE)=E71,"pagado","no pagado"),"no pagado")</f>
        <v>pagado</v>
      </c>
      <c r="J71" s="52" t="str">
        <f t="shared" si="72"/>
        <v>pagado</v>
      </c>
      <c r="K71" s="51" t="str">
        <f t="shared" ca="1" si="73"/>
        <v>excluir</v>
      </c>
      <c r="L71" s="51" t="str">
        <f t="shared" ca="1" si="74"/>
        <v>no semana</v>
      </c>
      <c r="M71" s="51" t="str">
        <f>IFERROR(VLOOKUP(E71,'cheques a conf'!A:D,4,FALSE),"no clearing")</f>
        <v>no clearing</v>
      </c>
      <c r="N71" s="51">
        <f t="shared" si="75"/>
        <v>5</v>
      </c>
      <c r="O71" s="53">
        <f t="shared" si="76"/>
        <v>1</v>
      </c>
      <c r="P71" s="53">
        <f t="shared" si="77"/>
        <v>2025</v>
      </c>
    </row>
    <row r="72" spans="1:16" customFormat="1" x14ac:dyDescent="0.25">
      <c r="A72" s="21">
        <v>3000000121</v>
      </c>
      <c r="B72" s="22">
        <v>45680</v>
      </c>
      <c r="C72" s="20">
        <v>1000000</v>
      </c>
      <c r="D72" s="21" t="s">
        <v>287</v>
      </c>
      <c r="E72" s="21">
        <v>94231496</v>
      </c>
      <c r="F72" s="20">
        <v>1000000</v>
      </c>
      <c r="G72" s="22">
        <v>45681</v>
      </c>
      <c r="H72" t="s">
        <v>13</v>
      </c>
      <c r="I72" s="51" t="str">
        <f>IFERROR(IF(VLOOKUP(E72,extracto!C:C,1,FALSE)=E72,"pagado","no pagado"),"no pagado")</f>
        <v>pagado</v>
      </c>
      <c r="J72" s="52" t="str">
        <f t="shared" si="72"/>
        <v>pagado</v>
      </c>
      <c r="K72" s="51" t="str">
        <f t="shared" ca="1" si="73"/>
        <v>excluir</v>
      </c>
      <c r="L72" s="51" t="str">
        <f t="shared" ca="1" si="74"/>
        <v>no semana</v>
      </c>
      <c r="M72" s="51" t="str">
        <f>IFERROR(VLOOKUP(E72,'cheques a conf'!A:D,4,FALSE),"no clearing")</f>
        <v>no clearing</v>
      </c>
      <c r="N72" s="51">
        <f t="shared" si="75"/>
        <v>4</v>
      </c>
      <c r="O72" s="53">
        <f t="shared" si="76"/>
        <v>1</v>
      </c>
      <c r="P72" s="53">
        <f t="shared" si="77"/>
        <v>2025</v>
      </c>
    </row>
    <row r="73" spans="1:16" customFormat="1" x14ac:dyDescent="0.25">
      <c r="A73" s="21">
        <v>3000000121</v>
      </c>
      <c r="B73" s="22">
        <v>45680</v>
      </c>
      <c r="C73" s="20">
        <v>1000000</v>
      </c>
      <c r="D73" s="21" t="s">
        <v>287</v>
      </c>
      <c r="E73" s="21">
        <v>94231497</v>
      </c>
      <c r="F73" s="20">
        <v>1000000</v>
      </c>
      <c r="G73" s="22">
        <v>45681</v>
      </c>
      <c r="H73" t="s">
        <v>13</v>
      </c>
      <c r="I73" s="51" t="str">
        <f>IFERROR(IF(VLOOKUP(E73,extracto!C:C,1,FALSE)=E73,"pagado","no pagado"),"no pagado")</f>
        <v>pagado</v>
      </c>
      <c r="J73" s="52" t="str">
        <f t="shared" si="72"/>
        <v>pagado</v>
      </c>
      <c r="K73" s="51" t="str">
        <f t="shared" ca="1" si="73"/>
        <v>excluir</v>
      </c>
      <c r="L73" s="51" t="str">
        <f t="shared" ca="1" si="74"/>
        <v>no semana</v>
      </c>
      <c r="M73" s="51" t="str">
        <f>IFERROR(VLOOKUP(E73,'cheques a conf'!A:D,4,FALSE),"no clearing")</f>
        <v>no clearing</v>
      </c>
      <c r="N73" s="51">
        <f t="shared" si="75"/>
        <v>4</v>
      </c>
      <c r="O73" s="53">
        <f t="shared" si="76"/>
        <v>1</v>
      </c>
      <c r="P73" s="53">
        <f t="shared" si="77"/>
        <v>2025</v>
      </c>
    </row>
    <row r="74" spans="1:16" customFormat="1" x14ac:dyDescent="0.25">
      <c r="A74" s="21">
        <v>3000000121</v>
      </c>
      <c r="B74" s="22">
        <v>45680</v>
      </c>
      <c r="C74" s="20">
        <v>2000000</v>
      </c>
      <c r="D74" s="21" t="s">
        <v>287</v>
      </c>
      <c r="E74" s="21">
        <v>94231498</v>
      </c>
      <c r="F74" s="20">
        <v>2000000</v>
      </c>
      <c r="G74" s="22">
        <v>45681</v>
      </c>
      <c r="H74" t="s">
        <v>13</v>
      </c>
      <c r="I74" s="51" t="str">
        <f>IFERROR(IF(VLOOKUP(E74,extracto!C:C,1,FALSE)=E74,"pagado","no pagado"),"no pagado")</f>
        <v>pagado</v>
      </c>
      <c r="J74" s="52" t="str">
        <f t="shared" si="72"/>
        <v>pagado</v>
      </c>
      <c r="K74" s="51" t="str">
        <f t="shared" ca="1" si="73"/>
        <v>excluir</v>
      </c>
      <c r="L74" s="51" t="str">
        <f t="shared" ca="1" si="74"/>
        <v>no semana</v>
      </c>
      <c r="M74" s="51" t="str">
        <f>IFERROR(VLOOKUP(E74,'cheques a conf'!A:D,4,FALSE),"no clearing")</f>
        <v>no clearing</v>
      </c>
      <c r="N74" s="51">
        <f t="shared" si="75"/>
        <v>4</v>
      </c>
      <c r="O74" s="53">
        <f t="shared" si="76"/>
        <v>1</v>
      </c>
      <c r="P74" s="53">
        <f t="shared" si="77"/>
        <v>2025</v>
      </c>
    </row>
    <row r="75" spans="1:16" customFormat="1" x14ac:dyDescent="0.25">
      <c r="A75" s="21">
        <v>3000000121</v>
      </c>
      <c r="B75" s="22">
        <v>45680</v>
      </c>
      <c r="C75" s="20">
        <v>2000000</v>
      </c>
      <c r="D75" s="21" t="s">
        <v>287</v>
      </c>
      <c r="E75" s="21">
        <v>94231499</v>
      </c>
      <c r="F75" s="20">
        <v>2000000</v>
      </c>
      <c r="G75" s="22">
        <v>45681</v>
      </c>
      <c r="H75" t="s">
        <v>13</v>
      </c>
      <c r="I75" s="51" t="str">
        <f>IFERROR(IF(VLOOKUP(E75,extracto!C:C,1,FALSE)=E75,"pagado","no pagado"),"no pagado")</f>
        <v>pagado</v>
      </c>
      <c r="J75" s="52" t="str">
        <f t="shared" ref="J75:J78" si="78">IF(I75="pagado","pagado",IF(G75&lt;$V$1-30,"fuera de fecha","en periodo de pago"))</f>
        <v>pagado</v>
      </c>
      <c r="K75" s="51" t="str">
        <f t="shared" ref="K75:K78" ca="1" si="79">+IF(B75&gt;$V$1,"excluir",IF(J75="en periodo de pago",IF($V$1&gt;G75,"a pagar","proximo a vencer"),"excluir"))</f>
        <v>excluir</v>
      </c>
      <c r="L75" s="51" t="str">
        <f t="shared" ref="L75:L78" ca="1" si="80">+IF(K75="proximo a vencer",IF($V$1+5&gt;G75,"para la semana","no semana"),"no semana")</f>
        <v>no semana</v>
      </c>
      <c r="M75" s="51" t="str">
        <f>IFERROR(VLOOKUP(E75,'cheques a conf'!A:D,4,FALSE),"no clearing")</f>
        <v>no clearing</v>
      </c>
      <c r="N75" s="51">
        <f t="shared" ref="N75:N78" si="81">+WEEKNUM(G75,2)</f>
        <v>4</v>
      </c>
      <c r="O75" s="53">
        <f t="shared" ref="O75:O78" si="82">+MONTH(G75)</f>
        <v>1</v>
      </c>
      <c r="P75" s="53">
        <f t="shared" ref="P75:P78" si="83">+YEAR(G75)</f>
        <v>2025</v>
      </c>
    </row>
    <row r="76" spans="1:16" customFormat="1" x14ac:dyDescent="0.25">
      <c r="A76" s="21">
        <v>3000000121</v>
      </c>
      <c r="B76" s="22">
        <v>45680</v>
      </c>
      <c r="C76" s="20">
        <v>3000000</v>
      </c>
      <c r="D76" s="21" t="s">
        <v>287</v>
      </c>
      <c r="E76" s="21">
        <v>94231500</v>
      </c>
      <c r="F76" s="20">
        <v>3000000</v>
      </c>
      <c r="G76" s="22">
        <v>45681</v>
      </c>
      <c r="H76" t="s">
        <v>13</v>
      </c>
      <c r="I76" s="51" t="str">
        <f>IFERROR(IF(VLOOKUP(E76,extracto!C:C,1,FALSE)=E76,"pagado","no pagado"),"no pagado")</f>
        <v>pagado</v>
      </c>
      <c r="J76" s="52" t="str">
        <f t="shared" si="78"/>
        <v>pagado</v>
      </c>
      <c r="K76" s="51" t="str">
        <f t="shared" ca="1" si="79"/>
        <v>excluir</v>
      </c>
      <c r="L76" s="51" t="str">
        <f t="shared" ca="1" si="80"/>
        <v>no semana</v>
      </c>
      <c r="M76" s="51" t="str">
        <f>IFERROR(VLOOKUP(E76,'cheques a conf'!A:D,4,FALSE),"no clearing")</f>
        <v>no clearing</v>
      </c>
      <c r="N76" s="51">
        <f t="shared" si="81"/>
        <v>4</v>
      </c>
      <c r="O76" s="53">
        <f t="shared" si="82"/>
        <v>1</v>
      </c>
      <c r="P76" s="53">
        <f t="shared" si="83"/>
        <v>2025</v>
      </c>
    </row>
    <row r="77" spans="1:16" customFormat="1" x14ac:dyDescent="0.25">
      <c r="A77" s="21">
        <v>3000000121</v>
      </c>
      <c r="B77" s="22">
        <v>45680</v>
      </c>
      <c r="C77" s="20">
        <v>3000000</v>
      </c>
      <c r="D77" s="21" t="s">
        <v>287</v>
      </c>
      <c r="E77" s="21">
        <v>94231501</v>
      </c>
      <c r="F77" s="20">
        <v>3000000</v>
      </c>
      <c r="G77" s="22">
        <v>45681</v>
      </c>
      <c r="H77" t="s">
        <v>13</v>
      </c>
      <c r="I77" s="51" t="str">
        <f>IFERROR(IF(VLOOKUP(E77,extracto!C:C,1,FALSE)=E77,"pagado","no pagado"),"no pagado")</f>
        <v>pagado</v>
      </c>
      <c r="J77" s="52" t="str">
        <f t="shared" si="78"/>
        <v>pagado</v>
      </c>
      <c r="K77" s="51" t="str">
        <f t="shared" ca="1" si="79"/>
        <v>excluir</v>
      </c>
      <c r="L77" s="51" t="str">
        <f t="shared" ca="1" si="80"/>
        <v>no semana</v>
      </c>
      <c r="M77" s="51" t="str">
        <f>IFERROR(VLOOKUP(E77,'cheques a conf'!A:D,4,FALSE),"no clearing")</f>
        <v>no clearing</v>
      </c>
      <c r="N77" s="51">
        <f t="shared" si="81"/>
        <v>4</v>
      </c>
      <c r="O77" s="53">
        <f t="shared" si="82"/>
        <v>1</v>
      </c>
      <c r="P77" s="53">
        <f t="shared" si="83"/>
        <v>2025</v>
      </c>
    </row>
    <row r="78" spans="1:16" customFormat="1" x14ac:dyDescent="0.25">
      <c r="A78" s="21">
        <v>3000000121</v>
      </c>
      <c r="B78" s="22">
        <v>45680</v>
      </c>
      <c r="C78" s="20">
        <v>5000000</v>
      </c>
      <c r="D78" s="21" t="s">
        <v>287</v>
      </c>
      <c r="E78" s="21">
        <v>94231502</v>
      </c>
      <c r="F78" s="20">
        <v>5000000</v>
      </c>
      <c r="G78" s="22">
        <v>45684</v>
      </c>
      <c r="H78" t="s">
        <v>13</v>
      </c>
      <c r="I78" s="51" t="str">
        <f>IFERROR(IF(VLOOKUP(E78,extracto!C:C,1,FALSE)=E78,"pagado","no pagado"),"no pagado")</f>
        <v>pagado</v>
      </c>
      <c r="J78" s="52" t="str">
        <f t="shared" si="78"/>
        <v>pagado</v>
      </c>
      <c r="K78" s="51" t="str">
        <f t="shared" ca="1" si="79"/>
        <v>excluir</v>
      </c>
      <c r="L78" s="51" t="str">
        <f t="shared" ca="1" si="80"/>
        <v>no semana</v>
      </c>
      <c r="M78" s="51" t="str">
        <f>IFERROR(VLOOKUP(E78,'cheques a conf'!A:D,4,FALSE),"no clearing")</f>
        <v>no clearing</v>
      </c>
      <c r="N78" s="51">
        <f t="shared" si="81"/>
        <v>5</v>
      </c>
      <c r="O78" s="53">
        <f t="shared" si="82"/>
        <v>1</v>
      </c>
      <c r="P78" s="53">
        <f t="shared" si="83"/>
        <v>2025</v>
      </c>
    </row>
    <row r="79" spans="1:16" customFormat="1" x14ac:dyDescent="0.25">
      <c r="A79" s="21">
        <v>3000000121</v>
      </c>
      <c r="B79" s="22">
        <v>45680</v>
      </c>
      <c r="C79" s="20">
        <v>5000000</v>
      </c>
      <c r="D79" s="21" t="s">
        <v>287</v>
      </c>
      <c r="E79" s="21">
        <v>94231503</v>
      </c>
      <c r="F79" s="20">
        <v>5000000</v>
      </c>
      <c r="G79" s="22">
        <v>45684</v>
      </c>
      <c r="H79" t="s">
        <v>13</v>
      </c>
      <c r="I79" s="51" t="str">
        <f>IFERROR(IF(VLOOKUP(E79,extracto!C:C,1,FALSE)=E79,"pagado","no pagado"),"no pagado")</f>
        <v>pagado</v>
      </c>
      <c r="J79" s="52" t="str">
        <f t="shared" ref="J79:J96" si="84">IF(I79="pagado","pagado",IF(G79&lt;$V$1-30,"fuera de fecha","en periodo de pago"))</f>
        <v>pagado</v>
      </c>
      <c r="K79" s="51" t="str">
        <f t="shared" ref="K79:K96" ca="1" si="85">+IF(B79&gt;$V$1,"excluir",IF(J79="en periodo de pago",IF($V$1&gt;G79,"a pagar","proximo a vencer"),"excluir"))</f>
        <v>excluir</v>
      </c>
      <c r="L79" s="51" t="str">
        <f t="shared" ref="L79:L96" ca="1" si="86">+IF(K79="proximo a vencer",IF($V$1+5&gt;G79,"para la semana","no semana"),"no semana")</f>
        <v>no semana</v>
      </c>
      <c r="M79" s="51" t="str">
        <f>IFERROR(VLOOKUP(E79,'cheques a conf'!A:D,4,FALSE),"no clearing")</f>
        <v>no clearing</v>
      </c>
      <c r="N79" s="51">
        <f t="shared" ref="N79:N96" si="87">+WEEKNUM(G79,2)</f>
        <v>5</v>
      </c>
      <c r="O79" s="53">
        <f t="shared" ref="O79:O96" si="88">+MONTH(G79)</f>
        <v>1</v>
      </c>
      <c r="P79" s="53">
        <f t="shared" ref="P79:P96" si="89">+YEAR(G79)</f>
        <v>2025</v>
      </c>
    </row>
    <row r="80" spans="1:16" customFormat="1" x14ac:dyDescent="0.25">
      <c r="A80" s="21">
        <v>3000000121</v>
      </c>
      <c r="B80" s="22">
        <v>45680</v>
      </c>
      <c r="C80" s="20">
        <v>5000000</v>
      </c>
      <c r="D80" s="21" t="s">
        <v>287</v>
      </c>
      <c r="E80" s="21">
        <v>94231504</v>
      </c>
      <c r="F80" s="20">
        <v>5000000</v>
      </c>
      <c r="G80" s="22">
        <v>45684</v>
      </c>
      <c r="H80" t="s">
        <v>13</v>
      </c>
      <c r="I80" s="51" t="str">
        <f>IFERROR(IF(VLOOKUP(E80,extracto!C:C,1,FALSE)=E80,"pagado","no pagado"),"no pagado")</f>
        <v>pagado</v>
      </c>
      <c r="J80" s="52" t="str">
        <f t="shared" si="84"/>
        <v>pagado</v>
      </c>
      <c r="K80" s="51" t="str">
        <f t="shared" ca="1" si="85"/>
        <v>excluir</v>
      </c>
      <c r="L80" s="51" t="str">
        <f t="shared" ca="1" si="86"/>
        <v>no semana</v>
      </c>
      <c r="M80" s="51" t="str">
        <f>IFERROR(VLOOKUP(E80,'cheques a conf'!A:D,4,FALSE),"no clearing")</f>
        <v>no clearing</v>
      </c>
      <c r="N80" s="51">
        <f t="shared" si="87"/>
        <v>5</v>
      </c>
      <c r="O80" s="53">
        <f t="shared" si="88"/>
        <v>1</v>
      </c>
      <c r="P80" s="53">
        <f t="shared" si="89"/>
        <v>2025</v>
      </c>
    </row>
    <row r="81" spans="1:16" customFormat="1" x14ac:dyDescent="0.25">
      <c r="A81" s="21">
        <v>3000000121</v>
      </c>
      <c r="B81" s="22">
        <v>45680</v>
      </c>
      <c r="C81" s="20">
        <v>5000000</v>
      </c>
      <c r="D81" s="21" t="s">
        <v>287</v>
      </c>
      <c r="E81" s="21">
        <v>94231505</v>
      </c>
      <c r="F81" s="20">
        <v>5000000</v>
      </c>
      <c r="G81" s="22">
        <v>45684</v>
      </c>
      <c r="H81" t="s">
        <v>13</v>
      </c>
      <c r="I81" s="51" t="str">
        <f>IFERROR(IF(VLOOKUP(E81,extracto!C:C,1,FALSE)=E81,"pagado","no pagado"),"no pagado")</f>
        <v>pagado</v>
      </c>
      <c r="J81" s="52" t="str">
        <f t="shared" si="84"/>
        <v>pagado</v>
      </c>
      <c r="K81" s="51" t="str">
        <f t="shared" ca="1" si="85"/>
        <v>excluir</v>
      </c>
      <c r="L81" s="51" t="str">
        <f t="shared" ca="1" si="86"/>
        <v>no semana</v>
      </c>
      <c r="M81" s="51" t="str">
        <f>IFERROR(VLOOKUP(E81,'cheques a conf'!A:D,4,FALSE),"no clearing")</f>
        <v>no clearing</v>
      </c>
      <c r="N81" s="51">
        <f t="shared" si="87"/>
        <v>5</v>
      </c>
      <c r="O81" s="53">
        <f t="shared" si="88"/>
        <v>1</v>
      </c>
      <c r="P81" s="53">
        <f t="shared" si="89"/>
        <v>2025</v>
      </c>
    </row>
    <row r="82" spans="1:16" customFormat="1" x14ac:dyDescent="0.25">
      <c r="A82" s="21">
        <v>3000000121</v>
      </c>
      <c r="B82" s="22">
        <v>45680</v>
      </c>
      <c r="C82" s="20">
        <v>5000000</v>
      </c>
      <c r="D82" s="21" t="s">
        <v>287</v>
      </c>
      <c r="E82" s="21">
        <v>94231506</v>
      </c>
      <c r="F82" s="20">
        <v>5000000</v>
      </c>
      <c r="G82" s="22">
        <v>45684</v>
      </c>
      <c r="H82" t="s">
        <v>13</v>
      </c>
      <c r="I82" s="51" t="str">
        <f>IFERROR(IF(VLOOKUP(E82,extracto!C:C,1,FALSE)=E82,"pagado","no pagado"),"no pagado")</f>
        <v>pagado</v>
      </c>
      <c r="J82" s="52" t="str">
        <f t="shared" si="84"/>
        <v>pagado</v>
      </c>
      <c r="K82" s="51" t="str">
        <f t="shared" ca="1" si="85"/>
        <v>excluir</v>
      </c>
      <c r="L82" s="51" t="str">
        <f t="shared" ca="1" si="86"/>
        <v>no semana</v>
      </c>
      <c r="M82" s="51" t="str">
        <f>IFERROR(VLOOKUP(E82,'cheques a conf'!A:D,4,FALSE),"no clearing")</f>
        <v>no clearing</v>
      </c>
      <c r="N82" s="51">
        <f t="shared" si="87"/>
        <v>5</v>
      </c>
      <c r="O82" s="53">
        <f t="shared" si="88"/>
        <v>1</v>
      </c>
      <c r="P82" s="53">
        <f t="shared" si="89"/>
        <v>2025</v>
      </c>
    </row>
    <row r="83" spans="1:16" customFormat="1" x14ac:dyDescent="0.25">
      <c r="A83" s="21">
        <v>3000000121</v>
      </c>
      <c r="B83" s="22">
        <v>45680</v>
      </c>
      <c r="C83" s="20">
        <v>5000000</v>
      </c>
      <c r="D83" s="21" t="s">
        <v>287</v>
      </c>
      <c r="E83" s="21">
        <v>94231507</v>
      </c>
      <c r="F83" s="20">
        <v>5000000</v>
      </c>
      <c r="G83" s="22">
        <v>45685</v>
      </c>
      <c r="H83" t="s">
        <v>13</v>
      </c>
      <c r="I83" s="51" t="str">
        <f>IFERROR(IF(VLOOKUP(E83,extracto!C:C,1,FALSE)=E83,"pagado","no pagado"),"no pagado")</f>
        <v>pagado</v>
      </c>
      <c r="J83" s="52" t="str">
        <f t="shared" si="84"/>
        <v>pagado</v>
      </c>
      <c r="K83" s="51" t="str">
        <f t="shared" ca="1" si="85"/>
        <v>excluir</v>
      </c>
      <c r="L83" s="51" t="str">
        <f t="shared" ca="1" si="86"/>
        <v>no semana</v>
      </c>
      <c r="M83" s="51" t="str">
        <f>IFERROR(VLOOKUP(E83,'cheques a conf'!A:D,4,FALSE),"no clearing")</f>
        <v>no clearing</v>
      </c>
      <c r="N83" s="51">
        <f t="shared" si="87"/>
        <v>5</v>
      </c>
      <c r="O83" s="53">
        <f t="shared" si="88"/>
        <v>1</v>
      </c>
      <c r="P83" s="53">
        <f t="shared" si="89"/>
        <v>2025</v>
      </c>
    </row>
    <row r="84" spans="1:16" customFormat="1" x14ac:dyDescent="0.25">
      <c r="A84" s="21">
        <v>3000000121</v>
      </c>
      <c r="B84" s="22">
        <v>45680</v>
      </c>
      <c r="C84" s="20">
        <v>5000000</v>
      </c>
      <c r="D84" s="21" t="s">
        <v>287</v>
      </c>
      <c r="E84" s="21">
        <v>94231508</v>
      </c>
      <c r="F84" s="20">
        <v>5000000</v>
      </c>
      <c r="G84" s="22">
        <v>45685</v>
      </c>
      <c r="H84" t="s">
        <v>13</v>
      </c>
      <c r="I84" s="51" t="str">
        <f>IFERROR(IF(VLOOKUP(E84,extracto!C:C,1,FALSE)=E84,"pagado","no pagado"),"no pagado")</f>
        <v>pagado</v>
      </c>
      <c r="J84" s="52" t="str">
        <f t="shared" si="84"/>
        <v>pagado</v>
      </c>
      <c r="K84" s="51" t="str">
        <f t="shared" ca="1" si="85"/>
        <v>excluir</v>
      </c>
      <c r="L84" s="51" t="str">
        <f t="shared" ca="1" si="86"/>
        <v>no semana</v>
      </c>
      <c r="M84" s="51" t="str">
        <f>IFERROR(VLOOKUP(E84,'cheques a conf'!A:D,4,FALSE),"no clearing")</f>
        <v>no clearing</v>
      </c>
      <c r="N84" s="51">
        <f t="shared" si="87"/>
        <v>5</v>
      </c>
      <c r="O84" s="53">
        <f t="shared" si="88"/>
        <v>1</v>
      </c>
      <c r="P84" s="53">
        <f t="shared" si="89"/>
        <v>2025</v>
      </c>
    </row>
    <row r="85" spans="1:16" customFormat="1" x14ac:dyDescent="0.25">
      <c r="A85" s="21">
        <v>3000000121</v>
      </c>
      <c r="B85" s="22">
        <v>45680</v>
      </c>
      <c r="C85" s="20">
        <v>5000000</v>
      </c>
      <c r="D85" s="21" t="s">
        <v>287</v>
      </c>
      <c r="E85" s="21">
        <v>94231509</v>
      </c>
      <c r="F85" s="20">
        <v>5000000</v>
      </c>
      <c r="G85" s="22">
        <v>45685</v>
      </c>
      <c r="H85" t="s">
        <v>13</v>
      </c>
      <c r="I85" s="51" t="str">
        <f>IFERROR(IF(VLOOKUP(E85,extracto!C:C,1,FALSE)=E85,"pagado","no pagado"),"no pagado")</f>
        <v>pagado</v>
      </c>
      <c r="J85" s="52" t="str">
        <f t="shared" si="84"/>
        <v>pagado</v>
      </c>
      <c r="K85" s="51" t="str">
        <f t="shared" ca="1" si="85"/>
        <v>excluir</v>
      </c>
      <c r="L85" s="51" t="str">
        <f t="shared" ca="1" si="86"/>
        <v>no semana</v>
      </c>
      <c r="M85" s="51" t="str">
        <f>IFERROR(VLOOKUP(E85,'cheques a conf'!A:D,4,FALSE),"no clearing")</f>
        <v>no clearing</v>
      </c>
      <c r="N85" s="51">
        <f t="shared" si="87"/>
        <v>5</v>
      </c>
      <c r="O85" s="53">
        <f t="shared" si="88"/>
        <v>1</v>
      </c>
      <c r="P85" s="53">
        <f t="shared" si="89"/>
        <v>2025</v>
      </c>
    </row>
    <row r="86" spans="1:16" customFormat="1" x14ac:dyDescent="0.25">
      <c r="A86" s="21">
        <v>3000000121</v>
      </c>
      <c r="B86" s="22">
        <v>45680</v>
      </c>
      <c r="C86" s="20">
        <v>5000000</v>
      </c>
      <c r="D86" s="21" t="s">
        <v>287</v>
      </c>
      <c r="E86" s="21">
        <v>94231510</v>
      </c>
      <c r="F86" s="20">
        <v>5000000</v>
      </c>
      <c r="G86" s="22">
        <v>45685</v>
      </c>
      <c r="H86" t="s">
        <v>13</v>
      </c>
      <c r="I86" s="51" t="str">
        <f>IFERROR(IF(VLOOKUP(E86,extracto!C:C,1,FALSE)=E86,"pagado","no pagado"),"no pagado")</f>
        <v>pagado</v>
      </c>
      <c r="J86" s="52" t="str">
        <f t="shared" si="84"/>
        <v>pagado</v>
      </c>
      <c r="K86" s="51" t="str">
        <f t="shared" ca="1" si="85"/>
        <v>excluir</v>
      </c>
      <c r="L86" s="51" t="str">
        <f t="shared" ca="1" si="86"/>
        <v>no semana</v>
      </c>
      <c r="M86" s="51" t="str">
        <f>IFERROR(VLOOKUP(E86,'cheques a conf'!A:D,4,FALSE),"no clearing")</f>
        <v>no clearing</v>
      </c>
      <c r="N86" s="51">
        <f t="shared" si="87"/>
        <v>5</v>
      </c>
      <c r="O86" s="53">
        <f t="shared" si="88"/>
        <v>1</v>
      </c>
      <c r="P86" s="53">
        <f t="shared" si="89"/>
        <v>2025</v>
      </c>
    </row>
    <row r="87" spans="1:16" customFormat="1" x14ac:dyDescent="0.25">
      <c r="A87" s="21">
        <v>3000000121</v>
      </c>
      <c r="B87" s="22">
        <v>45680</v>
      </c>
      <c r="C87" s="20">
        <v>5897766.25</v>
      </c>
      <c r="D87" s="21" t="s">
        <v>287</v>
      </c>
      <c r="E87" s="21">
        <v>94231511</v>
      </c>
      <c r="F87" s="20">
        <v>5897766.25</v>
      </c>
      <c r="G87" s="22">
        <v>45685</v>
      </c>
      <c r="H87" t="s">
        <v>13</v>
      </c>
      <c r="I87" s="51" t="str">
        <f>IFERROR(IF(VLOOKUP(E87,extracto!C:C,1,FALSE)=E87,"pagado","no pagado"),"no pagado")</f>
        <v>pagado</v>
      </c>
      <c r="J87" s="52" t="str">
        <f t="shared" si="84"/>
        <v>pagado</v>
      </c>
      <c r="K87" s="51" t="str">
        <f t="shared" ca="1" si="85"/>
        <v>excluir</v>
      </c>
      <c r="L87" s="51" t="str">
        <f t="shared" ca="1" si="86"/>
        <v>no semana</v>
      </c>
      <c r="M87" s="51" t="str">
        <f>IFERROR(VLOOKUP(E87,'cheques a conf'!A:D,4,FALSE),"no clearing")</f>
        <v>no clearing</v>
      </c>
      <c r="N87" s="51">
        <f t="shared" si="87"/>
        <v>5</v>
      </c>
      <c r="O87" s="53">
        <f t="shared" si="88"/>
        <v>1</v>
      </c>
      <c r="P87" s="53">
        <f t="shared" si="89"/>
        <v>2025</v>
      </c>
    </row>
    <row r="88" spans="1:16" customFormat="1" x14ac:dyDescent="0.25">
      <c r="A88" s="21">
        <v>3000000137</v>
      </c>
      <c r="B88" s="22">
        <v>45685</v>
      </c>
      <c r="C88" s="20">
        <v>10000000</v>
      </c>
      <c r="D88" s="21" t="s">
        <v>347</v>
      </c>
      <c r="E88" s="21">
        <v>3111731</v>
      </c>
      <c r="F88" s="20">
        <v>10000000</v>
      </c>
      <c r="G88" s="22">
        <v>45688</v>
      </c>
      <c r="H88" t="s">
        <v>13</v>
      </c>
      <c r="I88" s="51" t="str">
        <f>IFERROR(IF(VLOOKUP(E88,extracto!C:C,1,FALSE)=E88,"pagado","no pagado"),"no pagado")</f>
        <v>pagado</v>
      </c>
      <c r="J88" s="52" t="str">
        <f t="shared" si="84"/>
        <v>pagado</v>
      </c>
      <c r="K88" s="51" t="str">
        <f t="shared" ca="1" si="85"/>
        <v>excluir</v>
      </c>
      <c r="L88" s="51" t="str">
        <f t="shared" ca="1" si="86"/>
        <v>no semana</v>
      </c>
      <c r="M88" s="51" t="str">
        <f>IFERROR(VLOOKUP(E88,'cheques a conf'!A:D,4,FALSE),"no clearing")</f>
        <v>no clearing</v>
      </c>
      <c r="N88" s="51">
        <f t="shared" si="87"/>
        <v>5</v>
      </c>
      <c r="O88" s="53">
        <f t="shared" si="88"/>
        <v>1</v>
      </c>
      <c r="P88" s="53">
        <f t="shared" si="89"/>
        <v>2025</v>
      </c>
    </row>
    <row r="89" spans="1:16" customFormat="1" x14ac:dyDescent="0.25">
      <c r="A89" s="21">
        <v>3000000137</v>
      </c>
      <c r="B89" s="22">
        <v>45685</v>
      </c>
      <c r="C89" s="20">
        <v>10058167.15</v>
      </c>
      <c r="D89" s="21" t="s">
        <v>347</v>
      </c>
      <c r="E89" s="21">
        <v>3111732</v>
      </c>
      <c r="F89" s="20">
        <v>10058167.15</v>
      </c>
      <c r="G89" s="22">
        <v>45691</v>
      </c>
      <c r="H89" t="s">
        <v>13</v>
      </c>
      <c r="I89" s="51" t="str">
        <f>IFERROR(IF(VLOOKUP(E89,extracto!C:C,1,FALSE)=E89,"pagado","no pagado"),"no pagado")</f>
        <v>pagado</v>
      </c>
      <c r="J89" s="52" t="str">
        <f t="shared" si="84"/>
        <v>pagado</v>
      </c>
      <c r="K89" s="51" t="str">
        <f t="shared" ca="1" si="85"/>
        <v>excluir</v>
      </c>
      <c r="L89" s="51" t="str">
        <f t="shared" ca="1" si="86"/>
        <v>no semana</v>
      </c>
      <c r="M89" s="51" t="str">
        <f>IFERROR(VLOOKUP(E89,'cheques a conf'!A:D,4,FALSE),"no clearing")</f>
        <v>no clearing</v>
      </c>
      <c r="N89" s="51">
        <f t="shared" si="87"/>
        <v>6</v>
      </c>
      <c r="O89" s="53">
        <f t="shared" si="88"/>
        <v>2</v>
      </c>
      <c r="P89" s="53">
        <f t="shared" si="89"/>
        <v>2025</v>
      </c>
    </row>
    <row r="90" spans="1:16" customFormat="1" x14ac:dyDescent="0.25">
      <c r="A90" s="21">
        <v>3000000139</v>
      </c>
      <c r="B90" s="22">
        <v>45685</v>
      </c>
      <c r="C90" s="20">
        <v>10000000</v>
      </c>
      <c r="D90" s="21" t="s">
        <v>355</v>
      </c>
      <c r="E90" s="21">
        <v>3111734</v>
      </c>
      <c r="F90" s="20">
        <v>10000000</v>
      </c>
      <c r="G90" s="22">
        <v>45688</v>
      </c>
      <c r="H90" t="s">
        <v>13</v>
      </c>
      <c r="I90" s="51" t="str">
        <f>IFERROR(IF(VLOOKUP(E90,extracto!C:C,1,FALSE)=E90,"pagado","no pagado"),"no pagado")</f>
        <v>pagado</v>
      </c>
      <c r="J90" s="52" t="str">
        <f t="shared" si="84"/>
        <v>pagado</v>
      </c>
      <c r="K90" s="51" t="str">
        <f t="shared" ca="1" si="85"/>
        <v>excluir</v>
      </c>
      <c r="L90" s="51" t="str">
        <f t="shared" ca="1" si="86"/>
        <v>no semana</v>
      </c>
      <c r="M90" s="51" t="str">
        <f>IFERROR(VLOOKUP(E90,'cheques a conf'!A:D,4,FALSE),"no clearing")</f>
        <v>no clearing</v>
      </c>
      <c r="N90" s="51">
        <f t="shared" si="87"/>
        <v>5</v>
      </c>
      <c r="O90" s="53">
        <f t="shared" si="88"/>
        <v>1</v>
      </c>
      <c r="P90" s="53">
        <f t="shared" si="89"/>
        <v>2025</v>
      </c>
    </row>
    <row r="91" spans="1:16" customFormat="1" x14ac:dyDescent="0.25">
      <c r="A91" s="21">
        <v>3000000139</v>
      </c>
      <c r="B91" s="22">
        <v>45685</v>
      </c>
      <c r="C91" s="20">
        <v>10351673.4</v>
      </c>
      <c r="D91" s="21" t="s">
        <v>355</v>
      </c>
      <c r="E91" s="21">
        <v>3111735</v>
      </c>
      <c r="F91" s="20">
        <v>10351673.4</v>
      </c>
      <c r="G91" s="22">
        <v>45691</v>
      </c>
      <c r="H91" t="s">
        <v>13</v>
      </c>
      <c r="I91" s="51" t="str">
        <f>IFERROR(IF(VLOOKUP(E91,extracto!C:C,1,FALSE)=E91,"pagado","no pagado"),"no pagado")</f>
        <v>pagado</v>
      </c>
      <c r="J91" s="52" t="str">
        <f t="shared" si="84"/>
        <v>pagado</v>
      </c>
      <c r="K91" s="51" t="str">
        <f t="shared" ca="1" si="85"/>
        <v>excluir</v>
      </c>
      <c r="L91" s="51" t="str">
        <f t="shared" ca="1" si="86"/>
        <v>no semana</v>
      </c>
      <c r="M91" s="51" t="str">
        <f>IFERROR(VLOOKUP(E91,'cheques a conf'!A:D,4,FALSE),"no clearing")</f>
        <v>no clearing</v>
      </c>
      <c r="N91" s="51">
        <f t="shared" si="87"/>
        <v>6</v>
      </c>
      <c r="O91" s="53">
        <f t="shared" si="88"/>
        <v>2</v>
      </c>
      <c r="P91" s="53">
        <f t="shared" si="89"/>
        <v>2025</v>
      </c>
    </row>
    <row r="92" spans="1:16" customFormat="1" x14ac:dyDescent="0.25">
      <c r="A92" s="21">
        <v>3000000136</v>
      </c>
      <c r="B92" s="22">
        <v>45685</v>
      </c>
      <c r="C92" s="20">
        <v>12503219.4</v>
      </c>
      <c r="D92" s="21" t="s">
        <v>300</v>
      </c>
      <c r="E92" s="21">
        <v>3111730</v>
      </c>
      <c r="F92" s="20">
        <v>12503219.4</v>
      </c>
      <c r="G92" s="22">
        <v>45688</v>
      </c>
      <c r="H92" t="s">
        <v>13</v>
      </c>
      <c r="I92" s="51" t="str">
        <f>IFERROR(IF(VLOOKUP(E92,extracto!C:C,1,FALSE)=E92,"pagado","no pagado"),"no pagado")</f>
        <v>pagado</v>
      </c>
      <c r="J92" s="52" t="str">
        <f t="shared" si="84"/>
        <v>pagado</v>
      </c>
      <c r="K92" s="51" t="str">
        <f t="shared" ca="1" si="85"/>
        <v>excluir</v>
      </c>
      <c r="L92" s="51" t="str">
        <f t="shared" ca="1" si="86"/>
        <v>no semana</v>
      </c>
      <c r="M92" s="51" t="str">
        <f>IFERROR(VLOOKUP(E92,'cheques a conf'!A:D,4,FALSE),"no clearing")</f>
        <v>no clearing</v>
      </c>
      <c r="N92" s="51">
        <f t="shared" si="87"/>
        <v>5</v>
      </c>
      <c r="O92" s="53">
        <f t="shared" si="88"/>
        <v>1</v>
      </c>
      <c r="P92" s="53">
        <f t="shared" si="89"/>
        <v>2025</v>
      </c>
    </row>
    <row r="93" spans="1:16" customFormat="1" x14ac:dyDescent="0.25">
      <c r="A93" s="21">
        <v>3000000138</v>
      </c>
      <c r="B93" s="22">
        <v>45685</v>
      </c>
      <c r="C93" s="20">
        <v>6705396.2999999998</v>
      </c>
      <c r="D93" s="21" t="s">
        <v>356</v>
      </c>
      <c r="E93" s="21">
        <v>3111733</v>
      </c>
      <c r="F93" s="20">
        <v>6705396.2999999998</v>
      </c>
      <c r="G93" s="22">
        <v>45688</v>
      </c>
      <c r="H93" t="s">
        <v>13</v>
      </c>
      <c r="I93" s="51" t="str">
        <f>IFERROR(IF(VLOOKUP(E93,extracto!C:C,1,FALSE)=E93,"pagado","no pagado"),"no pagado")</f>
        <v>pagado</v>
      </c>
      <c r="J93" s="52" t="str">
        <f t="shared" si="84"/>
        <v>pagado</v>
      </c>
      <c r="K93" s="51" t="str">
        <f t="shared" ca="1" si="85"/>
        <v>excluir</v>
      </c>
      <c r="L93" s="51" t="str">
        <f t="shared" ca="1" si="86"/>
        <v>no semana</v>
      </c>
      <c r="M93" s="51" t="str">
        <f>IFERROR(VLOOKUP(E93,'cheques a conf'!A:D,4,FALSE),"no clearing")</f>
        <v>no clearing</v>
      </c>
      <c r="N93" s="51">
        <f t="shared" si="87"/>
        <v>5</v>
      </c>
      <c r="O93" s="53">
        <f t="shared" si="88"/>
        <v>1</v>
      </c>
      <c r="P93" s="53">
        <f t="shared" si="89"/>
        <v>2025</v>
      </c>
    </row>
    <row r="94" spans="1:16" customFormat="1" x14ac:dyDescent="0.25">
      <c r="A94" s="21">
        <v>3000000140</v>
      </c>
      <c r="B94" s="22">
        <v>45685</v>
      </c>
      <c r="C94" s="20">
        <v>7096905.2999999998</v>
      </c>
      <c r="D94" s="21" t="s">
        <v>288</v>
      </c>
      <c r="E94" s="21">
        <v>3111736</v>
      </c>
      <c r="F94" s="20">
        <v>7096905.2999999998</v>
      </c>
      <c r="G94" s="22">
        <v>45688</v>
      </c>
      <c r="H94" t="s">
        <v>13</v>
      </c>
      <c r="I94" s="51" t="str">
        <f>IFERROR(IF(VLOOKUP(E94,extracto!C:C,1,FALSE)=E94,"pagado","no pagado"),"no pagado")</f>
        <v>pagado</v>
      </c>
      <c r="J94" s="52" t="str">
        <f t="shared" si="84"/>
        <v>pagado</v>
      </c>
      <c r="K94" s="51" t="str">
        <f t="shared" ca="1" si="85"/>
        <v>excluir</v>
      </c>
      <c r="L94" s="51" t="str">
        <f t="shared" ca="1" si="86"/>
        <v>no semana</v>
      </c>
      <c r="M94" s="51" t="str">
        <f>IFERROR(VLOOKUP(E94,'cheques a conf'!A:D,4,FALSE),"no clearing")</f>
        <v>no clearing</v>
      </c>
      <c r="N94" s="51">
        <f t="shared" si="87"/>
        <v>5</v>
      </c>
      <c r="O94" s="53">
        <f t="shared" si="88"/>
        <v>1</v>
      </c>
      <c r="P94" s="53">
        <f t="shared" si="89"/>
        <v>2025</v>
      </c>
    </row>
    <row r="95" spans="1:16" customFormat="1" x14ac:dyDescent="0.25">
      <c r="A95" s="21">
        <v>3000000141</v>
      </c>
      <c r="B95" s="22">
        <v>45685</v>
      </c>
      <c r="C95" s="20">
        <v>7715669.8200000003</v>
      </c>
      <c r="D95" s="21" t="s">
        <v>357</v>
      </c>
      <c r="E95" s="21">
        <v>3111737</v>
      </c>
      <c r="F95" s="20">
        <v>7715669.8200000003</v>
      </c>
      <c r="G95" s="22">
        <v>45688</v>
      </c>
      <c r="H95" t="s">
        <v>13</v>
      </c>
      <c r="I95" s="51" t="str">
        <f>IFERROR(IF(VLOOKUP(E95,extracto!C:C,1,FALSE)=E95,"pagado","no pagado"),"no pagado")</f>
        <v>pagado</v>
      </c>
      <c r="J95" s="52" t="str">
        <f t="shared" si="84"/>
        <v>pagado</v>
      </c>
      <c r="K95" s="51" t="str">
        <f t="shared" ca="1" si="85"/>
        <v>excluir</v>
      </c>
      <c r="L95" s="51" t="str">
        <f t="shared" ca="1" si="86"/>
        <v>no semana</v>
      </c>
      <c r="M95" s="51" t="str">
        <f>IFERROR(VLOOKUP(E95,'cheques a conf'!A:D,4,FALSE),"no clearing")</f>
        <v>no clearing</v>
      </c>
      <c r="N95" s="51">
        <f t="shared" si="87"/>
        <v>5</v>
      </c>
      <c r="O95" s="53">
        <f t="shared" si="88"/>
        <v>1</v>
      </c>
      <c r="P95" s="53">
        <f t="shared" si="89"/>
        <v>2025</v>
      </c>
    </row>
    <row r="96" spans="1:16" customFormat="1" x14ac:dyDescent="0.25">
      <c r="A96">
        <v>3000000144</v>
      </c>
      <c r="B96" s="3">
        <v>45686</v>
      </c>
      <c r="C96" s="50">
        <v>12333090</v>
      </c>
      <c r="D96" t="s">
        <v>22</v>
      </c>
      <c r="E96">
        <v>94231512</v>
      </c>
      <c r="F96" s="50">
        <v>12333090</v>
      </c>
      <c r="G96" s="22">
        <v>45687</v>
      </c>
      <c r="H96" t="s">
        <v>13</v>
      </c>
      <c r="I96" s="51" t="str">
        <f>IFERROR(IF(VLOOKUP(E96,extracto!C:C,1,FALSE)=E96,"pagado","no pagado"),"no pagado")</f>
        <v>pagado</v>
      </c>
      <c r="J96" s="52" t="str">
        <f t="shared" si="84"/>
        <v>pagado</v>
      </c>
      <c r="K96" s="51" t="str">
        <f t="shared" ca="1" si="85"/>
        <v>excluir</v>
      </c>
      <c r="L96" s="51" t="str">
        <f t="shared" ca="1" si="86"/>
        <v>no semana</v>
      </c>
      <c r="M96" s="51" t="str">
        <f>IFERROR(VLOOKUP(E96,'cheques a conf'!A:D,4,FALSE),"no clearing")</f>
        <v>no clearing</v>
      </c>
      <c r="N96" s="51">
        <f t="shared" si="87"/>
        <v>5</v>
      </c>
      <c r="O96" s="53">
        <f t="shared" si="88"/>
        <v>1</v>
      </c>
      <c r="P96" s="53">
        <f t="shared" si="89"/>
        <v>2025</v>
      </c>
    </row>
    <row r="97" spans="1:16" customFormat="1" x14ac:dyDescent="0.25">
      <c r="A97">
        <v>3000000151</v>
      </c>
      <c r="B97" s="3">
        <v>45687</v>
      </c>
      <c r="C97" s="50">
        <v>447098.88</v>
      </c>
      <c r="D97" t="s">
        <v>358</v>
      </c>
      <c r="E97">
        <v>3111738</v>
      </c>
      <c r="F97" s="50">
        <v>447098.88</v>
      </c>
      <c r="G97" s="22">
        <v>45688</v>
      </c>
      <c r="H97" t="s">
        <v>13</v>
      </c>
      <c r="I97" s="51" t="str">
        <f>IFERROR(IF(VLOOKUP(E97,extracto!C:C,1,FALSE)=E97,"pagado","no pagado"),"no pagado")</f>
        <v>pagado</v>
      </c>
      <c r="J97" s="52" t="str">
        <f t="shared" ref="J97:J99" si="90">IF(I97="pagado","pagado",IF(G97&lt;$V$1-30,"fuera de fecha","en periodo de pago"))</f>
        <v>pagado</v>
      </c>
      <c r="K97" s="51" t="str">
        <f t="shared" ref="K97:K99" ca="1" si="91">+IF(B97&gt;$V$1,"excluir",IF(J97="en periodo de pago",IF($V$1&gt;G97,"a pagar","proximo a vencer"),"excluir"))</f>
        <v>excluir</v>
      </c>
      <c r="L97" s="51" t="str">
        <f t="shared" ref="L97:L99" ca="1" si="92">+IF(K97="proximo a vencer",IF($V$1+5&gt;G97,"para la semana","no semana"),"no semana")</f>
        <v>no semana</v>
      </c>
      <c r="M97" s="51" t="str">
        <f>IFERROR(VLOOKUP(E97,'cheques a conf'!A:D,4,FALSE),"no clearing")</f>
        <v>no clearing</v>
      </c>
      <c r="N97" s="51">
        <f t="shared" ref="N97:N99" si="93">+WEEKNUM(G97,2)</f>
        <v>5</v>
      </c>
      <c r="O97" s="53">
        <f t="shared" ref="O97:O99" si="94">+MONTH(G97)</f>
        <v>1</v>
      </c>
      <c r="P97" s="53">
        <f t="shared" ref="P97:P99" si="95">+YEAR(G97)</f>
        <v>2025</v>
      </c>
    </row>
    <row r="98" spans="1:16" customFormat="1" x14ac:dyDescent="0.25">
      <c r="A98">
        <v>3000000152</v>
      </c>
      <c r="B98" s="3">
        <v>45687</v>
      </c>
      <c r="C98" s="50">
        <v>670237.47</v>
      </c>
      <c r="D98" t="s">
        <v>284</v>
      </c>
      <c r="E98">
        <v>3111739</v>
      </c>
      <c r="F98" s="50">
        <v>670237.47</v>
      </c>
      <c r="G98" s="22">
        <v>45688</v>
      </c>
      <c r="H98" t="s">
        <v>13</v>
      </c>
      <c r="I98" s="51" t="str">
        <f>IFERROR(IF(VLOOKUP(E98,extracto!C:C,1,FALSE)=E98,"pagado","no pagado"),"no pagado")</f>
        <v>pagado</v>
      </c>
      <c r="J98" s="52" t="str">
        <f t="shared" si="90"/>
        <v>pagado</v>
      </c>
      <c r="K98" s="51" t="str">
        <f t="shared" ca="1" si="91"/>
        <v>excluir</v>
      </c>
      <c r="L98" s="51" t="str">
        <f t="shared" ca="1" si="92"/>
        <v>no semana</v>
      </c>
      <c r="M98" s="51" t="str">
        <f>IFERROR(VLOOKUP(E98,'cheques a conf'!A:D,4,FALSE),"no clearing")</f>
        <v>no clearing</v>
      </c>
      <c r="N98" s="51">
        <f t="shared" si="93"/>
        <v>5</v>
      </c>
      <c r="O98" s="53">
        <f t="shared" si="94"/>
        <v>1</v>
      </c>
      <c r="P98" s="53">
        <f t="shared" si="95"/>
        <v>2025</v>
      </c>
    </row>
    <row r="99" spans="1:16" customFormat="1" x14ac:dyDescent="0.25">
      <c r="A99">
        <v>3000000162</v>
      </c>
      <c r="B99" s="3">
        <v>45688</v>
      </c>
      <c r="C99" s="50">
        <v>11090156.210000001</v>
      </c>
      <c r="D99" t="s">
        <v>354</v>
      </c>
      <c r="E99">
        <v>3111740</v>
      </c>
      <c r="F99" s="50">
        <v>11090156.210000001</v>
      </c>
      <c r="G99" s="22">
        <v>45692</v>
      </c>
      <c r="H99" t="s">
        <v>13</v>
      </c>
      <c r="I99" s="51" t="str">
        <f>IFERROR(IF(VLOOKUP(E99,extracto!C:C,1,FALSE)=E99,"pagado","no pagado"),"no pagado")</f>
        <v>pagado</v>
      </c>
      <c r="J99" s="52" t="str">
        <f t="shared" si="90"/>
        <v>pagado</v>
      </c>
      <c r="K99" s="51" t="str">
        <f t="shared" ca="1" si="91"/>
        <v>excluir</v>
      </c>
      <c r="L99" s="51" t="str">
        <f t="shared" ca="1" si="92"/>
        <v>no semana</v>
      </c>
      <c r="M99" s="51" t="str">
        <f>IFERROR(VLOOKUP(E99,'cheques a conf'!A:D,4,FALSE),"no clearing")</f>
        <v>no clearing</v>
      </c>
      <c r="N99" s="51">
        <f t="shared" si="93"/>
        <v>6</v>
      </c>
      <c r="O99" s="53">
        <f t="shared" si="94"/>
        <v>2</v>
      </c>
      <c r="P99" s="53">
        <f t="shared" si="95"/>
        <v>2025</v>
      </c>
    </row>
    <row r="100" spans="1:16" customFormat="1" x14ac:dyDescent="0.25">
      <c r="A100">
        <v>3000000163</v>
      </c>
      <c r="B100" s="3">
        <v>45688</v>
      </c>
      <c r="C100" s="50">
        <v>16676986.76</v>
      </c>
      <c r="D100" t="s">
        <v>359</v>
      </c>
      <c r="E100">
        <v>3111741</v>
      </c>
      <c r="F100" s="50">
        <v>16676986.76</v>
      </c>
      <c r="G100" s="22">
        <v>45692</v>
      </c>
      <c r="H100" t="s">
        <v>13</v>
      </c>
      <c r="I100" s="51" t="str">
        <f>IFERROR(IF(VLOOKUP(E100,extracto!C:C,1,FALSE)=E100,"pagado","no pagado"),"no pagado")</f>
        <v>pagado</v>
      </c>
      <c r="J100" s="52" t="str">
        <f t="shared" ref="J100:J110" si="96">IF(I100="pagado","pagado",IF(G100&lt;$V$1-30,"fuera de fecha","en periodo de pago"))</f>
        <v>pagado</v>
      </c>
      <c r="K100" s="51" t="str">
        <f t="shared" ref="K100:K110" ca="1" si="97">+IF(B100&gt;$V$1,"excluir",IF(J100="en periodo de pago",IF($V$1&gt;G100,"a pagar","proximo a vencer"),"excluir"))</f>
        <v>excluir</v>
      </c>
      <c r="L100" s="51" t="str">
        <f t="shared" ref="L100:L110" ca="1" si="98">+IF(K100="proximo a vencer",IF($V$1+5&gt;G100,"para la semana","no semana"),"no semana")</f>
        <v>no semana</v>
      </c>
      <c r="M100" s="51" t="str">
        <f>IFERROR(VLOOKUP(E100,'cheques a conf'!A:D,4,FALSE),"no clearing")</f>
        <v>no clearing</v>
      </c>
      <c r="N100" s="51">
        <f t="shared" ref="N100:N110" si="99">+WEEKNUM(G100,2)</f>
        <v>6</v>
      </c>
      <c r="O100" s="53">
        <f t="shared" ref="O100:O110" si="100">+MONTH(G100)</f>
        <v>2</v>
      </c>
      <c r="P100" s="53">
        <f t="shared" ref="P100:P110" si="101">+YEAR(G100)</f>
        <v>2025</v>
      </c>
    </row>
    <row r="101" spans="1:16" customFormat="1" x14ac:dyDescent="0.25">
      <c r="A101" s="21">
        <v>3000000176</v>
      </c>
      <c r="B101" s="22">
        <v>45692</v>
      </c>
      <c r="C101" s="20">
        <v>1000000</v>
      </c>
      <c r="D101" s="21" t="s">
        <v>287</v>
      </c>
      <c r="E101" s="21">
        <v>94231513</v>
      </c>
      <c r="F101" s="20">
        <v>1000000</v>
      </c>
      <c r="G101" s="22">
        <v>45694</v>
      </c>
      <c r="H101" t="s">
        <v>13</v>
      </c>
      <c r="I101" s="51" t="str">
        <f>IFERROR(IF(VLOOKUP(E101,extracto!C:C,1,FALSE)=E101,"pagado","no pagado"),"no pagado")</f>
        <v>pagado</v>
      </c>
      <c r="J101" s="52" t="str">
        <f t="shared" si="96"/>
        <v>pagado</v>
      </c>
      <c r="K101" s="51" t="str">
        <f t="shared" ca="1" si="97"/>
        <v>excluir</v>
      </c>
      <c r="L101" s="51" t="str">
        <f t="shared" ca="1" si="98"/>
        <v>no semana</v>
      </c>
      <c r="M101" s="51" t="str">
        <f>IFERROR(VLOOKUP(E101,'cheques a conf'!A:D,4,FALSE),"no clearing")</f>
        <v>no clearing</v>
      </c>
      <c r="N101" s="51">
        <f t="shared" si="99"/>
        <v>6</v>
      </c>
      <c r="O101" s="53">
        <f t="shared" si="100"/>
        <v>2</v>
      </c>
      <c r="P101" s="53">
        <f t="shared" si="101"/>
        <v>2025</v>
      </c>
    </row>
    <row r="102" spans="1:16" customFormat="1" x14ac:dyDescent="0.25">
      <c r="A102" s="21">
        <v>3000000176</v>
      </c>
      <c r="B102" s="22">
        <v>45692</v>
      </c>
      <c r="C102" s="20">
        <v>1000000</v>
      </c>
      <c r="D102" s="21" t="s">
        <v>287</v>
      </c>
      <c r="E102" s="21">
        <v>94231514</v>
      </c>
      <c r="F102" s="20">
        <v>1000000</v>
      </c>
      <c r="G102" s="22">
        <v>45694</v>
      </c>
      <c r="H102" t="s">
        <v>13</v>
      </c>
      <c r="I102" s="51" t="str">
        <f>IFERROR(IF(VLOOKUP(E102,extracto!C:C,1,FALSE)=E102,"pagado","no pagado"),"no pagado")</f>
        <v>pagado</v>
      </c>
      <c r="J102" s="52" t="str">
        <f t="shared" si="96"/>
        <v>pagado</v>
      </c>
      <c r="K102" s="51" t="str">
        <f t="shared" ca="1" si="97"/>
        <v>excluir</v>
      </c>
      <c r="L102" s="51" t="str">
        <f t="shared" ca="1" si="98"/>
        <v>no semana</v>
      </c>
      <c r="M102" s="51" t="str">
        <f>IFERROR(VLOOKUP(E102,'cheques a conf'!A:D,4,FALSE),"no clearing")</f>
        <v>no clearing</v>
      </c>
      <c r="N102" s="51">
        <f t="shared" si="99"/>
        <v>6</v>
      </c>
      <c r="O102" s="53">
        <f t="shared" si="100"/>
        <v>2</v>
      </c>
      <c r="P102" s="53">
        <f t="shared" si="101"/>
        <v>2025</v>
      </c>
    </row>
    <row r="103" spans="1:16" customFormat="1" x14ac:dyDescent="0.25">
      <c r="A103" s="21">
        <v>3000000176</v>
      </c>
      <c r="B103" s="22">
        <v>45692</v>
      </c>
      <c r="C103" s="20">
        <v>2000000</v>
      </c>
      <c r="D103" s="21" t="s">
        <v>287</v>
      </c>
      <c r="E103" s="21">
        <v>94231515</v>
      </c>
      <c r="F103" s="20">
        <v>2000000</v>
      </c>
      <c r="G103" s="22">
        <v>45694</v>
      </c>
      <c r="H103" t="s">
        <v>13</v>
      </c>
      <c r="I103" s="51" t="str">
        <f>IFERROR(IF(VLOOKUP(E103,extracto!C:C,1,FALSE)=E103,"pagado","no pagado"),"no pagado")</f>
        <v>pagado</v>
      </c>
      <c r="J103" s="52" t="str">
        <f t="shared" si="96"/>
        <v>pagado</v>
      </c>
      <c r="K103" s="51" t="str">
        <f t="shared" ca="1" si="97"/>
        <v>excluir</v>
      </c>
      <c r="L103" s="51" t="str">
        <f t="shared" ca="1" si="98"/>
        <v>no semana</v>
      </c>
      <c r="M103" s="51" t="str">
        <f>IFERROR(VLOOKUP(E103,'cheques a conf'!A:D,4,FALSE),"no clearing")</f>
        <v>no clearing</v>
      </c>
      <c r="N103" s="51">
        <f t="shared" si="99"/>
        <v>6</v>
      </c>
      <c r="O103" s="53">
        <f t="shared" si="100"/>
        <v>2</v>
      </c>
      <c r="P103" s="53">
        <f t="shared" si="101"/>
        <v>2025</v>
      </c>
    </row>
    <row r="104" spans="1:16" customFormat="1" x14ac:dyDescent="0.25">
      <c r="A104" s="21">
        <v>3000000176</v>
      </c>
      <c r="B104" s="22">
        <v>45692</v>
      </c>
      <c r="C104" s="20">
        <v>2000000</v>
      </c>
      <c r="D104" s="21" t="s">
        <v>287</v>
      </c>
      <c r="E104" s="21">
        <v>94231516</v>
      </c>
      <c r="F104" s="20">
        <v>2000000</v>
      </c>
      <c r="G104" s="22">
        <v>45694</v>
      </c>
      <c r="H104" t="s">
        <v>13</v>
      </c>
      <c r="I104" s="51" t="str">
        <f>IFERROR(IF(VLOOKUP(E104,extracto!C:C,1,FALSE)=E104,"pagado","no pagado"),"no pagado")</f>
        <v>pagado</v>
      </c>
      <c r="J104" s="52" t="str">
        <f t="shared" si="96"/>
        <v>pagado</v>
      </c>
      <c r="K104" s="51" t="str">
        <f t="shared" ca="1" si="97"/>
        <v>excluir</v>
      </c>
      <c r="L104" s="51" t="str">
        <f t="shared" ca="1" si="98"/>
        <v>no semana</v>
      </c>
      <c r="M104" s="51" t="str">
        <f>IFERROR(VLOOKUP(E104,'cheques a conf'!A:D,4,FALSE),"no clearing")</f>
        <v>no clearing</v>
      </c>
      <c r="N104" s="51">
        <f t="shared" si="99"/>
        <v>6</v>
      </c>
      <c r="O104" s="53">
        <f t="shared" si="100"/>
        <v>2</v>
      </c>
      <c r="P104" s="53">
        <f t="shared" si="101"/>
        <v>2025</v>
      </c>
    </row>
    <row r="105" spans="1:16" customFormat="1" x14ac:dyDescent="0.25">
      <c r="A105" s="21">
        <v>3000000176</v>
      </c>
      <c r="B105" s="22">
        <v>45692</v>
      </c>
      <c r="C105" s="20">
        <v>5000000</v>
      </c>
      <c r="D105" s="21" t="s">
        <v>287</v>
      </c>
      <c r="E105" s="21">
        <v>94231517</v>
      </c>
      <c r="F105" s="20">
        <v>5000000</v>
      </c>
      <c r="G105" s="22">
        <v>45695</v>
      </c>
      <c r="H105" t="s">
        <v>13</v>
      </c>
      <c r="I105" s="51" t="str">
        <f>IFERROR(IF(VLOOKUP(E105,extracto!C:C,1,FALSE)=E105,"pagado","no pagado"),"no pagado")</f>
        <v>pagado</v>
      </c>
      <c r="J105" s="52" t="str">
        <f t="shared" si="96"/>
        <v>pagado</v>
      </c>
      <c r="K105" s="51" t="str">
        <f t="shared" ca="1" si="97"/>
        <v>excluir</v>
      </c>
      <c r="L105" s="51" t="str">
        <f t="shared" ca="1" si="98"/>
        <v>no semana</v>
      </c>
      <c r="M105" s="51" t="str">
        <f>IFERROR(VLOOKUP(E105,'cheques a conf'!A:D,4,FALSE),"no clearing")</f>
        <v>no clearing</v>
      </c>
      <c r="N105" s="51">
        <f t="shared" si="99"/>
        <v>6</v>
      </c>
      <c r="O105" s="53">
        <f t="shared" si="100"/>
        <v>2</v>
      </c>
      <c r="P105" s="53">
        <f t="shared" si="101"/>
        <v>2025</v>
      </c>
    </row>
    <row r="106" spans="1:16" customFormat="1" x14ac:dyDescent="0.25">
      <c r="A106" s="21">
        <v>3000000176</v>
      </c>
      <c r="B106" s="22">
        <v>45692</v>
      </c>
      <c r="C106" s="20">
        <v>5000000</v>
      </c>
      <c r="D106" s="21" t="s">
        <v>287</v>
      </c>
      <c r="E106" s="21">
        <v>94231518</v>
      </c>
      <c r="F106" s="20">
        <v>5000000</v>
      </c>
      <c r="G106" s="22">
        <v>45695</v>
      </c>
      <c r="H106" t="s">
        <v>13</v>
      </c>
      <c r="I106" s="51" t="str">
        <f>IFERROR(IF(VLOOKUP(E106,extracto!C:C,1,FALSE)=E106,"pagado","no pagado"),"no pagado")</f>
        <v>pagado</v>
      </c>
      <c r="J106" s="52" t="str">
        <f t="shared" si="96"/>
        <v>pagado</v>
      </c>
      <c r="K106" s="51" t="str">
        <f t="shared" ca="1" si="97"/>
        <v>excluir</v>
      </c>
      <c r="L106" s="51" t="str">
        <f t="shared" ca="1" si="98"/>
        <v>no semana</v>
      </c>
      <c r="M106" s="51" t="str">
        <f>IFERROR(VLOOKUP(E106,'cheques a conf'!A:D,4,FALSE),"no clearing")</f>
        <v>no clearing</v>
      </c>
      <c r="N106" s="51">
        <f t="shared" si="99"/>
        <v>6</v>
      </c>
      <c r="O106" s="53">
        <f t="shared" si="100"/>
        <v>2</v>
      </c>
      <c r="P106" s="53">
        <f t="shared" si="101"/>
        <v>2025</v>
      </c>
    </row>
    <row r="107" spans="1:16" customFormat="1" x14ac:dyDescent="0.25">
      <c r="A107" s="21">
        <v>3000000176</v>
      </c>
      <c r="B107" s="22">
        <v>45692</v>
      </c>
      <c r="C107" s="20">
        <v>5000000</v>
      </c>
      <c r="D107" s="21" t="s">
        <v>287</v>
      </c>
      <c r="E107" s="21">
        <v>94231519</v>
      </c>
      <c r="F107" s="20">
        <v>5000000</v>
      </c>
      <c r="G107" s="22">
        <v>45695</v>
      </c>
      <c r="H107" t="s">
        <v>13</v>
      </c>
      <c r="I107" s="51" t="str">
        <f>IFERROR(IF(VLOOKUP(E107,extracto!C:C,1,FALSE)=E107,"pagado","no pagado"),"no pagado")</f>
        <v>pagado</v>
      </c>
      <c r="J107" s="52" t="str">
        <f t="shared" si="96"/>
        <v>pagado</v>
      </c>
      <c r="K107" s="51" t="str">
        <f t="shared" ca="1" si="97"/>
        <v>excluir</v>
      </c>
      <c r="L107" s="51" t="str">
        <f t="shared" ca="1" si="98"/>
        <v>no semana</v>
      </c>
      <c r="M107" s="51" t="str">
        <f>IFERROR(VLOOKUP(E107,'cheques a conf'!A:D,4,FALSE),"no clearing")</f>
        <v>no clearing</v>
      </c>
      <c r="N107" s="51">
        <f t="shared" si="99"/>
        <v>6</v>
      </c>
      <c r="O107" s="53">
        <f t="shared" si="100"/>
        <v>2</v>
      </c>
      <c r="P107" s="53">
        <f t="shared" si="101"/>
        <v>2025</v>
      </c>
    </row>
    <row r="108" spans="1:16" customFormat="1" x14ac:dyDescent="0.25">
      <c r="A108" s="21">
        <v>3000000176</v>
      </c>
      <c r="B108" s="22">
        <v>45692</v>
      </c>
      <c r="C108" s="20">
        <v>112652.85</v>
      </c>
      <c r="D108" s="21" t="s">
        <v>287</v>
      </c>
      <c r="E108" s="21">
        <v>94231520</v>
      </c>
      <c r="F108" s="20">
        <v>112652.85</v>
      </c>
      <c r="G108" s="22">
        <v>45695</v>
      </c>
      <c r="H108" t="s">
        <v>13</v>
      </c>
      <c r="I108" s="51" t="str">
        <f>IFERROR(IF(VLOOKUP(E108,extracto!C:C,1,FALSE)=E108,"pagado","no pagado"),"no pagado")</f>
        <v>no pagado</v>
      </c>
      <c r="J108" s="52" t="str">
        <f t="shared" ca="1" si="96"/>
        <v>fuera de fecha</v>
      </c>
      <c r="K108" s="51" t="str">
        <f t="shared" ca="1" si="97"/>
        <v>excluir</v>
      </c>
      <c r="L108" s="51" t="str">
        <f t="shared" ca="1" si="98"/>
        <v>no semana</v>
      </c>
      <c r="M108" s="51" t="str">
        <f>IFERROR(VLOOKUP(E108,'cheques a conf'!A:D,4,FALSE),"no clearing")</f>
        <v>no clearing</v>
      </c>
      <c r="N108" s="51">
        <f t="shared" si="99"/>
        <v>6</v>
      </c>
      <c r="O108" s="53">
        <f t="shared" si="100"/>
        <v>2</v>
      </c>
      <c r="P108" s="53">
        <f t="shared" si="101"/>
        <v>2025</v>
      </c>
    </row>
    <row r="109" spans="1:16" customFormat="1" x14ac:dyDescent="0.25">
      <c r="A109" s="21">
        <v>3000000182</v>
      </c>
      <c r="B109" s="22">
        <v>45693</v>
      </c>
      <c r="C109" s="20">
        <v>7560293.4000000004</v>
      </c>
      <c r="D109" s="21" t="s">
        <v>360</v>
      </c>
      <c r="E109" s="21">
        <v>97123406</v>
      </c>
      <c r="F109" s="20">
        <v>7560293.4000000004</v>
      </c>
      <c r="G109" s="22">
        <v>45695</v>
      </c>
      <c r="H109" t="s">
        <v>61</v>
      </c>
      <c r="I109" s="51" t="str">
        <f>IFERROR(IF(VLOOKUP(E109,extracto!C:C,1,FALSE)=E109,"pagado","no pagado"),"no pagado")</f>
        <v>pagado</v>
      </c>
      <c r="J109" s="52" t="str">
        <f t="shared" si="96"/>
        <v>pagado</v>
      </c>
      <c r="K109" s="51" t="str">
        <f t="shared" ca="1" si="97"/>
        <v>excluir</v>
      </c>
      <c r="L109" s="51" t="str">
        <f t="shared" ca="1" si="98"/>
        <v>no semana</v>
      </c>
      <c r="M109" s="51" t="str">
        <f>IFERROR(VLOOKUP(E109,'cheques a conf'!A:D,4,FALSE),"no clearing")</f>
        <v>no clearing</v>
      </c>
      <c r="N109" s="51">
        <f t="shared" si="99"/>
        <v>6</v>
      </c>
      <c r="O109" s="53">
        <f t="shared" si="100"/>
        <v>2</v>
      </c>
      <c r="P109" s="53">
        <f t="shared" si="101"/>
        <v>2025</v>
      </c>
    </row>
    <row r="110" spans="1:16" customFormat="1" x14ac:dyDescent="0.25">
      <c r="A110" s="21">
        <v>3000000183</v>
      </c>
      <c r="B110" s="22">
        <v>45693</v>
      </c>
      <c r="C110" s="20">
        <v>12297143.4</v>
      </c>
      <c r="D110" s="21" t="s">
        <v>361</v>
      </c>
      <c r="E110" s="21">
        <v>97123407</v>
      </c>
      <c r="F110" s="20">
        <v>12297143.4</v>
      </c>
      <c r="G110" s="22">
        <v>45695</v>
      </c>
      <c r="H110" t="s">
        <v>61</v>
      </c>
      <c r="I110" s="51" t="str">
        <f>IFERROR(IF(VLOOKUP(E110,extracto!C:C,1,FALSE)=E110,"pagado","no pagado"),"no pagado")</f>
        <v>pagado</v>
      </c>
      <c r="J110" s="52" t="str">
        <f t="shared" si="96"/>
        <v>pagado</v>
      </c>
      <c r="K110" s="51" t="str">
        <f t="shared" ca="1" si="97"/>
        <v>excluir</v>
      </c>
      <c r="L110" s="51" t="str">
        <f t="shared" ca="1" si="98"/>
        <v>no semana</v>
      </c>
      <c r="M110" s="51" t="str">
        <f>IFERROR(VLOOKUP(E110,'cheques a conf'!A:D,4,FALSE),"no clearing")</f>
        <v>no clearing</v>
      </c>
      <c r="N110" s="51">
        <f t="shared" si="99"/>
        <v>6</v>
      </c>
      <c r="O110" s="53">
        <f t="shared" si="100"/>
        <v>2</v>
      </c>
      <c r="P110" s="53">
        <f t="shared" si="101"/>
        <v>2025</v>
      </c>
    </row>
    <row r="111" spans="1:16" customFormat="1" x14ac:dyDescent="0.25">
      <c r="A111" s="21">
        <v>3000000184</v>
      </c>
      <c r="B111" s="22">
        <v>45693</v>
      </c>
      <c r="C111" s="20">
        <v>5724935.4000000004</v>
      </c>
      <c r="D111" s="21" t="s">
        <v>362</v>
      </c>
      <c r="E111" s="21">
        <v>97123408</v>
      </c>
      <c r="F111" s="20">
        <v>5724935.4000000004</v>
      </c>
      <c r="G111" s="22">
        <v>45695</v>
      </c>
      <c r="H111" t="s">
        <v>61</v>
      </c>
      <c r="I111" s="51" t="str">
        <f>IFERROR(IF(VLOOKUP(E111,extracto!C:C,1,FALSE)=E111,"pagado","no pagado"),"no pagado")</f>
        <v>pagado</v>
      </c>
      <c r="J111" s="52" t="str">
        <f t="shared" ref="J111:J118" si="102">IF(I111="pagado","pagado",IF(G111&lt;$V$1-30,"fuera de fecha","en periodo de pago"))</f>
        <v>pagado</v>
      </c>
      <c r="K111" s="51" t="str">
        <f t="shared" ref="K111:K118" ca="1" si="103">+IF(B111&gt;$V$1,"excluir",IF(J111="en periodo de pago",IF($V$1&gt;G111,"a pagar","proximo a vencer"),"excluir"))</f>
        <v>excluir</v>
      </c>
      <c r="L111" s="51" t="str">
        <f t="shared" ref="L111:L118" ca="1" si="104">+IF(K111="proximo a vencer",IF($V$1+5&gt;G111,"para la semana","no semana"),"no semana")</f>
        <v>no semana</v>
      </c>
      <c r="M111" s="51" t="str">
        <f>IFERROR(VLOOKUP(E111,'cheques a conf'!A:D,4,FALSE),"no clearing")</f>
        <v>no clearing</v>
      </c>
      <c r="N111" s="51">
        <f t="shared" ref="N111:N118" si="105">+WEEKNUM(G111,2)</f>
        <v>6</v>
      </c>
      <c r="O111" s="53">
        <f t="shared" ref="O111:O118" si="106">+MONTH(G111)</f>
        <v>2</v>
      </c>
      <c r="P111" s="53">
        <f t="shared" ref="P111:P118" si="107">+YEAR(G111)</f>
        <v>2025</v>
      </c>
    </row>
    <row r="112" spans="1:16" customFormat="1" x14ac:dyDescent="0.25">
      <c r="A112" s="21">
        <v>3000000185</v>
      </c>
      <c r="B112" s="22">
        <v>45693</v>
      </c>
      <c r="C112" s="20">
        <v>11745311.539999999</v>
      </c>
      <c r="D112" s="21" t="s">
        <v>301</v>
      </c>
      <c r="E112" s="21">
        <v>97123409</v>
      </c>
      <c r="F112" s="20">
        <v>11745311.539999999</v>
      </c>
      <c r="G112" s="22">
        <v>45698</v>
      </c>
      <c r="H112" t="s">
        <v>61</v>
      </c>
      <c r="I112" s="51" t="str">
        <f>IFERROR(IF(VLOOKUP(E112,extracto!C:C,1,FALSE)=E112,"pagado","no pagado"),"no pagado")</f>
        <v>pagado</v>
      </c>
      <c r="J112" s="52" t="str">
        <f t="shared" si="102"/>
        <v>pagado</v>
      </c>
      <c r="K112" s="51" t="str">
        <f t="shared" ca="1" si="103"/>
        <v>excluir</v>
      </c>
      <c r="L112" s="51" t="str">
        <f t="shared" ca="1" si="104"/>
        <v>no semana</v>
      </c>
      <c r="M112" s="51" t="str">
        <f>IFERROR(VLOOKUP(E112,'cheques a conf'!A:D,4,FALSE),"no clearing")</f>
        <v>no clearing</v>
      </c>
      <c r="N112" s="51">
        <f t="shared" si="105"/>
        <v>7</v>
      </c>
      <c r="O112" s="53">
        <f t="shared" si="106"/>
        <v>2</v>
      </c>
      <c r="P112" s="53">
        <f t="shared" si="107"/>
        <v>2025</v>
      </c>
    </row>
    <row r="113" spans="1:16" customFormat="1" x14ac:dyDescent="0.25">
      <c r="A113" s="21">
        <v>3000000186</v>
      </c>
      <c r="B113" s="22">
        <v>45693</v>
      </c>
      <c r="C113" s="20">
        <v>8495499.3399999999</v>
      </c>
      <c r="D113" s="21" t="s">
        <v>297</v>
      </c>
      <c r="E113" s="21">
        <v>97123410</v>
      </c>
      <c r="F113" s="20">
        <v>8495499.3399999999</v>
      </c>
      <c r="G113" s="22">
        <v>45698</v>
      </c>
      <c r="H113" t="s">
        <v>61</v>
      </c>
      <c r="I113" s="51" t="str">
        <f>IFERROR(IF(VLOOKUP(E113,extracto!C:C,1,FALSE)=E113,"pagado","no pagado"),"no pagado")</f>
        <v>pagado</v>
      </c>
      <c r="J113" s="52" t="str">
        <f t="shared" si="102"/>
        <v>pagado</v>
      </c>
      <c r="K113" s="51" t="str">
        <f t="shared" ca="1" si="103"/>
        <v>excluir</v>
      </c>
      <c r="L113" s="51" t="str">
        <f t="shared" ca="1" si="104"/>
        <v>no semana</v>
      </c>
      <c r="M113" s="51" t="str">
        <f>IFERROR(VLOOKUP(E113,'cheques a conf'!A:D,4,FALSE),"no clearing")</f>
        <v>no clearing</v>
      </c>
      <c r="N113" s="51">
        <f t="shared" si="105"/>
        <v>7</v>
      </c>
      <c r="O113" s="53">
        <f t="shared" si="106"/>
        <v>2</v>
      </c>
      <c r="P113" s="53">
        <f t="shared" si="107"/>
        <v>2025</v>
      </c>
    </row>
    <row r="114" spans="1:16" customFormat="1" x14ac:dyDescent="0.25">
      <c r="A114" s="21">
        <v>3000000187</v>
      </c>
      <c r="B114" s="22">
        <v>45693</v>
      </c>
      <c r="C114" s="20">
        <v>1569578.57</v>
      </c>
      <c r="D114" s="21" t="s">
        <v>336</v>
      </c>
      <c r="E114" s="21">
        <v>97123411</v>
      </c>
      <c r="F114" s="20">
        <v>1569578.57</v>
      </c>
      <c r="G114" s="22">
        <v>45695</v>
      </c>
      <c r="H114" t="s">
        <v>61</v>
      </c>
      <c r="I114" s="51" t="str">
        <f>IFERROR(IF(VLOOKUP(E114,extracto!C:C,1,FALSE)=E114,"pagado","no pagado"),"no pagado")</f>
        <v>pagado</v>
      </c>
      <c r="J114" s="52" t="str">
        <f t="shared" si="102"/>
        <v>pagado</v>
      </c>
      <c r="K114" s="51" t="str">
        <f t="shared" ca="1" si="103"/>
        <v>excluir</v>
      </c>
      <c r="L114" s="51" t="str">
        <f t="shared" ca="1" si="104"/>
        <v>no semana</v>
      </c>
      <c r="M114" s="51" t="str">
        <f>IFERROR(VLOOKUP(E114,'cheques a conf'!A:D,4,FALSE),"no clearing")</f>
        <v>no clearing</v>
      </c>
      <c r="N114" s="51">
        <f t="shared" si="105"/>
        <v>6</v>
      </c>
      <c r="O114" s="53">
        <f t="shared" si="106"/>
        <v>2</v>
      </c>
      <c r="P114" s="53">
        <f t="shared" si="107"/>
        <v>2025</v>
      </c>
    </row>
    <row r="115" spans="1:16" customFormat="1" x14ac:dyDescent="0.25">
      <c r="A115" s="21">
        <v>3000000188</v>
      </c>
      <c r="B115" s="22">
        <v>45693</v>
      </c>
      <c r="C115" s="20">
        <v>15715717.939999999</v>
      </c>
      <c r="D115" s="21" t="s">
        <v>363</v>
      </c>
      <c r="E115" s="21">
        <v>97123412</v>
      </c>
      <c r="F115" s="20">
        <v>15715717.939999999</v>
      </c>
      <c r="G115" s="22">
        <v>45698</v>
      </c>
      <c r="H115" t="s">
        <v>61</v>
      </c>
      <c r="I115" s="51" t="str">
        <f>IFERROR(IF(VLOOKUP(E115,extracto!C:C,1,FALSE)=E115,"pagado","no pagado"),"no pagado")</f>
        <v>pagado</v>
      </c>
      <c r="J115" s="52" t="str">
        <f t="shared" si="102"/>
        <v>pagado</v>
      </c>
      <c r="K115" s="51" t="str">
        <f t="shared" ca="1" si="103"/>
        <v>excluir</v>
      </c>
      <c r="L115" s="51" t="str">
        <f t="shared" ca="1" si="104"/>
        <v>no semana</v>
      </c>
      <c r="M115" s="51" t="str">
        <f>IFERROR(VLOOKUP(E115,'cheques a conf'!A:D,4,FALSE),"no clearing")</f>
        <v>no clearing</v>
      </c>
      <c r="N115" s="51">
        <f t="shared" si="105"/>
        <v>7</v>
      </c>
      <c r="O115" s="53">
        <f t="shared" si="106"/>
        <v>2</v>
      </c>
      <c r="P115" s="53">
        <f t="shared" si="107"/>
        <v>2025</v>
      </c>
    </row>
    <row r="116" spans="1:16" customFormat="1" x14ac:dyDescent="0.25">
      <c r="A116" s="21">
        <v>3000000189</v>
      </c>
      <c r="B116" s="22">
        <v>45693</v>
      </c>
      <c r="C116" s="20">
        <v>4418438.22</v>
      </c>
      <c r="D116" s="21" t="s">
        <v>342</v>
      </c>
      <c r="E116" s="21">
        <v>97123413</v>
      </c>
      <c r="F116" s="20">
        <v>4418438.22</v>
      </c>
      <c r="G116" s="22">
        <v>45695</v>
      </c>
      <c r="H116" t="s">
        <v>61</v>
      </c>
      <c r="I116" s="51" t="str">
        <f>IFERROR(IF(VLOOKUP(E116,extracto!C:C,1,FALSE)=E116,"pagado","no pagado"),"no pagado")</f>
        <v>pagado</v>
      </c>
      <c r="J116" s="52" t="str">
        <f t="shared" si="102"/>
        <v>pagado</v>
      </c>
      <c r="K116" s="51" t="str">
        <f t="shared" ca="1" si="103"/>
        <v>excluir</v>
      </c>
      <c r="L116" s="51" t="str">
        <f t="shared" ca="1" si="104"/>
        <v>no semana</v>
      </c>
      <c r="M116" s="51" t="str">
        <f>IFERROR(VLOOKUP(E116,'cheques a conf'!A:D,4,FALSE),"no clearing")</f>
        <v>no clearing</v>
      </c>
      <c r="N116" s="51">
        <f t="shared" si="105"/>
        <v>6</v>
      </c>
      <c r="O116" s="53">
        <f t="shared" si="106"/>
        <v>2</v>
      </c>
      <c r="P116" s="53">
        <f t="shared" si="107"/>
        <v>2025</v>
      </c>
    </row>
    <row r="117" spans="1:16" customFormat="1" x14ac:dyDescent="0.25">
      <c r="A117" s="21">
        <v>3000000190</v>
      </c>
      <c r="B117" s="22">
        <v>45693</v>
      </c>
      <c r="C117" s="20">
        <v>9950269.6699999999</v>
      </c>
      <c r="D117" s="21" t="s">
        <v>337</v>
      </c>
      <c r="E117" s="21">
        <v>97123414</v>
      </c>
      <c r="F117" s="20">
        <v>9950269.6699999999</v>
      </c>
      <c r="G117" s="22">
        <v>45695</v>
      </c>
      <c r="H117" t="s">
        <v>61</v>
      </c>
      <c r="I117" s="51" t="str">
        <f>IFERROR(IF(VLOOKUP(E117,extracto!C:C,1,FALSE)=E117,"pagado","no pagado"),"no pagado")</f>
        <v>pagado</v>
      </c>
      <c r="J117" s="52" t="str">
        <f t="shared" si="102"/>
        <v>pagado</v>
      </c>
      <c r="K117" s="51" t="str">
        <f t="shared" ca="1" si="103"/>
        <v>excluir</v>
      </c>
      <c r="L117" s="51" t="str">
        <f t="shared" ca="1" si="104"/>
        <v>no semana</v>
      </c>
      <c r="M117" s="51" t="str">
        <f>IFERROR(VLOOKUP(E117,'cheques a conf'!A:D,4,FALSE),"no clearing")</f>
        <v>no clearing</v>
      </c>
      <c r="N117" s="51">
        <f t="shared" si="105"/>
        <v>6</v>
      </c>
      <c r="O117" s="53">
        <f t="shared" si="106"/>
        <v>2</v>
      </c>
      <c r="P117" s="53">
        <f t="shared" si="107"/>
        <v>2025</v>
      </c>
    </row>
    <row r="118" spans="1:16" customFormat="1" x14ac:dyDescent="0.25">
      <c r="A118" s="21">
        <v>3000000191</v>
      </c>
      <c r="B118" s="22">
        <v>45693</v>
      </c>
      <c r="C118" s="20">
        <v>5148588.67</v>
      </c>
      <c r="D118" s="21" t="s">
        <v>302</v>
      </c>
      <c r="E118" s="21">
        <v>97123415</v>
      </c>
      <c r="F118" s="20">
        <v>5148588.67</v>
      </c>
      <c r="G118" s="22">
        <v>45695</v>
      </c>
      <c r="H118" t="s">
        <v>61</v>
      </c>
      <c r="I118" s="51" t="str">
        <f>IFERROR(IF(VLOOKUP(E118,extracto!C:C,1,FALSE)=E118,"pagado","no pagado"),"no pagado")</f>
        <v>pagado</v>
      </c>
      <c r="J118" s="52" t="str">
        <f t="shared" si="102"/>
        <v>pagado</v>
      </c>
      <c r="K118" s="51" t="str">
        <f t="shared" ca="1" si="103"/>
        <v>excluir</v>
      </c>
      <c r="L118" s="51" t="str">
        <f t="shared" ca="1" si="104"/>
        <v>no semana</v>
      </c>
      <c r="M118" s="51" t="str">
        <f>IFERROR(VLOOKUP(E118,'cheques a conf'!A:D,4,FALSE),"no clearing")</f>
        <v>no clearing</v>
      </c>
      <c r="N118" s="51">
        <f t="shared" si="105"/>
        <v>6</v>
      </c>
      <c r="O118" s="53">
        <f t="shared" si="106"/>
        <v>2</v>
      </c>
      <c r="P118" s="53">
        <f t="shared" si="107"/>
        <v>2025</v>
      </c>
    </row>
    <row r="119" spans="1:16" customFormat="1" x14ac:dyDescent="0.25">
      <c r="A119" s="21">
        <v>3000000192</v>
      </c>
      <c r="B119" s="22">
        <v>45693</v>
      </c>
      <c r="C119" s="20">
        <v>1265258.33</v>
      </c>
      <c r="D119" s="21" t="s">
        <v>299</v>
      </c>
      <c r="E119" s="21">
        <v>97123416</v>
      </c>
      <c r="F119" s="20">
        <v>1265258.33</v>
      </c>
      <c r="G119" s="22">
        <v>45695</v>
      </c>
      <c r="H119" t="s">
        <v>61</v>
      </c>
      <c r="I119" s="51" t="str">
        <f>IFERROR(IF(VLOOKUP(E119,extracto!C:C,1,FALSE)=E119,"pagado","no pagado"),"no pagado")</f>
        <v>pagado</v>
      </c>
      <c r="J119" s="52" t="str">
        <f t="shared" ref="J119:J132" si="108">IF(I119="pagado","pagado",IF(G119&lt;$V$1-30,"fuera de fecha","en periodo de pago"))</f>
        <v>pagado</v>
      </c>
      <c r="K119" s="51" t="str">
        <f t="shared" ref="K119:K132" ca="1" si="109">+IF(B119&gt;$V$1,"excluir",IF(J119="en periodo de pago",IF($V$1&gt;G119,"a pagar","proximo a vencer"),"excluir"))</f>
        <v>excluir</v>
      </c>
      <c r="L119" s="51" t="str">
        <f t="shared" ref="L119:L132" ca="1" si="110">+IF(K119="proximo a vencer",IF($V$1+5&gt;G119,"para la semana","no semana"),"no semana")</f>
        <v>no semana</v>
      </c>
      <c r="M119" s="51" t="str">
        <f>IFERROR(VLOOKUP(E119,'cheques a conf'!A:D,4,FALSE),"no clearing")</f>
        <v>no clearing</v>
      </c>
      <c r="N119" s="51">
        <f t="shared" ref="N119:N132" si="111">+WEEKNUM(G119,2)</f>
        <v>6</v>
      </c>
      <c r="O119" s="53">
        <f t="shared" ref="O119:O132" si="112">+MONTH(G119)</f>
        <v>2</v>
      </c>
      <c r="P119" s="53">
        <f t="shared" ref="P119:P132" si="113">+YEAR(G119)</f>
        <v>2025</v>
      </c>
    </row>
    <row r="120" spans="1:16" customFormat="1" x14ac:dyDescent="0.25">
      <c r="A120" s="21">
        <v>3000000193</v>
      </c>
      <c r="B120" s="22">
        <v>45693</v>
      </c>
      <c r="C120" s="20">
        <v>1714036.72</v>
      </c>
      <c r="D120" s="21" t="s">
        <v>364</v>
      </c>
      <c r="E120" s="21">
        <v>97123417</v>
      </c>
      <c r="F120" s="20">
        <v>1714036.72</v>
      </c>
      <c r="G120" s="22">
        <v>45695</v>
      </c>
      <c r="H120" t="s">
        <v>61</v>
      </c>
      <c r="I120" s="51" t="str">
        <f>IFERROR(IF(VLOOKUP(E120,extracto!C:C,1,FALSE)=E120,"pagado","no pagado"),"no pagado")</f>
        <v>pagado</v>
      </c>
      <c r="J120" s="52" t="str">
        <f t="shared" si="108"/>
        <v>pagado</v>
      </c>
      <c r="K120" s="51" t="str">
        <f t="shared" ca="1" si="109"/>
        <v>excluir</v>
      </c>
      <c r="L120" s="51" t="str">
        <f t="shared" ca="1" si="110"/>
        <v>no semana</v>
      </c>
      <c r="M120" s="51" t="str">
        <f>IFERROR(VLOOKUP(E120,'cheques a conf'!A:D,4,FALSE),"no clearing")</f>
        <v>no clearing</v>
      </c>
      <c r="N120" s="51">
        <f t="shared" si="111"/>
        <v>6</v>
      </c>
      <c r="O120" s="53">
        <f t="shared" si="112"/>
        <v>2</v>
      </c>
      <c r="P120" s="53">
        <f t="shared" si="113"/>
        <v>2025</v>
      </c>
    </row>
    <row r="121" spans="1:16" customFormat="1" x14ac:dyDescent="0.25">
      <c r="A121" s="21">
        <v>3000000194</v>
      </c>
      <c r="B121" s="22">
        <v>45693</v>
      </c>
      <c r="C121" s="20">
        <v>4207024.83</v>
      </c>
      <c r="D121" s="21" t="s">
        <v>340</v>
      </c>
      <c r="E121" s="21">
        <v>97123418</v>
      </c>
      <c r="F121" s="20">
        <v>4207024.83</v>
      </c>
      <c r="G121" s="22">
        <v>45695</v>
      </c>
      <c r="H121" t="s">
        <v>61</v>
      </c>
      <c r="I121" s="51" t="str">
        <f>IFERROR(IF(VLOOKUP(E121,extracto!C:C,1,FALSE)=E121,"pagado","no pagado"),"no pagado")</f>
        <v>pagado</v>
      </c>
      <c r="J121" s="52" t="str">
        <f t="shared" si="108"/>
        <v>pagado</v>
      </c>
      <c r="K121" s="51" t="str">
        <f t="shared" ca="1" si="109"/>
        <v>excluir</v>
      </c>
      <c r="L121" s="51" t="str">
        <f t="shared" ca="1" si="110"/>
        <v>no semana</v>
      </c>
      <c r="M121" s="51" t="str">
        <f>IFERROR(VLOOKUP(E121,'cheques a conf'!A:D,4,FALSE),"no clearing")</f>
        <v>no clearing</v>
      </c>
      <c r="N121" s="51">
        <f t="shared" si="111"/>
        <v>6</v>
      </c>
      <c r="O121" s="53">
        <f t="shared" si="112"/>
        <v>2</v>
      </c>
      <c r="P121" s="53">
        <f t="shared" si="113"/>
        <v>2025</v>
      </c>
    </row>
    <row r="122" spans="1:16" customFormat="1" x14ac:dyDescent="0.25">
      <c r="A122" s="21">
        <v>3000000195</v>
      </c>
      <c r="B122" s="22">
        <v>45693</v>
      </c>
      <c r="C122" s="20">
        <v>18115857.57</v>
      </c>
      <c r="D122" s="21" t="s">
        <v>16</v>
      </c>
      <c r="E122" s="21">
        <v>97123419</v>
      </c>
      <c r="F122" s="20">
        <v>18115857.57</v>
      </c>
      <c r="G122" s="22">
        <v>45699</v>
      </c>
      <c r="H122" t="s">
        <v>61</v>
      </c>
      <c r="I122" s="51" t="str">
        <f>IFERROR(IF(VLOOKUP(E122,extracto!C:C,1,FALSE)=E122,"pagado","no pagado"),"no pagado")</f>
        <v>pagado</v>
      </c>
      <c r="J122" s="52" t="str">
        <f t="shared" si="108"/>
        <v>pagado</v>
      </c>
      <c r="K122" s="51" t="str">
        <f t="shared" ca="1" si="109"/>
        <v>excluir</v>
      </c>
      <c r="L122" s="51" t="str">
        <f t="shared" ca="1" si="110"/>
        <v>no semana</v>
      </c>
      <c r="M122" s="51" t="str">
        <f>IFERROR(VLOOKUP(E122,'cheques a conf'!A:D,4,FALSE),"no clearing")</f>
        <v>no clearing</v>
      </c>
      <c r="N122" s="51">
        <f t="shared" si="111"/>
        <v>7</v>
      </c>
      <c r="O122" s="53">
        <f t="shared" si="112"/>
        <v>2</v>
      </c>
      <c r="P122" s="53">
        <f t="shared" si="113"/>
        <v>2025</v>
      </c>
    </row>
    <row r="123" spans="1:16" customFormat="1" x14ac:dyDescent="0.25">
      <c r="A123" s="21">
        <v>3000000196</v>
      </c>
      <c r="B123" s="22">
        <v>45693</v>
      </c>
      <c r="C123" s="20">
        <v>19483734.969999999</v>
      </c>
      <c r="D123" s="21" t="s">
        <v>303</v>
      </c>
      <c r="E123" s="21">
        <v>97123420</v>
      </c>
      <c r="F123" s="20">
        <v>19483734.969999999</v>
      </c>
      <c r="G123" s="22">
        <v>45699</v>
      </c>
      <c r="H123" t="s">
        <v>61</v>
      </c>
      <c r="I123" s="51" t="str">
        <f>IFERROR(IF(VLOOKUP(E123,extracto!C:C,1,FALSE)=E123,"pagado","no pagado"),"no pagado")</f>
        <v>pagado</v>
      </c>
      <c r="J123" s="52" t="str">
        <f t="shared" si="108"/>
        <v>pagado</v>
      </c>
      <c r="K123" s="51" t="str">
        <f t="shared" ca="1" si="109"/>
        <v>excluir</v>
      </c>
      <c r="L123" s="51" t="str">
        <f t="shared" ca="1" si="110"/>
        <v>no semana</v>
      </c>
      <c r="M123" s="51" t="str">
        <f>IFERROR(VLOOKUP(E123,'cheques a conf'!A:D,4,FALSE),"no clearing")</f>
        <v>no clearing</v>
      </c>
      <c r="N123" s="51">
        <f t="shared" si="111"/>
        <v>7</v>
      </c>
      <c r="O123" s="53">
        <f t="shared" si="112"/>
        <v>2</v>
      </c>
      <c r="P123" s="53">
        <f t="shared" si="113"/>
        <v>2025</v>
      </c>
    </row>
    <row r="124" spans="1:16" customFormat="1" x14ac:dyDescent="0.25">
      <c r="A124">
        <v>3000000218</v>
      </c>
      <c r="B124" s="3">
        <v>45699</v>
      </c>
      <c r="C124" s="9">
        <v>1553117.04</v>
      </c>
      <c r="D124" t="s">
        <v>365</v>
      </c>
      <c r="E124">
        <v>3111742</v>
      </c>
      <c r="F124" s="9">
        <v>1553117.04</v>
      </c>
      <c r="G124" s="22">
        <v>45700</v>
      </c>
      <c r="H124" t="s">
        <v>13</v>
      </c>
      <c r="I124" s="51" t="str">
        <f>IFERROR(IF(VLOOKUP(E124,extracto!C:C,1,FALSE)=E124,"pagado","no pagado"),"no pagado")</f>
        <v>pagado</v>
      </c>
      <c r="J124" s="52" t="str">
        <f t="shared" si="108"/>
        <v>pagado</v>
      </c>
      <c r="K124" s="51" t="str">
        <f t="shared" ca="1" si="109"/>
        <v>excluir</v>
      </c>
      <c r="L124" s="51" t="str">
        <f t="shared" ca="1" si="110"/>
        <v>no semana</v>
      </c>
      <c r="M124" s="51" t="str">
        <f>IFERROR(VLOOKUP(E124,'cheques a conf'!A:D,4,FALSE),"no clearing")</f>
        <v>no clearing</v>
      </c>
      <c r="N124" s="51">
        <f t="shared" si="111"/>
        <v>7</v>
      </c>
      <c r="O124" s="53">
        <f t="shared" si="112"/>
        <v>2</v>
      </c>
      <c r="P124" s="53">
        <f t="shared" si="113"/>
        <v>2025</v>
      </c>
    </row>
    <row r="125" spans="1:16" customFormat="1" x14ac:dyDescent="0.25">
      <c r="A125" s="21">
        <v>3000000224</v>
      </c>
      <c r="B125" s="22">
        <v>45699</v>
      </c>
      <c r="C125" s="20">
        <v>5000000</v>
      </c>
      <c r="D125" s="21" t="s">
        <v>358</v>
      </c>
      <c r="E125" s="21">
        <v>97123423</v>
      </c>
      <c r="F125" s="20">
        <v>5000000</v>
      </c>
      <c r="G125" s="22">
        <v>45702</v>
      </c>
      <c r="H125" t="s">
        <v>61</v>
      </c>
      <c r="I125" s="51" t="str">
        <f>IFERROR(IF(VLOOKUP(E125,extracto!C:C,1,FALSE)=E125,"pagado","no pagado"),"no pagado")</f>
        <v>pagado</v>
      </c>
      <c r="J125" s="52" t="str">
        <f t="shared" si="108"/>
        <v>pagado</v>
      </c>
      <c r="K125" s="51" t="str">
        <f t="shared" ca="1" si="109"/>
        <v>excluir</v>
      </c>
      <c r="L125" s="51" t="str">
        <f t="shared" ca="1" si="110"/>
        <v>no semana</v>
      </c>
      <c r="M125" s="51" t="str">
        <f>IFERROR(VLOOKUP(E125,'cheques a conf'!A:D,4,FALSE),"no clearing")</f>
        <v>no clearing</v>
      </c>
      <c r="N125" s="51">
        <f t="shared" si="111"/>
        <v>7</v>
      </c>
      <c r="O125" s="53">
        <f t="shared" si="112"/>
        <v>2</v>
      </c>
      <c r="P125" s="53">
        <f t="shared" si="113"/>
        <v>2025</v>
      </c>
    </row>
    <row r="126" spans="1:16" customFormat="1" x14ac:dyDescent="0.25">
      <c r="A126" s="21">
        <v>3000000224</v>
      </c>
      <c r="B126" s="22">
        <v>45699</v>
      </c>
      <c r="C126" s="20">
        <v>4642304.7699999996</v>
      </c>
      <c r="D126" s="21" t="s">
        <v>358</v>
      </c>
      <c r="E126" s="21">
        <v>97123424</v>
      </c>
      <c r="F126" s="20">
        <v>4642304.7699999996</v>
      </c>
      <c r="G126" s="22">
        <v>45702</v>
      </c>
      <c r="H126" t="s">
        <v>61</v>
      </c>
      <c r="I126" s="51" t="str">
        <f>IFERROR(IF(VLOOKUP(E126,extracto!C:C,1,FALSE)=E126,"pagado","no pagado"),"no pagado")</f>
        <v>pagado</v>
      </c>
      <c r="J126" s="52" t="str">
        <f t="shared" si="108"/>
        <v>pagado</v>
      </c>
      <c r="K126" s="51" t="str">
        <f t="shared" ca="1" si="109"/>
        <v>excluir</v>
      </c>
      <c r="L126" s="51" t="str">
        <f t="shared" ca="1" si="110"/>
        <v>no semana</v>
      </c>
      <c r="M126" s="51" t="str">
        <f>IFERROR(VLOOKUP(E126,'cheques a conf'!A:D,4,FALSE),"no clearing")</f>
        <v>no clearing</v>
      </c>
      <c r="N126" s="51">
        <f t="shared" si="111"/>
        <v>7</v>
      </c>
      <c r="O126" s="53">
        <f t="shared" si="112"/>
        <v>2</v>
      </c>
      <c r="P126" s="53">
        <f t="shared" si="113"/>
        <v>2025</v>
      </c>
    </row>
    <row r="127" spans="1:16" customFormat="1" x14ac:dyDescent="0.25">
      <c r="A127" s="21">
        <v>3000000227</v>
      </c>
      <c r="B127" s="22">
        <v>45699</v>
      </c>
      <c r="C127" s="20">
        <v>8000000</v>
      </c>
      <c r="D127" s="21" t="s">
        <v>346</v>
      </c>
      <c r="E127" s="21">
        <v>97123427</v>
      </c>
      <c r="F127" s="20">
        <v>8000000</v>
      </c>
      <c r="G127" s="22">
        <v>45701</v>
      </c>
      <c r="H127" t="s">
        <v>61</v>
      </c>
      <c r="I127" s="51" t="str">
        <f>IFERROR(IF(VLOOKUP(E127,extracto!C:C,1,FALSE)=E127,"pagado","no pagado"),"no pagado")</f>
        <v>pagado</v>
      </c>
      <c r="J127" s="52" t="str">
        <f t="shared" si="108"/>
        <v>pagado</v>
      </c>
      <c r="K127" s="51" t="str">
        <f t="shared" ca="1" si="109"/>
        <v>excluir</v>
      </c>
      <c r="L127" s="51" t="str">
        <f t="shared" ca="1" si="110"/>
        <v>no semana</v>
      </c>
      <c r="M127" s="51" t="str">
        <f>IFERROR(VLOOKUP(E127,'cheques a conf'!A:D,4,FALSE),"no clearing")</f>
        <v>no clearing</v>
      </c>
      <c r="N127" s="51">
        <f t="shared" si="111"/>
        <v>7</v>
      </c>
      <c r="O127" s="53">
        <f t="shared" si="112"/>
        <v>2</v>
      </c>
      <c r="P127" s="53">
        <f t="shared" si="113"/>
        <v>2025</v>
      </c>
    </row>
    <row r="128" spans="1:16" customFormat="1" x14ac:dyDescent="0.25">
      <c r="A128" s="21">
        <v>3000000227</v>
      </c>
      <c r="B128" s="22">
        <v>45699</v>
      </c>
      <c r="C128" s="20">
        <v>8745327.6400000006</v>
      </c>
      <c r="D128" s="21" t="s">
        <v>346</v>
      </c>
      <c r="E128" s="21">
        <v>97123428</v>
      </c>
      <c r="F128" s="20">
        <v>8745327.6400000006</v>
      </c>
      <c r="G128" s="22">
        <v>45702</v>
      </c>
      <c r="H128" t="s">
        <v>61</v>
      </c>
      <c r="I128" s="51" t="str">
        <f>IFERROR(IF(VLOOKUP(E128,extracto!C:C,1,FALSE)=E128,"pagado","no pagado"),"no pagado")</f>
        <v>pagado</v>
      </c>
      <c r="J128" s="52" t="str">
        <f t="shared" si="108"/>
        <v>pagado</v>
      </c>
      <c r="K128" s="51" t="str">
        <f t="shared" ca="1" si="109"/>
        <v>excluir</v>
      </c>
      <c r="L128" s="51" t="str">
        <f t="shared" ca="1" si="110"/>
        <v>no semana</v>
      </c>
      <c r="M128" s="51" t="str">
        <f>IFERROR(VLOOKUP(E128,'cheques a conf'!A:D,4,FALSE),"no clearing")</f>
        <v>no clearing</v>
      </c>
      <c r="N128" s="51">
        <f t="shared" si="111"/>
        <v>7</v>
      </c>
      <c r="O128" s="53">
        <f t="shared" si="112"/>
        <v>2</v>
      </c>
      <c r="P128" s="53">
        <f t="shared" si="113"/>
        <v>2025</v>
      </c>
    </row>
    <row r="129" spans="1:18" customFormat="1" x14ac:dyDescent="0.25">
      <c r="A129" s="21">
        <v>3000000228</v>
      </c>
      <c r="B129" s="22">
        <v>45699</v>
      </c>
      <c r="C129" s="20">
        <v>3371689.67</v>
      </c>
      <c r="D129" s="21" t="s">
        <v>300</v>
      </c>
      <c r="E129" s="21">
        <v>97123429</v>
      </c>
      <c r="F129" s="20">
        <v>3371689.67</v>
      </c>
      <c r="G129" s="22">
        <v>45701</v>
      </c>
      <c r="H129" t="s">
        <v>61</v>
      </c>
      <c r="I129" s="51" t="str">
        <f>IFERROR(IF(VLOOKUP(E129,extracto!C:C,1,FALSE)=E129,"pagado","no pagado"),"no pagado")</f>
        <v>pagado</v>
      </c>
      <c r="J129" s="52" t="str">
        <f t="shared" si="108"/>
        <v>pagado</v>
      </c>
      <c r="K129" s="51" t="str">
        <f t="shared" ca="1" si="109"/>
        <v>excluir</v>
      </c>
      <c r="L129" s="51" t="str">
        <f t="shared" ca="1" si="110"/>
        <v>no semana</v>
      </c>
      <c r="M129" s="51" t="str">
        <f>IFERROR(VLOOKUP(E129,'cheques a conf'!A:D,4,FALSE),"no clearing")</f>
        <v>no clearing</v>
      </c>
      <c r="N129" s="51">
        <f t="shared" si="111"/>
        <v>7</v>
      </c>
      <c r="O129" s="53">
        <f t="shared" si="112"/>
        <v>2</v>
      </c>
      <c r="P129" s="53">
        <f t="shared" si="113"/>
        <v>2025</v>
      </c>
    </row>
    <row r="130" spans="1:18" customFormat="1" x14ac:dyDescent="0.25">
      <c r="A130" s="21">
        <v>3000000228</v>
      </c>
      <c r="B130" s="22">
        <v>45699</v>
      </c>
      <c r="C130" s="20">
        <v>3371689.67</v>
      </c>
      <c r="D130" s="21" t="s">
        <v>300</v>
      </c>
      <c r="E130" s="21">
        <v>97123430</v>
      </c>
      <c r="F130" s="20">
        <v>3371689.67</v>
      </c>
      <c r="G130" s="22">
        <v>45701</v>
      </c>
      <c r="H130" t="s">
        <v>61</v>
      </c>
      <c r="I130" s="51" t="str">
        <f>IFERROR(IF(VLOOKUP(E130,extracto!C:C,1,FALSE)=E130,"pagado","no pagado"),"no pagado")</f>
        <v>pagado</v>
      </c>
      <c r="J130" s="52" t="str">
        <f t="shared" si="108"/>
        <v>pagado</v>
      </c>
      <c r="K130" s="51" t="str">
        <f t="shared" ca="1" si="109"/>
        <v>excluir</v>
      </c>
      <c r="L130" s="51" t="str">
        <f t="shared" ca="1" si="110"/>
        <v>no semana</v>
      </c>
      <c r="M130" s="51" t="str">
        <f>IFERROR(VLOOKUP(E130,'cheques a conf'!A:D,4,FALSE),"no clearing")</f>
        <v>no clearing</v>
      </c>
      <c r="N130" s="51">
        <f t="shared" si="111"/>
        <v>7</v>
      </c>
      <c r="O130" s="53">
        <f t="shared" si="112"/>
        <v>2</v>
      </c>
      <c r="P130" s="53">
        <f t="shared" si="113"/>
        <v>2025</v>
      </c>
    </row>
    <row r="131" spans="1:18" customFormat="1" x14ac:dyDescent="0.25">
      <c r="A131" s="21">
        <v>3000000228</v>
      </c>
      <c r="B131" s="22">
        <v>45699</v>
      </c>
      <c r="C131" s="20">
        <v>7722248.1600000001</v>
      </c>
      <c r="D131" s="21" t="s">
        <v>300</v>
      </c>
      <c r="E131" s="21">
        <v>97123431</v>
      </c>
      <c r="F131" s="20">
        <v>7722248.1600000001</v>
      </c>
      <c r="G131" s="22">
        <v>45702</v>
      </c>
      <c r="H131" t="s">
        <v>61</v>
      </c>
      <c r="I131" s="51" t="str">
        <f>IFERROR(IF(VLOOKUP(E131,extracto!C:C,1,FALSE)=E131,"pagado","no pagado"),"no pagado")</f>
        <v>pagado</v>
      </c>
      <c r="J131" s="52" t="str">
        <f t="shared" si="108"/>
        <v>pagado</v>
      </c>
      <c r="K131" s="51" t="str">
        <f t="shared" ca="1" si="109"/>
        <v>excluir</v>
      </c>
      <c r="L131" s="51" t="str">
        <f t="shared" ca="1" si="110"/>
        <v>no semana</v>
      </c>
      <c r="M131" s="51" t="str">
        <f>IFERROR(VLOOKUP(E131,'cheques a conf'!A:D,4,FALSE),"no clearing")</f>
        <v>no clearing</v>
      </c>
      <c r="N131" s="51">
        <f t="shared" si="111"/>
        <v>7</v>
      </c>
      <c r="O131" s="53">
        <f t="shared" si="112"/>
        <v>2</v>
      </c>
      <c r="P131" s="53">
        <f t="shared" si="113"/>
        <v>2025</v>
      </c>
    </row>
    <row r="132" spans="1:18" customFormat="1" x14ac:dyDescent="0.25">
      <c r="A132" s="21">
        <v>3000000229</v>
      </c>
      <c r="B132" s="22">
        <v>45699</v>
      </c>
      <c r="C132" s="20">
        <v>15000000</v>
      </c>
      <c r="D132" s="21" t="s">
        <v>361</v>
      </c>
      <c r="E132" s="21">
        <v>97123432</v>
      </c>
      <c r="F132" s="20">
        <v>15000000</v>
      </c>
      <c r="G132" s="22">
        <v>45702</v>
      </c>
      <c r="H132" t="s">
        <v>61</v>
      </c>
      <c r="I132" s="51" t="str">
        <f>IFERROR(IF(VLOOKUP(E132,extracto!C:C,1,FALSE)=E132,"pagado","no pagado"),"no pagado")</f>
        <v>pagado</v>
      </c>
      <c r="J132" s="52" t="str">
        <f t="shared" si="108"/>
        <v>pagado</v>
      </c>
      <c r="K132" s="51" t="str">
        <f t="shared" ca="1" si="109"/>
        <v>excluir</v>
      </c>
      <c r="L132" s="51" t="str">
        <f t="shared" ca="1" si="110"/>
        <v>no semana</v>
      </c>
      <c r="M132" s="51" t="str">
        <f>IFERROR(VLOOKUP(E132,'cheques a conf'!A:D,4,FALSE),"no clearing")</f>
        <v>no clearing</v>
      </c>
      <c r="N132" s="51">
        <f t="shared" si="111"/>
        <v>7</v>
      </c>
      <c r="O132" s="53">
        <f t="shared" si="112"/>
        <v>2</v>
      </c>
      <c r="P132" s="53">
        <f t="shared" si="113"/>
        <v>2025</v>
      </c>
    </row>
    <row r="133" spans="1:18" customFormat="1" x14ac:dyDescent="0.25">
      <c r="A133" s="21">
        <v>3000000229</v>
      </c>
      <c r="B133" s="22">
        <v>45699</v>
      </c>
      <c r="C133" s="20">
        <v>12768015</v>
      </c>
      <c r="D133" s="21" t="s">
        <v>361</v>
      </c>
      <c r="E133" s="21">
        <v>97123433</v>
      </c>
      <c r="F133" s="20">
        <v>12768015</v>
      </c>
      <c r="G133" s="22">
        <v>45705</v>
      </c>
      <c r="H133" t="s">
        <v>61</v>
      </c>
      <c r="I133" s="51" t="str">
        <f>IFERROR(IF(VLOOKUP(E133,extracto!C:C,1,FALSE)=E133,"pagado","no pagado"),"no pagado")</f>
        <v>pagado</v>
      </c>
      <c r="J133" s="52" t="str">
        <f t="shared" ref="J133:J135" si="114">IF(I133="pagado","pagado",IF(G133&lt;$V$1-30,"fuera de fecha","en periodo de pago"))</f>
        <v>pagado</v>
      </c>
      <c r="K133" s="51" t="str">
        <f t="shared" ref="K133:K135" ca="1" si="115">+IF(B133&gt;$V$1,"excluir",IF(J133="en periodo de pago",IF($V$1&gt;G133,"a pagar","proximo a vencer"),"excluir"))</f>
        <v>excluir</v>
      </c>
      <c r="L133" s="51" t="str">
        <f t="shared" ref="L133:L135" ca="1" si="116">+IF(K133="proximo a vencer",IF($V$1+5&gt;G133,"para la semana","no semana"),"no semana")</f>
        <v>no semana</v>
      </c>
      <c r="M133" s="51" t="str">
        <f>IFERROR(VLOOKUP(E133,'cheques a conf'!A:D,4,FALSE),"no clearing")</f>
        <v>no clearing</v>
      </c>
      <c r="N133" s="51">
        <f t="shared" ref="N133:N135" si="117">+WEEKNUM(G133,2)</f>
        <v>8</v>
      </c>
      <c r="O133" s="53">
        <f t="shared" ref="O133:O135" si="118">+MONTH(G133)</f>
        <v>2</v>
      </c>
      <c r="P133" s="53">
        <f t="shared" ref="P133:P135" si="119">+YEAR(G133)</f>
        <v>2025</v>
      </c>
    </row>
    <row r="134" spans="1:18" customFormat="1" x14ac:dyDescent="0.25">
      <c r="A134" s="21">
        <v>3000000222</v>
      </c>
      <c r="B134" s="22">
        <v>45699</v>
      </c>
      <c r="C134" s="20">
        <v>9238792.0299999993</v>
      </c>
      <c r="D134" s="21" t="s">
        <v>60</v>
      </c>
      <c r="E134" s="21">
        <v>97123421</v>
      </c>
      <c r="F134" s="20">
        <v>9238792.0299999993</v>
      </c>
      <c r="G134" s="22">
        <v>45701</v>
      </c>
      <c r="H134" t="s">
        <v>61</v>
      </c>
      <c r="I134" s="51" t="str">
        <f>IFERROR(IF(VLOOKUP(E134,extracto!C:C,1,FALSE)=E134,"pagado","no pagado"),"no pagado")</f>
        <v>pagado</v>
      </c>
      <c r="J134" s="52" t="str">
        <f t="shared" si="114"/>
        <v>pagado</v>
      </c>
      <c r="K134" s="51" t="str">
        <f t="shared" ca="1" si="115"/>
        <v>excluir</v>
      </c>
      <c r="L134" s="51" t="str">
        <f t="shared" ca="1" si="116"/>
        <v>no semana</v>
      </c>
      <c r="M134" s="51" t="str">
        <f>IFERROR(VLOOKUP(E134,'cheques a conf'!A:D,4,FALSE),"no clearing")</f>
        <v>no clearing</v>
      </c>
      <c r="N134" s="51">
        <f t="shared" si="117"/>
        <v>7</v>
      </c>
      <c r="O134" s="53">
        <f t="shared" si="118"/>
        <v>2</v>
      </c>
      <c r="P134" s="53">
        <f t="shared" si="119"/>
        <v>2025</v>
      </c>
    </row>
    <row r="135" spans="1:18" customFormat="1" x14ac:dyDescent="0.25">
      <c r="A135" s="21">
        <v>3000000223</v>
      </c>
      <c r="B135" s="22">
        <v>45699</v>
      </c>
      <c r="C135" s="20">
        <v>5225008.0999999996</v>
      </c>
      <c r="D135" s="21" t="s">
        <v>308</v>
      </c>
      <c r="E135" s="21">
        <v>97123422</v>
      </c>
      <c r="F135" s="20">
        <v>5225008.0999999996</v>
      </c>
      <c r="G135" s="22">
        <v>45701</v>
      </c>
      <c r="H135" t="s">
        <v>61</v>
      </c>
      <c r="I135" s="51" t="str">
        <f>IFERROR(IF(VLOOKUP(E135,extracto!C:C,1,FALSE)=E135,"pagado","no pagado"),"no pagado")</f>
        <v>pagado</v>
      </c>
      <c r="J135" s="52" t="str">
        <f t="shared" si="114"/>
        <v>pagado</v>
      </c>
      <c r="K135" s="51" t="str">
        <f t="shared" ca="1" si="115"/>
        <v>excluir</v>
      </c>
      <c r="L135" s="51" t="str">
        <f t="shared" ca="1" si="116"/>
        <v>no semana</v>
      </c>
      <c r="M135" s="51" t="str">
        <f>IFERROR(VLOOKUP(E135,'cheques a conf'!A:D,4,FALSE),"no clearing")</f>
        <v>no clearing</v>
      </c>
      <c r="N135" s="51">
        <f t="shared" si="117"/>
        <v>7</v>
      </c>
      <c r="O135" s="53">
        <f t="shared" si="118"/>
        <v>2</v>
      </c>
      <c r="P135" s="53">
        <f t="shared" si="119"/>
        <v>2025</v>
      </c>
    </row>
    <row r="136" spans="1:18" customFormat="1" x14ac:dyDescent="0.25">
      <c r="A136" s="21">
        <v>3000000225</v>
      </c>
      <c r="B136" s="22">
        <v>45699</v>
      </c>
      <c r="C136" s="20">
        <v>5407820.4000000004</v>
      </c>
      <c r="D136" s="21" t="s">
        <v>345</v>
      </c>
      <c r="E136" s="21">
        <v>97123425</v>
      </c>
      <c r="F136" s="20">
        <v>5407820.4000000004</v>
      </c>
      <c r="G136" s="22">
        <v>45702</v>
      </c>
      <c r="H136" t="s">
        <v>61</v>
      </c>
      <c r="I136" s="51" t="str">
        <f>IFERROR(IF(VLOOKUP(E136,extracto!C:C,1,FALSE)=E136,"pagado","no pagado"),"no pagado")</f>
        <v>pagado</v>
      </c>
      <c r="J136" s="52" t="str">
        <f t="shared" ref="J136:J157" si="120">IF(I136="pagado","pagado",IF(G136&lt;$V$1-30,"fuera de fecha","en periodo de pago"))</f>
        <v>pagado</v>
      </c>
      <c r="K136" s="51" t="str">
        <f t="shared" ref="K136:K157" ca="1" si="121">+IF(B136&gt;$V$1,"excluir",IF(J136="en periodo de pago",IF($V$1&gt;G136,"a pagar","proximo a vencer"),"excluir"))</f>
        <v>excluir</v>
      </c>
      <c r="L136" s="51" t="str">
        <f t="shared" ref="L136:L157" ca="1" si="122">+IF(K136="proximo a vencer",IF($V$1+5&gt;G136,"para la semana","no semana"),"no semana")</f>
        <v>no semana</v>
      </c>
      <c r="M136" s="51" t="str">
        <f>IFERROR(VLOOKUP(E136,'cheques a conf'!A:D,4,FALSE),"no clearing")</f>
        <v>no clearing</v>
      </c>
      <c r="N136" s="51">
        <f t="shared" ref="N136:N157" si="123">+WEEKNUM(G136,2)</f>
        <v>7</v>
      </c>
      <c r="O136" s="53">
        <f t="shared" ref="O136:O157" si="124">+MONTH(G136)</f>
        <v>2</v>
      </c>
      <c r="P136" s="53">
        <f t="shared" ref="P136:P157" si="125">+YEAR(G136)</f>
        <v>2025</v>
      </c>
    </row>
    <row r="137" spans="1:18" customFormat="1" x14ac:dyDescent="0.25">
      <c r="A137" s="21">
        <v>3000000226</v>
      </c>
      <c r="B137" s="22">
        <v>45699</v>
      </c>
      <c r="C137" s="20">
        <v>8089410.7999999998</v>
      </c>
      <c r="D137" s="21" t="s">
        <v>347</v>
      </c>
      <c r="E137" s="21">
        <v>97123426</v>
      </c>
      <c r="F137" s="20">
        <v>8089410.7999999998</v>
      </c>
      <c r="G137" s="22">
        <v>45702</v>
      </c>
      <c r="H137" t="s">
        <v>61</v>
      </c>
      <c r="I137" s="51" t="str">
        <f>IFERROR(IF(VLOOKUP(E137,extracto!C:C,1,FALSE)=E137,"pagado","no pagado"),"no pagado")</f>
        <v>pagado</v>
      </c>
      <c r="J137" s="52" t="str">
        <f t="shared" si="120"/>
        <v>pagado</v>
      </c>
      <c r="K137" s="51" t="str">
        <f t="shared" ca="1" si="121"/>
        <v>excluir</v>
      </c>
      <c r="L137" s="51" t="str">
        <f t="shared" ca="1" si="122"/>
        <v>no semana</v>
      </c>
      <c r="M137" s="51" t="str">
        <f>IFERROR(VLOOKUP(E137,'cheques a conf'!A:D,4,FALSE),"no clearing")</f>
        <v>no clearing</v>
      </c>
      <c r="N137" s="51">
        <f t="shared" si="123"/>
        <v>7</v>
      </c>
      <c r="O137" s="53">
        <f t="shared" si="124"/>
        <v>2</v>
      </c>
      <c r="P137" s="53">
        <f t="shared" si="125"/>
        <v>2025</v>
      </c>
    </row>
    <row r="138" spans="1:18" customFormat="1" x14ac:dyDescent="0.25">
      <c r="A138">
        <v>3000000240</v>
      </c>
      <c r="B138" s="3">
        <v>45700</v>
      </c>
      <c r="C138" s="9">
        <v>20000000</v>
      </c>
      <c r="D138" t="s">
        <v>350</v>
      </c>
      <c r="E138">
        <v>3111743</v>
      </c>
      <c r="F138" s="9">
        <v>20000000</v>
      </c>
      <c r="G138" s="3">
        <v>45702</v>
      </c>
      <c r="H138" t="s">
        <v>13</v>
      </c>
      <c r="I138" s="51" t="str">
        <f>IFERROR(IF(VLOOKUP(E138,extracto!C:C,1,FALSE)=E138,"pagado","no pagado"),"no pagado")</f>
        <v>pagado</v>
      </c>
      <c r="J138" s="52" t="str">
        <f t="shared" si="120"/>
        <v>pagado</v>
      </c>
      <c r="K138" s="51" t="str">
        <f t="shared" ca="1" si="121"/>
        <v>excluir</v>
      </c>
      <c r="L138" s="51" t="str">
        <f t="shared" ca="1" si="122"/>
        <v>no semana</v>
      </c>
      <c r="M138" s="51" t="str">
        <f>IFERROR(VLOOKUP(E138,'cheques a conf'!A:D,4,FALSE),"no clearing")</f>
        <v>no clearing</v>
      </c>
      <c r="N138" s="51">
        <f t="shared" si="123"/>
        <v>7</v>
      </c>
      <c r="O138" s="53">
        <f t="shared" si="124"/>
        <v>2</v>
      </c>
      <c r="P138" s="53">
        <f t="shared" si="125"/>
        <v>2025</v>
      </c>
    </row>
    <row r="139" spans="1:18" customFormat="1" x14ac:dyDescent="0.25">
      <c r="A139">
        <v>3000000240</v>
      </c>
      <c r="B139" s="3">
        <v>45700</v>
      </c>
      <c r="C139" s="9">
        <v>21376519.550000001</v>
      </c>
      <c r="D139" t="s">
        <v>350</v>
      </c>
      <c r="E139">
        <v>3111744</v>
      </c>
      <c r="F139" s="9">
        <v>21376519.550000001</v>
      </c>
      <c r="G139" s="3">
        <v>45705</v>
      </c>
      <c r="H139" t="s">
        <v>13</v>
      </c>
      <c r="I139" s="51" t="str">
        <f>IFERROR(IF(VLOOKUP(E139,extracto!C:C,1,FALSE)=E139,"pagado","no pagado"),"no pagado")</f>
        <v>pagado</v>
      </c>
      <c r="J139" s="52" t="str">
        <f t="shared" si="120"/>
        <v>pagado</v>
      </c>
      <c r="K139" s="51" t="str">
        <f t="shared" ca="1" si="121"/>
        <v>excluir</v>
      </c>
      <c r="L139" s="51" t="str">
        <f t="shared" ca="1" si="122"/>
        <v>no semana</v>
      </c>
      <c r="M139" s="51" t="str">
        <f>IFERROR(VLOOKUP(E139,'cheques a conf'!A:D,4,FALSE),"no clearing")</f>
        <v>no clearing</v>
      </c>
      <c r="N139" s="51">
        <f t="shared" si="123"/>
        <v>8</v>
      </c>
      <c r="O139" s="53">
        <f t="shared" si="124"/>
        <v>2</v>
      </c>
      <c r="P139" s="53">
        <f t="shared" si="125"/>
        <v>2025</v>
      </c>
    </row>
    <row r="140" spans="1:18" customFormat="1" x14ac:dyDescent="0.25">
      <c r="A140">
        <v>3000000241</v>
      </c>
      <c r="B140" s="3">
        <v>45700</v>
      </c>
      <c r="C140" s="9">
        <v>20000000</v>
      </c>
      <c r="D140" t="s">
        <v>355</v>
      </c>
      <c r="E140">
        <v>3111745</v>
      </c>
      <c r="F140" s="9">
        <v>20000000</v>
      </c>
      <c r="G140" s="3">
        <v>45702</v>
      </c>
      <c r="H140" t="s">
        <v>13</v>
      </c>
      <c r="I140" s="51" t="str">
        <f>IFERROR(IF(VLOOKUP(E140,extracto!C:C,1,FALSE)=E140,"pagado","no pagado"),"no pagado")</f>
        <v>pagado</v>
      </c>
      <c r="J140" s="52" t="str">
        <f t="shared" si="120"/>
        <v>pagado</v>
      </c>
      <c r="K140" s="51" t="str">
        <f t="shared" ca="1" si="121"/>
        <v>excluir</v>
      </c>
      <c r="L140" s="51" t="str">
        <f t="shared" ca="1" si="122"/>
        <v>no semana</v>
      </c>
      <c r="M140" s="51" t="str">
        <f>IFERROR(VLOOKUP(E140,'cheques a conf'!A:D,4,FALSE),"no clearing")</f>
        <v>no clearing</v>
      </c>
      <c r="N140" s="51">
        <f t="shared" si="123"/>
        <v>7</v>
      </c>
      <c r="O140" s="53">
        <f t="shared" si="124"/>
        <v>2</v>
      </c>
      <c r="P140" s="53">
        <f t="shared" si="125"/>
        <v>2025</v>
      </c>
    </row>
    <row r="141" spans="1:18" customFormat="1" x14ac:dyDescent="0.25">
      <c r="A141">
        <v>3000000241</v>
      </c>
      <c r="B141" s="3">
        <v>45700</v>
      </c>
      <c r="C141" s="9">
        <v>16793507.399999999</v>
      </c>
      <c r="D141" t="s">
        <v>355</v>
      </c>
      <c r="E141">
        <v>3111746</v>
      </c>
      <c r="F141" s="9">
        <v>16793507.399999999</v>
      </c>
      <c r="G141" s="3">
        <v>45705</v>
      </c>
      <c r="H141" t="s">
        <v>13</v>
      </c>
      <c r="I141" s="51" t="str">
        <f>IFERROR(IF(VLOOKUP(E141,extracto!C:C,1,FALSE)=E141,"pagado","no pagado"),"no pagado")</f>
        <v>pagado</v>
      </c>
      <c r="J141" s="52" t="str">
        <f t="shared" si="120"/>
        <v>pagado</v>
      </c>
      <c r="K141" s="51" t="str">
        <f t="shared" ca="1" si="121"/>
        <v>excluir</v>
      </c>
      <c r="L141" s="51" t="str">
        <f t="shared" ca="1" si="122"/>
        <v>no semana</v>
      </c>
      <c r="M141" s="51" t="str">
        <f>IFERROR(VLOOKUP(E141,'cheques a conf'!A:D,4,FALSE),"no clearing")</f>
        <v>no clearing</v>
      </c>
      <c r="N141" s="51">
        <f t="shared" si="123"/>
        <v>8</v>
      </c>
      <c r="O141" s="53">
        <f t="shared" si="124"/>
        <v>2</v>
      </c>
      <c r="P141" s="53">
        <f t="shared" si="125"/>
        <v>2025</v>
      </c>
    </row>
    <row r="142" spans="1:18" customFormat="1" x14ac:dyDescent="0.25">
      <c r="A142">
        <v>3000000242</v>
      </c>
      <c r="B142" s="3">
        <v>45700</v>
      </c>
      <c r="C142" s="9">
        <v>20000000</v>
      </c>
      <c r="D142" t="s">
        <v>359</v>
      </c>
      <c r="E142">
        <v>3111747</v>
      </c>
      <c r="F142" s="9">
        <v>20000000</v>
      </c>
      <c r="G142" s="3">
        <v>45702</v>
      </c>
      <c r="H142" t="s">
        <v>13</v>
      </c>
      <c r="I142" s="51" t="str">
        <f>IFERROR(IF(VLOOKUP(E142,extracto!C:C,1,FALSE)=E142,"pagado","no pagado"),"no pagado")</f>
        <v>pagado</v>
      </c>
      <c r="J142" s="52" t="str">
        <f t="shared" si="120"/>
        <v>pagado</v>
      </c>
      <c r="K142" s="51" t="str">
        <f t="shared" ca="1" si="121"/>
        <v>excluir</v>
      </c>
      <c r="L142" s="51" t="str">
        <f t="shared" ca="1" si="122"/>
        <v>no semana</v>
      </c>
      <c r="M142" s="51" t="str">
        <f>IFERROR(VLOOKUP(E142,'cheques a conf'!A:D,4,FALSE),"no clearing")</f>
        <v>no clearing</v>
      </c>
      <c r="N142" s="51">
        <f t="shared" si="123"/>
        <v>7</v>
      </c>
      <c r="O142" s="53">
        <f t="shared" si="124"/>
        <v>2</v>
      </c>
      <c r="P142" s="53">
        <f t="shared" si="125"/>
        <v>2025</v>
      </c>
      <c r="Q142" s="53"/>
      <c r="R142" s="53"/>
    </row>
    <row r="143" spans="1:18" customFormat="1" x14ac:dyDescent="0.25">
      <c r="A143">
        <v>3000000242</v>
      </c>
      <c r="B143" s="3">
        <v>45700</v>
      </c>
      <c r="C143" s="9">
        <v>14668643.17</v>
      </c>
      <c r="D143" t="s">
        <v>359</v>
      </c>
      <c r="E143">
        <v>3111748</v>
      </c>
      <c r="F143" s="9">
        <v>14668643.17</v>
      </c>
      <c r="G143" s="3">
        <v>45705</v>
      </c>
      <c r="H143" t="s">
        <v>13</v>
      </c>
      <c r="I143" s="51" t="str">
        <f>IFERROR(IF(VLOOKUP(E143,extracto!C:C,1,FALSE)=E143,"pagado","no pagado"),"no pagado")</f>
        <v>pagado</v>
      </c>
      <c r="J143" s="52" t="str">
        <f t="shared" si="120"/>
        <v>pagado</v>
      </c>
      <c r="K143" s="51" t="str">
        <f t="shared" ca="1" si="121"/>
        <v>excluir</v>
      </c>
      <c r="L143" s="51" t="str">
        <f t="shared" ca="1" si="122"/>
        <v>no semana</v>
      </c>
      <c r="M143" s="51" t="str">
        <f>IFERROR(VLOOKUP(E143,'cheques a conf'!A:D,4,FALSE),"no clearing")</f>
        <v>no clearing</v>
      </c>
      <c r="N143" s="51">
        <f t="shared" si="123"/>
        <v>8</v>
      </c>
      <c r="O143" s="53">
        <f t="shared" si="124"/>
        <v>2</v>
      </c>
      <c r="P143" s="53">
        <f t="shared" si="125"/>
        <v>2025</v>
      </c>
      <c r="Q143" s="53"/>
      <c r="R143" s="53"/>
    </row>
    <row r="144" spans="1:18" customFormat="1" x14ac:dyDescent="0.25">
      <c r="A144">
        <v>3000000259</v>
      </c>
      <c r="B144" s="3">
        <v>45705</v>
      </c>
      <c r="C144" s="9">
        <v>4000000</v>
      </c>
      <c r="D144" t="s">
        <v>358</v>
      </c>
      <c r="E144">
        <v>3111749</v>
      </c>
      <c r="F144" s="9">
        <v>4000000</v>
      </c>
      <c r="G144" s="3">
        <v>45707</v>
      </c>
      <c r="H144" t="s">
        <v>13</v>
      </c>
      <c r="I144" s="51" t="str">
        <f>IFERROR(IF(VLOOKUP(E144,extracto!C:C,1,FALSE)=E144,"pagado","no pagado"),"no pagado")</f>
        <v>pagado</v>
      </c>
      <c r="J144" s="52" t="str">
        <f t="shared" si="120"/>
        <v>pagado</v>
      </c>
      <c r="K144" s="51" t="str">
        <f t="shared" ca="1" si="121"/>
        <v>excluir</v>
      </c>
      <c r="L144" s="51" t="str">
        <f t="shared" ca="1" si="122"/>
        <v>no semana</v>
      </c>
      <c r="M144" s="51" t="str">
        <f>IFERROR(VLOOKUP(E144,'cheques a conf'!A:D,4,FALSE),"no clearing")</f>
        <v>no clearing</v>
      </c>
      <c r="N144" s="51">
        <f t="shared" si="123"/>
        <v>8</v>
      </c>
      <c r="O144" s="53">
        <f t="shared" si="124"/>
        <v>2</v>
      </c>
      <c r="P144" s="53">
        <f t="shared" si="125"/>
        <v>2025</v>
      </c>
      <c r="Q144" s="53"/>
      <c r="R144" s="53"/>
    </row>
    <row r="145" spans="1:18" customFormat="1" x14ac:dyDescent="0.25">
      <c r="A145">
        <v>3000000259</v>
      </c>
      <c r="B145" s="3">
        <v>45705</v>
      </c>
      <c r="C145" s="9">
        <v>3746526.25</v>
      </c>
      <c r="D145" t="s">
        <v>358</v>
      </c>
      <c r="E145">
        <v>3111750</v>
      </c>
      <c r="F145" s="9">
        <v>3746526.25</v>
      </c>
      <c r="G145" s="3">
        <v>45708</v>
      </c>
      <c r="H145" t="s">
        <v>13</v>
      </c>
      <c r="I145" s="51" t="str">
        <f>IFERROR(IF(VLOOKUP(E145,extracto!C:C,1,FALSE)=E145,"pagado","no pagado"),"no pagado")</f>
        <v>pagado</v>
      </c>
      <c r="J145" s="52" t="str">
        <f t="shared" si="120"/>
        <v>pagado</v>
      </c>
      <c r="K145" s="51" t="str">
        <f t="shared" ca="1" si="121"/>
        <v>excluir</v>
      </c>
      <c r="L145" s="51" t="str">
        <f t="shared" ca="1" si="122"/>
        <v>no semana</v>
      </c>
      <c r="M145" s="51" t="str">
        <f>IFERROR(VLOOKUP(E145,'cheques a conf'!A:D,4,FALSE),"no clearing")</f>
        <v>no clearing</v>
      </c>
      <c r="N145" s="51">
        <f t="shared" si="123"/>
        <v>8</v>
      </c>
      <c r="O145" s="53">
        <f t="shared" si="124"/>
        <v>2</v>
      </c>
      <c r="P145" s="53">
        <f t="shared" si="125"/>
        <v>2025</v>
      </c>
      <c r="Q145" s="53"/>
      <c r="R145" s="53"/>
    </row>
    <row r="146" spans="1:18" customFormat="1" x14ac:dyDescent="0.25">
      <c r="A146">
        <v>3000000260</v>
      </c>
      <c r="B146" s="3">
        <v>45705</v>
      </c>
      <c r="C146" s="9">
        <v>2000000</v>
      </c>
      <c r="D146" t="s">
        <v>346</v>
      </c>
      <c r="E146">
        <v>3111751</v>
      </c>
      <c r="F146" s="9">
        <v>2000000</v>
      </c>
      <c r="G146" s="3">
        <v>45707</v>
      </c>
      <c r="H146" t="s">
        <v>13</v>
      </c>
      <c r="I146" s="51" t="str">
        <f>IFERROR(IF(VLOOKUP(E146,extracto!C:C,1,FALSE)=E146,"pagado","no pagado"),"no pagado")</f>
        <v>pagado</v>
      </c>
      <c r="J146" s="52" t="str">
        <f t="shared" si="120"/>
        <v>pagado</v>
      </c>
      <c r="K146" s="51" t="str">
        <f t="shared" ca="1" si="121"/>
        <v>excluir</v>
      </c>
      <c r="L146" s="51" t="str">
        <f t="shared" ca="1" si="122"/>
        <v>no semana</v>
      </c>
      <c r="M146" s="51" t="str">
        <f>IFERROR(VLOOKUP(E146,'cheques a conf'!A:D,4,FALSE),"no clearing")</f>
        <v>no clearing</v>
      </c>
      <c r="N146" s="51">
        <f t="shared" si="123"/>
        <v>8</v>
      </c>
      <c r="O146" s="53">
        <f t="shared" si="124"/>
        <v>2</v>
      </c>
      <c r="P146" s="53">
        <f t="shared" si="125"/>
        <v>2025</v>
      </c>
      <c r="Q146" s="53"/>
      <c r="R146" s="53"/>
    </row>
    <row r="147" spans="1:18" customFormat="1" x14ac:dyDescent="0.25">
      <c r="A147">
        <v>3000000260</v>
      </c>
      <c r="B147" s="3">
        <v>45705</v>
      </c>
      <c r="C147" s="9">
        <v>2147288.7000000002</v>
      </c>
      <c r="D147" t="s">
        <v>346</v>
      </c>
      <c r="E147">
        <v>3111752</v>
      </c>
      <c r="F147" s="9">
        <v>2147288.7000000002</v>
      </c>
      <c r="G147" s="3">
        <v>45708</v>
      </c>
      <c r="H147" t="s">
        <v>13</v>
      </c>
      <c r="I147" s="51" t="str">
        <f>IFERROR(IF(VLOOKUP(E147,extracto!C:C,1,FALSE)=E147,"pagado","no pagado"),"no pagado")</f>
        <v>pagado</v>
      </c>
      <c r="J147" s="52" t="str">
        <f t="shared" si="120"/>
        <v>pagado</v>
      </c>
      <c r="K147" s="51" t="str">
        <f t="shared" ca="1" si="121"/>
        <v>excluir</v>
      </c>
      <c r="L147" s="51" t="str">
        <f t="shared" ca="1" si="122"/>
        <v>no semana</v>
      </c>
      <c r="M147" s="51" t="str">
        <f>IFERROR(VLOOKUP(E147,'cheques a conf'!A:D,4,FALSE),"no clearing")</f>
        <v>no clearing</v>
      </c>
      <c r="N147" s="51">
        <f t="shared" si="123"/>
        <v>8</v>
      </c>
      <c r="O147" s="53">
        <f t="shared" si="124"/>
        <v>2</v>
      </c>
      <c r="P147" s="53">
        <f t="shared" si="125"/>
        <v>2025</v>
      </c>
      <c r="Q147" s="53"/>
      <c r="R147" s="53"/>
    </row>
    <row r="148" spans="1:18" customFormat="1" x14ac:dyDescent="0.25">
      <c r="A148">
        <v>3000000263</v>
      </c>
      <c r="B148" s="3">
        <v>45705</v>
      </c>
      <c r="C148" s="9">
        <v>8000000</v>
      </c>
      <c r="D148" t="s">
        <v>366</v>
      </c>
      <c r="E148">
        <v>3111755</v>
      </c>
      <c r="F148" s="9">
        <v>8000000</v>
      </c>
      <c r="G148" s="3">
        <v>45707</v>
      </c>
      <c r="H148" t="s">
        <v>13</v>
      </c>
      <c r="I148" s="51" t="str">
        <f>IFERROR(IF(VLOOKUP(E148,extracto!C:C,1,FALSE)=E148,"pagado","no pagado"),"no pagado")</f>
        <v>pagado</v>
      </c>
      <c r="J148" s="52" t="str">
        <f t="shared" si="120"/>
        <v>pagado</v>
      </c>
      <c r="K148" s="51" t="str">
        <f t="shared" ca="1" si="121"/>
        <v>excluir</v>
      </c>
      <c r="L148" s="51" t="str">
        <f t="shared" ca="1" si="122"/>
        <v>no semana</v>
      </c>
      <c r="M148" s="51" t="str">
        <f>IFERROR(VLOOKUP(E148,'cheques a conf'!A:D,4,FALSE),"no clearing")</f>
        <v>no clearing</v>
      </c>
      <c r="N148" s="51">
        <f t="shared" si="123"/>
        <v>8</v>
      </c>
      <c r="O148" s="53">
        <f t="shared" si="124"/>
        <v>2</v>
      </c>
      <c r="P148" s="53">
        <f t="shared" si="125"/>
        <v>2025</v>
      </c>
      <c r="Q148" s="53"/>
      <c r="R148" s="53"/>
    </row>
    <row r="149" spans="1:18" customFormat="1" x14ac:dyDescent="0.25">
      <c r="A149">
        <v>3000000263</v>
      </c>
      <c r="B149" s="3">
        <v>45705</v>
      </c>
      <c r="C149" s="9">
        <v>7745430.4000000004</v>
      </c>
      <c r="D149" t="s">
        <v>366</v>
      </c>
      <c r="E149">
        <v>3111756</v>
      </c>
      <c r="F149" s="9">
        <v>7745430.4000000004</v>
      </c>
      <c r="G149" s="3">
        <v>45708</v>
      </c>
      <c r="H149" t="s">
        <v>13</v>
      </c>
      <c r="I149" s="51" t="str">
        <f>IFERROR(IF(VLOOKUP(E149,extracto!C:C,1,FALSE)=E149,"pagado","no pagado"),"no pagado")</f>
        <v>pagado</v>
      </c>
      <c r="J149" s="52" t="str">
        <f t="shared" si="120"/>
        <v>pagado</v>
      </c>
      <c r="K149" s="51" t="str">
        <f t="shared" ca="1" si="121"/>
        <v>excluir</v>
      </c>
      <c r="L149" s="51" t="str">
        <f t="shared" ca="1" si="122"/>
        <v>no semana</v>
      </c>
      <c r="M149" s="51" t="str">
        <f>IFERROR(VLOOKUP(E149,'cheques a conf'!A:D,4,FALSE),"no clearing")</f>
        <v>no clearing</v>
      </c>
      <c r="N149" s="51">
        <f t="shared" si="123"/>
        <v>8</v>
      </c>
      <c r="O149" s="53">
        <f t="shared" si="124"/>
        <v>2</v>
      </c>
      <c r="P149" s="53">
        <f t="shared" si="125"/>
        <v>2025</v>
      </c>
      <c r="Q149" s="53"/>
      <c r="R149" s="53"/>
    </row>
    <row r="150" spans="1:18" customFormat="1" x14ac:dyDescent="0.25">
      <c r="A150">
        <v>3000000264</v>
      </c>
      <c r="B150" s="3">
        <v>45705</v>
      </c>
      <c r="C150" s="9">
        <v>6000000</v>
      </c>
      <c r="D150" t="s">
        <v>361</v>
      </c>
      <c r="E150">
        <v>3111757</v>
      </c>
      <c r="F150" s="9">
        <v>6000000</v>
      </c>
      <c r="G150" s="3">
        <v>45707</v>
      </c>
      <c r="H150" t="s">
        <v>13</v>
      </c>
      <c r="I150" s="51" t="str">
        <f>IFERROR(IF(VLOOKUP(E150,extracto!C:C,1,FALSE)=E150,"pagado","no pagado"),"no pagado")</f>
        <v>pagado</v>
      </c>
      <c r="J150" s="52" t="str">
        <f t="shared" si="120"/>
        <v>pagado</v>
      </c>
      <c r="K150" s="51" t="str">
        <f t="shared" ca="1" si="121"/>
        <v>excluir</v>
      </c>
      <c r="L150" s="51" t="str">
        <f t="shared" ca="1" si="122"/>
        <v>no semana</v>
      </c>
      <c r="M150" s="51" t="str">
        <f>IFERROR(VLOOKUP(E150,'cheques a conf'!A:D,4,FALSE),"no clearing")</f>
        <v>no clearing</v>
      </c>
      <c r="N150" s="51">
        <f t="shared" si="123"/>
        <v>8</v>
      </c>
      <c r="O150" s="53">
        <f t="shared" si="124"/>
        <v>2</v>
      </c>
      <c r="P150" s="53">
        <f t="shared" si="125"/>
        <v>2025</v>
      </c>
      <c r="Q150" s="53"/>
      <c r="R150" s="53"/>
    </row>
    <row r="151" spans="1:18" customFormat="1" x14ac:dyDescent="0.25">
      <c r="A151">
        <v>3000000264</v>
      </c>
      <c r="B151" s="3">
        <v>45705</v>
      </c>
      <c r="C151" s="9">
        <v>6477960</v>
      </c>
      <c r="D151" t="s">
        <v>361</v>
      </c>
      <c r="E151">
        <v>3111758</v>
      </c>
      <c r="F151" s="9">
        <v>6477960</v>
      </c>
      <c r="G151" s="3">
        <v>45708</v>
      </c>
      <c r="H151" t="s">
        <v>13</v>
      </c>
      <c r="I151" s="51" t="str">
        <f>IFERROR(IF(VLOOKUP(E151,extracto!C:C,1,FALSE)=E151,"pagado","no pagado"),"no pagado")</f>
        <v>pagado</v>
      </c>
      <c r="J151" s="52" t="str">
        <f t="shared" si="120"/>
        <v>pagado</v>
      </c>
      <c r="K151" s="51" t="str">
        <f t="shared" ca="1" si="121"/>
        <v>excluir</v>
      </c>
      <c r="L151" s="51" t="str">
        <f t="shared" ca="1" si="122"/>
        <v>no semana</v>
      </c>
      <c r="M151" s="51" t="str">
        <f>IFERROR(VLOOKUP(E151,'cheques a conf'!A:D,4,FALSE),"no clearing")</f>
        <v>no clearing</v>
      </c>
      <c r="N151" s="51">
        <f t="shared" si="123"/>
        <v>8</v>
      </c>
      <c r="O151" s="53">
        <f t="shared" si="124"/>
        <v>2</v>
      </c>
      <c r="P151" s="53">
        <f t="shared" si="125"/>
        <v>2025</v>
      </c>
      <c r="Q151" s="53"/>
      <c r="R151" s="53"/>
    </row>
    <row r="152" spans="1:18" customFormat="1" x14ac:dyDescent="0.25">
      <c r="A152">
        <v>3000000253</v>
      </c>
      <c r="B152" s="3">
        <v>45705</v>
      </c>
      <c r="C152" s="9">
        <v>15897070</v>
      </c>
      <c r="D152" t="s">
        <v>22</v>
      </c>
      <c r="E152">
        <v>94231521</v>
      </c>
      <c r="F152" s="9">
        <v>15897070</v>
      </c>
      <c r="G152" s="3">
        <v>45705</v>
      </c>
      <c r="H152" t="s">
        <v>13</v>
      </c>
      <c r="I152" s="51" t="str">
        <f>IFERROR(IF(VLOOKUP(E152,extracto!C:C,1,FALSE)=E152,"pagado","no pagado"),"no pagado")</f>
        <v>pagado</v>
      </c>
      <c r="J152" s="52" t="str">
        <f t="shared" si="120"/>
        <v>pagado</v>
      </c>
      <c r="K152" s="51" t="str">
        <f t="shared" ca="1" si="121"/>
        <v>excluir</v>
      </c>
      <c r="L152" s="51" t="str">
        <f t="shared" ca="1" si="122"/>
        <v>no semana</v>
      </c>
      <c r="M152" s="51" t="str">
        <f>IFERROR(VLOOKUP(E152,'cheques a conf'!A:D,4,FALSE),"no clearing")</f>
        <v>no clearing</v>
      </c>
      <c r="N152" s="51">
        <f t="shared" si="123"/>
        <v>8</v>
      </c>
      <c r="O152" s="53">
        <f t="shared" si="124"/>
        <v>2</v>
      </c>
      <c r="P152" s="53">
        <f t="shared" si="125"/>
        <v>2025</v>
      </c>
      <c r="Q152" s="53"/>
      <c r="R152" s="53"/>
    </row>
    <row r="153" spans="1:18" customFormat="1" x14ac:dyDescent="0.25">
      <c r="A153">
        <v>3000000261</v>
      </c>
      <c r="B153" s="3">
        <v>45705</v>
      </c>
      <c r="C153" s="9">
        <v>7884065.7000000002</v>
      </c>
      <c r="D153" t="s">
        <v>347</v>
      </c>
      <c r="E153">
        <v>3111753</v>
      </c>
      <c r="F153" s="9">
        <v>7884065.7000000002</v>
      </c>
      <c r="G153" s="3">
        <v>45707</v>
      </c>
      <c r="H153" t="s">
        <v>13</v>
      </c>
      <c r="I153" s="51" t="str">
        <f>IFERROR(IF(VLOOKUP(E153,extracto!C:C,1,FALSE)=E153,"pagado","no pagado"),"no pagado")</f>
        <v>pagado</v>
      </c>
      <c r="J153" s="52" t="str">
        <f t="shared" si="120"/>
        <v>pagado</v>
      </c>
      <c r="K153" s="51" t="str">
        <f t="shared" ca="1" si="121"/>
        <v>excluir</v>
      </c>
      <c r="L153" s="51" t="str">
        <f t="shared" ca="1" si="122"/>
        <v>no semana</v>
      </c>
      <c r="M153" s="51" t="str">
        <f>IFERROR(VLOOKUP(E153,'cheques a conf'!A:D,4,FALSE),"no clearing")</f>
        <v>no clearing</v>
      </c>
      <c r="N153" s="51">
        <f t="shared" si="123"/>
        <v>8</v>
      </c>
      <c r="O153" s="53">
        <f t="shared" si="124"/>
        <v>2</v>
      </c>
      <c r="P153" s="53">
        <f t="shared" si="125"/>
        <v>2025</v>
      </c>
      <c r="Q153" s="53"/>
      <c r="R153" s="53"/>
    </row>
    <row r="154" spans="1:18" customFormat="1" x14ac:dyDescent="0.25">
      <c r="A154">
        <v>3000000262</v>
      </c>
      <c r="B154" s="3">
        <v>45705</v>
      </c>
      <c r="C154" s="9">
        <v>3536793.02</v>
      </c>
      <c r="D154" t="s">
        <v>197</v>
      </c>
      <c r="E154">
        <v>3111754</v>
      </c>
      <c r="F154" s="9">
        <v>3536793.02</v>
      </c>
      <c r="G154" s="3">
        <v>45707</v>
      </c>
      <c r="H154" t="s">
        <v>13</v>
      </c>
      <c r="I154" s="51" t="str">
        <f>IFERROR(IF(VLOOKUP(E154,extracto!C:C,1,FALSE)=E154,"pagado","no pagado"),"no pagado")</f>
        <v>pagado</v>
      </c>
      <c r="J154" s="52" t="str">
        <f t="shared" si="120"/>
        <v>pagado</v>
      </c>
      <c r="K154" s="51" t="str">
        <f t="shared" ca="1" si="121"/>
        <v>excluir</v>
      </c>
      <c r="L154" s="51" t="str">
        <f t="shared" ca="1" si="122"/>
        <v>no semana</v>
      </c>
      <c r="M154" s="51" t="str">
        <f>IFERROR(VLOOKUP(E154,'cheques a conf'!A:D,4,FALSE),"no clearing")</f>
        <v>no clearing</v>
      </c>
      <c r="N154" s="51">
        <f t="shared" si="123"/>
        <v>8</v>
      </c>
      <c r="O154" s="53">
        <f t="shared" si="124"/>
        <v>2</v>
      </c>
      <c r="P154" s="53">
        <f t="shared" si="125"/>
        <v>2025</v>
      </c>
      <c r="Q154" s="53"/>
      <c r="R154" s="53"/>
    </row>
    <row r="155" spans="1:18" customFormat="1" x14ac:dyDescent="0.25">
      <c r="A155">
        <v>3000000265</v>
      </c>
      <c r="B155" s="3">
        <v>45705</v>
      </c>
      <c r="C155" s="9">
        <v>7516060.4000000004</v>
      </c>
      <c r="D155" t="s">
        <v>356</v>
      </c>
      <c r="E155">
        <v>3111759</v>
      </c>
      <c r="F155" s="9">
        <v>7516060.4000000004</v>
      </c>
      <c r="G155" s="3">
        <v>45707</v>
      </c>
      <c r="H155" t="s">
        <v>13</v>
      </c>
      <c r="I155" s="51" t="str">
        <f>IFERROR(IF(VLOOKUP(E155,extracto!C:C,1,FALSE)=E155,"pagado","no pagado"),"no pagado")</f>
        <v>pagado</v>
      </c>
      <c r="J155" s="52" t="str">
        <f t="shared" si="120"/>
        <v>pagado</v>
      </c>
      <c r="K155" s="51" t="str">
        <f t="shared" ca="1" si="121"/>
        <v>excluir</v>
      </c>
      <c r="L155" s="51" t="str">
        <f t="shared" ca="1" si="122"/>
        <v>no semana</v>
      </c>
      <c r="M155" s="51" t="str">
        <f>IFERROR(VLOOKUP(E155,'cheques a conf'!A:D,4,FALSE),"no clearing")</f>
        <v>no clearing</v>
      </c>
      <c r="N155" s="51">
        <f t="shared" si="123"/>
        <v>8</v>
      </c>
      <c r="O155" s="53">
        <f t="shared" si="124"/>
        <v>2</v>
      </c>
      <c r="P155" s="53">
        <f t="shared" si="125"/>
        <v>2025</v>
      </c>
      <c r="Q155" s="53"/>
      <c r="R155" s="53"/>
    </row>
    <row r="156" spans="1:18" customFormat="1" x14ac:dyDescent="0.25">
      <c r="A156">
        <v>3000000266</v>
      </c>
      <c r="B156" s="3">
        <v>45705</v>
      </c>
      <c r="C156" s="9">
        <v>13947208.59</v>
      </c>
      <c r="D156" t="s">
        <v>348</v>
      </c>
      <c r="E156">
        <v>3111760</v>
      </c>
      <c r="F156" s="9">
        <v>13947208.59</v>
      </c>
      <c r="G156" s="3">
        <v>45708</v>
      </c>
      <c r="H156" t="s">
        <v>13</v>
      </c>
      <c r="I156" s="51" t="str">
        <f>IFERROR(IF(VLOOKUP(E156,extracto!C:C,1,FALSE)=E156,"pagado","no pagado"),"no pagado")</f>
        <v>pagado</v>
      </c>
      <c r="J156" s="52" t="str">
        <f t="shared" si="120"/>
        <v>pagado</v>
      </c>
      <c r="K156" s="51" t="str">
        <f t="shared" ca="1" si="121"/>
        <v>excluir</v>
      </c>
      <c r="L156" s="51" t="str">
        <f t="shared" ca="1" si="122"/>
        <v>no semana</v>
      </c>
      <c r="M156" s="51" t="str">
        <f>IFERROR(VLOOKUP(E156,'cheques a conf'!A:D,4,FALSE),"no clearing")</f>
        <v>no clearing</v>
      </c>
      <c r="N156" s="51">
        <f t="shared" si="123"/>
        <v>8</v>
      </c>
      <c r="O156" s="53">
        <f t="shared" si="124"/>
        <v>2</v>
      </c>
      <c r="P156" s="53">
        <f t="shared" si="125"/>
        <v>2025</v>
      </c>
      <c r="Q156" s="53"/>
      <c r="R156" s="53"/>
    </row>
    <row r="157" spans="1:18" customFormat="1" x14ac:dyDescent="0.25">
      <c r="A157">
        <v>3000000279</v>
      </c>
      <c r="B157" s="3">
        <v>45707</v>
      </c>
      <c r="C157" s="9">
        <v>16000000</v>
      </c>
      <c r="D157" t="s">
        <v>286</v>
      </c>
      <c r="E157">
        <v>3111761</v>
      </c>
      <c r="F157" s="9">
        <v>16000000</v>
      </c>
      <c r="G157" s="3">
        <v>45709</v>
      </c>
      <c r="H157" t="s">
        <v>13</v>
      </c>
      <c r="I157" s="51" t="str">
        <f>IFERROR(IF(VLOOKUP(E157,extracto!C:C,1,FALSE)=E157,"pagado","no pagado"),"no pagado")</f>
        <v>pagado</v>
      </c>
      <c r="J157" s="52" t="str">
        <f t="shared" si="120"/>
        <v>pagado</v>
      </c>
      <c r="K157" s="51" t="str">
        <f t="shared" ca="1" si="121"/>
        <v>excluir</v>
      </c>
      <c r="L157" s="51" t="str">
        <f t="shared" ca="1" si="122"/>
        <v>no semana</v>
      </c>
      <c r="M157" s="51" t="str">
        <f>IFERROR(VLOOKUP(E157,'cheques a conf'!A:D,4,FALSE),"no clearing")</f>
        <v>no clearing</v>
      </c>
      <c r="N157" s="51">
        <f t="shared" si="123"/>
        <v>8</v>
      </c>
      <c r="O157" s="53">
        <f t="shared" si="124"/>
        <v>2</v>
      </c>
      <c r="P157" s="53">
        <f t="shared" si="125"/>
        <v>2025</v>
      </c>
      <c r="Q157" s="53"/>
      <c r="R157" s="53"/>
    </row>
    <row r="158" spans="1:18" customFormat="1" x14ac:dyDescent="0.25">
      <c r="A158">
        <v>3000000279</v>
      </c>
      <c r="B158" s="3">
        <v>45707</v>
      </c>
      <c r="C158" s="9">
        <v>16009838.5</v>
      </c>
      <c r="D158" t="s">
        <v>286</v>
      </c>
      <c r="E158">
        <v>3111762</v>
      </c>
      <c r="F158" s="9">
        <v>16009838.5</v>
      </c>
      <c r="G158" s="3">
        <v>45712</v>
      </c>
      <c r="H158" t="s">
        <v>13</v>
      </c>
      <c r="I158" s="51" t="str">
        <f>IFERROR(IF(VLOOKUP(E158,extracto!C:C,1,FALSE)=E158,"pagado","no pagado"),"no pagado")</f>
        <v>pagado</v>
      </c>
      <c r="J158" s="52" t="str">
        <f t="shared" ref="J158" si="126">IF(I158="pagado","pagado",IF(G158&lt;$V$1-30,"fuera de fecha","en periodo de pago"))</f>
        <v>pagado</v>
      </c>
      <c r="K158" s="51" t="str">
        <f t="shared" ref="K158" ca="1" si="127">+IF(B158&gt;$V$1,"excluir",IF(J158="en periodo de pago",IF($V$1&gt;G158,"a pagar","proximo a vencer"),"excluir"))</f>
        <v>excluir</v>
      </c>
      <c r="L158" s="51" t="str">
        <f t="shared" ref="L158" ca="1" si="128">+IF(K158="proximo a vencer",IF($V$1+5&gt;G158,"para la semana","no semana"),"no semana")</f>
        <v>no semana</v>
      </c>
      <c r="M158" s="51" t="str">
        <f>IFERROR(VLOOKUP(E158,'cheques a conf'!A:D,4,FALSE),"no clearing")</f>
        <v>no clearing</v>
      </c>
      <c r="N158" s="51">
        <f t="shared" ref="N158" si="129">+WEEKNUM(G158,2)</f>
        <v>9</v>
      </c>
      <c r="O158" s="53">
        <f t="shared" ref="O158" si="130">+MONTH(G158)</f>
        <v>2</v>
      </c>
      <c r="P158" s="53">
        <f t="shared" ref="P158" si="131">+YEAR(G158)</f>
        <v>2025</v>
      </c>
      <c r="Q158" s="53"/>
      <c r="R158" s="53"/>
    </row>
    <row r="159" spans="1:18" customFormat="1" x14ac:dyDescent="0.25">
      <c r="A159">
        <v>3000000287</v>
      </c>
      <c r="B159" s="3">
        <v>45708</v>
      </c>
      <c r="C159" s="9">
        <v>4673964.62</v>
      </c>
      <c r="D159" t="s">
        <v>341</v>
      </c>
      <c r="E159">
        <v>3111767</v>
      </c>
      <c r="F159" s="9">
        <v>4673964.62</v>
      </c>
      <c r="G159" s="3">
        <v>45713</v>
      </c>
      <c r="H159" t="s">
        <v>13</v>
      </c>
      <c r="I159" s="51" t="str">
        <f>IFERROR(IF(VLOOKUP(E159,extracto!C:C,1,FALSE)=E159,"pagado","no pagado"),"no pagado")</f>
        <v>pagado</v>
      </c>
      <c r="J159" s="52" t="str">
        <f t="shared" ref="J159:J167" si="132">IF(I159="pagado","pagado",IF(G159&lt;$V$1-30,"fuera de fecha","en periodo de pago"))</f>
        <v>pagado</v>
      </c>
      <c r="K159" s="51" t="str">
        <f t="shared" ref="K159:K167" ca="1" si="133">+IF(B159&gt;$V$1,"excluir",IF(J159="en periodo de pago",IF($V$1&gt;G159,"a pagar","proximo a vencer"),"excluir"))</f>
        <v>excluir</v>
      </c>
      <c r="L159" s="51" t="str">
        <f t="shared" ref="L159:L167" ca="1" si="134">+IF(K159="proximo a vencer",IF($V$1+5&gt;G159,"para la semana","no semana"),"no semana")</f>
        <v>no semana</v>
      </c>
      <c r="M159" s="51" t="str">
        <f>IFERROR(VLOOKUP(E159,'cheques a conf'!A:D,4,FALSE),"no clearing")</f>
        <v>no clearing</v>
      </c>
      <c r="N159" s="51">
        <f t="shared" ref="N159:N167" si="135">+WEEKNUM(G159,2)</f>
        <v>9</v>
      </c>
      <c r="O159" s="53">
        <f t="shared" ref="O159:O167" si="136">+MONTH(G159)</f>
        <v>2</v>
      </c>
      <c r="P159" s="53">
        <f t="shared" ref="P159:P167" si="137">+YEAR(G159)</f>
        <v>2025</v>
      </c>
      <c r="Q159" s="53"/>
      <c r="R159" s="53"/>
    </row>
    <row r="160" spans="1:18" customFormat="1" x14ac:dyDescent="0.25">
      <c r="A160">
        <v>3000000288</v>
      </c>
      <c r="B160" s="3">
        <v>45708</v>
      </c>
      <c r="C160" s="9">
        <v>9975778</v>
      </c>
      <c r="D160" t="s">
        <v>342</v>
      </c>
      <c r="E160">
        <v>3111768</v>
      </c>
      <c r="F160" s="9">
        <v>9975778</v>
      </c>
      <c r="G160" s="3">
        <v>45713</v>
      </c>
      <c r="H160" t="s">
        <v>13</v>
      </c>
      <c r="I160" s="51" t="str">
        <f>IFERROR(IF(VLOOKUP(E160,extracto!C:C,1,FALSE)=E160,"pagado","no pagado"),"no pagado")</f>
        <v>pagado</v>
      </c>
      <c r="J160" s="52" t="str">
        <f t="shared" si="132"/>
        <v>pagado</v>
      </c>
      <c r="K160" s="51" t="str">
        <f t="shared" ca="1" si="133"/>
        <v>excluir</v>
      </c>
      <c r="L160" s="51" t="str">
        <f t="shared" ca="1" si="134"/>
        <v>no semana</v>
      </c>
      <c r="M160" s="51" t="str">
        <f>IFERROR(VLOOKUP(E160,'cheques a conf'!A:D,4,FALSE),"no clearing")</f>
        <v>no clearing</v>
      </c>
      <c r="N160" s="51">
        <f t="shared" si="135"/>
        <v>9</v>
      </c>
      <c r="O160" s="53">
        <f t="shared" si="136"/>
        <v>2</v>
      </c>
      <c r="P160" s="53">
        <f t="shared" si="137"/>
        <v>2025</v>
      </c>
      <c r="Q160" s="53"/>
      <c r="R160" s="53"/>
    </row>
    <row r="161" spans="1:18" customFormat="1" x14ac:dyDescent="0.25">
      <c r="A161">
        <v>3000000289</v>
      </c>
      <c r="B161" s="3">
        <v>45708</v>
      </c>
      <c r="C161" s="9">
        <v>6995270.25</v>
      </c>
      <c r="D161" t="s">
        <v>301</v>
      </c>
      <c r="E161">
        <v>3111769</v>
      </c>
      <c r="F161" s="9">
        <v>6995270.25</v>
      </c>
      <c r="G161" s="3">
        <v>45713</v>
      </c>
      <c r="H161" t="s">
        <v>13</v>
      </c>
      <c r="I161" s="51" t="str">
        <f>IFERROR(IF(VLOOKUP(E161,extracto!C:C,1,FALSE)=E161,"pagado","no pagado"),"no pagado")</f>
        <v>pagado</v>
      </c>
      <c r="J161" s="52" t="str">
        <f t="shared" si="132"/>
        <v>pagado</v>
      </c>
      <c r="K161" s="51" t="str">
        <f t="shared" ca="1" si="133"/>
        <v>excluir</v>
      </c>
      <c r="L161" s="51" t="str">
        <f t="shared" ca="1" si="134"/>
        <v>no semana</v>
      </c>
      <c r="M161" s="51" t="str">
        <f>IFERROR(VLOOKUP(E161,'cheques a conf'!A:D,4,FALSE),"no clearing")</f>
        <v>no clearing</v>
      </c>
      <c r="N161" s="51">
        <f t="shared" si="135"/>
        <v>9</v>
      </c>
      <c r="O161" s="53">
        <f t="shared" si="136"/>
        <v>2</v>
      </c>
      <c r="P161" s="53">
        <f t="shared" si="137"/>
        <v>2025</v>
      </c>
      <c r="Q161" s="53"/>
      <c r="R161" s="53"/>
    </row>
    <row r="162" spans="1:18" customFormat="1" x14ac:dyDescent="0.25">
      <c r="A162">
        <v>3000000284</v>
      </c>
      <c r="B162" s="3">
        <v>45708</v>
      </c>
      <c r="C162" s="9">
        <v>5000000</v>
      </c>
      <c r="D162" t="s">
        <v>344</v>
      </c>
      <c r="E162">
        <v>3111763</v>
      </c>
      <c r="F162" s="9">
        <v>5000000</v>
      </c>
      <c r="G162" s="3">
        <v>45713</v>
      </c>
      <c r="H162" t="s">
        <v>13</v>
      </c>
      <c r="I162" s="51" t="str">
        <f>IFERROR(IF(VLOOKUP(E162,extracto!C:C,1,FALSE)=E162,"pagado","no pagado"),"no pagado")</f>
        <v>pagado</v>
      </c>
      <c r="J162" s="52" t="str">
        <f t="shared" si="132"/>
        <v>pagado</v>
      </c>
      <c r="K162" s="51" t="str">
        <f t="shared" ca="1" si="133"/>
        <v>excluir</v>
      </c>
      <c r="L162" s="51" t="str">
        <f t="shared" ca="1" si="134"/>
        <v>no semana</v>
      </c>
      <c r="M162" s="51" t="str">
        <f>IFERROR(VLOOKUP(E162,'cheques a conf'!A:D,4,FALSE),"no clearing")</f>
        <v>no clearing</v>
      </c>
      <c r="N162" s="51">
        <f t="shared" si="135"/>
        <v>9</v>
      </c>
      <c r="O162" s="53">
        <f t="shared" si="136"/>
        <v>2</v>
      </c>
      <c r="P162" s="53">
        <f t="shared" si="137"/>
        <v>2025</v>
      </c>
      <c r="Q162" s="53"/>
      <c r="R162" s="53"/>
    </row>
    <row r="163" spans="1:18" customFormat="1" x14ac:dyDescent="0.25">
      <c r="A163">
        <v>3000000284</v>
      </c>
      <c r="B163" s="3">
        <v>45708</v>
      </c>
      <c r="C163" s="9">
        <v>12029813.48</v>
      </c>
      <c r="D163" t="s">
        <v>344</v>
      </c>
      <c r="E163">
        <v>3111764</v>
      </c>
      <c r="F163" s="9">
        <v>12029813.48</v>
      </c>
      <c r="G163" s="3">
        <v>45714</v>
      </c>
      <c r="H163" t="s">
        <v>13</v>
      </c>
      <c r="I163" s="51" t="str">
        <f>IFERROR(IF(VLOOKUP(E163,extracto!C:C,1,FALSE)=E163,"pagado","no pagado"),"no pagado")</f>
        <v>pagado</v>
      </c>
      <c r="J163" s="52" t="str">
        <f t="shared" si="132"/>
        <v>pagado</v>
      </c>
      <c r="K163" s="51" t="str">
        <f t="shared" ca="1" si="133"/>
        <v>excluir</v>
      </c>
      <c r="L163" s="51" t="str">
        <f t="shared" ca="1" si="134"/>
        <v>no semana</v>
      </c>
      <c r="M163" s="51" t="str">
        <f>IFERROR(VLOOKUP(E163,'cheques a conf'!A:D,4,FALSE),"no clearing")</f>
        <v>no clearing</v>
      </c>
      <c r="N163" s="51">
        <f t="shared" si="135"/>
        <v>9</v>
      </c>
      <c r="O163" s="53">
        <f t="shared" si="136"/>
        <v>2</v>
      </c>
      <c r="P163" s="53">
        <f t="shared" si="137"/>
        <v>2025</v>
      </c>
      <c r="Q163" s="53"/>
      <c r="R163" s="53"/>
    </row>
    <row r="164" spans="1:18" customFormat="1" x14ac:dyDescent="0.25">
      <c r="A164">
        <v>3000000290</v>
      </c>
      <c r="B164" s="3">
        <v>45708</v>
      </c>
      <c r="C164" s="9">
        <v>10000000</v>
      </c>
      <c r="D164" t="s">
        <v>340</v>
      </c>
      <c r="E164">
        <v>3111770</v>
      </c>
      <c r="F164" s="9">
        <v>10000000</v>
      </c>
      <c r="G164" s="3">
        <v>45713</v>
      </c>
      <c r="H164" t="s">
        <v>13</v>
      </c>
      <c r="I164" s="51" t="str">
        <f>IFERROR(IF(VLOOKUP(E164,extracto!C:C,1,FALSE)=E164,"pagado","no pagado"),"no pagado")</f>
        <v>pagado</v>
      </c>
      <c r="J164" s="52" t="str">
        <f t="shared" si="132"/>
        <v>pagado</v>
      </c>
      <c r="K164" s="51" t="str">
        <f t="shared" ca="1" si="133"/>
        <v>excluir</v>
      </c>
      <c r="L164" s="51" t="str">
        <f t="shared" ca="1" si="134"/>
        <v>no semana</v>
      </c>
      <c r="M164" s="51" t="str">
        <f>IFERROR(VLOOKUP(E164,'cheques a conf'!A:D,4,FALSE),"no clearing")</f>
        <v>no clearing</v>
      </c>
      <c r="N164" s="51">
        <f t="shared" si="135"/>
        <v>9</v>
      </c>
      <c r="O164" s="53">
        <f t="shared" si="136"/>
        <v>2</v>
      </c>
      <c r="P164" s="53">
        <f t="shared" si="137"/>
        <v>2025</v>
      </c>
      <c r="Q164" s="53"/>
      <c r="R164" s="53"/>
    </row>
    <row r="165" spans="1:18" customFormat="1" x14ac:dyDescent="0.25">
      <c r="A165">
        <v>3000000290</v>
      </c>
      <c r="B165" s="3">
        <v>45708</v>
      </c>
      <c r="C165" s="9">
        <v>7771700.1900000004</v>
      </c>
      <c r="D165" t="s">
        <v>340</v>
      </c>
      <c r="E165">
        <v>3111771</v>
      </c>
      <c r="F165" s="9">
        <v>7771700.1900000004</v>
      </c>
      <c r="G165" s="3">
        <v>45714</v>
      </c>
      <c r="H165" t="s">
        <v>13</v>
      </c>
      <c r="I165" s="51" t="str">
        <f>IFERROR(IF(VLOOKUP(E165,extracto!C:C,1,FALSE)=E165,"pagado","no pagado"),"no pagado")</f>
        <v>pagado</v>
      </c>
      <c r="J165" s="52" t="str">
        <f t="shared" si="132"/>
        <v>pagado</v>
      </c>
      <c r="K165" s="51" t="str">
        <f t="shared" ca="1" si="133"/>
        <v>excluir</v>
      </c>
      <c r="L165" s="51" t="str">
        <f t="shared" ca="1" si="134"/>
        <v>no semana</v>
      </c>
      <c r="M165" s="51" t="str">
        <f>IFERROR(VLOOKUP(E165,'cheques a conf'!A:D,4,FALSE),"no clearing")</f>
        <v>no clearing</v>
      </c>
      <c r="N165" s="51">
        <f t="shared" si="135"/>
        <v>9</v>
      </c>
      <c r="O165" s="53">
        <f t="shared" si="136"/>
        <v>2</v>
      </c>
      <c r="P165" s="53">
        <f t="shared" si="137"/>
        <v>2025</v>
      </c>
      <c r="Q165" s="53"/>
      <c r="R165" s="53"/>
    </row>
    <row r="166" spans="1:18" customFormat="1" x14ac:dyDescent="0.25">
      <c r="A166">
        <v>3000000291</v>
      </c>
      <c r="B166" s="3">
        <v>45708</v>
      </c>
      <c r="C166" s="9">
        <v>10000000</v>
      </c>
      <c r="D166" t="s">
        <v>307</v>
      </c>
      <c r="E166">
        <v>3111772</v>
      </c>
      <c r="F166" s="9">
        <v>10000000</v>
      </c>
      <c r="G166" s="3">
        <v>45713</v>
      </c>
      <c r="H166" t="s">
        <v>13</v>
      </c>
      <c r="I166" s="51" t="str">
        <f>IFERROR(IF(VLOOKUP(E166,extracto!C:C,1,FALSE)=E166,"pagado","no pagado"),"no pagado")</f>
        <v>pagado</v>
      </c>
      <c r="J166" s="52" t="str">
        <f t="shared" si="132"/>
        <v>pagado</v>
      </c>
      <c r="K166" s="51" t="str">
        <f t="shared" ca="1" si="133"/>
        <v>excluir</v>
      </c>
      <c r="L166" s="51" t="str">
        <f t="shared" ca="1" si="134"/>
        <v>no semana</v>
      </c>
      <c r="M166" s="51" t="str">
        <f>IFERROR(VLOOKUP(E166,'cheques a conf'!A:D,4,FALSE),"no clearing")</f>
        <v>no clearing</v>
      </c>
      <c r="N166" s="51">
        <f t="shared" si="135"/>
        <v>9</v>
      </c>
      <c r="O166" s="53">
        <f t="shared" si="136"/>
        <v>2</v>
      </c>
      <c r="P166" s="53">
        <f t="shared" si="137"/>
        <v>2025</v>
      </c>
      <c r="Q166" s="53"/>
      <c r="R166" s="53"/>
    </row>
    <row r="167" spans="1:18" customFormat="1" x14ac:dyDescent="0.25">
      <c r="A167">
        <v>3000000291</v>
      </c>
      <c r="B167" s="3">
        <v>45708</v>
      </c>
      <c r="C167" s="9">
        <v>8357138.4199999999</v>
      </c>
      <c r="D167" t="s">
        <v>307</v>
      </c>
      <c r="E167">
        <v>3111773</v>
      </c>
      <c r="F167" s="9">
        <v>8357138.4199999999</v>
      </c>
      <c r="G167" s="3">
        <v>45714</v>
      </c>
      <c r="H167" t="s">
        <v>13</v>
      </c>
      <c r="I167" s="51" t="str">
        <f>IFERROR(IF(VLOOKUP(E167,extracto!C:C,1,FALSE)=E167,"pagado","no pagado"),"no pagado")</f>
        <v>pagado</v>
      </c>
      <c r="J167" s="52" t="str">
        <f t="shared" si="132"/>
        <v>pagado</v>
      </c>
      <c r="K167" s="51" t="str">
        <f t="shared" ca="1" si="133"/>
        <v>excluir</v>
      </c>
      <c r="L167" s="51" t="str">
        <f t="shared" ca="1" si="134"/>
        <v>no semana</v>
      </c>
      <c r="M167" s="51" t="str">
        <f>IFERROR(VLOOKUP(E167,'cheques a conf'!A:D,4,FALSE),"no clearing")</f>
        <v>no clearing</v>
      </c>
      <c r="N167" s="51">
        <f t="shared" si="135"/>
        <v>9</v>
      </c>
      <c r="O167" s="53">
        <f t="shared" si="136"/>
        <v>2</v>
      </c>
      <c r="P167" s="53">
        <f t="shared" si="137"/>
        <v>2025</v>
      </c>
      <c r="Q167" s="53"/>
      <c r="R167" s="53"/>
    </row>
    <row r="168" spans="1:18" customFormat="1" x14ac:dyDescent="0.25">
      <c r="A168">
        <v>3000000285</v>
      </c>
      <c r="B168" s="3">
        <v>45708</v>
      </c>
      <c r="C168" s="9">
        <v>9630656.3300000001</v>
      </c>
      <c r="D168" t="s">
        <v>26</v>
      </c>
      <c r="E168">
        <v>3111765</v>
      </c>
      <c r="F168" s="9">
        <v>9630656.3300000001</v>
      </c>
      <c r="G168" s="3">
        <v>45713</v>
      </c>
      <c r="H168" t="s">
        <v>13</v>
      </c>
      <c r="I168" s="51" t="str">
        <f>IFERROR(IF(VLOOKUP(E168,extracto!C:C,1,FALSE)=E168,"pagado","no pagado"),"no pagado")</f>
        <v>pagado</v>
      </c>
      <c r="J168" s="52" t="str">
        <f t="shared" ref="J168:J181" si="138">IF(I168="pagado","pagado",IF(G168&lt;$V$1-30,"fuera de fecha","en periodo de pago"))</f>
        <v>pagado</v>
      </c>
      <c r="K168" s="51" t="str">
        <f t="shared" ref="K168:K181" ca="1" si="139">+IF(B168&gt;$V$1,"excluir",IF(J168="en periodo de pago",IF($V$1&gt;G168,"a pagar","proximo a vencer"),"excluir"))</f>
        <v>excluir</v>
      </c>
      <c r="L168" s="51" t="str">
        <f t="shared" ref="L168:L181" ca="1" si="140">+IF(K168="proximo a vencer",IF($V$1+5&gt;G168,"para la semana","no semana"),"no semana")</f>
        <v>no semana</v>
      </c>
      <c r="M168" s="51" t="str">
        <f>IFERROR(VLOOKUP(E168,'cheques a conf'!A:D,4,FALSE),"no clearing")</f>
        <v>no clearing</v>
      </c>
      <c r="N168" s="51">
        <f t="shared" ref="N168:N181" si="141">+WEEKNUM(G168,2)</f>
        <v>9</v>
      </c>
      <c r="O168" s="53">
        <f t="shared" ref="O168:O181" si="142">+MONTH(G168)</f>
        <v>2</v>
      </c>
      <c r="P168" s="53">
        <f t="shared" ref="P168:P181" si="143">+YEAR(G168)</f>
        <v>2025</v>
      </c>
      <c r="Q168" s="53"/>
      <c r="R168" s="53"/>
    </row>
    <row r="169" spans="1:18" customFormat="1" x14ac:dyDescent="0.25">
      <c r="A169">
        <v>3000000286</v>
      </c>
      <c r="B169" s="3">
        <v>45708</v>
      </c>
      <c r="C169" s="9">
        <v>4404589.04</v>
      </c>
      <c r="D169" t="s">
        <v>302</v>
      </c>
      <c r="E169">
        <v>3111766</v>
      </c>
      <c r="F169" s="9">
        <v>4404589.04</v>
      </c>
      <c r="G169" s="3">
        <v>45713</v>
      </c>
      <c r="H169" t="s">
        <v>13</v>
      </c>
      <c r="I169" s="51" t="str">
        <f>IFERROR(IF(VLOOKUP(E169,extracto!C:C,1,FALSE)=E169,"pagado","no pagado"),"no pagado")</f>
        <v>pagado</v>
      </c>
      <c r="J169" s="52" t="str">
        <f t="shared" si="138"/>
        <v>pagado</v>
      </c>
      <c r="K169" s="51" t="str">
        <f t="shared" ca="1" si="139"/>
        <v>excluir</v>
      </c>
      <c r="L169" s="51" t="str">
        <f t="shared" ca="1" si="140"/>
        <v>no semana</v>
      </c>
      <c r="M169" s="51" t="str">
        <f>IFERROR(VLOOKUP(E169,'cheques a conf'!A:D,4,FALSE),"no clearing")</f>
        <v>no clearing</v>
      </c>
      <c r="N169" s="51">
        <f t="shared" si="141"/>
        <v>9</v>
      </c>
      <c r="O169" s="53">
        <f t="shared" si="142"/>
        <v>2</v>
      </c>
      <c r="P169" s="53">
        <f t="shared" si="143"/>
        <v>2025</v>
      </c>
      <c r="Q169" s="53"/>
      <c r="R169" s="53"/>
    </row>
    <row r="170" spans="1:18" customFormat="1" x14ac:dyDescent="0.25">
      <c r="A170">
        <v>3000000287</v>
      </c>
      <c r="B170" s="3">
        <v>45708</v>
      </c>
      <c r="C170" s="9">
        <v>4673964.62</v>
      </c>
      <c r="D170" t="s">
        <v>367</v>
      </c>
      <c r="E170">
        <v>3111767</v>
      </c>
      <c r="F170" s="9">
        <v>4673964.62</v>
      </c>
      <c r="G170" s="3">
        <v>45713</v>
      </c>
      <c r="H170" t="s">
        <v>13</v>
      </c>
      <c r="I170" s="51" t="str">
        <f>IFERROR(IF(VLOOKUP(E170,extracto!C:C,1,FALSE)=E170,"pagado","no pagado"),"no pagado")</f>
        <v>pagado</v>
      </c>
      <c r="J170" s="52" t="str">
        <f t="shared" si="138"/>
        <v>pagado</v>
      </c>
      <c r="K170" s="51" t="str">
        <f t="shared" ca="1" si="139"/>
        <v>excluir</v>
      </c>
      <c r="L170" s="51" t="str">
        <f t="shared" ca="1" si="140"/>
        <v>no semana</v>
      </c>
      <c r="M170" s="51" t="str">
        <f>IFERROR(VLOOKUP(E170,'cheques a conf'!A:D,4,FALSE),"no clearing")</f>
        <v>no clearing</v>
      </c>
      <c r="N170" s="51">
        <f t="shared" si="141"/>
        <v>9</v>
      </c>
      <c r="O170" s="53">
        <f t="shared" si="142"/>
        <v>2</v>
      </c>
      <c r="P170" s="53">
        <f t="shared" si="143"/>
        <v>2025</v>
      </c>
      <c r="Q170" s="53"/>
      <c r="R170" s="53"/>
    </row>
    <row r="171" spans="1:18" customFormat="1" x14ac:dyDescent="0.25">
      <c r="A171">
        <v>3000000288</v>
      </c>
      <c r="B171" s="3">
        <v>45708</v>
      </c>
      <c r="C171" s="9">
        <v>9975778</v>
      </c>
      <c r="D171" t="s">
        <v>368</v>
      </c>
      <c r="E171">
        <v>3111768</v>
      </c>
      <c r="F171" s="9">
        <v>9975778</v>
      </c>
      <c r="G171" s="3">
        <v>45713</v>
      </c>
      <c r="H171" t="s">
        <v>13</v>
      </c>
      <c r="I171" s="51" t="str">
        <f>IFERROR(IF(VLOOKUP(E171,extracto!C:C,1,FALSE)=E171,"pagado","no pagado"),"no pagado")</f>
        <v>pagado</v>
      </c>
      <c r="J171" s="52" t="str">
        <f t="shared" si="138"/>
        <v>pagado</v>
      </c>
      <c r="K171" s="51" t="str">
        <f t="shared" ca="1" si="139"/>
        <v>excluir</v>
      </c>
      <c r="L171" s="51" t="str">
        <f t="shared" ca="1" si="140"/>
        <v>no semana</v>
      </c>
      <c r="M171" s="51" t="str">
        <f>IFERROR(VLOOKUP(E171,'cheques a conf'!A:D,4,FALSE),"no clearing")</f>
        <v>no clearing</v>
      </c>
      <c r="N171" s="51">
        <f t="shared" si="141"/>
        <v>9</v>
      </c>
      <c r="O171" s="53">
        <f t="shared" si="142"/>
        <v>2</v>
      </c>
      <c r="P171" s="53">
        <f t="shared" si="143"/>
        <v>2025</v>
      </c>
      <c r="Q171" s="53"/>
      <c r="R171" s="53"/>
    </row>
    <row r="172" spans="1:18" customFormat="1" x14ac:dyDescent="0.25">
      <c r="A172">
        <v>3000000289</v>
      </c>
      <c r="B172" s="3">
        <v>45708</v>
      </c>
      <c r="C172" s="9">
        <v>6995270.25</v>
      </c>
      <c r="D172" t="s">
        <v>369</v>
      </c>
      <c r="E172">
        <v>3111769</v>
      </c>
      <c r="F172" s="9">
        <v>6995270.25</v>
      </c>
      <c r="G172" s="3">
        <v>45713</v>
      </c>
      <c r="H172" t="s">
        <v>13</v>
      </c>
      <c r="I172" s="51" t="str">
        <f>IFERROR(IF(VLOOKUP(E172,extracto!C:C,1,FALSE)=E172,"pagado","no pagado"),"no pagado")</f>
        <v>pagado</v>
      </c>
      <c r="J172" s="52" t="str">
        <f t="shared" si="138"/>
        <v>pagado</v>
      </c>
      <c r="K172" s="51" t="str">
        <f t="shared" ca="1" si="139"/>
        <v>excluir</v>
      </c>
      <c r="L172" s="51" t="str">
        <f t="shared" ca="1" si="140"/>
        <v>no semana</v>
      </c>
      <c r="M172" s="51" t="str">
        <f>IFERROR(VLOOKUP(E172,'cheques a conf'!A:D,4,FALSE),"no clearing")</f>
        <v>no clearing</v>
      </c>
      <c r="N172" s="51">
        <f t="shared" si="141"/>
        <v>9</v>
      </c>
      <c r="O172" s="53">
        <f t="shared" si="142"/>
        <v>2</v>
      </c>
      <c r="P172" s="53">
        <f t="shared" si="143"/>
        <v>2025</v>
      </c>
      <c r="Q172" s="53"/>
      <c r="R172" s="53"/>
    </row>
    <row r="173" spans="1:18" customFormat="1" x14ac:dyDescent="0.25">
      <c r="A173">
        <v>3000000307</v>
      </c>
      <c r="B173" s="3">
        <v>45713</v>
      </c>
      <c r="C173" s="9">
        <v>1000000</v>
      </c>
      <c r="D173" t="s">
        <v>287</v>
      </c>
      <c r="E173">
        <v>3111774</v>
      </c>
      <c r="F173" s="9">
        <v>1000000</v>
      </c>
      <c r="G173" s="3">
        <v>45716</v>
      </c>
      <c r="H173" t="s">
        <v>13</v>
      </c>
      <c r="I173" s="51" t="str">
        <f>IFERROR(IF(VLOOKUP(E173,extracto!C:C,1,FALSE)=E173,"pagado","no pagado"),"no pagado")</f>
        <v>pagado</v>
      </c>
      <c r="J173" s="52" t="str">
        <f t="shared" si="138"/>
        <v>pagado</v>
      </c>
      <c r="K173" s="51" t="str">
        <f t="shared" ca="1" si="139"/>
        <v>excluir</v>
      </c>
      <c r="L173" s="51" t="str">
        <f t="shared" ca="1" si="140"/>
        <v>no semana</v>
      </c>
      <c r="M173" s="51" t="str">
        <f>IFERROR(VLOOKUP(E173,'cheques a conf'!A:D,4,FALSE),"no clearing")</f>
        <v>no clearing</v>
      </c>
      <c r="N173" s="51">
        <f t="shared" si="141"/>
        <v>9</v>
      </c>
      <c r="O173" s="53">
        <f t="shared" si="142"/>
        <v>2</v>
      </c>
      <c r="P173" s="53">
        <f t="shared" si="143"/>
        <v>2025</v>
      </c>
      <c r="Q173" s="53"/>
      <c r="R173" s="53"/>
    </row>
    <row r="174" spans="1:18" customFormat="1" x14ac:dyDescent="0.25">
      <c r="A174">
        <v>3000000307</v>
      </c>
      <c r="B174" s="3">
        <v>45713</v>
      </c>
      <c r="C174" s="9">
        <v>1000000</v>
      </c>
      <c r="D174" t="s">
        <v>287</v>
      </c>
      <c r="E174">
        <v>3111775</v>
      </c>
      <c r="F174" s="9">
        <v>1000000</v>
      </c>
      <c r="G174" s="3">
        <v>45716</v>
      </c>
      <c r="H174" t="s">
        <v>13</v>
      </c>
      <c r="I174" s="51" t="str">
        <f>IFERROR(IF(VLOOKUP(E174,extracto!C:C,1,FALSE)=E174,"pagado","no pagado"),"no pagado")</f>
        <v>pagado</v>
      </c>
      <c r="J174" s="52" t="str">
        <f t="shared" si="138"/>
        <v>pagado</v>
      </c>
      <c r="K174" s="51" t="str">
        <f t="shared" ca="1" si="139"/>
        <v>excluir</v>
      </c>
      <c r="L174" s="51" t="str">
        <f t="shared" ca="1" si="140"/>
        <v>no semana</v>
      </c>
      <c r="M174" s="51" t="str">
        <f>IFERROR(VLOOKUP(E174,'cheques a conf'!A:D,4,FALSE),"no clearing")</f>
        <v>no clearing</v>
      </c>
      <c r="N174" s="51">
        <f t="shared" si="141"/>
        <v>9</v>
      </c>
      <c r="O174" s="53">
        <f t="shared" si="142"/>
        <v>2</v>
      </c>
      <c r="P174" s="53">
        <f t="shared" si="143"/>
        <v>2025</v>
      </c>
      <c r="Q174" s="53"/>
      <c r="R174" s="53"/>
    </row>
    <row r="175" spans="1:18" customFormat="1" x14ac:dyDescent="0.25">
      <c r="A175">
        <v>3000000307</v>
      </c>
      <c r="B175" s="3">
        <v>45713</v>
      </c>
      <c r="C175" s="9">
        <v>2000000</v>
      </c>
      <c r="D175" t="s">
        <v>287</v>
      </c>
      <c r="E175">
        <v>3111776</v>
      </c>
      <c r="F175" s="9">
        <v>2000000</v>
      </c>
      <c r="G175" s="3">
        <v>45716</v>
      </c>
      <c r="H175" t="s">
        <v>13</v>
      </c>
      <c r="I175" s="51" t="str">
        <f>IFERROR(IF(VLOOKUP(E175,extracto!C:C,1,FALSE)=E175,"pagado","no pagado"),"no pagado")</f>
        <v>pagado</v>
      </c>
      <c r="J175" s="52" t="str">
        <f t="shared" si="138"/>
        <v>pagado</v>
      </c>
      <c r="K175" s="51" t="str">
        <f t="shared" ca="1" si="139"/>
        <v>excluir</v>
      </c>
      <c r="L175" s="51" t="str">
        <f t="shared" ca="1" si="140"/>
        <v>no semana</v>
      </c>
      <c r="M175" s="51" t="str">
        <f>IFERROR(VLOOKUP(E175,'cheques a conf'!A:D,4,FALSE),"no clearing")</f>
        <v>no clearing</v>
      </c>
      <c r="N175" s="51">
        <f t="shared" si="141"/>
        <v>9</v>
      </c>
      <c r="O175" s="53">
        <f t="shared" si="142"/>
        <v>2</v>
      </c>
      <c r="P175" s="53">
        <f t="shared" si="143"/>
        <v>2025</v>
      </c>
      <c r="Q175" s="53"/>
      <c r="R175" s="53"/>
    </row>
    <row r="176" spans="1:18" customFormat="1" x14ac:dyDescent="0.25">
      <c r="A176">
        <v>3000000307</v>
      </c>
      <c r="B176" s="3">
        <v>45713</v>
      </c>
      <c r="C176" s="9">
        <v>2000000</v>
      </c>
      <c r="D176" t="s">
        <v>287</v>
      </c>
      <c r="E176">
        <v>3111777</v>
      </c>
      <c r="F176" s="9">
        <v>2000000</v>
      </c>
      <c r="G176" s="3">
        <v>45716</v>
      </c>
      <c r="H176" t="s">
        <v>13</v>
      </c>
      <c r="I176" s="51" t="str">
        <f>IFERROR(IF(VLOOKUP(E176,extracto!C:C,1,FALSE)=E176,"pagado","no pagado"),"no pagado")</f>
        <v>pagado</v>
      </c>
      <c r="J176" s="52" t="str">
        <f t="shared" si="138"/>
        <v>pagado</v>
      </c>
      <c r="K176" s="51" t="str">
        <f t="shared" ca="1" si="139"/>
        <v>excluir</v>
      </c>
      <c r="L176" s="51" t="str">
        <f t="shared" ca="1" si="140"/>
        <v>no semana</v>
      </c>
      <c r="M176" s="51" t="str">
        <f>IFERROR(VLOOKUP(E176,'cheques a conf'!A:D,4,FALSE),"no clearing")</f>
        <v>no clearing</v>
      </c>
      <c r="N176" s="51">
        <f t="shared" si="141"/>
        <v>9</v>
      </c>
      <c r="O176" s="53">
        <f t="shared" si="142"/>
        <v>2</v>
      </c>
      <c r="P176" s="53">
        <f t="shared" si="143"/>
        <v>2025</v>
      </c>
      <c r="Q176" s="53"/>
      <c r="R176" s="53"/>
    </row>
    <row r="177" spans="1:18" customFormat="1" x14ac:dyDescent="0.25">
      <c r="A177">
        <v>3000000307</v>
      </c>
      <c r="B177" s="3">
        <v>45713</v>
      </c>
      <c r="C177" s="9">
        <v>2000000</v>
      </c>
      <c r="D177" t="s">
        <v>287</v>
      </c>
      <c r="E177">
        <v>3111778</v>
      </c>
      <c r="F177" s="9">
        <v>2000000</v>
      </c>
      <c r="G177" s="3">
        <v>45716</v>
      </c>
      <c r="H177" t="s">
        <v>13</v>
      </c>
      <c r="I177" s="51" t="str">
        <f>IFERROR(IF(VLOOKUP(E177,extracto!C:C,1,FALSE)=E177,"pagado","no pagado"),"no pagado")</f>
        <v>pagado</v>
      </c>
      <c r="J177" s="52" t="str">
        <f t="shared" si="138"/>
        <v>pagado</v>
      </c>
      <c r="K177" s="51" t="str">
        <f t="shared" ca="1" si="139"/>
        <v>excluir</v>
      </c>
      <c r="L177" s="51" t="str">
        <f t="shared" ca="1" si="140"/>
        <v>no semana</v>
      </c>
      <c r="M177" s="51" t="str">
        <f>IFERROR(VLOOKUP(E177,'cheques a conf'!A:D,4,FALSE),"no clearing")</f>
        <v>no clearing</v>
      </c>
      <c r="N177" s="51">
        <f t="shared" si="141"/>
        <v>9</v>
      </c>
      <c r="O177" s="53">
        <f t="shared" si="142"/>
        <v>2</v>
      </c>
      <c r="P177" s="53">
        <f t="shared" si="143"/>
        <v>2025</v>
      </c>
      <c r="Q177" s="53"/>
      <c r="R177" s="53"/>
    </row>
    <row r="178" spans="1:18" customFormat="1" x14ac:dyDescent="0.25">
      <c r="A178">
        <v>3000000307</v>
      </c>
      <c r="B178" s="3">
        <v>45713</v>
      </c>
      <c r="C178" s="9">
        <v>5000000</v>
      </c>
      <c r="D178" t="s">
        <v>287</v>
      </c>
      <c r="E178">
        <v>3111779</v>
      </c>
      <c r="F178" s="9">
        <v>5000000</v>
      </c>
      <c r="G178" s="3">
        <v>45721</v>
      </c>
      <c r="H178" t="s">
        <v>13</v>
      </c>
      <c r="I178" s="51" t="str">
        <f>IFERROR(IF(VLOOKUP(E178,extracto!C:C,1,FALSE)=E178,"pagado","no pagado"),"no pagado")</f>
        <v>pagado</v>
      </c>
      <c r="J178" s="52" t="str">
        <f t="shared" si="138"/>
        <v>pagado</v>
      </c>
      <c r="K178" s="51" t="str">
        <f t="shared" ca="1" si="139"/>
        <v>excluir</v>
      </c>
      <c r="L178" s="51" t="str">
        <f t="shared" ca="1" si="140"/>
        <v>no semana</v>
      </c>
      <c r="M178" s="51" t="str">
        <f>IFERROR(VLOOKUP(E178,'cheques a conf'!A:D,4,FALSE),"no clearing")</f>
        <v>no clearing</v>
      </c>
      <c r="N178" s="51">
        <f t="shared" si="141"/>
        <v>10</v>
      </c>
      <c r="O178" s="53">
        <f t="shared" si="142"/>
        <v>3</v>
      </c>
      <c r="P178" s="53">
        <f t="shared" si="143"/>
        <v>2025</v>
      </c>
      <c r="Q178" s="53"/>
      <c r="R178" s="53"/>
    </row>
    <row r="179" spans="1:18" customFormat="1" x14ac:dyDescent="0.25">
      <c r="A179">
        <v>3000000307</v>
      </c>
      <c r="B179" s="3">
        <v>45713</v>
      </c>
      <c r="C179" s="9">
        <v>5000000</v>
      </c>
      <c r="D179" t="s">
        <v>287</v>
      </c>
      <c r="E179">
        <v>3111780</v>
      </c>
      <c r="F179" s="9">
        <v>5000000</v>
      </c>
      <c r="G179" s="3">
        <v>45721</v>
      </c>
      <c r="H179" t="s">
        <v>13</v>
      </c>
      <c r="I179" s="51" t="str">
        <f>IFERROR(IF(VLOOKUP(E179,extracto!C:C,1,FALSE)=E179,"pagado","no pagado"),"no pagado")</f>
        <v>pagado</v>
      </c>
      <c r="J179" s="52" t="str">
        <f t="shared" si="138"/>
        <v>pagado</v>
      </c>
      <c r="K179" s="51" t="str">
        <f t="shared" ca="1" si="139"/>
        <v>excluir</v>
      </c>
      <c r="L179" s="51" t="str">
        <f t="shared" ca="1" si="140"/>
        <v>no semana</v>
      </c>
      <c r="M179" s="51" t="str">
        <f>IFERROR(VLOOKUP(E179,'cheques a conf'!A:D,4,FALSE),"no clearing")</f>
        <v>no clearing</v>
      </c>
      <c r="N179" s="51">
        <f t="shared" si="141"/>
        <v>10</v>
      </c>
      <c r="O179" s="53">
        <f t="shared" si="142"/>
        <v>3</v>
      </c>
      <c r="P179" s="53">
        <f t="shared" si="143"/>
        <v>2025</v>
      </c>
      <c r="Q179" s="53"/>
      <c r="R179" s="53"/>
    </row>
    <row r="180" spans="1:18" customFormat="1" x14ac:dyDescent="0.25">
      <c r="A180">
        <v>3000000307</v>
      </c>
      <c r="B180" s="3">
        <v>45713</v>
      </c>
      <c r="C180" s="9">
        <v>2981564.25</v>
      </c>
      <c r="D180" t="s">
        <v>287</v>
      </c>
      <c r="E180">
        <v>3400721</v>
      </c>
      <c r="F180" s="9">
        <v>2981564.25</v>
      </c>
      <c r="G180" s="3">
        <v>45721</v>
      </c>
      <c r="H180" t="s">
        <v>13</v>
      </c>
      <c r="I180" s="51" t="str">
        <f>IFERROR(IF(VLOOKUP(E180,extracto!C:C,1,FALSE)=E180,"pagado","no pagado"),"no pagado")</f>
        <v>pagado</v>
      </c>
      <c r="J180" s="52" t="str">
        <f t="shared" si="138"/>
        <v>pagado</v>
      </c>
      <c r="K180" s="51" t="str">
        <f t="shared" ca="1" si="139"/>
        <v>excluir</v>
      </c>
      <c r="L180" s="51" t="str">
        <f t="shared" ca="1" si="140"/>
        <v>no semana</v>
      </c>
      <c r="M180" s="51" t="str">
        <f>IFERROR(VLOOKUP(E180,'cheques a conf'!A:D,4,FALSE),"no clearing")</f>
        <v>no clearing</v>
      </c>
      <c r="N180" s="51">
        <f t="shared" si="141"/>
        <v>10</v>
      </c>
      <c r="O180" s="53">
        <f t="shared" si="142"/>
        <v>3</v>
      </c>
      <c r="P180" s="53">
        <f t="shared" si="143"/>
        <v>2025</v>
      </c>
      <c r="Q180" s="53"/>
      <c r="R180" s="53"/>
    </row>
    <row r="181" spans="1:18" customFormat="1" x14ac:dyDescent="0.25">
      <c r="A181">
        <v>3000000309</v>
      </c>
      <c r="B181" s="3">
        <v>45713</v>
      </c>
      <c r="C181" s="9">
        <v>4423276</v>
      </c>
      <c r="D181" t="s">
        <v>370</v>
      </c>
      <c r="E181">
        <v>3400723</v>
      </c>
      <c r="F181" s="9">
        <v>4423276</v>
      </c>
      <c r="G181" s="3">
        <v>45714</v>
      </c>
      <c r="H181" t="s">
        <v>13</v>
      </c>
      <c r="I181" s="51" t="str">
        <f>IFERROR(IF(VLOOKUP(E181,extracto!C:C,1,FALSE)=E181,"pagado","no pagado"),"no pagado")</f>
        <v>pagado</v>
      </c>
      <c r="J181" s="52" t="str">
        <f t="shared" si="138"/>
        <v>pagado</v>
      </c>
      <c r="K181" s="51" t="str">
        <f t="shared" ca="1" si="139"/>
        <v>excluir</v>
      </c>
      <c r="L181" s="51" t="str">
        <f t="shared" ca="1" si="140"/>
        <v>no semana</v>
      </c>
      <c r="M181" s="51" t="str">
        <f>IFERROR(VLOOKUP(E181,'cheques a conf'!A:D,4,FALSE),"no clearing")</f>
        <v>no clearing</v>
      </c>
      <c r="N181" s="51">
        <f t="shared" si="141"/>
        <v>9</v>
      </c>
      <c r="O181" s="53">
        <f t="shared" si="142"/>
        <v>2</v>
      </c>
      <c r="P181" s="53">
        <f t="shared" si="143"/>
        <v>2025</v>
      </c>
      <c r="Q181" s="53"/>
      <c r="R181" s="53"/>
    </row>
    <row r="182" spans="1:18" customFormat="1" x14ac:dyDescent="0.25">
      <c r="A182">
        <v>3000000309</v>
      </c>
      <c r="B182" s="3">
        <v>45713</v>
      </c>
      <c r="C182" s="9">
        <v>1831370.3</v>
      </c>
      <c r="D182" t="s">
        <v>370</v>
      </c>
      <c r="E182">
        <v>3400724</v>
      </c>
      <c r="F182" s="9">
        <v>1831370.3</v>
      </c>
      <c r="G182" s="3">
        <v>45714</v>
      </c>
      <c r="H182" t="s">
        <v>13</v>
      </c>
      <c r="I182" s="51" t="str">
        <f>IFERROR(IF(VLOOKUP(E182,extracto!C:C,1,FALSE)=E182,"pagado","no pagado"),"no pagado")</f>
        <v>pagado</v>
      </c>
      <c r="J182" s="52" t="str">
        <f t="shared" ref="J182:J190" si="144">IF(I182="pagado","pagado",IF(G182&lt;$V$1-30,"fuera de fecha","en periodo de pago"))</f>
        <v>pagado</v>
      </c>
      <c r="K182" s="51" t="str">
        <f t="shared" ref="K182:K190" ca="1" si="145">+IF(B182&gt;$V$1,"excluir",IF(J182="en periodo de pago",IF($V$1&gt;G182,"a pagar","proximo a vencer"),"excluir"))</f>
        <v>excluir</v>
      </c>
      <c r="L182" s="51" t="str">
        <f t="shared" ref="L182:L190" ca="1" si="146">+IF(K182="proximo a vencer",IF($V$1+5&gt;G182,"para la semana","no semana"),"no semana")</f>
        <v>no semana</v>
      </c>
      <c r="M182" s="51" t="str">
        <f>IFERROR(VLOOKUP(E182,'cheques a conf'!A:D,4,FALSE),"no clearing")</f>
        <v>no clearing</v>
      </c>
      <c r="N182" s="51">
        <f t="shared" ref="N182:N190" si="147">+WEEKNUM(G182,2)</f>
        <v>9</v>
      </c>
      <c r="O182" s="53">
        <f t="shared" ref="O182:O190" si="148">+MONTH(G182)</f>
        <v>2</v>
      </c>
      <c r="P182" s="53">
        <f t="shared" ref="P182:P190" si="149">+YEAR(G182)</f>
        <v>2025</v>
      </c>
      <c r="Q182" s="53"/>
      <c r="R182" s="53"/>
    </row>
    <row r="183" spans="1:18" customFormat="1" x14ac:dyDescent="0.25">
      <c r="A183">
        <v>3000000310</v>
      </c>
      <c r="B183" s="3">
        <v>45713</v>
      </c>
      <c r="C183" s="9">
        <v>8000000</v>
      </c>
      <c r="D183" t="s">
        <v>350</v>
      </c>
      <c r="E183">
        <v>3400725</v>
      </c>
      <c r="F183" s="9">
        <v>8000000</v>
      </c>
      <c r="G183" s="3">
        <v>45715</v>
      </c>
      <c r="H183" t="s">
        <v>13</v>
      </c>
      <c r="I183" s="51" t="str">
        <f>IFERROR(IF(VLOOKUP(E183,extracto!C:C,1,FALSE)=E183,"pagado","no pagado"),"no pagado")</f>
        <v>pagado</v>
      </c>
      <c r="J183" s="52" t="str">
        <f t="shared" si="144"/>
        <v>pagado</v>
      </c>
      <c r="K183" s="51" t="str">
        <f t="shared" ca="1" si="145"/>
        <v>excluir</v>
      </c>
      <c r="L183" s="51" t="str">
        <f t="shared" ca="1" si="146"/>
        <v>no semana</v>
      </c>
      <c r="M183" s="51" t="str">
        <f>IFERROR(VLOOKUP(E183,'cheques a conf'!A:D,4,FALSE),"no clearing")</f>
        <v>no clearing</v>
      </c>
      <c r="N183" s="51">
        <f t="shared" si="147"/>
        <v>9</v>
      </c>
      <c r="O183" s="53">
        <f t="shared" si="148"/>
        <v>2</v>
      </c>
      <c r="P183" s="53">
        <f t="shared" si="149"/>
        <v>2025</v>
      </c>
      <c r="Q183" s="53"/>
      <c r="R183" s="53"/>
    </row>
    <row r="184" spans="1:18" customFormat="1" x14ac:dyDescent="0.25">
      <c r="A184">
        <v>3000000310</v>
      </c>
      <c r="B184" s="3">
        <v>45713</v>
      </c>
      <c r="C184" s="9">
        <v>8582958.6999999993</v>
      </c>
      <c r="D184" t="s">
        <v>350</v>
      </c>
      <c r="E184">
        <v>3400726</v>
      </c>
      <c r="F184" s="9">
        <v>8582958.6999999993</v>
      </c>
      <c r="G184" s="3">
        <v>45716</v>
      </c>
      <c r="H184" t="s">
        <v>13</v>
      </c>
      <c r="I184" s="51" t="str">
        <f>IFERROR(IF(VLOOKUP(E184,extracto!C:C,1,FALSE)=E184,"pagado","no pagado"),"no pagado")</f>
        <v>pagado</v>
      </c>
      <c r="J184" s="52" t="str">
        <f t="shared" si="144"/>
        <v>pagado</v>
      </c>
      <c r="K184" s="51" t="str">
        <f t="shared" ca="1" si="145"/>
        <v>excluir</v>
      </c>
      <c r="L184" s="51" t="str">
        <f t="shared" ca="1" si="146"/>
        <v>no semana</v>
      </c>
      <c r="M184" s="51" t="str">
        <f>IFERROR(VLOOKUP(E184,'cheques a conf'!A:D,4,FALSE),"no clearing")</f>
        <v>no clearing</v>
      </c>
      <c r="N184" s="51">
        <f t="shared" si="147"/>
        <v>9</v>
      </c>
      <c r="O184" s="53">
        <f t="shared" si="148"/>
        <v>2</v>
      </c>
      <c r="P184" s="53">
        <f t="shared" si="149"/>
        <v>2025</v>
      </c>
      <c r="Q184" s="53"/>
      <c r="R184" s="53"/>
    </row>
    <row r="185" spans="1:18" customFormat="1" x14ac:dyDescent="0.25">
      <c r="A185">
        <v>3000000311</v>
      </c>
      <c r="B185" s="3">
        <v>45713</v>
      </c>
      <c r="C185" s="9">
        <v>5000000</v>
      </c>
      <c r="D185" t="s">
        <v>30</v>
      </c>
      <c r="E185">
        <v>3400727</v>
      </c>
      <c r="F185" s="9">
        <v>5000000</v>
      </c>
      <c r="G185" s="3">
        <v>45715</v>
      </c>
      <c r="H185" t="s">
        <v>13</v>
      </c>
      <c r="I185" s="51" t="str">
        <f>IFERROR(IF(VLOOKUP(E185,extracto!C:C,1,FALSE)=E185,"pagado","no pagado"),"no pagado")</f>
        <v>pagado</v>
      </c>
      <c r="J185" s="52" t="str">
        <f t="shared" si="144"/>
        <v>pagado</v>
      </c>
      <c r="K185" s="51" t="str">
        <f t="shared" ca="1" si="145"/>
        <v>excluir</v>
      </c>
      <c r="L185" s="51" t="str">
        <f t="shared" ca="1" si="146"/>
        <v>no semana</v>
      </c>
      <c r="M185" s="51" t="str">
        <f>IFERROR(VLOOKUP(E185,'cheques a conf'!A:D,4,FALSE),"no clearing")</f>
        <v>no clearing</v>
      </c>
      <c r="N185" s="51">
        <f t="shared" si="147"/>
        <v>9</v>
      </c>
      <c r="O185" s="53">
        <f t="shared" si="148"/>
        <v>2</v>
      </c>
      <c r="P185" s="53">
        <f t="shared" si="149"/>
        <v>2025</v>
      </c>
      <c r="Q185" s="53"/>
      <c r="R185" s="53"/>
    </row>
    <row r="186" spans="1:18" customFormat="1" x14ac:dyDescent="0.25">
      <c r="A186">
        <v>3000000311</v>
      </c>
      <c r="B186" s="3">
        <v>45713</v>
      </c>
      <c r="C186" s="9">
        <v>5777436.9000000004</v>
      </c>
      <c r="D186" t="s">
        <v>30</v>
      </c>
      <c r="E186">
        <v>3400728</v>
      </c>
      <c r="F186" s="9">
        <v>5777436.9000000004</v>
      </c>
      <c r="G186" s="3">
        <v>45716</v>
      </c>
      <c r="H186" t="s">
        <v>13</v>
      </c>
      <c r="I186" s="51" t="str">
        <f>IFERROR(IF(VLOOKUP(E186,extracto!C:C,1,FALSE)=E186,"pagado","no pagado"),"no pagado")</f>
        <v>pagado</v>
      </c>
      <c r="J186" s="52" t="str">
        <f t="shared" si="144"/>
        <v>pagado</v>
      </c>
      <c r="K186" s="51" t="str">
        <f t="shared" ca="1" si="145"/>
        <v>excluir</v>
      </c>
      <c r="L186" s="51" t="str">
        <f t="shared" ca="1" si="146"/>
        <v>no semana</v>
      </c>
      <c r="M186" s="51" t="str">
        <f>IFERROR(VLOOKUP(E186,'cheques a conf'!A:D,4,FALSE),"no clearing")</f>
        <v>no clearing</v>
      </c>
      <c r="N186" s="51">
        <f t="shared" si="147"/>
        <v>9</v>
      </c>
      <c r="O186" s="53">
        <f t="shared" si="148"/>
        <v>2</v>
      </c>
      <c r="P186" s="53">
        <f t="shared" si="149"/>
        <v>2025</v>
      </c>
      <c r="Q186" s="53"/>
      <c r="R186" s="53"/>
    </row>
    <row r="187" spans="1:18" customFormat="1" x14ac:dyDescent="0.25">
      <c r="A187">
        <v>3000000308</v>
      </c>
      <c r="B187" s="3">
        <v>45713</v>
      </c>
      <c r="C187" s="9">
        <v>464138.31</v>
      </c>
      <c r="D187" t="s">
        <v>345</v>
      </c>
      <c r="E187">
        <v>3400722</v>
      </c>
      <c r="F187" s="9">
        <v>464138.31</v>
      </c>
      <c r="G187" s="3">
        <v>45716</v>
      </c>
      <c r="H187" t="s">
        <v>13</v>
      </c>
      <c r="I187" s="51" t="str">
        <f>IFERROR(IF(VLOOKUP(E187,extracto!C:C,1,FALSE)=E187,"pagado","no pagado"),"no pagado")</f>
        <v>pagado</v>
      </c>
      <c r="J187" s="52" t="str">
        <f t="shared" si="144"/>
        <v>pagado</v>
      </c>
      <c r="K187" s="51" t="str">
        <f t="shared" ca="1" si="145"/>
        <v>excluir</v>
      </c>
      <c r="L187" s="51" t="str">
        <f t="shared" ca="1" si="146"/>
        <v>no semana</v>
      </c>
      <c r="M187" s="51" t="str">
        <f>IFERROR(VLOOKUP(E187,'cheques a conf'!A:D,4,FALSE),"no clearing")</f>
        <v>no clearing</v>
      </c>
      <c r="N187" s="51">
        <f t="shared" si="147"/>
        <v>9</v>
      </c>
      <c r="O187" s="53">
        <f t="shared" si="148"/>
        <v>2</v>
      </c>
      <c r="P187" s="53">
        <f t="shared" si="149"/>
        <v>2025</v>
      </c>
      <c r="Q187" s="53"/>
      <c r="R187" s="53"/>
    </row>
    <row r="188" spans="1:18" customFormat="1" x14ac:dyDescent="0.25">
      <c r="A188">
        <v>3000000312</v>
      </c>
      <c r="B188" s="3">
        <v>45713</v>
      </c>
      <c r="C188" s="9">
        <v>7758064.6500000004</v>
      </c>
      <c r="D188" t="s">
        <v>347</v>
      </c>
      <c r="E188">
        <v>3400729</v>
      </c>
      <c r="F188" s="9">
        <v>7758064.6500000004</v>
      </c>
      <c r="G188" s="3">
        <v>45716</v>
      </c>
      <c r="H188" t="s">
        <v>13</v>
      </c>
      <c r="I188" s="51" t="str">
        <f>IFERROR(IF(VLOOKUP(E188,extracto!C:C,1,FALSE)=E188,"pagado","no pagado"),"no pagado")</f>
        <v>pagado</v>
      </c>
      <c r="J188" s="52" t="str">
        <f t="shared" si="144"/>
        <v>pagado</v>
      </c>
      <c r="K188" s="51" t="str">
        <f t="shared" ca="1" si="145"/>
        <v>excluir</v>
      </c>
      <c r="L188" s="51" t="str">
        <f t="shared" ca="1" si="146"/>
        <v>no semana</v>
      </c>
      <c r="M188" s="51" t="str">
        <f>IFERROR(VLOOKUP(E188,'cheques a conf'!A:D,4,FALSE),"no clearing")</f>
        <v>no clearing</v>
      </c>
      <c r="N188" s="51">
        <f t="shared" si="147"/>
        <v>9</v>
      </c>
      <c r="O188" s="53">
        <f t="shared" si="148"/>
        <v>2</v>
      </c>
      <c r="P188" s="53">
        <f t="shared" si="149"/>
        <v>2025</v>
      </c>
      <c r="Q188" s="53"/>
      <c r="R188" s="53"/>
    </row>
    <row r="189" spans="1:18" customFormat="1" x14ac:dyDescent="0.25">
      <c r="A189">
        <v>3000000313</v>
      </c>
      <c r="B189" s="3">
        <v>45713</v>
      </c>
      <c r="C189" s="9">
        <v>2694022.45</v>
      </c>
      <c r="D189" t="s">
        <v>365</v>
      </c>
      <c r="E189">
        <v>3400730</v>
      </c>
      <c r="F189" s="9">
        <v>2694022.45</v>
      </c>
      <c r="G189" s="3">
        <v>45716</v>
      </c>
      <c r="H189" t="s">
        <v>13</v>
      </c>
      <c r="I189" s="51" t="str">
        <f>IFERROR(IF(VLOOKUP(E189,extracto!C:C,1,FALSE)=E189,"pagado","no pagado"),"no pagado")</f>
        <v>pagado</v>
      </c>
      <c r="J189" s="52" t="str">
        <f t="shared" si="144"/>
        <v>pagado</v>
      </c>
      <c r="K189" s="51" t="str">
        <f t="shared" ca="1" si="145"/>
        <v>excluir</v>
      </c>
      <c r="L189" s="51" t="str">
        <f t="shared" ca="1" si="146"/>
        <v>no semana</v>
      </c>
      <c r="M189" s="51" t="str">
        <f>IFERROR(VLOOKUP(E189,'cheques a conf'!A:D,4,FALSE),"no clearing")</f>
        <v>no clearing</v>
      </c>
      <c r="N189" s="51">
        <f t="shared" si="147"/>
        <v>9</v>
      </c>
      <c r="O189" s="53">
        <f t="shared" si="148"/>
        <v>2</v>
      </c>
      <c r="P189" s="53">
        <f t="shared" si="149"/>
        <v>2025</v>
      </c>
      <c r="Q189" s="53"/>
      <c r="R189" s="53"/>
    </row>
    <row r="190" spans="1:18" customFormat="1" x14ac:dyDescent="0.25">
      <c r="A190">
        <v>3000000314</v>
      </c>
      <c r="B190" s="3">
        <v>45713</v>
      </c>
      <c r="C190" s="9">
        <v>4439047.0599999996</v>
      </c>
      <c r="D190" t="s">
        <v>337</v>
      </c>
      <c r="E190">
        <v>3400731</v>
      </c>
      <c r="F190" s="9">
        <v>4439047.0599999996</v>
      </c>
      <c r="G190" s="3">
        <v>45716</v>
      </c>
      <c r="H190" t="s">
        <v>13</v>
      </c>
      <c r="I190" s="51" t="str">
        <f>IFERROR(IF(VLOOKUP(E190,extracto!C:C,1,FALSE)=E190,"pagado","no pagado"),"no pagado")</f>
        <v>pagado</v>
      </c>
      <c r="J190" s="52" t="str">
        <f t="shared" si="144"/>
        <v>pagado</v>
      </c>
      <c r="K190" s="51" t="str">
        <f t="shared" ca="1" si="145"/>
        <v>excluir</v>
      </c>
      <c r="L190" s="51" t="str">
        <f t="shared" ca="1" si="146"/>
        <v>no semana</v>
      </c>
      <c r="M190" s="51" t="str">
        <f>IFERROR(VLOOKUP(E190,'cheques a conf'!A:D,4,FALSE),"no clearing")</f>
        <v>no clearing</v>
      </c>
      <c r="N190" s="51">
        <f t="shared" si="147"/>
        <v>9</v>
      </c>
      <c r="O190" s="53">
        <f t="shared" si="148"/>
        <v>2</v>
      </c>
      <c r="P190" s="53">
        <f t="shared" si="149"/>
        <v>2025</v>
      </c>
      <c r="Q190" s="53"/>
      <c r="R190" s="53"/>
    </row>
    <row r="191" spans="1:18" customFormat="1" x14ac:dyDescent="0.25">
      <c r="A191">
        <v>3000000315</v>
      </c>
      <c r="B191" s="3">
        <v>45713</v>
      </c>
      <c r="C191" s="9">
        <v>6104379.1299999999</v>
      </c>
      <c r="D191" t="s">
        <v>371</v>
      </c>
      <c r="E191">
        <v>3400732</v>
      </c>
      <c r="F191" s="9">
        <v>6104379.1299999999</v>
      </c>
      <c r="G191" s="3">
        <v>45716</v>
      </c>
      <c r="H191" t="s">
        <v>13</v>
      </c>
      <c r="I191" s="51" t="str">
        <f>IFERROR(IF(VLOOKUP(E191,extracto!C:C,1,FALSE)=E191,"pagado","no pagado"),"no pagado")</f>
        <v>pagado</v>
      </c>
      <c r="J191" s="52" t="str">
        <f t="shared" ref="J191:J193" si="150">IF(I191="pagado","pagado",IF(G191&lt;$V$1-30,"fuera de fecha","en periodo de pago"))</f>
        <v>pagado</v>
      </c>
      <c r="K191" s="51" t="str">
        <f t="shared" ref="K191:K193" ca="1" si="151">+IF(B191&gt;$V$1,"excluir",IF(J191="en periodo de pago",IF($V$1&gt;G191,"a pagar","proximo a vencer"),"excluir"))</f>
        <v>excluir</v>
      </c>
      <c r="L191" s="51" t="str">
        <f t="shared" ref="L191:L193" ca="1" si="152">+IF(K191="proximo a vencer",IF($V$1+5&gt;G191,"para la semana","no semana"),"no semana")</f>
        <v>no semana</v>
      </c>
      <c r="M191" s="51" t="str">
        <f>IFERROR(VLOOKUP(E191,'cheques a conf'!A:D,4,FALSE),"no clearing")</f>
        <v>no clearing</v>
      </c>
      <c r="N191" s="51">
        <f t="shared" ref="N191:N193" si="153">+WEEKNUM(G191,2)</f>
        <v>9</v>
      </c>
      <c r="O191" s="53">
        <f t="shared" ref="O191:O193" si="154">+MONTH(G191)</f>
        <v>2</v>
      </c>
      <c r="P191" s="53">
        <f t="shared" ref="P191:P193" si="155">+YEAR(G191)</f>
        <v>2025</v>
      </c>
      <c r="Q191" s="53"/>
      <c r="R191" s="53"/>
    </row>
    <row r="192" spans="1:18" customFormat="1" x14ac:dyDescent="0.25">
      <c r="A192">
        <v>3000000316</v>
      </c>
      <c r="B192" s="3">
        <v>45713</v>
      </c>
      <c r="C192" s="9">
        <v>2914278.75</v>
      </c>
      <c r="D192" t="s">
        <v>372</v>
      </c>
      <c r="E192">
        <v>3400733</v>
      </c>
      <c r="F192" s="9">
        <v>2914278.75</v>
      </c>
      <c r="G192" s="3">
        <v>45716</v>
      </c>
      <c r="H192" t="s">
        <v>13</v>
      </c>
      <c r="I192" s="51" t="str">
        <f>IFERROR(IF(VLOOKUP(E192,extracto!C:C,1,FALSE)=E192,"pagado","no pagado"),"no pagado")</f>
        <v>pagado</v>
      </c>
      <c r="J192" s="52" t="str">
        <f t="shared" si="150"/>
        <v>pagado</v>
      </c>
      <c r="K192" s="51" t="str">
        <f t="shared" ca="1" si="151"/>
        <v>excluir</v>
      </c>
      <c r="L192" s="51" t="str">
        <f t="shared" ca="1" si="152"/>
        <v>no semana</v>
      </c>
      <c r="M192" s="51" t="str">
        <f>IFERROR(VLOOKUP(E192,'cheques a conf'!A:D,4,FALSE),"no clearing")</f>
        <v>no clearing</v>
      </c>
      <c r="N192" s="51">
        <f t="shared" si="153"/>
        <v>9</v>
      </c>
      <c r="O192" s="53">
        <f t="shared" si="154"/>
        <v>2</v>
      </c>
      <c r="P192" s="53">
        <f t="shared" si="155"/>
        <v>2025</v>
      </c>
      <c r="Q192" s="53"/>
      <c r="R192" s="53"/>
    </row>
    <row r="193" spans="1:18" customFormat="1" x14ac:dyDescent="0.25">
      <c r="A193">
        <v>3000000317</v>
      </c>
      <c r="B193" s="3">
        <v>45713</v>
      </c>
      <c r="C193" s="9">
        <v>4926343.4000000004</v>
      </c>
      <c r="D193" t="s">
        <v>304</v>
      </c>
      <c r="E193">
        <v>3400734</v>
      </c>
      <c r="F193" s="9">
        <v>4926343.4000000004</v>
      </c>
      <c r="G193" s="3">
        <v>45715</v>
      </c>
      <c r="H193" t="s">
        <v>13</v>
      </c>
      <c r="I193" s="51" t="str">
        <f>IFERROR(IF(VLOOKUP(E193,extracto!C:C,1,FALSE)=E193,"pagado","no pagado"),"no pagado")</f>
        <v>pagado</v>
      </c>
      <c r="J193" s="52" t="str">
        <f t="shared" si="150"/>
        <v>pagado</v>
      </c>
      <c r="K193" s="51" t="str">
        <f t="shared" ca="1" si="151"/>
        <v>excluir</v>
      </c>
      <c r="L193" s="51" t="str">
        <f t="shared" ca="1" si="152"/>
        <v>no semana</v>
      </c>
      <c r="M193" s="51" t="str">
        <f>IFERROR(VLOOKUP(E193,'cheques a conf'!A:D,4,FALSE),"no clearing")</f>
        <v>no clearing</v>
      </c>
      <c r="N193" s="51">
        <f t="shared" si="153"/>
        <v>9</v>
      </c>
      <c r="O193" s="53">
        <f t="shared" si="154"/>
        <v>2</v>
      </c>
      <c r="P193" s="53">
        <f t="shared" si="155"/>
        <v>2025</v>
      </c>
      <c r="Q193" s="53"/>
      <c r="R193" s="53"/>
    </row>
    <row r="194" spans="1:18" customFormat="1" x14ac:dyDescent="0.25">
      <c r="A194">
        <v>3000000327</v>
      </c>
      <c r="B194" s="3">
        <v>45714</v>
      </c>
      <c r="C194" s="9">
        <v>515024</v>
      </c>
      <c r="D194" t="s">
        <v>373</v>
      </c>
      <c r="E194">
        <v>94231522</v>
      </c>
      <c r="F194" s="9">
        <v>515024</v>
      </c>
      <c r="G194" s="3">
        <v>45715</v>
      </c>
      <c r="H194" t="s">
        <v>13</v>
      </c>
      <c r="I194" s="51" t="str">
        <f>IFERROR(IF(VLOOKUP(E194,extracto!C:C,1,FALSE)=E194,"pagado","no pagado"),"no pagado")</f>
        <v>pagado</v>
      </c>
      <c r="J194" s="52" t="str">
        <f t="shared" ref="J194" si="156">IF(I194="pagado","pagado",IF(G194&lt;$V$1-30,"fuera de fecha","en periodo de pago"))</f>
        <v>pagado</v>
      </c>
      <c r="K194" s="51" t="str">
        <f t="shared" ref="K194" ca="1" si="157">+IF(B194&gt;$V$1,"excluir",IF(J194="en periodo de pago",IF($V$1&gt;G194,"a pagar","proximo a vencer"),"excluir"))</f>
        <v>excluir</v>
      </c>
      <c r="L194" s="51" t="str">
        <f t="shared" ref="L194" ca="1" si="158">+IF(K194="proximo a vencer",IF($V$1+5&gt;G194,"para la semana","no semana"),"no semana")</f>
        <v>no semana</v>
      </c>
      <c r="M194" s="51" t="str">
        <f>IFERROR(VLOOKUP(E194,'cheques a conf'!A:D,4,FALSE),"no clearing")</f>
        <v>no clearing</v>
      </c>
      <c r="N194" s="51">
        <f t="shared" ref="N194" si="159">+WEEKNUM(G194,2)</f>
        <v>9</v>
      </c>
      <c r="O194" s="53">
        <f t="shared" ref="O194" si="160">+MONTH(G194)</f>
        <v>2</v>
      </c>
      <c r="P194" s="53">
        <f t="shared" ref="P194" si="161">+YEAR(G194)</f>
        <v>2025</v>
      </c>
      <c r="Q194" s="53"/>
      <c r="R194" s="53"/>
    </row>
    <row r="195" spans="1:18" customFormat="1" x14ac:dyDescent="0.25">
      <c r="A195">
        <v>3000000329</v>
      </c>
      <c r="B195" s="3">
        <v>45714</v>
      </c>
      <c r="C195" s="9">
        <v>10037035.439999999</v>
      </c>
      <c r="D195" t="s">
        <v>359</v>
      </c>
      <c r="E195">
        <v>3400735</v>
      </c>
      <c r="F195" s="9">
        <v>10037035.439999999</v>
      </c>
      <c r="G195" s="3">
        <v>45721</v>
      </c>
      <c r="H195" t="s">
        <v>13</v>
      </c>
      <c r="I195" s="51" t="str">
        <f>IFERROR(IF(VLOOKUP(E195,extracto!C:C,1,FALSE)=E195,"pagado","no pagado"),"no pagado")</f>
        <v>pagado</v>
      </c>
      <c r="J195" s="52" t="str">
        <f t="shared" ref="J195:J219" si="162">IF(I195="pagado","pagado",IF(G195&lt;$V$1-30,"fuera de fecha","en periodo de pago"))</f>
        <v>pagado</v>
      </c>
      <c r="K195" s="51" t="str">
        <f t="shared" ref="K195:K219" ca="1" si="163">+IF(B195&gt;$V$1,"excluir",IF(J195="en periodo de pago",IF($V$1&gt;G195,"a pagar","proximo a vencer"),"excluir"))</f>
        <v>excluir</v>
      </c>
      <c r="L195" s="51" t="str">
        <f t="shared" ref="L195:L219" ca="1" si="164">+IF(K195="proximo a vencer",IF($V$1+5&gt;G195,"para la semana","no semana"),"no semana")</f>
        <v>no semana</v>
      </c>
      <c r="M195" s="51" t="str">
        <f>IFERROR(VLOOKUP(E195,'cheques a conf'!A:D,4,FALSE),"no clearing")</f>
        <v>no clearing</v>
      </c>
      <c r="N195" s="51">
        <f t="shared" ref="N195:N219" si="165">+WEEKNUM(G195,2)</f>
        <v>10</v>
      </c>
      <c r="O195" s="53">
        <f t="shared" ref="O195:O219" si="166">+MONTH(G195)</f>
        <v>3</v>
      </c>
      <c r="P195" s="53">
        <f t="shared" ref="P195:P219" si="167">+YEAR(G195)</f>
        <v>2025</v>
      </c>
      <c r="Q195" s="53"/>
    </row>
    <row r="196" spans="1:18" customFormat="1" x14ac:dyDescent="0.25">
      <c r="A196">
        <v>3000000340</v>
      </c>
      <c r="B196" s="3">
        <v>45715</v>
      </c>
      <c r="C196" s="9">
        <v>1289536.05</v>
      </c>
      <c r="D196" t="s">
        <v>303</v>
      </c>
      <c r="E196">
        <v>3400736</v>
      </c>
      <c r="F196" s="9">
        <v>1289536.05</v>
      </c>
      <c r="G196" s="3">
        <v>45721</v>
      </c>
      <c r="H196" t="s">
        <v>13</v>
      </c>
      <c r="I196" s="51" t="str">
        <f>IFERROR(IF(VLOOKUP(E196,extracto!C:C,1,FALSE)=E196,"pagado","no pagado"),"no pagado")</f>
        <v>pagado</v>
      </c>
      <c r="J196" s="52" t="str">
        <f t="shared" si="162"/>
        <v>pagado</v>
      </c>
      <c r="K196" s="51" t="str">
        <f t="shared" ca="1" si="163"/>
        <v>excluir</v>
      </c>
      <c r="L196" s="51" t="str">
        <f t="shared" ca="1" si="164"/>
        <v>no semana</v>
      </c>
      <c r="M196" s="51" t="str">
        <f>IFERROR(VLOOKUP(E196,'cheques a conf'!A:D,4,FALSE),"no clearing")</f>
        <v>no clearing</v>
      </c>
      <c r="N196" s="51">
        <f t="shared" si="165"/>
        <v>10</v>
      </c>
      <c r="O196" s="53">
        <f t="shared" si="166"/>
        <v>3</v>
      </c>
      <c r="P196" s="53">
        <f t="shared" si="167"/>
        <v>2025</v>
      </c>
      <c r="Q196" s="53"/>
    </row>
    <row r="197" spans="1:18" customFormat="1" x14ac:dyDescent="0.25">
      <c r="A197">
        <v>3000000341</v>
      </c>
      <c r="B197" s="3">
        <v>45715</v>
      </c>
      <c r="C197" s="9">
        <v>4903650.8099999996</v>
      </c>
      <c r="D197" t="s">
        <v>374</v>
      </c>
      <c r="E197">
        <v>3400737</v>
      </c>
      <c r="F197" s="9">
        <v>4903650.8099999996</v>
      </c>
      <c r="G197" s="3">
        <v>45721</v>
      </c>
      <c r="H197" t="s">
        <v>13</v>
      </c>
      <c r="I197" s="51" t="str">
        <f>IFERROR(IF(VLOOKUP(E197,extracto!C:C,1,FALSE)=E197,"pagado","no pagado"),"no pagado")</f>
        <v>pagado</v>
      </c>
      <c r="J197" s="52" t="str">
        <f t="shared" si="162"/>
        <v>pagado</v>
      </c>
      <c r="K197" s="51" t="str">
        <f t="shared" ca="1" si="163"/>
        <v>excluir</v>
      </c>
      <c r="L197" s="51" t="str">
        <f t="shared" ca="1" si="164"/>
        <v>no semana</v>
      </c>
      <c r="M197" s="51" t="str">
        <f>IFERROR(VLOOKUP(E197,'cheques a conf'!A:D,4,FALSE),"no clearing")</f>
        <v>no clearing</v>
      </c>
      <c r="N197" s="51">
        <f t="shared" si="165"/>
        <v>10</v>
      </c>
      <c r="O197" s="53">
        <f t="shared" si="166"/>
        <v>3</v>
      </c>
      <c r="P197" s="53">
        <f t="shared" si="167"/>
        <v>2025</v>
      </c>
      <c r="Q197" s="53"/>
    </row>
    <row r="198" spans="1:18" customFormat="1" x14ac:dyDescent="0.25">
      <c r="A198" s="21">
        <v>3000000356</v>
      </c>
      <c r="B198" s="22">
        <v>45723</v>
      </c>
      <c r="C198" s="20">
        <v>14397858.050000001</v>
      </c>
      <c r="D198" s="21" t="s">
        <v>303</v>
      </c>
      <c r="E198" s="21">
        <v>3400738</v>
      </c>
      <c r="F198" s="20">
        <v>14397858.050000001</v>
      </c>
      <c r="G198" s="22">
        <v>45728</v>
      </c>
      <c r="H198" t="s">
        <v>13</v>
      </c>
      <c r="I198" s="51" t="str">
        <f>IFERROR(IF(VLOOKUP(E198,extracto!C:C,1,FALSE)=E198,"pagado","no pagado"),"no pagado")</f>
        <v>pagado</v>
      </c>
      <c r="J198" s="52" t="str">
        <f t="shared" si="162"/>
        <v>pagado</v>
      </c>
      <c r="K198" s="51" t="str">
        <f t="shared" ca="1" si="163"/>
        <v>excluir</v>
      </c>
      <c r="L198" s="51" t="str">
        <f t="shared" ca="1" si="164"/>
        <v>no semana</v>
      </c>
      <c r="M198" s="51" t="str">
        <f>IFERROR(VLOOKUP(E198,'cheques a conf'!A:D,4,FALSE),"no clearing")</f>
        <v>no clearing</v>
      </c>
      <c r="N198" s="51">
        <f t="shared" si="165"/>
        <v>11</v>
      </c>
      <c r="O198" s="53">
        <f t="shared" si="166"/>
        <v>3</v>
      </c>
      <c r="P198" s="53">
        <f t="shared" si="167"/>
        <v>2025</v>
      </c>
      <c r="Q198" s="53"/>
    </row>
    <row r="199" spans="1:18" customFormat="1" x14ac:dyDescent="0.25">
      <c r="A199" s="21">
        <v>3000000357</v>
      </c>
      <c r="B199" s="22">
        <v>45723</v>
      </c>
      <c r="C199" s="20">
        <v>13016615.41</v>
      </c>
      <c r="D199" s="21" t="s">
        <v>338</v>
      </c>
      <c r="E199" s="21">
        <v>3400739</v>
      </c>
      <c r="F199" s="20">
        <v>13016615.41</v>
      </c>
      <c r="G199" s="22">
        <v>45728</v>
      </c>
      <c r="H199" t="s">
        <v>13</v>
      </c>
      <c r="I199" s="51" t="str">
        <f>IFERROR(IF(VLOOKUP(E199,extracto!C:C,1,FALSE)=E199,"pagado","no pagado"),"no pagado")</f>
        <v>pagado</v>
      </c>
      <c r="J199" s="52" t="str">
        <f t="shared" si="162"/>
        <v>pagado</v>
      </c>
      <c r="K199" s="51" t="str">
        <f t="shared" ca="1" si="163"/>
        <v>excluir</v>
      </c>
      <c r="L199" s="51" t="str">
        <f t="shared" ca="1" si="164"/>
        <v>no semana</v>
      </c>
      <c r="M199" s="51" t="str">
        <f>IFERROR(VLOOKUP(E199,'cheques a conf'!A:D,4,FALSE),"no clearing")</f>
        <v>no clearing</v>
      </c>
      <c r="N199" s="51">
        <f t="shared" si="165"/>
        <v>11</v>
      </c>
      <c r="O199" s="53">
        <f t="shared" si="166"/>
        <v>3</v>
      </c>
      <c r="P199" s="53">
        <f t="shared" si="167"/>
        <v>2025</v>
      </c>
      <c r="Q199" s="53"/>
    </row>
    <row r="200" spans="1:18" customFormat="1" x14ac:dyDescent="0.25">
      <c r="A200" s="21">
        <v>1200000122</v>
      </c>
      <c r="B200" s="22">
        <v>45723</v>
      </c>
      <c r="C200" s="20">
        <v>11343092.050000001</v>
      </c>
      <c r="D200" s="21" t="s">
        <v>296</v>
      </c>
      <c r="E200" s="21">
        <v>3400740</v>
      </c>
      <c r="F200" s="20">
        <v>11343092.050000001</v>
      </c>
      <c r="G200" s="22">
        <v>45728</v>
      </c>
      <c r="H200" t="s">
        <v>13</v>
      </c>
      <c r="I200" s="51" t="str">
        <f>IFERROR(IF(VLOOKUP(E200,extracto!C:C,1,FALSE)=E200,"pagado","no pagado"),"no pagado")</f>
        <v>pagado</v>
      </c>
      <c r="J200" s="52" t="str">
        <f t="shared" si="162"/>
        <v>pagado</v>
      </c>
      <c r="K200" s="51" t="str">
        <f t="shared" ca="1" si="163"/>
        <v>excluir</v>
      </c>
      <c r="L200" s="51" t="str">
        <f t="shared" ca="1" si="164"/>
        <v>no semana</v>
      </c>
      <c r="M200" s="51" t="str">
        <f>IFERROR(VLOOKUP(E200,'cheques a conf'!A:D,4,FALSE),"no clearing")</f>
        <v>no clearing</v>
      </c>
      <c r="N200" s="51">
        <f t="shared" si="165"/>
        <v>11</v>
      </c>
      <c r="O200" s="53">
        <f t="shared" si="166"/>
        <v>3</v>
      </c>
      <c r="P200" s="53">
        <f t="shared" si="167"/>
        <v>2025</v>
      </c>
      <c r="Q200" s="53"/>
    </row>
    <row r="201" spans="1:18" customFormat="1" x14ac:dyDescent="0.25">
      <c r="A201" s="21">
        <v>1200000124</v>
      </c>
      <c r="B201" s="22">
        <v>45723</v>
      </c>
      <c r="C201" s="20">
        <v>11365218.630000001</v>
      </c>
      <c r="D201" s="21" t="s">
        <v>296</v>
      </c>
      <c r="E201" s="21">
        <v>3400741</v>
      </c>
      <c r="F201" s="20">
        <v>11365218.630000001</v>
      </c>
      <c r="G201" s="22">
        <v>45728</v>
      </c>
      <c r="H201" t="s">
        <v>13</v>
      </c>
      <c r="I201" s="51" t="str">
        <f>IFERROR(IF(VLOOKUP(E201,extracto!C:C,1,FALSE)=E201,"pagado","no pagado"),"no pagado")</f>
        <v>pagado</v>
      </c>
      <c r="J201" s="52" t="str">
        <f t="shared" si="162"/>
        <v>pagado</v>
      </c>
      <c r="K201" s="51" t="str">
        <f t="shared" ca="1" si="163"/>
        <v>excluir</v>
      </c>
      <c r="L201" s="51" t="str">
        <f t="shared" ca="1" si="164"/>
        <v>no semana</v>
      </c>
      <c r="M201" s="51" t="str">
        <f>IFERROR(VLOOKUP(E201,'cheques a conf'!A:D,4,FALSE),"no clearing")</f>
        <v>no clearing</v>
      </c>
      <c r="N201" s="51">
        <f t="shared" si="165"/>
        <v>11</v>
      </c>
      <c r="O201" s="53">
        <f t="shared" si="166"/>
        <v>3</v>
      </c>
      <c r="P201" s="53">
        <f t="shared" si="167"/>
        <v>2025</v>
      </c>
      <c r="Q201" s="53"/>
    </row>
    <row r="202" spans="1:18" customFormat="1" x14ac:dyDescent="0.25">
      <c r="A202" s="21">
        <v>3000000415</v>
      </c>
      <c r="B202" s="22">
        <v>45734</v>
      </c>
      <c r="C202" s="9">
        <v>13371410</v>
      </c>
      <c r="D202" s="21" t="s">
        <v>22</v>
      </c>
      <c r="E202">
        <v>94231523</v>
      </c>
      <c r="F202" s="9">
        <v>13371410</v>
      </c>
      <c r="G202" s="22">
        <v>45735</v>
      </c>
      <c r="H202" t="s">
        <v>13</v>
      </c>
      <c r="I202" s="51" t="str">
        <f>IFERROR(IF(VLOOKUP(E202,extracto!C:C,1,FALSE)=E202,"pagado","no pagado"),"no pagado")</f>
        <v>pagado</v>
      </c>
      <c r="J202" s="52" t="str">
        <f t="shared" si="162"/>
        <v>pagado</v>
      </c>
      <c r="K202" s="51" t="str">
        <f t="shared" ca="1" si="163"/>
        <v>excluir</v>
      </c>
      <c r="L202" s="51" t="str">
        <f t="shared" ca="1" si="164"/>
        <v>no semana</v>
      </c>
      <c r="M202" s="51" t="str">
        <f>IFERROR(VLOOKUP(E202,'cheques a conf'!A:D,4,FALSE),"no clearing")</f>
        <v>no clearing</v>
      </c>
      <c r="N202" s="51">
        <f t="shared" si="165"/>
        <v>12</v>
      </c>
      <c r="O202" s="53">
        <f t="shared" si="166"/>
        <v>3</v>
      </c>
      <c r="P202" s="53">
        <f t="shared" si="167"/>
        <v>2025</v>
      </c>
      <c r="Q202" s="53"/>
    </row>
    <row r="203" spans="1:18" customFormat="1" x14ac:dyDescent="0.25">
      <c r="A203" s="21">
        <v>3000000394</v>
      </c>
      <c r="B203" s="22">
        <v>45733</v>
      </c>
      <c r="C203" s="20">
        <v>13000000</v>
      </c>
      <c r="D203" s="21" t="s">
        <v>350</v>
      </c>
      <c r="E203" s="21">
        <v>97123434</v>
      </c>
      <c r="F203" s="20">
        <v>13000000</v>
      </c>
      <c r="G203" s="22">
        <v>45735</v>
      </c>
      <c r="H203" t="s">
        <v>61</v>
      </c>
      <c r="I203" s="51" t="str">
        <f>IFERROR(IF(VLOOKUP(E203,extracto!C:C,1,FALSE)=E203,"pagado","no pagado"),"no pagado")</f>
        <v>pagado</v>
      </c>
      <c r="J203" s="52" t="str">
        <f t="shared" si="162"/>
        <v>pagado</v>
      </c>
      <c r="K203" s="51" t="str">
        <f t="shared" ca="1" si="163"/>
        <v>excluir</v>
      </c>
      <c r="L203" s="51" t="str">
        <f t="shared" ca="1" si="164"/>
        <v>no semana</v>
      </c>
      <c r="M203" s="51" t="str">
        <f>IFERROR(VLOOKUP(E203,'cheques a conf'!A:D,4,FALSE),"no clearing")</f>
        <v>no clearing</v>
      </c>
      <c r="N203" s="51">
        <f t="shared" si="165"/>
        <v>12</v>
      </c>
      <c r="O203" s="53">
        <f t="shared" si="166"/>
        <v>3</v>
      </c>
      <c r="P203" s="53">
        <f t="shared" si="167"/>
        <v>2025</v>
      </c>
      <c r="Q203" s="53"/>
    </row>
    <row r="204" spans="1:18" customFormat="1" x14ac:dyDescent="0.25">
      <c r="A204" s="21">
        <v>3000000394</v>
      </c>
      <c r="B204" s="22">
        <v>45733</v>
      </c>
      <c r="C204" s="20">
        <v>12866828.1</v>
      </c>
      <c r="D204" s="21" t="s">
        <v>350</v>
      </c>
      <c r="E204" s="21">
        <v>97123435</v>
      </c>
      <c r="F204" s="20">
        <v>12866828.1</v>
      </c>
      <c r="G204" s="22">
        <v>45736</v>
      </c>
      <c r="H204" t="s">
        <v>61</v>
      </c>
      <c r="I204" s="51" t="str">
        <f>IFERROR(IF(VLOOKUP(E204,extracto!C:C,1,FALSE)=E204,"pagado","no pagado"),"no pagado")</f>
        <v>pagado</v>
      </c>
      <c r="J204" s="52" t="str">
        <f t="shared" si="162"/>
        <v>pagado</v>
      </c>
      <c r="K204" s="51" t="str">
        <f t="shared" ca="1" si="163"/>
        <v>excluir</v>
      </c>
      <c r="L204" s="51" t="str">
        <f t="shared" ca="1" si="164"/>
        <v>no semana</v>
      </c>
      <c r="M204" s="51" t="str">
        <f>IFERROR(VLOOKUP(E204,'cheques a conf'!A:D,4,FALSE),"no clearing")</f>
        <v>no clearing</v>
      </c>
      <c r="N204" s="51">
        <f t="shared" si="165"/>
        <v>12</v>
      </c>
      <c r="O204" s="53">
        <f t="shared" si="166"/>
        <v>3</v>
      </c>
      <c r="P204" s="53">
        <f t="shared" si="167"/>
        <v>2025</v>
      </c>
      <c r="Q204" s="53"/>
    </row>
    <row r="205" spans="1:18" customFormat="1" x14ac:dyDescent="0.25">
      <c r="A205" s="21">
        <v>3000000398</v>
      </c>
      <c r="B205" s="22">
        <v>45733</v>
      </c>
      <c r="C205" s="20">
        <v>23000000</v>
      </c>
      <c r="D205" s="21" t="s">
        <v>365</v>
      </c>
      <c r="E205" s="21">
        <v>97123439</v>
      </c>
      <c r="F205" s="20">
        <v>23000000</v>
      </c>
      <c r="G205" s="22">
        <v>45735</v>
      </c>
      <c r="H205" t="s">
        <v>61</v>
      </c>
      <c r="I205" s="51" t="str">
        <f>IFERROR(IF(VLOOKUP(E205,extracto!C:C,1,FALSE)=E205,"pagado","no pagado"),"no pagado")</f>
        <v>pagado</v>
      </c>
      <c r="J205" s="52" t="str">
        <f t="shared" si="162"/>
        <v>pagado</v>
      </c>
      <c r="K205" s="51" t="str">
        <f t="shared" ca="1" si="163"/>
        <v>excluir</v>
      </c>
      <c r="L205" s="51" t="str">
        <f t="shared" ca="1" si="164"/>
        <v>no semana</v>
      </c>
      <c r="M205" s="51" t="str">
        <f>IFERROR(VLOOKUP(E205,'cheques a conf'!A:D,4,FALSE),"no clearing")</f>
        <v>no clearing</v>
      </c>
      <c r="N205" s="51">
        <f t="shared" si="165"/>
        <v>12</v>
      </c>
      <c r="O205" s="53">
        <f t="shared" si="166"/>
        <v>3</v>
      </c>
      <c r="P205" s="53">
        <f t="shared" si="167"/>
        <v>2025</v>
      </c>
      <c r="Q205" s="53"/>
    </row>
    <row r="206" spans="1:18" customFormat="1" x14ac:dyDescent="0.25">
      <c r="A206" s="21">
        <v>3000000398</v>
      </c>
      <c r="B206" s="22">
        <v>45733</v>
      </c>
      <c r="C206" s="20">
        <v>23741732.899999999</v>
      </c>
      <c r="D206" s="21" t="s">
        <v>365</v>
      </c>
      <c r="E206" s="21">
        <v>97123440</v>
      </c>
      <c r="F206" s="20">
        <v>23741732.899999999</v>
      </c>
      <c r="G206" s="22">
        <v>45736</v>
      </c>
      <c r="H206" t="s">
        <v>61</v>
      </c>
      <c r="I206" s="51" t="str">
        <f>IFERROR(IF(VLOOKUP(E206,extracto!C:C,1,FALSE)=E206,"pagado","no pagado"),"no pagado")</f>
        <v>pagado</v>
      </c>
      <c r="J206" s="52" t="str">
        <f t="shared" si="162"/>
        <v>pagado</v>
      </c>
      <c r="K206" s="51" t="str">
        <f t="shared" ca="1" si="163"/>
        <v>excluir</v>
      </c>
      <c r="L206" s="51" t="str">
        <f t="shared" ca="1" si="164"/>
        <v>no semana</v>
      </c>
      <c r="M206" s="51" t="str">
        <f>IFERROR(VLOOKUP(E206,'cheques a conf'!A:D,4,FALSE),"no clearing")</f>
        <v>no clearing</v>
      </c>
      <c r="N206" s="51">
        <f t="shared" si="165"/>
        <v>12</v>
      </c>
      <c r="O206" s="53">
        <f t="shared" si="166"/>
        <v>3</v>
      </c>
      <c r="P206" s="53">
        <f t="shared" si="167"/>
        <v>2025</v>
      </c>
      <c r="Q206" s="53"/>
    </row>
    <row r="207" spans="1:18" customFormat="1" x14ac:dyDescent="0.25">
      <c r="A207" s="21">
        <v>3000000399</v>
      </c>
      <c r="B207" s="22">
        <v>45733</v>
      </c>
      <c r="C207" s="20">
        <v>15000000</v>
      </c>
      <c r="D207" s="21" t="s">
        <v>361</v>
      </c>
      <c r="E207" s="21">
        <v>97123441</v>
      </c>
      <c r="F207" s="20">
        <v>15000000</v>
      </c>
      <c r="G207" s="22">
        <v>45735</v>
      </c>
      <c r="H207" t="s">
        <v>61</v>
      </c>
      <c r="I207" s="51" t="str">
        <f>IFERROR(IF(VLOOKUP(E207,extracto!C:C,1,FALSE)=E207,"pagado","no pagado"),"no pagado")</f>
        <v>pagado</v>
      </c>
      <c r="J207" s="52" t="str">
        <f t="shared" si="162"/>
        <v>pagado</v>
      </c>
      <c r="K207" s="51" t="str">
        <f t="shared" ca="1" si="163"/>
        <v>excluir</v>
      </c>
      <c r="L207" s="51" t="str">
        <f t="shared" ca="1" si="164"/>
        <v>no semana</v>
      </c>
      <c r="M207" s="51" t="str">
        <f>IFERROR(VLOOKUP(E207,'cheques a conf'!A:D,4,FALSE),"no clearing")</f>
        <v>no clearing</v>
      </c>
      <c r="N207" s="51">
        <f t="shared" si="165"/>
        <v>12</v>
      </c>
      <c r="O207" s="53">
        <f t="shared" si="166"/>
        <v>3</v>
      </c>
      <c r="P207" s="53">
        <f t="shared" si="167"/>
        <v>2025</v>
      </c>
      <c r="Q207" s="53"/>
    </row>
    <row r="208" spans="1:18" customFormat="1" x14ac:dyDescent="0.25">
      <c r="A208" s="21">
        <v>3000000399</v>
      </c>
      <c r="B208" s="22">
        <v>45733</v>
      </c>
      <c r="C208" s="20">
        <v>15017868.4</v>
      </c>
      <c r="D208" s="21" t="s">
        <v>361</v>
      </c>
      <c r="E208" s="21">
        <v>97123442</v>
      </c>
      <c r="F208" s="20">
        <v>15017868.4</v>
      </c>
      <c r="G208" s="22">
        <v>45736</v>
      </c>
      <c r="H208" t="s">
        <v>61</v>
      </c>
      <c r="I208" s="51" t="str">
        <f>IFERROR(IF(VLOOKUP(E208,extracto!C:C,1,FALSE)=E208,"pagado","no pagado"),"no pagado")</f>
        <v>pagado</v>
      </c>
      <c r="J208" s="52" t="str">
        <f t="shared" si="162"/>
        <v>pagado</v>
      </c>
      <c r="K208" s="51" t="str">
        <f t="shared" ca="1" si="163"/>
        <v>excluir</v>
      </c>
      <c r="L208" s="51" t="str">
        <f t="shared" ca="1" si="164"/>
        <v>no semana</v>
      </c>
      <c r="M208" s="51" t="str">
        <f>IFERROR(VLOOKUP(E208,'cheques a conf'!A:D,4,FALSE),"no clearing")</f>
        <v>no clearing</v>
      </c>
      <c r="N208" s="51">
        <f t="shared" si="165"/>
        <v>12</v>
      </c>
      <c r="O208" s="53">
        <f t="shared" si="166"/>
        <v>3</v>
      </c>
      <c r="P208" s="53">
        <f t="shared" si="167"/>
        <v>2025</v>
      </c>
      <c r="Q208" s="53"/>
    </row>
    <row r="209" spans="1:17" customFormat="1" x14ac:dyDescent="0.25">
      <c r="A209" s="21">
        <v>3000000400</v>
      </c>
      <c r="B209" s="22">
        <v>45733</v>
      </c>
      <c r="C209" s="20">
        <v>18000000</v>
      </c>
      <c r="D209" s="21" t="s">
        <v>346</v>
      </c>
      <c r="E209" s="21">
        <v>97123443</v>
      </c>
      <c r="F209" s="20">
        <v>18000000</v>
      </c>
      <c r="G209" s="22">
        <v>45735</v>
      </c>
      <c r="H209" t="s">
        <v>61</v>
      </c>
      <c r="I209" s="51" t="str">
        <f>IFERROR(IF(VLOOKUP(E209,extracto!C:C,1,FALSE)=E209,"pagado","no pagado"),"no pagado")</f>
        <v>pagado</v>
      </c>
      <c r="J209" s="52" t="str">
        <f t="shared" si="162"/>
        <v>pagado</v>
      </c>
      <c r="K209" s="51" t="str">
        <f t="shared" ca="1" si="163"/>
        <v>excluir</v>
      </c>
      <c r="L209" s="51" t="str">
        <f t="shared" ca="1" si="164"/>
        <v>no semana</v>
      </c>
      <c r="M209" s="51" t="str">
        <f>IFERROR(VLOOKUP(E209,'cheques a conf'!A:D,4,FALSE),"no clearing")</f>
        <v>no clearing</v>
      </c>
      <c r="N209" s="51">
        <f t="shared" si="165"/>
        <v>12</v>
      </c>
      <c r="O209" s="53">
        <f t="shared" si="166"/>
        <v>3</v>
      </c>
      <c r="P209" s="53">
        <f t="shared" si="167"/>
        <v>2025</v>
      </c>
      <c r="Q209" s="53"/>
    </row>
    <row r="210" spans="1:17" customFormat="1" x14ac:dyDescent="0.25">
      <c r="A210" s="21">
        <v>3000000400</v>
      </c>
      <c r="B210" s="22">
        <v>45733</v>
      </c>
      <c r="C210" s="20">
        <v>15839448.83</v>
      </c>
      <c r="D210" s="21" t="s">
        <v>346</v>
      </c>
      <c r="E210" s="21">
        <v>97123444</v>
      </c>
      <c r="F210" s="20">
        <v>15839448.83</v>
      </c>
      <c r="G210" s="22">
        <v>45736</v>
      </c>
      <c r="H210" t="s">
        <v>61</v>
      </c>
      <c r="I210" s="51" t="str">
        <f>IFERROR(IF(VLOOKUP(E210,extracto!C:C,1,FALSE)=E210,"pagado","no pagado"),"no pagado")</f>
        <v>pagado</v>
      </c>
      <c r="J210" s="52" t="str">
        <f t="shared" si="162"/>
        <v>pagado</v>
      </c>
      <c r="K210" s="51" t="str">
        <f t="shared" ca="1" si="163"/>
        <v>excluir</v>
      </c>
      <c r="L210" s="51" t="str">
        <f t="shared" ca="1" si="164"/>
        <v>no semana</v>
      </c>
      <c r="M210" s="51" t="str">
        <f>IFERROR(VLOOKUP(E210,'cheques a conf'!A:D,4,FALSE),"no clearing")</f>
        <v>no clearing</v>
      </c>
      <c r="N210" s="51">
        <f t="shared" si="165"/>
        <v>12</v>
      </c>
      <c r="O210" s="53">
        <f t="shared" si="166"/>
        <v>3</v>
      </c>
      <c r="P210" s="53">
        <f t="shared" si="167"/>
        <v>2025</v>
      </c>
      <c r="Q210" s="53"/>
    </row>
    <row r="211" spans="1:17" customFormat="1" x14ac:dyDescent="0.25">
      <c r="A211" s="21">
        <v>3000000401</v>
      </c>
      <c r="B211" s="22">
        <v>45733</v>
      </c>
      <c r="C211" s="20">
        <v>10000000</v>
      </c>
      <c r="D211" s="21" t="s">
        <v>337</v>
      </c>
      <c r="E211" s="21">
        <v>97123445</v>
      </c>
      <c r="F211" s="20">
        <v>10000000</v>
      </c>
      <c r="G211" s="22">
        <v>45735</v>
      </c>
      <c r="H211" t="s">
        <v>61</v>
      </c>
      <c r="I211" s="51" t="str">
        <f>IFERROR(IF(VLOOKUP(E211,extracto!C:C,1,FALSE)=E211,"pagado","no pagado"),"no pagado")</f>
        <v>pagado</v>
      </c>
      <c r="J211" s="52" t="str">
        <f t="shared" si="162"/>
        <v>pagado</v>
      </c>
      <c r="K211" s="51" t="str">
        <f t="shared" ca="1" si="163"/>
        <v>excluir</v>
      </c>
      <c r="L211" s="51" t="str">
        <f t="shared" ca="1" si="164"/>
        <v>no semana</v>
      </c>
      <c r="M211" s="51" t="str">
        <f>IFERROR(VLOOKUP(E211,'cheques a conf'!A:D,4,FALSE),"no clearing")</f>
        <v>no clearing</v>
      </c>
      <c r="N211" s="51">
        <f t="shared" si="165"/>
        <v>12</v>
      </c>
      <c r="O211" s="53">
        <f t="shared" si="166"/>
        <v>3</v>
      </c>
      <c r="P211" s="53">
        <f t="shared" si="167"/>
        <v>2025</v>
      </c>
      <c r="Q211" s="53"/>
    </row>
    <row r="212" spans="1:17" customFormat="1" x14ac:dyDescent="0.25">
      <c r="A212" s="21">
        <v>3000000401</v>
      </c>
      <c r="B212" s="22">
        <v>45733</v>
      </c>
      <c r="C212" s="20">
        <v>9215558.9700000007</v>
      </c>
      <c r="D212" s="21" t="s">
        <v>337</v>
      </c>
      <c r="E212" s="21">
        <v>97123446</v>
      </c>
      <c r="F212" s="20">
        <v>9215558.9700000007</v>
      </c>
      <c r="G212" s="22">
        <v>45736</v>
      </c>
      <c r="H212" t="s">
        <v>61</v>
      </c>
      <c r="I212" s="51" t="str">
        <f>IFERROR(IF(VLOOKUP(E212,extracto!C:C,1,FALSE)=E212,"pagado","no pagado"),"no pagado")</f>
        <v>pagado</v>
      </c>
      <c r="J212" s="52" t="str">
        <f t="shared" si="162"/>
        <v>pagado</v>
      </c>
      <c r="K212" s="51" t="str">
        <f t="shared" ca="1" si="163"/>
        <v>excluir</v>
      </c>
      <c r="L212" s="51" t="str">
        <f t="shared" ca="1" si="164"/>
        <v>no semana</v>
      </c>
      <c r="M212" s="51" t="str">
        <f>IFERROR(VLOOKUP(E212,'cheques a conf'!A:D,4,FALSE),"no clearing")</f>
        <v>no clearing</v>
      </c>
      <c r="N212" s="51">
        <f t="shared" si="165"/>
        <v>12</v>
      </c>
      <c r="O212" s="53">
        <f t="shared" si="166"/>
        <v>3</v>
      </c>
      <c r="P212" s="53">
        <f t="shared" si="167"/>
        <v>2025</v>
      </c>
      <c r="Q212" s="53"/>
    </row>
    <row r="213" spans="1:17" customFormat="1" x14ac:dyDescent="0.25">
      <c r="A213" s="21">
        <v>3000000403</v>
      </c>
      <c r="B213" s="22">
        <v>45733</v>
      </c>
      <c r="C213" s="20">
        <v>13000000</v>
      </c>
      <c r="D213" s="21" t="s">
        <v>16</v>
      </c>
      <c r="E213" s="21">
        <v>97123448</v>
      </c>
      <c r="F213" s="20">
        <v>13000000</v>
      </c>
      <c r="G213" s="22">
        <v>45735</v>
      </c>
      <c r="H213" t="s">
        <v>61</v>
      </c>
      <c r="I213" s="51" t="str">
        <f>IFERROR(IF(VLOOKUP(E213,extracto!C:C,1,FALSE)=E213,"pagado","no pagado"),"no pagado")</f>
        <v>pagado</v>
      </c>
      <c r="J213" s="52" t="str">
        <f t="shared" si="162"/>
        <v>pagado</v>
      </c>
      <c r="K213" s="51" t="str">
        <f t="shared" ca="1" si="163"/>
        <v>excluir</v>
      </c>
      <c r="L213" s="51" t="str">
        <f t="shared" ca="1" si="164"/>
        <v>no semana</v>
      </c>
      <c r="M213" s="51" t="str">
        <f>IFERROR(VLOOKUP(E213,'cheques a conf'!A:D,4,FALSE),"no clearing")</f>
        <v>no clearing</v>
      </c>
      <c r="N213" s="51">
        <f t="shared" si="165"/>
        <v>12</v>
      </c>
      <c r="O213" s="53">
        <f t="shared" si="166"/>
        <v>3</v>
      </c>
      <c r="P213" s="53">
        <f t="shared" si="167"/>
        <v>2025</v>
      </c>
      <c r="Q213" s="53"/>
    </row>
    <row r="214" spans="1:17" customFormat="1" x14ac:dyDescent="0.25">
      <c r="A214" s="21">
        <v>3000000403</v>
      </c>
      <c r="B214" s="22">
        <v>45733</v>
      </c>
      <c r="C214" s="20">
        <v>12146623.310000001</v>
      </c>
      <c r="D214" s="21" t="s">
        <v>16</v>
      </c>
      <c r="E214" s="21">
        <v>97123449</v>
      </c>
      <c r="F214" s="20">
        <v>12146623.310000001</v>
      </c>
      <c r="G214" s="22">
        <v>45736</v>
      </c>
      <c r="H214" t="s">
        <v>61</v>
      </c>
      <c r="I214" s="51" t="str">
        <f>IFERROR(IF(VLOOKUP(E214,extracto!C:C,1,FALSE)=E214,"pagado","no pagado"),"no pagado")</f>
        <v>pagado</v>
      </c>
      <c r="J214" s="52" t="str">
        <f t="shared" si="162"/>
        <v>pagado</v>
      </c>
      <c r="K214" s="51" t="str">
        <f t="shared" ca="1" si="163"/>
        <v>excluir</v>
      </c>
      <c r="L214" s="51" t="str">
        <f t="shared" ca="1" si="164"/>
        <v>no semana</v>
      </c>
      <c r="M214" s="51" t="str">
        <f>IFERROR(VLOOKUP(E214,'cheques a conf'!A:D,4,FALSE),"no clearing")</f>
        <v>no clearing</v>
      </c>
      <c r="N214" s="51">
        <f t="shared" si="165"/>
        <v>12</v>
      </c>
      <c r="O214" s="53">
        <f t="shared" si="166"/>
        <v>3</v>
      </c>
      <c r="P214" s="53">
        <f t="shared" si="167"/>
        <v>2025</v>
      </c>
      <c r="Q214" s="53"/>
    </row>
    <row r="215" spans="1:17" customFormat="1" x14ac:dyDescent="0.25">
      <c r="A215" s="21">
        <v>3000000405</v>
      </c>
      <c r="B215" s="22">
        <v>45733</v>
      </c>
      <c r="C215" s="20">
        <v>7208101</v>
      </c>
      <c r="D215" s="21" t="s">
        <v>300</v>
      </c>
      <c r="E215" s="21">
        <v>97123451</v>
      </c>
      <c r="F215" s="20">
        <v>7208101</v>
      </c>
      <c r="G215" s="22">
        <v>45735</v>
      </c>
      <c r="H215" t="s">
        <v>61</v>
      </c>
      <c r="I215" s="51" t="str">
        <f>IFERROR(IF(VLOOKUP(E215,extracto!C:C,1,FALSE)=E215,"pagado","no pagado"),"no pagado")</f>
        <v>pagado</v>
      </c>
      <c r="J215" s="52" t="str">
        <f t="shared" si="162"/>
        <v>pagado</v>
      </c>
      <c r="K215" s="51" t="str">
        <f t="shared" ca="1" si="163"/>
        <v>excluir</v>
      </c>
      <c r="L215" s="51" t="str">
        <f t="shared" ca="1" si="164"/>
        <v>no semana</v>
      </c>
      <c r="M215" s="51" t="str">
        <f>IFERROR(VLOOKUP(E215,'cheques a conf'!A:D,4,FALSE),"no clearing")</f>
        <v>no clearing</v>
      </c>
      <c r="N215" s="51">
        <f t="shared" si="165"/>
        <v>12</v>
      </c>
      <c r="O215" s="53">
        <f t="shared" si="166"/>
        <v>3</v>
      </c>
      <c r="P215" s="53">
        <f t="shared" si="167"/>
        <v>2025</v>
      </c>
      <c r="Q215" s="53"/>
    </row>
    <row r="216" spans="1:17" customFormat="1" x14ac:dyDescent="0.25">
      <c r="A216" s="21">
        <v>3000000405</v>
      </c>
      <c r="B216" s="22">
        <v>45733</v>
      </c>
      <c r="C216" s="20">
        <v>18687162.399999999</v>
      </c>
      <c r="D216" s="21" t="s">
        <v>300</v>
      </c>
      <c r="E216" s="21">
        <v>97123452</v>
      </c>
      <c r="F216" s="20">
        <v>18687162.399999999</v>
      </c>
      <c r="G216" s="22">
        <v>45736</v>
      </c>
      <c r="H216" t="s">
        <v>61</v>
      </c>
      <c r="I216" s="51" t="str">
        <f>IFERROR(IF(VLOOKUP(E216,extracto!C:C,1,FALSE)=E216,"pagado","no pagado"),"no pagado")</f>
        <v>pagado</v>
      </c>
      <c r="J216" s="52" t="str">
        <f t="shared" si="162"/>
        <v>pagado</v>
      </c>
      <c r="K216" s="51" t="str">
        <f t="shared" ca="1" si="163"/>
        <v>excluir</v>
      </c>
      <c r="L216" s="51" t="str">
        <f t="shared" ca="1" si="164"/>
        <v>no semana</v>
      </c>
      <c r="M216" s="51" t="str">
        <f>IFERROR(VLOOKUP(E216,'cheques a conf'!A:D,4,FALSE),"no clearing")</f>
        <v>no clearing</v>
      </c>
      <c r="N216" s="51">
        <f t="shared" si="165"/>
        <v>12</v>
      </c>
      <c r="O216" s="53">
        <f t="shared" si="166"/>
        <v>3</v>
      </c>
      <c r="P216" s="53">
        <f t="shared" si="167"/>
        <v>2025</v>
      </c>
      <c r="Q216" s="53"/>
    </row>
    <row r="217" spans="1:17" customFormat="1" x14ac:dyDescent="0.25">
      <c r="A217" s="21">
        <v>3000000395</v>
      </c>
      <c r="B217" s="22">
        <v>45733</v>
      </c>
      <c r="C217" s="20">
        <v>3640830.9</v>
      </c>
      <c r="D217" s="21" t="s">
        <v>375</v>
      </c>
      <c r="E217" s="21">
        <v>97123436</v>
      </c>
      <c r="F217" s="20">
        <v>3640830.9</v>
      </c>
      <c r="G217" s="22">
        <v>45735</v>
      </c>
      <c r="H217" t="s">
        <v>61</v>
      </c>
      <c r="I217" s="51" t="str">
        <f>IFERROR(IF(VLOOKUP(E217,extracto!C:C,1,FALSE)=E217,"pagado","no pagado"),"no pagado")</f>
        <v>pagado</v>
      </c>
      <c r="J217" s="52" t="str">
        <f t="shared" si="162"/>
        <v>pagado</v>
      </c>
      <c r="K217" s="51" t="str">
        <f t="shared" ca="1" si="163"/>
        <v>excluir</v>
      </c>
      <c r="L217" s="51" t="str">
        <f t="shared" ca="1" si="164"/>
        <v>no semana</v>
      </c>
      <c r="M217" s="51" t="str">
        <f>IFERROR(VLOOKUP(E217,'cheques a conf'!A:D,4,FALSE),"no clearing")</f>
        <v>no clearing</v>
      </c>
      <c r="N217" s="51">
        <f t="shared" si="165"/>
        <v>12</v>
      </c>
      <c r="O217" s="53">
        <f t="shared" si="166"/>
        <v>3</v>
      </c>
      <c r="P217" s="53">
        <f t="shared" si="167"/>
        <v>2025</v>
      </c>
      <c r="Q217" s="53"/>
    </row>
    <row r="218" spans="1:17" customFormat="1" x14ac:dyDescent="0.25">
      <c r="A218" s="21">
        <v>3000000396</v>
      </c>
      <c r="B218" s="22">
        <v>45733</v>
      </c>
      <c r="C218" s="20">
        <v>9457422.1999999993</v>
      </c>
      <c r="D218" s="21" t="s">
        <v>347</v>
      </c>
      <c r="E218" s="21">
        <v>97123437</v>
      </c>
      <c r="F218" s="20">
        <v>9457422.1999999993</v>
      </c>
      <c r="G218" s="22">
        <v>45735</v>
      </c>
      <c r="H218" t="s">
        <v>61</v>
      </c>
      <c r="I218" s="51" t="str">
        <f>IFERROR(IF(VLOOKUP(E218,extracto!C:C,1,FALSE)=E218,"pagado","no pagado"),"no pagado")</f>
        <v>pagado</v>
      </c>
      <c r="J218" s="52" t="str">
        <f t="shared" si="162"/>
        <v>pagado</v>
      </c>
      <c r="K218" s="51" t="str">
        <f t="shared" ca="1" si="163"/>
        <v>excluir</v>
      </c>
      <c r="L218" s="51" t="str">
        <f t="shared" ca="1" si="164"/>
        <v>no semana</v>
      </c>
      <c r="M218" s="51" t="str">
        <f>IFERROR(VLOOKUP(E218,'cheques a conf'!A:D,4,FALSE),"no clearing")</f>
        <v>no clearing</v>
      </c>
      <c r="N218" s="51">
        <f t="shared" si="165"/>
        <v>12</v>
      </c>
      <c r="O218" s="53">
        <f t="shared" si="166"/>
        <v>3</v>
      </c>
      <c r="P218" s="53">
        <f t="shared" si="167"/>
        <v>2025</v>
      </c>
      <c r="Q218" s="53"/>
    </row>
    <row r="219" spans="1:17" customFormat="1" x14ac:dyDescent="0.25">
      <c r="A219" s="21">
        <v>3000000397</v>
      </c>
      <c r="B219" s="22">
        <v>45733</v>
      </c>
      <c r="C219" s="20">
        <v>5586407.9000000004</v>
      </c>
      <c r="D219" s="21" t="s">
        <v>286</v>
      </c>
      <c r="E219" s="21">
        <v>97123438</v>
      </c>
      <c r="F219" s="20">
        <v>5586407.9000000004</v>
      </c>
      <c r="G219" s="22">
        <v>45735</v>
      </c>
      <c r="H219" t="s">
        <v>61</v>
      </c>
      <c r="I219" s="51" t="str">
        <f>IFERROR(IF(VLOOKUP(E219,extracto!C:C,1,FALSE)=E219,"pagado","no pagado"),"no pagado")</f>
        <v>pagado</v>
      </c>
      <c r="J219" s="52" t="str">
        <f t="shared" si="162"/>
        <v>pagado</v>
      </c>
      <c r="K219" s="51" t="str">
        <f t="shared" ca="1" si="163"/>
        <v>excluir</v>
      </c>
      <c r="L219" s="51" t="str">
        <f t="shared" ca="1" si="164"/>
        <v>no semana</v>
      </c>
      <c r="M219" s="51" t="str">
        <f>IFERROR(VLOOKUP(E219,'cheques a conf'!A:D,4,FALSE),"no clearing")</f>
        <v>no clearing</v>
      </c>
      <c r="N219" s="51">
        <f t="shared" si="165"/>
        <v>12</v>
      </c>
      <c r="O219" s="53">
        <f t="shared" si="166"/>
        <v>3</v>
      </c>
      <c r="P219" s="53">
        <f t="shared" si="167"/>
        <v>2025</v>
      </c>
      <c r="Q219" s="53"/>
    </row>
    <row r="220" spans="1:17" customFormat="1" x14ac:dyDescent="0.25">
      <c r="A220" s="21">
        <v>3000000402</v>
      </c>
      <c r="B220" s="22">
        <v>45733</v>
      </c>
      <c r="C220" s="20">
        <v>8531433.1500000004</v>
      </c>
      <c r="D220" s="21" t="s">
        <v>354</v>
      </c>
      <c r="E220" s="21">
        <v>97123447</v>
      </c>
      <c r="F220" s="20">
        <v>8531433.1500000004</v>
      </c>
      <c r="G220" s="22">
        <v>45735</v>
      </c>
      <c r="H220" t="s">
        <v>61</v>
      </c>
      <c r="I220" s="51" t="str">
        <f>IFERROR(IF(VLOOKUP(E220,extracto!C:C,1,FALSE)=E220,"pagado","no pagado"),"no pagado")</f>
        <v>pagado</v>
      </c>
      <c r="J220" s="52" t="str">
        <f t="shared" ref="J220:J228" si="168">IF(I220="pagado","pagado",IF(G220&lt;$V$1-30,"fuera de fecha","en periodo de pago"))</f>
        <v>pagado</v>
      </c>
      <c r="K220" s="51" t="str">
        <f t="shared" ref="K220:K228" ca="1" si="169">+IF(B220&gt;$V$1,"excluir",IF(J220="en periodo de pago",IF($V$1&gt;G220,"a pagar","proximo a vencer"),"excluir"))</f>
        <v>excluir</v>
      </c>
      <c r="L220" s="51" t="str">
        <f t="shared" ref="L220:L228" ca="1" si="170">+IF(K220="proximo a vencer",IF($V$1+5&gt;G220,"para la semana","no semana"),"no semana")</f>
        <v>no semana</v>
      </c>
      <c r="M220" s="51" t="str">
        <f>IFERROR(VLOOKUP(E220,'cheques a conf'!A:D,4,FALSE),"no clearing")</f>
        <v>no clearing</v>
      </c>
      <c r="N220" s="51">
        <f t="shared" ref="N220:N228" si="171">+WEEKNUM(G220,2)</f>
        <v>12</v>
      </c>
      <c r="O220" s="53">
        <f t="shared" ref="O220:O228" si="172">+MONTH(G220)</f>
        <v>3</v>
      </c>
      <c r="P220" s="53">
        <f t="shared" ref="P220:P228" si="173">+YEAR(G220)</f>
        <v>2025</v>
      </c>
      <c r="Q220" s="53"/>
    </row>
    <row r="221" spans="1:17" customFormat="1" x14ac:dyDescent="0.25">
      <c r="A221" s="21">
        <v>3000000404</v>
      </c>
      <c r="B221" s="22">
        <v>45733</v>
      </c>
      <c r="C221" s="20">
        <v>14011767.74</v>
      </c>
      <c r="D221" s="21" t="s">
        <v>303</v>
      </c>
      <c r="E221" s="21">
        <v>97123450</v>
      </c>
      <c r="F221" s="20">
        <v>14011767.74</v>
      </c>
      <c r="G221" s="22">
        <v>45735</v>
      </c>
      <c r="H221" t="s">
        <v>61</v>
      </c>
      <c r="I221" s="51" t="str">
        <f>IFERROR(IF(VLOOKUP(E221,extracto!C:C,1,FALSE)=E221,"pagado","no pagado"),"no pagado")</f>
        <v>pagado</v>
      </c>
      <c r="J221" s="52" t="str">
        <f t="shared" si="168"/>
        <v>pagado</v>
      </c>
      <c r="K221" s="51" t="str">
        <f t="shared" ca="1" si="169"/>
        <v>excluir</v>
      </c>
      <c r="L221" s="51" t="str">
        <f t="shared" ca="1" si="170"/>
        <v>no semana</v>
      </c>
      <c r="M221" s="51" t="str">
        <f>IFERROR(VLOOKUP(E221,'cheques a conf'!A:D,4,FALSE),"no clearing")</f>
        <v>no clearing</v>
      </c>
      <c r="N221" s="51">
        <f t="shared" si="171"/>
        <v>12</v>
      </c>
      <c r="O221" s="53">
        <f t="shared" si="172"/>
        <v>3</v>
      </c>
      <c r="P221" s="53">
        <f t="shared" si="173"/>
        <v>2025</v>
      </c>
      <c r="Q221" s="53"/>
    </row>
    <row r="222" spans="1:17" customFormat="1" x14ac:dyDescent="0.25">
      <c r="A222" s="21">
        <v>3000000414</v>
      </c>
      <c r="B222" s="22">
        <v>45734</v>
      </c>
      <c r="C222" s="20">
        <v>42816564.740000002</v>
      </c>
      <c r="D222" s="21" t="s">
        <v>284</v>
      </c>
      <c r="E222" s="21">
        <v>97123453</v>
      </c>
      <c r="F222" s="20">
        <v>42816564.740000002</v>
      </c>
      <c r="G222" s="22">
        <v>45737</v>
      </c>
      <c r="H222" t="s">
        <v>61</v>
      </c>
      <c r="I222" s="51" t="str">
        <f>IFERROR(IF(VLOOKUP(E222,extracto!C:C,1,FALSE)=E222,"pagado","no pagado"),"no pagado")</f>
        <v>pagado</v>
      </c>
      <c r="J222" s="52" t="str">
        <f t="shared" si="168"/>
        <v>pagado</v>
      </c>
      <c r="K222" s="51" t="str">
        <f t="shared" ca="1" si="169"/>
        <v>excluir</v>
      </c>
      <c r="L222" s="51" t="str">
        <f t="shared" ca="1" si="170"/>
        <v>no semana</v>
      </c>
      <c r="M222" s="51" t="str">
        <f>IFERROR(VLOOKUP(E222,'cheques a conf'!A:D,4,FALSE),"no clearing")</f>
        <v>no clearing</v>
      </c>
      <c r="N222" s="51">
        <f t="shared" si="171"/>
        <v>12</v>
      </c>
      <c r="O222" s="53">
        <f t="shared" si="172"/>
        <v>3</v>
      </c>
      <c r="P222" s="53">
        <f t="shared" si="173"/>
        <v>2025</v>
      </c>
      <c r="Q222" s="53"/>
    </row>
    <row r="223" spans="1:17" customFormat="1" x14ac:dyDescent="0.25">
      <c r="A223" s="21">
        <v>3000000420</v>
      </c>
      <c r="B223" s="22">
        <v>45736</v>
      </c>
      <c r="C223" s="20">
        <v>6561563</v>
      </c>
      <c r="D223" s="21" t="s">
        <v>297</v>
      </c>
      <c r="E223" s="21">
        <v>97123454</v>
      </c>
      <c r="F223" s="20">
        <v>6561563</v>
      </c>
      <c r="G223" s="22">
        <v>45741</v>
      </c>
      <c r="H223" t="s">
        <v>61</v>
      </c>
      <c r="I223" s="51" t="str">
        <f>IFERROR(IF(VLOOKUP(E223,extracto!C:C,1,FALSE)=E223,"pagado","no pagado"),"no pagado")</f>
        <v>pagado</v>
      </c>
      <c r="J223" s="52" t="str">
        <f t="shared" si="168"/>
        <v>pagado</v>
      </c>
      <c r="K223" s="51" t="str">
        <f t="shared" ca="1" si="169"/>
        <v>excluir</v>
      </c>
      <c r="L223" s="51" t="str">
        <f t="shared" ca="1" si="170"/>
        <v>no semana</v>
      </c>
      <c r="M223" s="51" t="str">
        <f>IFERROR(VLOOKUP(E223,'cheques a conf'!A:D,4,FALSE),"no clearing")</f>
        <v>no clearing</v>
      </c>
      <c r="N223" s="51">
        <f t="shared" si="171"/>
        <v>13</v>
      </c>
      <c r="O223" s="53">
        <f t="shared" si="172"/>
        <v>3</v>
      </c>
      <c r="P223" s="53">
        <f t="shared" si="173"/>
        <v>2025</v>
      </c>
      <c r="Q223" s="53"/>
    </row>
    <row r="224" spans="1:17" customFormat="1" x14ac:dyDescent="0.25">
      <c r="A224" s="21">
        <v>3000000421</v>
      </c>
      <c r="B224" s="22">
        <v>45736</v>
      </c>
      <c r="C224" s="20">
        <v>3108226.38</v>
      </c>
      <c r="D224" s="21" t="s">
        <v>337</v>
      </c>
      <c r="E224" s="21">
        <v>97123455</v>
      </c>
      <c r="F224" s="20">
        <v>3108226.38</v>
      </c>
      <c r="G224" s="22">
        <v>45741</v>
      </c>
      <c r="H224" t="s">
        <v>61</v>
      </c>
      <c r="I224" s="51" t="str">
        <f>IFERROR(IF(VLOOKUP(E224,extracto!C:C,1,FALSE)=E224,"pagado","no pagado"),"no pagado")</f>
        <v>pagado</v>
      </c>
      <c r="J224" s="52" t="str">
        <f t="shared" si="168"/>
        <v>pagado</v>
      </c>
      <c r="K224" s="51" t="str">
        <f t="shared" ca="1" si="169"/>
        <v>excluir</v>
      </c>
      <c r="L224" s="51" t="str">
        <f t="shared" ca="1" si="170"/>
        <v>no semana</v>
      </c>
      <c r="M224" s="51" t="str">
        <f>IFERROR(VLOOKUP(E224,'cheques a conf'!A:D,4,FALSE),"no clearing")</f>
        <v>no clearing</v>
      </c>
      <c r="N224" s="51">
        <f t="shared" si="171"/>
        <v>13</v>
      </c>
      <c r="O224" s="53">
        <f t="shared" si="172"/>
        <v>3</v>
      </c>
      <c r="P224" s="53">
        <f t="shared" si="173"/>
        <v>2025</v>
      </c>
      <c r="Q224" s="53"/>
    </row>
    <row r="225" spans="1:17" customFormat="1" x14ac:dyDescent="0.25">
      <c r="A225" s="21">
        <v>3000000422</v>
      </c>
      <c r="B225" s="22">
        <v>45736</v>
      </c>
      <c r="C225" s="20">
        <v>2945459.8</v>
      </c>
      <c r="D225" s="21" t="s">
        <v>26</v>
      </c>
      <c r="E225" s="21">
        <v>97123456</v>
      </c>
      <c r="F225" s="20">
        <v>2945459.8</v>
      </c>
      <c r="G225" s="22">
        <v>45741</v>
      </c>
      <c r="H225" t="s">
        <v>61</v>
      </c>
      <c r="I225" s="51" t="str">
        <f>IFERROR(IF(VLOOKUP(E225,extracto!C:C,1,FALSE)=E225,"pagado","no pagado"),"no pagado")</f>
        <v>pagado</v>
      </c>
      <c r="J225" s="52" t="str">
        <f t="shared" si="168"/>
        <v>pagado</v>
      </c>
      <c r="K225" s="51" t="str">
        <f t="shared" ca="1" si="169"/>
        <v>excluir</v>
      </c>
      <c r="L225" s="51" t="str">
        <f t="shared" ca="1" si="170"/>
        <v>no semana</v>
      </c>
      <c r="M225" s="51" t="str">
        <f>IFERROR(VLOOKUP(E225,'cheques a conf'!A:D,4,FALSE),"no clearing")</f>
        <v>no clearing</v>
      </c>
      <c r="N225" s="51">
        <f t="shared" si="171"/>
        <v>13</v>
      </c>
      <c r="O225" s="53">
        <f t="shared" si="172"/>
        <v>3</v>
      </c>
      <c r="P225" s="53">
        <f t="shared" si="173"/>
        <v>2025</v>
      </c>
      <c r="Q225" s="53"/>
    </row>
    <row r="226" spans="1:17" customFormat="1" x14ac:dyDescent="0.25">
      <c r="A226" s="21">
        <v>3000000423</v>
      </c>
      <c r="B226" s="22">
        <v>45736</v>
      </c>
      <c r="C226" s="20">
        <v>2968761.24</v>
      </c>
      <c r="D226" s="21" t="s">
        <v>302</v>
      </c>
      <c r="E226" s="21">
        <v>97123457</v>
      </c>
      <c r="F226" s="20">
        <v>2968761.24</v>
      </c>
      <c r="G226" s="22">
        <v>45741</v>
      </c>
      <c r="H226" t="s">
        <v>61</v>
      </c>
      <c r="I226" s="51" t="str">
        <f>IFERROR(IF(VLOOKUP(E226,extracto!C:C,1,FALSE)=E226,"pagado","no pagado"),"no pagado")</f>
        <v>pagado</v>
      </c>
      <c r="J226" s="52" t="str">
        <f t="shared" si="168"/>
        <v>pagado</v>
      </c>
      <c r="K226" s="51" t="str">
        <f t="shared" ca="1" si="169"/>
        <v>excluir</v>
      </c>
      <c r="L226" s="51" t="str">
        <f t="shared" ca="1" si="170"/>
        <v>no semana</v>
      </c>
      <c r="M226" s="51" t="str">
        <f>IFERROR(VLOOKUP(E226,'cheques a conf'!A:D,4,FALSE),"no clearing")</f>
        <v>no clearing</v>
      </c>
      <c r="N226" s="51">
        <f t="shared" si="171"/>
        <v>13</v>
      </c>
      <c r="O226" s="53">
        <f t="shared" si="172"/>
        <v>3</v>
      </c>
      <c r="P226" s="53">
        <f t="shared" si="173"/>
        <v>2025</v>
      </c>
      <c r="Q226" s="53"/>
    </row>
    <row r="227" spans="1:17" customFormat="1" x14ac:dyDescent="0.25">
      <c r="A227" s="21">
        <v>3000000424</v>
      </c>
      <c r="B227" s="22">
        <v>45736</v>
      </c>
      <c r="C227" s="20">
        <v>7046108.5</v>
      </c>
      <c r="D227" s="21" t="s">
        <v>303</v>
      </c>
      <c r="E227" s="21">
        <v>97123458</v>
      </c>
      <c r="F227" s="20">
        <v>7046108.5</v>
      </c>
      <c r="G227" s="22">
        <v>45741</v>
      </c>
      <c r="H227" t="s">
        <v>61</v>
      </c>
      <c r="I227" s="51" t="str">
        <f>IFERROR(IF(VLOOKUP(E227,extracto!C:C,1,FALSE)=E227,"pagado","no pagado"),"no pagado")</f>
        <v>pagado</v>
      </c>
      <c r="J227" s="52" t="str">
        <f t="shared" si="168"/>
        <v>pagado</v>
      </c>
      <c r="K227" s="51" t="str">
        <f t="shared" ca="1" si="169"/>
        <v>excluir</v>
      </c>
      <c r="L227" s="51" t="str">
        <f t="shared" ca="1" si="170"/>
        <v>no semana</v>
      </c>
      <c r="M227" s="51" t="str">
        <f>IFERROR(VLOOKUP(E227,'cheques a conf'!A:D,4,FALSE),"no clearing")</f>
        <v>no clearing</v>
      </c>
      <c r="N227" s="51">
        <f t="shared" si="171"/>
        <v>13</v>
      </c>
      <c r="O227" s="53">
        <f t="shared" si="172"/>
        <v>3</v>
      </c>
      <c r="P227" s="53">
        <f t="shared" si="173"/>
        <v>2025</v>
      </c>
      <c r="Q227" s="53"/>
    </row>
    <row r="228" spans="1:17" customFormat="1" x14ac:dyDescent="0.25">
      <c r="A228">
        <v>3000000436</v>
      </c>
      <c r="B228" s="3">
        <v>45741</v>
      </c>
      <c r="C228" s="9">
        <v>8000000</v>
      </c>
      <c r="D228" t="s">
        <v>304</v>
      </c>
      <c r="E228">
        <v>97123459</v>
      </c>
      <c r="F228" s="9">
        <v>8000000</v>
      </c>
      <c r="G228" s="22">
        <v>45743</v>
      </c>
      <c r="H228" t="s">
        <v>61</v>
      </c>
      <c r="I228" s="51" t="str">
        <f>IFERROR(IF(VLOOKUP(E228,extracto!C:C,1,FALSE)=E228,"pagado","no pagado"),"no pagado")</f>
        <v>pagado</v>
      </c>
      <c r="J228" s="52" t="str">
        <f t="shared" si="168"/>
        <v>pagado</v>
      </c>
      <c r="K228" s="51" t="str">
        <f t="shared" ca="1" si="169"/>
        <v>excluir</v>
      </c>
      <c r="L228" s="51" t="str">
        <f t="shared" ca="1" si="170"/>
        <v>no semana</v>
      </c>
      <c r="M228" s="51" t="str">
        <f>IFERROR(VLOOKUP(E228,'cheques a conf'!A:D,4,FALSE),"no clearing")</f>
        <v>no clearing</v>
      </c>
      <c r="N228" s="51">
        <f t="shared" si="171"/>
        <v>13</v>
      </c>
      <c r="O228" s="53">
        <f t="shared" si="172"/>
        <v>3</v>
      </c>
      <c r="P228" s="53">
        <f t="shared" si="173"/>
        <v>2025</v>
      </c>
      <c r="Q228" s="53"/>
    </row>
    <row r="229" spans="1:17" customFormat="1" x14ac:dyDescent="0.25">
      <c r="A229">
        <v>3000000436</v>
      </c>
      <c r="B229" s="3">
        <v>45741</v>
      </c>
      <c r="C229" s="9">
        <v>8226073.7199999997</v>
      </c>
      <c r="D229" t="s">
        <v>304</v>
      </c>
      <c r="E229">
        <v>97123460</v>
      </c>
      <c r="F229" s="9">
        <v>8226073.7199999997</v>
      </c>
      <c r="G229" s="22">
        <v>45744</v>
      </c>
      <c r="H229" t="s">
        <v>61</v>
      </c>
      <c r="I229" s="51" t="str">
        <f>IFERROR(IF(VLOOKUP(E229,extracto!C:C,1,FALSE)=E229,"pagado","no pagado"),"no pagado")</f>
        <v>pagado</v>
      </c>
      <c r="J229" s="52" t="str">
        <f t="shared" ref="J229:J250" si="174">IF(I229="pagado","pagado",IF(G229&lt;$V$1-30,"fuera de fecha","en periodo de pago"))</f>
        <v>pagado</v>
      </c>
      <c r="K229" s="51" t="str">
        <f t="shared" ref="K229:K250" ca="1" si="175">+IF(B229&gt;$V$1,"excluir",IF(J229="en periodo de pago",IF($V$1&gt;G229,"a pagar","proximo a vencer"),"excluir"))</f>
        <v>excluir</v>
      </c>
      <c r="L229" s="51" t="str">
        <f t="shared" ref="L229:L250" ca="1" si="176">+IF(K229="proximo a vencer",IF($V$1+5&gt;G229,"para la semana","no semana"),"no semana")</f>
        <v>no semana</v>
      </c>
      <c r="M229" s="51" t="str">
        <f>IFERROR(VLOOKUP(E229,'cheques a conf'!A:D,4,FALSE),"no clearing")</f>
        <v>no clearing</v>
      </c>
      <c r="N229" s="51">
        <f t="shared" ref="N229:N250" si="177">+WEEKNUM(G229,2)</f>
        <v>13</v>
      </c>
      <c r="O229" s="53">
        <f t="shared" ref="O229:O250" si="178">+MONTH(G229)</f>
        <v>3</v>
      </c>
      <c r="P229" s="53">
        <f t="shared" ref="P229:P250" si="179">+YEAR(G229)</f>
        <v>2025</v>
      </c>
      <c r="Q229" s="53"/>
    </row>
    <row r="230" spans="1:17" customFormat="1" x14ac:dyDescent="0.25">
      <c r="A230">
        <v>3000000439</v>
      </c>
      <c r="B230" s="3">
        <v>45741</v>
      </c>
      <c r="C230" s="9">
        <v>7000000</v>
      </c>
      <c r="D230" t="s">
        <v>376</v>
      </c>
      <c r="E230">
        <v>97123463</v>
      </c>
      <c r="F230" s="9">
        <v>7000000</v>
      </c>
      <c r="G230" s="22">
        <v>45743</v>
      </c>
      <c r="H230" t="s">
        <v>61</v>
      </c>
      <c r="I230" s="51" t="str">
        <f>IFERROR(IF(VLOOKUP(E230,extracto!C:C,1,FALSE)=E230,"pagado","no pagado"),"no pagado")</f>
        <v>pagado</v>
      </c>
      <c r="J230" s="52" t="str">
        <f t="shared" si="174"/>
        <v>pagado</v>
      </c>
      <c r="K230" s="51" t="str">
        <f t="shared" ca="1" si="175"/>
        <v>excluir</v>
      </c>
      <c r="L230" s="51" t="str">
        <f t="shared" ca="1" si="176"/>
        <v>no semana</v>
      </c>
      <c r="M230" s="51" t="str">
        <f>IFERROR(VLOOKUP(E230,'cheques a conf'!A:D,4,FALSE),"no clearing")</f>
        <v>no clearing</v>
      </c>
      <c r="N230" s="51">
        <f t="shared" si="177"/>
        <v>13</v>
      </c>
      <c r="O230" s="53">
        <f t="shared" si="178"/>
        <v>3</v>
      </c>
      <c r="P230" s="53">
        <f t="shared" si="179"/>
        <v>2025</v>
      </c>
      <c r="Q230" s="53"/>
    </row>
    <row r="231" spans="1:17" customFormat="1" x14ac:dyDescent="0.25">
      <c r="A231">
        <v>3000000439</v>
      </c>
      <c r="B231" s="3">
        <v>45741</v>
      </c>
      <c r="C231" s="9">
        <v>7865003.4000000004</v>
      </c>
      <c r="D231" t="s">
        <v>376</v>
      </c>
      <c r="E231">
        <v>97123464</v>
      </c>
      <c r="F231" s="9">
        <v>7865003.4000000004</v>
      </c>
      <c r="G231" s="22">
        <v>45744</v>
      </c>
      <c r="H231" t="s">
        <v>61</v>
      </c>
      <c r="I231" s="51" t="str">
        <f>IFERROR(IF(VLOOKUP(E231,extracto!C:C,1,FALSE)=E231,"pagado","no pagado"),"no pagado")</f>
        <v>pagado</v>
      </c>
      <c r="J231" s="52" t="str">
        <f t="shared" si="174"/>
        <v>pagado</v>
      </c>
      <c r="K231" s="51" t="str">
        <f t="shared" ca="1" si="175"/>
        <v>excluir</v>
      </c>
      <c r="L231" s="51" t="str">
        <f t="shared" ca="1" si="176"/>
        <v>no semana</v>
      </c>
      <c r="M231" s="51" t="str">
        <f>IFERROR(VLOOKUP(E231,'cheques a conf'!A:D,4,FALSE),"no clearing")</f>
        <v>no clearing</v>
      </c>
      <c r="N231" s="51">
        <f t="shared" si="177"/>
        <v>13</v>
      </c>
      <c r="O231" s="53">
        <f t="shared" si="178"/>
        <v>3</v>
      </c>
      <c r="P231" s="53">
        <f t="shared" si="179"/>
        <v>2025</v>
      </c>
      <c r="Q231" s="53"/>
    </row>
    <row r="232" spans="1:17" customFormat="1" x14ac:dyDescent="0.25">
      <c r="A232">
        <v>3000000441</v>
      </c>
      <c r="B232" s="3">
        <v>45741</v>
      </c>
      <c r="C232" s="9">
        <v>8000000</v>
      </c>
      <c r="D232" t="s">
        <v>377</v>
      </c>
      <c r="E232">
        <v>97123466</v>
      </c>
      <c r="F232" s="9">
        <v>8000000</v>
      </c>
      <c r="G232" s="22">
        <v>45743</v>
      </c>
      <c r="H232" t="s">
        <v>61</v>
      </c>
      <c r="I232" s="51" t="str">
        <f>IFERROR(IF(VLOOKUP(E232,extracto!C:C,1,FALSE)=E232,"pagado","no pagado"),"no pagado")</f>
        <v>pagado</v>
      </c>
      <c r="J232" s="52" t="str">
        <f t="shared" si="174"/>
        <v>pagado</v>
      </c>
      <c r="K232" s="51" t="str">
        <f t="shared" ca="1" si="175"/>
        <v>excluir</v>
      </c>
      <c r="L232" s="51" t="str">
        <f t="shared" ca="1" si="176"/>
        <v>no semana</v>
      </c>
      <c r="M232" s="51" t="str">
        <f>IFERROR(VLOOKUP(E232,'cheques a conf'!A:D,4,FALSE),"no clearing")</f>
        <v>no clearing</v>
      </c>
      <c r="N232" s="51">
        <f t="shared" si="177"/>
        <v>13</v>
      </c>
      <c r="O232" s="53">
        <f t="shared" si="178"/>
        <v>3</v>
      </c>
      <c r="P232" s="53">
        <f t="shared" si="179"/>
        <v>2025</v>
      </c>
      <c r="Q232" s="53"/>
    </row>
    <row r="233" spans="1:17" customFormat="1" x14ac:dyDescent="0.25">
      <c r="A233">
        <v>3000000441</v>
      </c>
      <c r="B233" s="3">
        <v>45741</v>
      </c>
      <c r="C233" s="9">
        <v>8096328.8700000001</v>
      </c>
      <c r="D233" t="s">
        <v>377</v>
      </c>
      <c r="E233">
        <v>97123467</v>
      </c>
      <c r="F233" s="9">
        <v>8096328.8700000001</v>
      </c>
      <c r="G233" s="22">
        <v>45744</v>
      </c>
      <c r="H233" t="s">
        <v>61</v>
      </c>
      <c r="I233" s="51" t="str">
        <f>IFERROR(IF(VLOOKUP(E233,extracto!C:C,1,FALSE)=E233,"pagado","no pagado"),"no pagado")</f>
        <v>pagado</v>
      </c>
      <c r="J233" s="52" t="str">
        <f t="shared" si="174"/>
        <v>pagado</v>
      </c>
      <c r="K233" s="51" t="str">
        <f t="shared" ca="1" si="175"/>
        <v>excluir</v>
      </c>
      <c r="L233" s="51" t="str">
        <f t="shared" ca="1" si="176"/>
        <v>no semana</v>
      </c>
      <c r="M233" s="51" t="str">
        <f>IFERROR(VLOOKUP(E233,'cheques a conf'!A:D,4,FALSE),"no clearing")</f>
        <v>no clearing</v>
      </c>
      <c r="N233" s="51">
        <f t="shared" si="177"/>
        <v>13</v>
      </c>
      <c r="O233" s="53">
        <f t="shared" si="178"/>
        <v>3</v>
      </c>
      <c r="P233" s="53">
        <f t="shared" si="179"/>
        <v>2025</v>
      </c>
      <c r="Q233" s="53"/>
    </row>
    <row r="234" spans="1:17" customFormat="1" x14ac:dyDescent="0.25">
      <c r="A234">
        <v>3000000437</v>
      </c>
      <c r="B234" s="3">
        <v>45741</v>
      </c>
      <c r="C234" s="9">
        <v>7214873.04</v>
      </c>
      <c r="D234" t="s">
        <v>284</v>
      </c>
      <c r="E234">
        <v>97123461</v>
      </c>
      <c r="F234" s="9">
        <v>7214873.04</v>
      </c>
      <c r="G234" s="22">
        <v>45743</v>
      </c>
      <c r="H234" t="s">
        <v>61</v>
      </c>
      <c r="I234" s="51" t="str">
        <f>IFERROR(IF(VLOOKUP(E234,extracto!C:C,1,FALSE)=E234,"pagado","no pagado"),"no pagado")</f>
        <v>pagado</v>
      </c>
      <c r="J234" s="52" t="str">
        <f t="shared" si="174"/>
        <v>pagado</v>
      </c>
      <c r="K234" s="51" t="str">
        <f t="shared" ca="1" si="175"/>
        <v>excluir</v>
      </c>
      <c r="L234" s="51" t="str">
        <f t="shared" ca="1" si="176"/>
        <v>no semana</v>
      </c>
      <c r="M234" s="51" t="str">
        <f>IFERROR(VLOOKUP(E234,'cheques a conf'!A:D,4,FALSE),"no clearing")</f>
        <v>no clearing</v>
      </c>
      <c r="N234" s="51">
        <f t="shared" si="177"/>
        <v>13</v>
      </c>
      <c r="O234" s="53">
        <f t="shared" si="178"/>
        <v>3</v>
      </c>
      <c r="P234" s="53">
        <f t="shared" si="179"/>
        <v>2025</v>
      </c>
      <c r="Q234" s="53"/>
    </row>
    <row r="235" spans="1:17" customFormat="1" x14ac:dyDescent="0.25">
      <c r="A235">
        <v>3000000438</v>
      </c>
      <c r="B235" s="3">
        <v>45741</v>
      </c>
      <c r="C235" s="9">
        <v>6814140.4199999999</v>
      </c>
      <c r="D235" t="s">
        <v>346</v>
      </c>
      <c r="E235">
        <v>97123462</v>
      </c>
      <c r="F235" s="9">
        <v>6814140.4199999999</v>
      </c>
      <c r="G235" s="22">
        <v>45743</v>
      </c>
      <c r="H235" s="21" t="s">
        <v>61</v>
      </c>
      <c r="I235" s="51" t="str">
        <f>IFERROR(IF(VLOOKUP(E235,extracto!C:C,1,FALSE)=E235,"pagado","no pagado"),"no pagado")</f>
        <v>pagado</v>
      </c>
      <c r="J235" s="52" t="str">
        <f t="shared" si="174"/>
        <v>pagado</v>
      </c>
      <c r="K235" s="51" t="str">
        <f t="shared" ca="1" si="175"/>
        <v>excluir</v>
      </c>
      <c r="L235" s="51" t="str">
        <f t="shared" ca="1" si="176"/>
        <v>no semana</v>
      </c>
      <c r="M235" s="51" t="str">
        <f>IFERROR(VLOOKUP(E235,'cheques a conf'!A:D,4,FALSE),"no clearing")</f>
        <v>no clearing</v>
      </c>
      <c r="N235" s="51">
        <f t="shared" si="177"/>
        <v>13</v>
      </c>
      <c r="O235" s="53">
        <f t="shared" si="178"/>
        <v>3</v>
      </c>
      <c r="P235" s="53">
        <f t="shared" si="179"/>
        <v>2025</v>
      </c>
      <c r="Q235" s="53"/>
    </row>
    <row r="236" spans="1:17" customFormat="1" x14ac:dyDescent="0.25">
      <c r="A236">
        <v>3000000440</v>
      </c>
      <c r="B236" s="3">
        <v>45741</v>
      </c>
      <c r="C236" s="9">
        <v>8236282.5700000003</v>
      </c>
      <c r="D236" t="s">
        <v>378</v>
      </c>
      <c r="E236">
        <v>97123465</v>
      </c>
      <c r="F236" s="9">
        <v>8236282.5700000003</v>
      </c>
      <c r="G236" s="22">
        <v>45743</v>
      </c>
      <c r="H236" s="21" t="s">
        <v>61</v>
      </c>
      <c r="I236" s="51" t="str">
        <f>IFERROR(IF(VLOOKUP(E236,extracto!C:C,1,FALSE)=E236,"pagado","no pagado"),"no pagado")</f>
        <v>pagado</v>
      </c>
      <c r="J236" s="52" t="str">
        <f t="shared" si="174"/>
        <v>pagado</v>
      </c>
      <c r="K236" s="51" t="str">
        <f t="shared" ca="1" si="175"/>
        <v>excluir</v>
      </c>
      <c r="L236" s="51" t="str">
        <f t="shared" ca="1" si="176"/>
        <v>no semana</v>
      </c>
      <c r="M236" s="51" t="str">
        <f>IFERROR(VLOOKUP(E236,'cheques a conf'!A:D,4,FALSE),"no clearing")</f>
        <v>no clearing</v>
      </c>
      <c r="N236" s="51">
        <f t="shared" si="177"/>
        <v>13</v>
      </c>
      <c r="O236" s="53">
        <f t="shared" si="178"/>
        <v>3</v>
      </c>
      <c r="P236" s="53">
        <f t="shared" si="179"/>
        <v>2025</v>
      </c>
      <c r="Q236" s="53"/>
    </row>
    <row r="237" spans="1:17" customFormat="1" x14ac:dyDescent="0.25">
      <c r="A237" s="21">
        <v>3000000453</v>
      </c>
      <c r="B237" s="22">
        <v>45743</v>
      </c>
      <c r="C237" s="20">
        <v>2000000</v>
      </c>
      <c r="D237" s="21" t="s">
        <v>287</v>
      </c>
      <c r="E237" s="21">
        <v>94231524</v>
      </c>
      <c r="F237" s="20">
        <v>2000000</v>
      </c>
      <c r="G237" s="22">
        <v>45747</v>
      </c>
      <c r="H237" t="s">
        <v>13</v>
      </c>
      <c r="I237" s="51" t="str">
        <f>IFERROR(IF(VLOOKUP(E237,extracto!C:C,1,FALSE)=E237,"pagado","no pagado"),"no pagado")</f>
        <v>pagado</v>
      </c>
      <c r="J237" s="52" t="str">
        <f t="shared" si="174"/>
        <v>pagado</v>
      </c>
      <c r="K237" s="51" t="str">
        <f t="shared" ca="1" si="175"/>
        <v>excluir</v>
      </c>
      <c r="L237" s="51" t="str">
        <f t="shared" ca="1" si="176"/>
        <v>no semana</v>
      </c>
      <c r="M237" s="51" t="str">
        <f>IFERROR(VLOOKUP(E237,'cheques a conf'!A:D,4,FALSE),"no clearing")</f>
        <v>no clearing</v>
      </c>
      <c r="N237" s="51">
        <f t="shared" si="177"/>
        <v>14</v>
      </c>
      <c r="O237" s="53">
        <f t="shared" si="178"/>
        <v>3</v>
      </c>
      <c r="P237" s="53">
        <f t="shared" si="179"/>
        <v>2025</v>
      </c>
      <c r="Q237" s="53"/>
    </row>
    <row r="238" spans="1:17" customFormat="1" x14ac:dyDescent="0.25">
      <c r="A238" s="21">
        <v>3000000453</v>
      </c>
      <c r="B238" s="22">
        <v>45743</v>
      </c>
      <c r="C238" s="20">
        <v>2000000</v>
      </c>
      <c r="D238" s="21" t="s">
        <v>287</v>
      </c>
      <c r="E238" s="21">
        <v>94231525</v>
      </c>
      <c r="F238" s="20">
        <v>2000000</v>
      </c>
      <c r="G238" s="22">
        <v>45747</v>
      </c>
      <c r="H238" t="s">
        <v>13</v>
      </c>
      <c r="I238" s="51" t="str">
        <f>IFERROR(IF(VLOOKUP(E238,extracto!C:C,1,FALSE)=E238,"pagado","no pagado"),"no pagado")</f>
        <v>pagado</v>
      </c>
      <c r="J238" s="52" t="str">
        <f t="shared" si="174"/>
        <v>pagado</v>
      </c>
      <c r="K238" s="51" t="str">
        <f t="shared" ca="1" si="175"/>
        <v>excluir</v>
      </c>
      <c r="L238" s="51" t="str">
        <f t="shared" ca="1" si="176"/>
        <v>no semana</v>
      </c>
      <c r="M238" s="51" t="str">
        <f>IFERROR(VLOOKUP(E238,'cheques a conf'!A:D,4,FALSE),"no clearing")</f>
        <v>no clearing</v>
      </c>
      <c r="N238" s="51">
        <f t="shared" si="177"/>
        <v>14</v>
      </c>
      <c r="O238" s="53">
        <f t="shared" si="178"/>
        <v>3</v>
      </c>
      <c r="P238" s="53">
        <f t="shared" si="179"/>
        <v>2025</v>
      </c>
      <c r="Q238" s="53"/>
    </row>
    <row r="239" spans="1:17" customFormat="1" x14ac:dyDescent="0.25">
      <c r="A239" s="21">
        <v>3000000453</v>
      </c>
      <c r="B239" s="22">
        <v>45743</v>
      </c>
      <c r="C239" s="20">
        <v>2000000</v>
      </c>
      <c r="D239" s="21" t="s">
        <v>287</v>
      </c>
      <c r="E239" s="21">
        <v>94231526</v>
      </c>
      <c r="F239" s="20">
        <v>2000000</v>
      </c>
      <c r="G239" s="22">
        <v>45747</v>
      </c>
      <c r="H239" t="s">
        <v>13</v>
      </c>
      <c r="I239" s="51" t="str">
        <f>IFERROR(IF(VLOOKUP(E239,extracto!C:C,1,FALSE)=E239,"pagado","no pagado"),"no pagado")</f>
        <v>pagado</v>
      </c>
      <c r="J239" s="52" t="str">
        <f t="shared" si="174"/>
        <v>pagado</v>
      </c>
      <c r="K239" s="51" t="str">
        <f t="shared" ca="1" si="175"/>
        <v>excluir</v>
      </c>
      <c r="L239" s="51" t="str">
        <f t="shared" ca="1" si="176"/>
        <v>no semana</v>
      </c>
      <c r="M239" s="51" t="str">
        <f>IFERROR(VLOOKUP(E239,'cheques a conf'!A:D,4,FALSE),"no clearing")</f>
        <v>no clearing</v>
      </c>
      <c r="N239" s="51">
        <f t="shared" si="177"/>
        <v>14</v>
      </c>
      <c r="O239" s="53">
        <f t="shared" si="178"/>
        <v>3</v>
      </c>
      <c r="P239" s="53">
        <f t="shared" si="179"/>
        <v>2025</v>
      </c>
      <c r="Q239" s="53"/>
    </row>
    <row r="240" spans="1:17" customFormat="1" x14ac:dyDescent="0.25">
      <c r="A240" s="21">
        <v>3000000453</v>
      </c>
      <c r="B240" s="22">
        <v>45743</v>
      </c>
      <c r="C240" s="20">
        <v>1357589.55</v>
      </c>
      <c r="D240" s="21" t="s">
        <v>287</v>
      </c>
      <c r="E240" s="21">
        <v>94231527</v>
      </c>
      <c r="F240" s="20">
        <v>1357589.55</v>
      </c>
      <c r="G240" s="22">
        <v>45747</v>
      </c>
      <c r="H240" t="s">
        <v>13</v>
      </c>
      <c r="I240" s="51" t="str">
        <f>IFERROR(IF(VLOOKUP(E240,extracto!C:C,1,FALSE)=E240,"pagado","no pagado"),"no pagado")</f>
        <v>pagado</v>
      </c>
      <c r="J240" s="52" t="str">
        <f t="shared" si="174"/>
        <v>pagado</v>
      </c>
      <c r="K240" s="51" t="str">
        <f t="shared" ca="1" si="175"/>
        <v>excluir</v>
      </c>
      <c r="L240" s="51" t="str">
        <f t="shared" ca="1" si="176"/>
        <v>no semana</v>
      </c>
      <c r="M240" s="51" t="str">
        <f>IFERROR(VLOOKUP(E240,'cheques a conf'!A:D,4,FALSE),"no clearing")</f>
        <v>no clearing</v>
      </c>
      <c r="N240" s="51">
        <f t="shared" si="177"/>
        <v>14</v>
      </c>
      <c r="O240" s="53">
        <f t="shared" si="178"/>
        <v>3</v>
      </c>
      <c r="P240" s="53">
        <f t="shared" si="179"/>
        <v>2025</v>
      </c>
      <c r="Q240" s="53"/>
    </row>
    <row r="241" spans="1:17" customFormat="1" x14ac:dyDescent="0.25">
      <c r="A241" s="21">
        <v>3000000454</v>
      </c>
      <c r="B241" s="22">
        <v>45747</v>
      </c>
      <c r="C241" s="20">
        <v>1078222</v>
      </c>
      <c r="D241" s="21" t="s">
        <v>379</v>
      </c>
      <c r="E241" s="21">
        <v>97123468</v>
      </c>
      <c r="F241" s="20">
        <v>1078222</v>
      </c>
      <c r="G241" s="22">
        <v>45751</v>
      </c>
      <c r="H241" s="21" t="s">
        <v>61</v>
      </c>
      <c r="I241" s="51" t="str">
        <f>IFERROR(IF(VLOOKUP(E241,extracto!C:C,1,FALSE)=E241,"pagado","no pagado"),"no pagado")</f>
        <v>pagado</v>
      </c>
      <c r="J241" s="52" t="str">
        <f t="shared" si="174"/>
        <v>pagado</v>
      </c>
      <c r="K241" s="51" t="str">
        <f t="shared" ca="1" si="175"/>
        <v>excluir</v>
      </c>
      <c r="L241" s="51" t="str">
        <f t="shared" ca="1" si="176"/>
        <v>no semana</v>
      </c>
      <c r="M241" s="51" t="str">
        <f>IFERROR(VLOOKUP(E241,'cheques a conf'!A:D,4,FALSE),"no clearing")</f>
        <v>no clearing</v>
      </c>
      <c r="N241" s="51">
        <f t="shared" si="177"/>
        <v>14</v>
      </c>
      <c r="O241" s="53">
        <f t="shared" si="178"/>
        <v>4</v>
      </c>
      <c r="P241" s="53">
        <f t="shared" si="179"/>
        <v>2025</v>
      </c>
      <c r="Q241" s="53"/>
    </row>
    <row r="242" spans="1:17" customFormat="1" x14ac:dyDescent="0.25">
      <c r="A242" s="21">
        <v>3000000455</v>
      </c>
      <c r="B242" s="22">
        <v>45747</v>
      </c>
      <c r="C242" s="20">
        <v>2471040</v>
      </c>
      <c r="D242" s="21" t="s">
        <v>340</v>
      </c>
      <c r="E242" s="21">
        <v>97123469</v>
      </c>
      <c r="F242" s="20">
        <v>2471040</v>
      </c>
      <c r="G242" s="22">
        <v>45751</v>
      </c>
      <c r="H242" s="21" t="s">
        <v>61</v>
      </c>
      <c r="I242" s="51" t="str">
        <f>IFERROR(IF(VLOOKUP(E242,extracto!C:C,1,FALSE)=E242,"pagado","no pagado"),"no pagado")</f>
        <v>pagado</v>
      </c>
      <c r="J242" s="52" t="str">
        <f t="shared" si="174"/>
        <v>pagado</v>
      </c>
      <c r="K242" s="51" t="str">
        <f t="shared" ca="1" si="175"/>
        <v>excluir</v>
      </c>
      <c r="L242" s="51" t="str">
        <f t="shared" ca="1" si="176"/>
        <v>no semana</v>
      </c>
      <c r="M242" s="51" t="str">
        <f>IFERROR(VLOOKUP(E242,'cheques a conf'!A:D,4,FALSE),"no clearing")</f>
        <v>no clearing</v>
      </c>
      <c r="N242" s="51">
        <f t="shared" si="177"/>
        <v>14</v>
      </c>
      <c r="O242" s="53">
        <f t="shared" si="178"/>
        <v>4</v>
      </c>
      <c r="P242" s="53">
        <f t="shared" si="179"/>
        <v>2025</v>
      </c>
      <c r="Q242" s="53"/>
    </row>
    <row r="243" spans="1:17" customFormat="1" x14ac:dyDescent="0.25">
      <c r="A243" s="21">
        <v>3000000456</v>
      </c>
      <c r="B243" s="22">
        <v>45747</v>
      </c>
      <c r="C243" s="20">
        <v>2086875</v>
      </c>
      <c r="D243" s="21" t="s">
        <v>27</v>
      </c>
      <c r="E243" s="21">
        <v>97123470</v>
      </c>
      <c r="F243" s="20">
        <v>2086875</v>
      </c>
      <c r="G243" s="22">
        <v>45751</v>
      </c>
      <c r="H243" s="21" t="s">
        <v>61</v>
      </c>
      <c r="I243" s="51" t="str">
        <f>IFERROR(IF(VLOOKUP(E243,extracto!C:C,1,FALSE)=E243,"pagado","no pagado"),"no pagado")</f>
        <v>pagado</v>
      </c>
      <c r="J243" s="52" t="str">
        <f t="shared" si="174"/>
        <v>pagado</v>
      </c>
      <c r="K243" s="51" t="str">
        <f t="shared" ca="1" si="175"/>
        <v>excluir</v>
      </c>
      <c r="L243" s="51" t="str">
        <f t="shared" ca="1" si="176"/>
        <v>no semana</v>
      </c>
      <c r="M243" s="51" t="str">
        <f>IFERROR(VLOOKUP(E243,'cheques a conf'!A:D,4,FALSE),"no clearing")</f>
        <v>no clearing</v>
      </c>
      <c r="N243" s="51">
        <f t="shared" si="177"/>
        <v>14</v>
      </c>
      <c r="O243" s="53">
        <f t="shared" si="178"/>
        <v>4</v>
      </c>
      <c r="P243" s="53">
        <f t="shared" si="179"/>
        <v>2025</v>
      </c>
      <c r="Q243" s="53"/>
    </row>
    <row r="244" spans="1:17" customFormat="1" x14ac:dyDescent="0.25">
      <c r="A244" s="21">
        <v>3000000457</v>
      </c>
      <c r="B244" s="22">
        <v>45747</v>
      </c>
      <c r="C244" s="20">
        <v>10623911.189999999</v>
      </c>
      <c r="D244" s="21" t="s">
        <v>359</v>
      </c>
      <c r="E244" s="21">
        <v>97123471</v>
      </c>
      <c r="F244" s="20">
        <v>10623911.189999999</v>
      </c>
      <c r="G244" s="22">
        <v>45751</v>
      </c>
      <c r="H244" s="21" t="s">
        <v>61</v>
      </c>
      <c r="I244" s="51" t="str">
        <f>IFERROR(IF(VLOOKUP(E244,extracto!C:C,1,FALSE)=E244,"pagado","no pagado"),"no pagado")</f>
        <v>pagado</v>
      </c>
      <c r="J244" s="52" t="str">
        <f t="shared" si="174"/>
        <v>pagado</v>
      </c>
      <c r="K244" s="51" t="str">
        <f t="shared" ca="1" si="175"/>
        <v>excluir</v>
      </c>
      <c r="L244" s="51" t="str">
        <f t="shared" ca="1" si="176"/>
        <v>no semana</v>
      </c>
      <c r="M244" s="51" t="str">
        <f>IFERROR(VLOOKUP(E244,'cheques a conf'!A:D,4,FALSE),"no clearing")</f>
        <v>no clearing</v>
      </c>
      <c r="N244" s="51">
        <f t="shared" si="177"/>
        <v>14</v>
      </c>
      <c r="O244" s="53">
        <f t="shared" si="178"/>
        <v>4</v>
      </c>
      <c r="P244" s="53">
        <f t="shared" si="179"/>
        <v>2025</v>
      </c>
      <c r="Q244" s="53"/>
    </row>
    <row r="245" spans="1:17" customFormat="1" x14ac:dyDescent="0.25">
      <c r="A245" s="21">
        <v>3000000458</v>
      </c>
      <c r="B245" s="22">
        <v>45747</v>
      </c>
      <c r="C245" s="20">
        <v>3424976</v>
      </c>
      <c r="D245" s="21" t="s">
        <v>371</v>
      </c>
      <c r="E245" s="21">
        <v>97123472</v>
      </c>
      <c r="F245" s="20">
        <v>3424976</v>
      </c>
      <c r="G245" s="22">
        <v>45751</v>
      </c>
      <c r="H245" s="21" t="s">
        <v>61</v>
      </c>
      <c r="I245" s="51" t="str">
        <f>IFERROR(IF(VLOOKUP(E245,extracto!C:C,1,FALSE)=E245,"pagado","no pagado"),"no pagado")</f>
        <v>pagado</v>
      </c>
      <c r="J245" s="52" t="str">
        <f t="shared" si="174"/>
        <v>pagado</v>
      </c>
      <c r="K245" s="51" t="str">
        <f t="shared" ca="1" si="175"/>
        <v>excluir</v>
      </c>
      <c r="L245" s="51" t="str">
        <f t="shared" ca="1" si="176"/>
        <v>no semana</v>
      </c>
      <c r="M245" s="51" t="str">
        <f>IFERROR(VLOOKUP(E245,'cheques a conf'!A:D,4,FALSE),"no clearing")</f>
        <v>no clearing</v>
      </c>
      <c r="N245" s="51">
        <f t="shared" si="177"/>
        <v>14</v>
      </c>
      <c r="O245" s="53">
        <f t="shared" si="178"/>
        <v>4</v>
      </c>
      <c r="P245" s="53">
        <f t="shared" si="179"/>
        <v>2025</v>
      </c>
      <c r="Q245" s="53"/>
    </row>
    <row r="246" spans="1:17" customFormat="1" x14ac:dyDescent="0.25">
      <c r="A246" s="21">
        <v>3000000459</v>
      </c>
      <c r="B246" s="22">
        <v>45748</v>
      </c>
      <c r="C246" s="20">
        <v>20000000</v>
      </c>
      <c r="D246" s="21" t="s">
        <v>380</v>
      </c>
      <c r="E246" s="21">
        <v>97123473</v>
      </c>
      <c r="F246" s="20">
        <v>20000000</v>
      </c>
      <c r="G246" s="22">
        <v>45796</v>
      </c>
      <c r="H246" s="21" t="s">
        <v>61</v>
      </c>
      <c r="I246" s="51" t="str">
        <f>IFERROR(IF(VLOOKUP(E246,extracto!C:C,1,FALSE)=E246,"pagado","no pagado"),"no pagado")</f>
        <v>pagado</v>
      </c>
      <c r="J246" s="52" t="str">
        <f t="shared" si="174"/>
        <v>pagado</v>
      </c>
      <c r="K246" s="51" t="str">
        <f t="shared" ca="1" si="175"/>
        <v>excluir</v>
      </c>
      <c r="L246" s="51" t="str">
        <f t="shared" ca="1" si="176"/>
        <v>no semana</v>
      </c>
      <c r="M246" s="51" t="str">
        <f>IFERROR(VLOOKUP(E246,'cheques a conf'!A:D,4,FALSE),"no clearing")</f>
        <v>no clearing</v>
      </c>
      <c r="N246" s="51">
        <f t="shared" si="177"/>
        <v>21</v>
      </c>
      <c r="O246" s="53">
        <f t="shared" si="178"/>
        <v>5</v>
      </c>
      <c r="P246" s="53">
        <f t="shared" si="179"/>
        <v>2025</v>
      </c>
      <c r="Q246" s="53"/>
    </row>
    <row r="247" spans="1:17" customFormat="1" x14ac:dyDescent="0.25">
      <c r="A247" s="21">
        <v>3000000459</v>
      </c>
      <c r="B247" s="22">
        <v>45748</v>
      </c>
      <c r="C247" s="20">
        <v>19829946.559999999</v>
      </c>
      <c r="D247" s="21" t="s">
        <v>380</v>
      </c>
      <c r="E247" s="21">
        <v>97123474</v>
      </c>
      <c r="F247" s="20">
        <v>19829946.559999999</v>
      </c>
      <c r="G247" s="22">
        <v>45826</v>
      </c>
      <c r="H247" s="21" t="s">
        <v>61</v>
      </c>
      <c r="I247" s="51" t="str">
        <f>IFERROR(IF(VLOOKUP(E247,extracto!C:C,1,FALSE)=E247,"pagado","no pagado"),"no pagado")</f>
        <v>pagado</v>
      </c>
      <c r="J247" s="52" t="str">
        <f t="shared" si="174"/>
        <v>pagado</v>
      </c>
      <c r="K247" s="51" t="str">
        <f t="shared" ca="1" si="175"/>
        <v>excluir</v>
      </c>
      <c r="L247" s="51" t="str">
        <f t="shared" ca="1" si="176"/>
        <v>no semana</v>
      </c>
      <c r="M247" s="51" t="str">
        <f>IFERROR(VLOOKUP(E247,'cheques a conf'!A:D,4,FALSE),"no clearing")</f>
        <v>no clearing</v>
      </c>
      <c r="N247" s="51">
        <f t="shared" si="177"/>
        <v>25</v>
      </c>
      <c r="O247" s="53">
        <f t="shared" si="178"/>
        <v>6</v>
      </c>
      <c r="P247" s="53">
        <f t="shared" si="179"/>
        <v>2025</v>
      </c>
      <c r="Q247" s="53"/>
    </row>
    <row r="248" spans="1:17" customFormat="1" x14ac:dyDescent="0.25">
      <c r="A248" s="21">
        <v>3000000478</v>
      </c>
      <c r="B248" s="22">
        <v>45754</v>
      </c>
      <c r="C248" s="20">
        <v>8391143.0899999999</v>
      </c>
      <c r="D248" s="21" t="s">
        <v>381</v>
      </c>
      <c r="E248" s="21">
        <v>97123475</v>
      </c>
      <c r="F248" s="20">
        <v>8391143.0899999999</v>
      </c>
      <c r="G248" s="22">
        <v>45756</v>
      </c>
      <c r="H248" s="21" t="s">
        <v>61</v>
      </c>
      <c r="I248" s="51" t="str">
        <f>IFERROR(IF(VLOOKUP(E248,extracto!C:C,1,FALSE)=E248,"pagado","no pagado"),"no pagado")</f>
        <v>pagado</v>
      </c>
      <c r="J248" s="52" t="str">
        <f t="shared" si="174"/>
        <v>pagado</v>
      </c>
      <c r="K248" s="51" t="str">
        <f t="shared" ca="1" si="175"/>
        <v>excluir</v>
      </c>
      <c r="L248" s="51" t="str">
        <f t="shared" ca="1" si="176"/>
        <v>no semana</v>
      </c>
      <c r="M248" s="51" t="str">
        <f>IFERROR(VLOOKUP(E248,'cheques a conf'!A:D,4,FALSE),"no clearing")</f>
        <v>no clearing</v>
      </c>
      <c r="N248" s="51">
        <f t="shared" si="177"/>
        <v>15</v>
      </c>
      <c r="O248" s="53">
        <f t="shared" si="178"/>
        <v>4</v>
      </c>
      <c r="P248" s="53">
        <f t="shared" si="179"/>
        <v>2025</v>
      </c>
      <c r="Q248" s="53"/>
    </row>
    <row r="249" spans="1:17" customFormat="1" x14ac:dyDescent="0.25">
      <c r="A249" s="21">
        <v>3000000479</v>
      </c>
      <c r="B249" s="22">
        <v>45754</v>
      </c>
      <c r="C249" s="20">
        <v>3490589.04</v>
      </c>
      <c r="D249" s="21" t="s">
        <v>343</v>
      </c>
      <c r="E249" s="21">
        <v>97123476</v>
      </c>
      <c r="F249" s="20">
        <v>3490589.04</v>
      </c>
      <c r="G249" s="22">
        <v>45756</v>
      </c>
      <c r="H249" s="21" t="s">
        <v>61</v>
      </c>
      <c r="I249" s="51" t="str">
        <f>IFERROR(IF(VLOOKUP(E249,extracto!C:C,1,FALSE)=E249,"pagado","no pagado"),"no pagado")</f>
        <v>pagado</v>
      </c>
      <c r="J249" s="52" t="str">
        <f t="shared" si="174"/>
        <v>pagado</v>
      </c>
      <c r="K249" s="51" t="str">
        <f t="shared" ca="1" si="175"/>
        <v>excluir</v>
      </c>
      <c r="L249" s="51" t="str">
        <f t="shared" ca="1" si="176"/>
        <v>no semana</v>
      </c>
      <c r="M249" s="51" t="str">
        <f>IFERROR(VLOOKUP(E249,'cheques a conf'!A:D,4,FALSE),"no clearing")</f>
        <v>no clearing</v>
      </c>
      <c r="N249" s="51">
        <f t="shared" si="177"/>
        <v>15</v>
      </c>
      <c r="O249" s="53">
        <f t="shared" si="178"/>
        <v>4</v>
      </c>
      <c r="P249" s="53">
        <f t="shared" si="179"/>
        <v>2025</v>
      </c>
      <c r="Q249" s="53"/>
    </row>
    <row r="250" spans="1:17" customFormat="1" x14ac:dyDescent="0.25">
      <c r="A250" s="21">
        <v>3000000480</v>
      </c>
      <c r="B250" s="22">
        <v>45754</v>
      </c>
      <c r="C250" s="20">
        <v>2701185.4</v>
      </c>
      <c r="D250" s="21" t="s">
        <v>197</v>
      </c>
      <c r="E250" s="21">
        <v>97123477</v>
      </c>
      <c r="F250" s="20">
        <v>2701185.4</v>
      </c>
      <c r="G250" s="22">
        <v>45756</v>
      </c>
      <c r="H250" s="21" t="s">
        <v>61</v>
      </c>
      <c r="I250" s="51" t="str">
        <f>IFERROR(IF(VLOOKUP(E250,extracto!C:C,1,FALSE)=E250,"pagado","no pagado"),"no pagado")</f>
        <v>no pagado</v>
      </c>
      <c r="J250" s="52" t="str">
        <f t="shared" ca="1" si="174"/>
        <v>fuera de fecha</v>
      </c>
      <c r="K250" s="51" t="str">
        <f t="shared" ca="1" si="175"/>
        <v>excluir</v>
      </c>
      <c r="L250" s="51" t="str">
        <f t="shared" ca="1" si="176"/>
        <v>no semana</v>
      </c>
      <c r="M250" s="51" t="str">
        <f>IFERROR(VLOOKUP(E250,'cheques a conf'!A:D,4,FALSE),"no clearing")</f>
        <v>no clearing</v>
      </c>
      <c r="N250" s="51">
        <f t="shared" si="177"/>
        <v>15</v>
      </c>
      <c r="O250" s="53">
        <f t="shared" si="178"/>
        <v>4</v>
      </c>
      <c r="P250" s="53">
        <f t="shared" si="179"/>
        <v>2025</v>
      </c>
      <c r="Q250" s="53"/>
    </row>
    <row r="251" spans="1:17" customFormat="1" x14ac:dyDescent="0.25">
      <c r="A251" s="21">
        <v>3000000481</v>
      </c>
      <c r="B251" s="22">
        <v>45754</v>
      </c>
      <c r="C251" s="20">
        <v>2150060.8199999998</v>
      </c>
      <c r="D251" s="21" t="s">
        <v>382</v>
      </c>
      <c r="E251" s="21">
        <v>97123478</v>
      </c>
      <c r="F251" s="20">
        <v>2150060.8199999998</v>
      </c>
      <c r="G251" s="22">
        <v>45756</v>
      </c>
      <c r="H251" s="21" t="s">
        <v>61</v>
      </c>
      <c r="I251" s="51" t="str">
        <f>IFERROR(IF(VLOOKUP(E251,extracto!C:C,1,FALSE)=E251,"pagado","no pagado"),"no pagado")</f>
        <v>pagado</v>
      </c>
      <c r="J251" s="52" t="str">
        <f t="shared" ref="J251" si="180">IF(I251="pagado","pagado",IF(G251&lt;$V$1-30,"fuera de fecha","en periodo de pago"))</f>
        <v>pagado</v>
      </c>
      <c r="K251" s="51" t="str">
        <f t="shared" ref="K251" ca="1" si="181">+IF(B251&gt;$V$1,"excluir",IF(J251="en periodo de pago",IF($V$1&gt;G251,"a pagar","proximo a vencer"),"excluir"))</f>
        <v>excluir</v>
      </c>
      <c r="L251" s="51" t="str">
        <f t="shared" ref="L251" ca="1" si="182">+IF(K251="proximo a vencer",IF($V$1+5&gt;G251,"para la semana","no semana"),"no semana")</f>
        <v>no semana</v>
      </c>
      <c r="M251" s="51" t="str">
        <f>IFERROR(VLOOKUP(E251,'cheques a conf'!A:D,4,FALSE),"no clearing")</f>
        <v>no clearing</v>
      </c>
      <c r="N251" s="51">
        <f t="shared" ref="N251" si="183">+WEEKNUM(G251,2)</f>
        <v>15</v>
      </c>
      <c r="O251" s="53">
        <f t="shared" ref="O251" si="184">+MONTH(G251)</f>
        <v>4</v>
      </c>
      <c r="P251" s="53">
        <f t="shared" ref="P251" si="185">+YEAR(G251)</f>
        <v>2025</v>
      </c>
    </row>
    <row r="252" spans="1:17" customFormat="1" x14ac:dyDescent="0.25">
      <c r="A252" s="21">
        <v>3000000482</v>
      </c>
      <c r="B252" s="22">
        <v>45755</v>
      </c>
      <c r="C252" s="20">
        <v>2981417.92</v>
      </c>
      <c r="D252" s="21" t="s">
        <v>27</v>
      </c>
      <c r="E252" s="21">
        <v>97123479</v>
      </c>
      <c r="F252" s="20">
        <v>2981417.92</v>
      </c>
      <c r="G252" s="22">
        <v>45758</v>
      </c>
      <c r="H252" s="21" t="s">
        <v>61</v>
      </c>
      <c r="I252" s="51" t="str">
        <f>IFERROR(IF(VLOOKUP(E252,extracto!C:C,1,FALSE)=E252,"pagado","no pagado"),"no pagado")</f>
        <v>pagado</v>
      </c>
      <c r="J252" s="52" t="str">
        <f t="shared" ref="J252" si="186">IF(I252="pagado","pagado",IF(G252&lt;$V$1-30,"fuera de fecha","en periodo de pago"))</f>
        <v>pagado</v>
      </c>
      <c r="K252" s="51" t="str">
        <f t="shared" ref="K252" ca="1" si="187">+IF(B252&gt;$V$1,"excluir",IF(J252="en periodo de pago",IF($V$1&gt;G252,"a pagar","proximo a vencer"),"excluir"))</f>
        <v>excluir</v>
      </c>
      <c r="L252" s="51" t="str">
        <f t="shared" ref="L252" ca="1" si="188">+IF(K252="proximo a vencer",IF($V$1+5&gt;G252,"para la semana","no semana"),"no semana")</f>
        <v>no semana</v>
      </c>
      <c r="M252" s="51" t="str">
        <f>IFERROR(VLOOKUP(E252,'cheques a conf'!A:D,4,FALSE),"no clearing")</f>
        <v>no clearing</v>
      </c>
      <c r="N252" s="51">
        <f t="shared" ref="N252" si="189">+WEEKNUM(G252,2)</f>
        <v>15</v>
      </c>
      <c r="O252" s="53">
        <f t="shared" ref="O252" si="190">+MONTH(G252)</f>
        <v>4</v>
      </c>
      <c r="P252" s="53">
        <f t="shared" ref="P252" si="191">+YEAR(G252)</f>
        <v>2025</v>
      </c>
    </row>
    <row r="253" spans="1:17" customFormat="1" x14ac:dyDescent="0.25">
      <c r="A253" s="21">
        <v>3000000483</v>
      </c>
      <c r="B253" s="22">
        <v>45755</v>
      </c>
      <c r="C253" s="20">
        <v>2751183.98</v>
      </c>
      <c r="D253" s="21" t="s">
        <v>26</v>
      </c>
      <c r="E253" s="21">
        <v>97123480</v>
      </c>
      <c r="F253" s="20">
        <v>2751183.98</v>
      </c>
      <c r="G253" s="22">
        <v>45758</v>
      </c>
      <c r="H253" s="21" t="s">
        <v>61</v>
      </c>
      <c r="I253" s="51" t="str">
        <f>IFERROR(IF(VLOOKUP(E253,extracto!C:C,1,FALSE)=E253,"pagado","no pagado"),"no pagado")</f>
        <v>pagado</v>
      </c>
      <c r="J253" s="52" t="str">
        <f t="shared" ref="J253:J255" si="192">IF(I253="pagado","pagado",IF(G253&lt;$V$1-30,"fuera de fecha","en periodo de pago"))</f>
        <v>pagado</v>
      </c>
      <c r="K253" s="51" t="str">
        <f t="shared" ref="K253:K255" ca="1" si="193">+IF(B253&gt;$V$1,"excluir",IF(J253="en periodo de pago",IF($V$1&gt;G253,"a pagar","proximo a vencer"),"excluir"))</f>
        <v>excluir</v>
      </c>
      <c r="L253" s="51" t="str">
        <f t="shared" ref="L253:L255" ca="1" si="194">+IF(K253="proximo a vencer",IF($V$1+5&gt;G253,"para la semana","no semana"),"no semana")</f>
        <v>no semana</v>
      </c>
      <c r="M253" s="51" t="str">
        <f>IFERROR(VLOOKUP(E253,'cheques a conf'!A:D,4,FALSE),"no clearing")</f>
        <v>no clearing</v>
      </c>
      <c r="N253" s="51">
        <f t="shared" ref="N253:N255" si="195">+WEEKNUM(G253,2)</f>
        <v>15</v>
      </c>
      <c r="O253" s="53">
        <f t="shared" ref="O253:O255" si="196">+MONTH(G253)</f>
        <v>4</v>
      </c>
      <c r="P253" s="53">
        <f t="shared" ref="P253:P255" si="197">+YEAR(G253)</f>
        <v>2025</v>
      </c>
    </row>
    <row r="254" spans="1:17" customFormat="1" x14ac:dyDescent="0.25">
      <c r="A254" s="21">
        <v>3000000484</v>
      </c>
      <c r="B254" s="22">
        <v>45755</v>
      </c>
      <c r="C254" s="20">
        <v>6948188.6900000004</v>
      </c>
      <c r="D254" s="21" t="s">
        <v>16</v>
      </c>
      <c r="E254" s="21">
        <v>97123481</v>
      </c>
      <c r="F254" s="20">
        <v>6948188.6900000004</v>
      </c>
      <c r="G254" s="22">
        <v>45758</v>
      </c>
      <c r="H254" s="21" t="s">
        <v>61</v>
      </c>
      <c r="I254" s="51" t="str">
        <f>IFERROR(IF(VLOOKUP(E254,extracto!C:C,1,FALSE)=E254,"pagado","no pagado"),"no pagado")</f>
        <v>pagado</v>
      </c>
      <c r="J254" s="52" t="str">
        <f t="shared" si="192"/>
        <v>pagado</v>
      </c>
      <c r="K254" s="51" t="str">
        <f t="shared" ca="1" si="193"/>
        <v>excluir</v>
      </c>
      <c r="L254" s="51" t="str">
        <f t="shared" ca="1" si="194"/>
        <v>no semana</v>
      </c>
      <c r="M254" s="51" t="str">
        <f>IFERROR(VLOOKUP(E254,'cheques a conf'!A:D,4,FALSE),"no clearing")</f>
        <v>no clearing</v>
      </c>
      <c r="N254" s="51">
        <f t="shared" si="195"/>
        <v>15</v>
      </c>
      <c r="O254" s="53">
        <f t="shared" si="196"/>
        <v>4</v>
      </c>
      <c r="P254" s="53">
        <f t="shared" si="197"/>
        <v>2025</v>
      </c>
    </row>
    <row r="255" spans="1:17" customFormat="1" x14ac:dyDescent="0.25">
      <c r="A255" s="21">
        <v>3000000471</v>
      </c>
      <c r="B255" s="22">
        <v>45754</v>
      </c>
      <c r="C255" s="20">
        <v>8000000</v>
      </c>
      <c r="D255" s="21" t="s">
        <v>291</v>
      </c>
      <c r="E255" s="21">
        <v>94231528</v>
      </c>
      <c r="F255" s="20">
        <v>8000000</v>
      </c>
      <c r="G255" s="22">
        <v>45756</v>
      </c>
      <c r="H255" t="s">
        <v>13</v>
      </c>
      <c r="I255" s="51" t="str">
        <f>IFERROR(IF(VLOOKUP(E255,extracto!C:C,1,FALSE)=E255,"pagado","no pagado"),"no pagado")</f>
        <v>pagado</v>
      </c>
      <c r="J255" s="52" t="str">
        <f t="shared" si="192"/>
        <v>pagado</v>
      </c>
      <c r="K255" s="51" t="str">
        <f t="shared" ca="1" si="193"/>
        <v>excluir</v>
      </c>
      <c r="L255" s="51" t="str">
        <f t="shared" ca="1" si="194"/>
        <v>no semana</v>
      </c>
      <c r="M255" s="51" t="str">
        <f>IFERROR(VLOOKUP(E255,'cheques a conf'!A:D,4,FALSE),"no clearing")</f>
        <v>no clearing</v>
      </c>
      <c r="N255" s="51">
        <f t="shared" si="195"/>
        <v>15</v>
      </c>
      <c r="O255" s="53">
        <f t="shared" si="196"/>
        <v>4</v>
      </c>
      <c r="P255" s="53">
        <f t="shared" si="197"/>
        <v>2025</v>
      </c>
    </row>
    <row r="256" spans="1:17" customFormat="1" x14ac:dyDescent="0.25">
      <c r="A256" s="21">
        <v>3000000471</v>
      </c>
      <c r="B256" s="22">
        <v>45754</v>
      </c>
      <c r="C256" s="20">
        <v>500000</v>
      </c>
      <c r="D256" s="21" t="s">
        <v>291</v>
      </c>
      <c r="E256" s="21">
        <v>94231529</v>
      </c>
      <c r="F256" s="20">
        <v>500000</v>
      </c>
      <c r="G256" s="22">
        <v>45756</v>
      </c>
      <c r="H256" t="s">
        <v>13</v>
      </c>
      <c r="I256" s="51" t="str">
        <f>IFERROR(IF(VLOOKUP(E256,extracto!C:C,1,FALSE)=E256,"pagado","no pagado"),"no pagado")</f>
        <v>pagado</v>
      </c>
      <c r="J256" s="52" t="str">
        <f t="shared" ref="J256:J257" si="198">IF(I256="pagado","pagado",IF(G256&lt;$V$1-30,"fuera de fecha","en periodo de pago"))</f>
        <v>pagado</v>
      </c>
      <c r="K256" s="51" t="str">
        <f t="shared" ref="K256:K257" ca="1" si="199">+IF(B256&gt;$V$1,"excluir",IF(J256="en periodo de pago",IF($V$1&gt;G256,"a pagar","proximo a vencer"),"excluir"))</f>
        <v>excluir</v>
      </c>
      <c r="L256" s="51" t="str">
        <f t="shared" ref="L256:L257" ca="1" si="200">+IF(K256="proximo a vencer",IF($V$1+5&gt;G256,"para la semana","no semana"),"no semana")</f>
        <v>no semana</v>
      </c>
      <c r="M256" s="51" t="str">
        <f>IFERROR(VLOOKUP(E256,'cheques a conf'!A:D,4,FALSE),"no clearing")</f>
        <v>no clearing</v>
      </c>
      <c r="N256" s="51">
        <f t="shared" ref="N256:N257" si="201">+WEEKNUM(G256,2)</f>
        <v>15</v>
      </c>
      <c r="O256" s="53">
        <f t="shared" ref="O256:O257" si="202">+MONTH(G256)</f>
        <v>4</v>
      </c>
      <c r="P256" s="53">
        <f t="shared" ref="P256:P257" si="203">+YEAR(G256)</f>
        <v>2025</v>
      </c>
    </row>
    <row r="257" spans="1:16" customFormat="1" x14ac:dyDescent="0.25">
      <c r="A257" s="21">
        <v>3000000471</v>
      </c>
      <c r="B257" s="22">
        <v>45754</v>
      </c>
      <c r="C257" s="20">
        <v>500000</v>
      </c>
      <c r="D257" s="21" t="s">
        <v>291</v>
      </c>
      <c r="E257" s="21">
        <v>94231530</v>
      </c>
      <c r="F257" s="20">
        <v>500000</v>
      </c>
      <c r="G257" s="22">
        <v>45756</v>
      </c>
      <c r="H257" t="s">
        <v>13</v>
      </c>
      <c r="I257" s="51" t="str">
        <f>IFERROR(IF(VLOOKUP(E257,extracto!C:C,1,FALSE)=E257,"pagado","no pagado"),"no pagado")</f>
        <v>pagado</v>
      </c>
      <c r="J257" s="52" t="str">
        <f t="shared" si="198"/>
        <v>pagado</v>
      </c>
      <c r="K257" s="51" t="str">
        <f t="shared" ca="1" si="199"/>
        <v>excluir</v>
      </c>
      <c r="L257" s="51" t="str">
        <f t="shared" ca="1" si="200"/>
        <v>no semana</v>
      </c>
      <c r="M257" s="51" t="str">
        <f>IFERROR(VLOOKUP(E257,'cheques a conf'!A:D,4,FALSE),"no clearing")</f>
        <v>no clearing</v>
      </c>
      <c r="N257" s="51">
        <f t="shared" si="201"/>
        <v>15</v>
      </c>
      <c r="O257" s="53">
        <f t="shared" si="202"/>
        <v>4</v>
      </c>
      <c r="P257" s="53">
        <f t="shared" si="203"/>
        <v>2025</v>
      </c>
    </row>
    <row r="258" spans="1:16" customFormat="1" x14ac:dyDescent="0.25">
      <c r="A258" s="21">
        <v>3000000471</v>
      </c>
      <c r="B258" s="22">
        <v>45754</v>
      </c>
      <c r="C258" s="20">
        <v>500000</v>
      </c>
      <c r="D258" s="21" t="s">
        <v>291</v>
      </c>
      <c r="E258" s="21">
        <v>94231531</v>
      </c>
      <c r="F258" s="20">
        <v>500000</v>
      </c>
      <c r="G258" s="22">
        <v>45756</v>
      </c>
      <c r="H258" t="s">
        <v>13</v>
      </c>
      <c r="I258" s="51" t="str">
        <f>IFERROR(IF(VLOOKUP(E258,extracto!C:C,1,FALSE)=E258,"pagado","no pagado"),"no pagado")</f>
        <v>pagado</v>
      </c>
      <c r="J258" s="52" t="str">
        <f t="shared" ref="J258:J265" si="204">IF(I258="pagado","pagado",IF(G258&lt;$V$1-30,"fuera de fecha","en periodo de pago"))</f>
        <v>pagado</v>
      </c>
      <c r="K258" s="51" t="str">
        <f t="shared" ref="K258:K265" ca="1" si="205">+IF(B258&gt;$V$1,"excluir",IF(J258="en periodo de pago",IF($V$1&gt;G258,"a pagar","proximo a vencer"),"excluir"))</f>
        <v>excluir</v>
      </c>
      <c r="L258" s="51" t="str">
        <f t="shared" ref="L258:L265" ca="1" si="206">+IF(K258="proximo a vencer",IF($V$1+5&gt;G258,"para la semana","no semana"),"no semana")</f>
        <v>no semana</v>
      </c>
      <c r="M258" s="51" t="str">
        <f>IFERROR(VLOOKUP(E258,'cheques a conf'!A:D,4,FALSE),"no clearing")</f>
        <v>no clearing</v>
      </c>
      <c r="N258" s="51">
        <f t="shared" ref="N258:N265" si="207">+WEEKNUM(G258,2)</f>
        <v>15</v>
      </c>
      <c r="O258" s="53">
        <f t="shared" ref="O258:O265" si="208">+MONTH(G258)</f>
        <v>4</v>
      </c>
      <c r="P258" s="53">
        <f t="shared" ref="P258:P265" si="209">+YEAR(G258)</f>
        <v>2025</v>
      </c>
    </row>
    <row r="259" spans="1:16" customFormat="1" x14ac:dyDescent="0.25">
      <c r="A259" s="21">
        <v>3000000471</v>
      </c>
      <c r="B259" s="22">
        <v>45754</v>
      </c>
      <c r="C259" s="20">
        <v>500000</v>
      </c>
      <c r="D259" s="21" t="s">
        <v>291</v>
      </c>
      <c r="E259" s="21">
        <v>94231532</v>
      </c>
      <c r="F259" s="20">
        <v>500000</v>
      </c>
      <c r="G259" s="22">
        <v>45756</v>
      </c>
      <c r="H259" t="s">
        <v>13</v>
      </c>
      <c r="I259" s="51" t="str">
        <f>IFERROR(IF(VLOOKUP(E259,extracto!C:C,1,FALSE)=E259,"pagado","no pagado"),"no pagado")</f>
        <v>pagado</v>
      </c>
      <c r="J259" s="52" t="str">
        <f t="shared" si="204"/>
        <v>pagado</v>
      </c>
      <c r="K259" s="51" t="str">
        <f t="shared" ca="1" si="205"/>
        <v>excluir</v>
      </c>
      <c r="L259" s="51" t="str">
        <f t="shared" ca="1" si="206"/>
        <v>no semana</v>
      </c>
      <c r="M259" s="51" t="str">
        <f>IFERROR(VLOOKUP(E259,'cheques a conf'!A:D,4,FALSE),"no clearing")</f>
        <v>no clearing</v>
      </c>
      <c r="N259" s="51">
        <f t="shared" si="207"/>
        <v>15</v>
      </c>
      <c r="O259" s="53">
        <f t="shared" si="208"/>
        <v>4</v>
      </c>
      <c r="P259" s="53">
        <f t="shared" si="209"/>
        <v>2025</v>
      </c>
    </row>
    <row r="260" spans="1:16" customFormat="1" x14ac:dyDescent="0.25">
      <c r="A260" s="21">
        <v>3000000471</v>
      </c>
      <c r="B260" s="22">
        <v>45754</v>
      </c>
      <c r="C260" s="20">
        <v>500000</v>
      </c>
      <c r="D260" s="21" t="s">
        <v>291</v>
      </c>
      <c r="E260" s="21">
        <v>94231533</v>
      </c>
      <c r="F260" s="20">
        <v>500000</v>
      </c>
      <c r="G260" s="22">
        <v>45756</v>
      </c>
      <c r="H260" t="s">
        <v>13</v>
      </c>
      <c r="I260" s="51" t="str">
        <f>IFERROR(IF(VLOOKUP(E260,extracto!C:C,1,FALSE)=E260,"pagado","no pagado"),"no pagado")</f>
        <v>pagado</v>
      </c>
      <c r="J260" s="52" t="str">
        <f t="shared" si="204"/>
        <v>pagado</v>
      </c>
      <c r="K260" s="51" t="str">
        <f t="shared" ca="1" si="205"/>
        <v>excluir</v>
      </c>
      <c r="L260" s="51" t="str">
        <f t="shared" ca="1" si="206"/>
        <v>no semana</v>
      </c>
      <c r="M260" s="51" t="str">
        <f>IFERROR(VLOOKUP(E260,'cheques a conf'!A:D,4,FALSE),"no clearing")</f>
        <v>no clearing</v>
      </c>
      <c r="N260" s="51">
        <f t="shared" si="207"/>
        <v>15</v>
      </c>
      <c r="O260" s="53">
        <f t="shared" si="208"/>
        <v>4</v>
      </c>
      <c r="P260" s="53">
        <f t="shared" si="209"/>
        <v>2025</v>
      </c>
    </row>
    <row r="261" spans="1:16" customFormat="1" x14ac:dyDescent="0.25">
      <c r="A261" s="21">
        <v>3000000471</v>
      </c>
      <c r="B261" s="22">
        <v>45754</v>
      </c>
      <c r="C261" s="20">
        <v>300000</v>
      </c>
      <c r="D261" s="21" t="s">
        <v>291</v>
      </c>
      <c r="E261" s="21">
        <v>94231534</v>
      </c>
      <c r="F261" s="20">
        <v>300000</v>
      </c>
      <c r="G261" s="22">
        <v>45756</v>
      </c>
      <c r="H261" t="s">
        <v>13</v>
      </c>
      <c r="I261" s="51" t="str">
        <f>IFERROR(IF(VLOOKUP(E261,extracto!C:C,1,FALSE)=E261,"pagado","no pagado"),"no pagado")</f>
        <v>pagado</v>
      </c>
      <c r="J261" s="52" t="str">
        <f t="shared" si="204"/>
        <v>pagado</v>
      </c>
      <c r="K261" s="51" t="str">
        <f t="shared" ca="1" si="205"/>
        <v>excluir</v>
      </c>
      <c r="L261" s="51" t="str">
        <f t="shared" ca="1" si="206"/>
        <v>no semana</v>
      </c>
      <c r="M261" s="51" t="str">
        <f>IFERROR(VLOOKUP(E261,'cheques a conf'!A:D,4,FALSE),"no clearing")</f>
        <v>no clearing</v>
      </c>
      <c r="N261" s="51">
        <f t="shared" si="207"/>
        <v>15</v>
      </c>
      <c r="O261" s="53">
        <f t="shared" si="208"/>
        <v>4</v>
      </c>
      <c r="P261" s="53">
        <f t="shared" si="209"/>
        <v>2025</v>
      </c>
    </row>
    <row r="262" spans="1:16" customFormat="1" x14ac:dyDescent="0.25">
      <c r="A262" s="21">
        <v>3000000471</v>
      </c>
      <c r="B262" s="22">
        <v>45754</v>
      </c>
      <c r="C262" s="20">
        <v>300000</v>
      </c>
      <c r="D262" s="21" t="s">
        <v>291</v>
      </c>
      <c r="E262" s="21">
        <v>94231535</v>
      </c>
      <c r="F262" s="20">
        <v>300000</v>
      </c>
      <c r="G262" s="22">
        <v>45756</v>
      </c>
      <c r="H262" t="s">
        <v>13</v>
      </c>
      <c r="I262" s="51" t="str">
        <f>IFERROR(IF(VLOOKUP(E262,extracto!C:C,1,FALSE)=E262,"pagado","no pagado"),"no pagado")</f>
        <v>pagado</v>
      </c>
      <c r="J262" s="52" t="str">
        <f t="shared" si="204"/>
        <v>pagado</v>
      </c>
      <c r="K262" s="51" t="str">
        <f t="shared" ca="1" si="205"/>
        <v>excluir</v>
      </c>
      <c r="L262" s="51" t="str">
        <f t="shared" ca="1" si="206"/>
        <v>no semana</v>
      </c>
      <c r="M262" s="51" t="str">
        <f>IFERROR(VLOOKUP(E262,'cheques a conf'!A:D,4,FALSE),"no clearing")</f>
        <v>no clearing</v>
      </c>
      <c r="N262" s="51">
        <f t="shared" si="207"/>
        <v>15</v>
      </c>
      <c r="O262" s="53">
        <f t="shared" si="208"/>
        <v>4</v>
      </c>
      <c r="P262" s="53">
        <f t="shared" si="209"/>
        <v>2025</v>
      </c>
    </row>
    <row r="263" spans="1:16" customFormat="1" x14ac:dyDescent="0.25">
      <c r="A263" s="21">
        <v>3000000471</v>
      </c>
      <c r="B263" s="22">
        <v>45754</v>
      </c>
      <c r="C263" s="20">
        <v>300000</v>
      </c>
      <c r="D263" s="21" t="s">
        <v>291</v>
      </c>
      <c r="E263" s="21">
        <v>94231536</v>
      </c>
      <c r="F263" s="20">
        <v>300000</v>
      </c>
      <c r="G263" s="22">
        <v>45756</v>
      </c>
      <c r="H263" t="s">
        <v>13</v>
      </c>
      <c r="I263" s="51" t="str">
        <f>IFERROR(IF(VLOOKUP(E263,extracto!C:C,1,FALSE)=E263,"pagado","no pagado"),"no pagado")</f>
        <v>pagado</v>
      </c>
      <c r="J263" s="52" t="str">
        <f t="shared" si="204"/>
        <v>pagado</v>
      </c>
      <c r="K263" s="51" t="str">
        <f t="shared" ca="1" si="205"/>
        <v>excluir</v>
      </c>
      <c r="L263" s="51" t="str">
        <f t="shared" ca="1" si="206"/>
        <v>no semana</v>
      </c>
      <c r="M263" s="51" t="str">
        <f>IFERROR(VLOOKUP(E263,'cheques a conf'!A:D,4,FALSE),"no clearing")</f>
        <v>no clearing</v>
      </c>
      <c r="N263" s="51">
        <f t="shared" si="207"/>
        <v>15</v>
      </c>
      <c r="O263" s="53">
        <f t="shared" si="208"/>
        <v>4</v>
      </c>
      <c r="P263" s="53">
        <f t="shared" si="209"/>
        <v>2025</v>
      </c>
    </row>
    <row r="264" spans="1:16" customFormat="1" x14ac:dyDescent="0.25">
      <c r="A264" s="21">
        <v>3000000471</v>
      </c>
      <c r="B264" s="22">
        <v>45754</v>
      </c>
      <c r="C264" s="20">
        <v>300000</v>
      </c>
      <c r="D264" s="21" t="s">
        <v>291</v>
      </c>
      <c r="E264" s="21">
        <v>94231537</v>
      </c>
      <c r="F264" s="20">
        <v>300000</v>
      </c>
      <c r="G264" s="22">
        <v>45756</v>
      </c>
      <c r="H264" t="s">
        <v>13</v>
      </c>
      <c r="I264" s="51" t="str">
        <f>IFERROR(IF(VLOOKUP(E264,extracto!C:C,1,FALSE)=E264,"pagado","no pagado"),"no pagado")</f>
        <v>pagado</v>
      </c>
      <c r="J264" s="52" t="str">
        <f t="shared" si="204"/>
        <v>pagado</v>
      </c>
      <c r="K264" s="51" t="str">
        <f t="shared" ca="1" si="205"/>
        <v>excluir</v>
      </c>
      <c r="L264" s="51" t="str">
        <f t="shared" ca="1" si="206"/>
        <v>no semana</v>
      </c>
      <c r="M264" s="51" t="str">
        <f>IFERROR(VLOOKUP(E264,'cheques a conf'!A:D,4,FALSE),"no clearing")</f>
        <v>no clearing</v>
      </c>
      <c r="N264" s="51">
        <f t="shared" si="207"/>
        <v>15</v>
      </c>
      <c r="O264" s="53">
        <f t="shared" si="208"/>
        <v>4</v>
      </c>
      <c r="P264" s="53">
        <f t="shared" si="209"/>
        <v>2025</v>
      </c>
    </row>
    <row r="265" spans="1:16" customFormat="1" x14ac:dyDescent="0.25">
      <c r="A265" s="21">
        <v>3000000471</v>
      </c>
      <c r="B265" s="22">
        <v>45754</v>
      </c>
      <c r="C265" s="20">
        <v>300000</v>
      </c>
      <c r="D265" s="21" t="s">
        <v>291</v>
      </c>
      <c r="E265" s="21">
        <v>94231538</v>
      </c>
      <c r="F265" s="20">
        <v>300000</v>
      </c>
      <c r="G265" s="22">
        <v>45756</v>
      </c>
      <c r="H265" t="s">
        <v>13</v>
      </c>
      <c r="I265" s="51" t="str">
        <f>IFERROR(IF(VLOOKUP(E265,extracto!C:C,1,FALSE)=E265,"pagado","no pagado"),"no pagado")</f>
        <v>pagado</v>
      </c>
      <c r="J265" s="52" t="str">
        <f t="shared" si="204"/>
        <v>pagado</v>
      </c>
      <c r="K265" s="51" t="str">
        <f t="shared" ca="1" si="205"/>
        <v>excluir</v>
      </c>
      <c r="L265" s="51" t="str">
        <f t="shared" ca="1" si="206"/>
        <v>no semana</v>
      </c>
      <c r="M265" s="51" t="str">
        <f>IFERROR(VLOOKUP(E265,'cheques a conf'!A:D,4,FALSE),"no clearing")</f>
        <v>no clearing</v>
      </c>
      <c r="N265" s="51">
        <f t="shared" si="207"/>
        <v>15</v>
      </c>
      <c r="O265" s="53">
        <f t="shared" si="208"/>
        <v>4</v>
      </c>
      <c r="P265" s="53">
        <f t="shared" si="209"/>
        <v>2025</v>
      </c>
    </row>
    <row r="266" spans="1:16" customFormat="1" x14ac:dyDescent="0.25">
      <c r="A266" s="21">
        <v>3000000471</v>
      </c>
      <c r="B266" s="22">
        <v>45754</v>
      </c>
      <c r="C266" s="20">
        <v>113443.4</v>
      </c>
      <c r="D266" s="21" t="s">
        <v>291</v>
      </c>
      <c r="E266" s="21">
        <v>94231539</v>
      </c>
      <c r="F266" s="20">
        <v>113443.4</v>
      </c>
      <c r="G266" s="22">
        <v>45756</v>
      </c>
      <c r="H266" t="s">
        <v>13</v>
      </c>
      <c r="I266" s="51" t="str">
        <f>IFERROR(IF(VLOOKUP(E266,extracto!C:C,1,FALSE)=E266,"pagado","no pagado"),"no pagado")</f>
        <v>pagado</v>
      </c>
      <c r="J266" s="52" t="str">
        <f t="shared" ref="J266" si="210">IF(I266="pagado","pagado",IF(G266&lt;$V$1-30,"fuera de fecha","en periodo de pago"))</f>
        <v>pagado</v>
      </c>
      <c r="K266" s="51" t="str">
        <f t="shared" ref="K266" ca="1" si="211">+IF(B266&gt;$V$1,"excluir",IF(J266="en periodo de pago",IF($V$1&gt;G266,"a pagar","proximo a vencer"),"excluir"))</f>
        <v>excluir</v>
      </c>
      <c r="L266" s="51" t="str">
        <f t="shared" ref="L266" ca="1" si="212">+IF(K266="proximo a vencer",IF($V$1+5&gt;G266,"para la semana","no semana"),"no semana")</f>
        <v>no semana</v>
      </c>
      <c r="M266" s="51" t="str">
        <f>IFERROR(VLOOKUP(E266,'cheques a conf'!A:D,4,FALSE),"no clearing")</f>
        <v>no clearing</v>
      </c>
      <c r="N266" s="51">
        <f t="shared" ref="N266" si="213">+WEEKNUM(G266,2)</f>
        <v>15</v>
      </c>
      <c r="O266" s="53">
        <f t="shared" ref="O266" si="214">+MONTH(G266)</f>
        <v>4</v>
      </c>
      <c r="P266" s="53">
        <f t="shared" ref="P266" si="215">+YEAR(G266)</f>
        <v>2025</v>
      </c>
    </row>
    <row r="267" spans="1:16" customFormat="1" x14ac:dyDescent="0.25">
      <c r="A267" s="21">
        <v>3000000499</v>
      </c>
      <c r="B267" s="22">
        <v>45758</v>
      </c>
      <c r="C267" s="20">
        <v>670042.30000000005</v>
      </c>
      <c r="D267" s="21" t="s">
        <v>65</v>
      </c>
      <c r="E267" s="21">
        <v>94231540</v>
      </c>
      <c r="F267" s="20">
        <v>670042.30000000005</v>
      </c>
      <c r="G267" s="22">
        <v>45761</v>
      </c>
      <c r="H267" t="s">
        <v>13</v>
      </c>
      <c r="I267" s="51" t="str">
        <f>IFERROR(IF(VLOOKUP(E267,extracto!C:C,1,FALSE)=E267,"pagado","no pagado"),"no pagado")</f>
        <v>pagado</v>
      </c>
      <c r="J267" s="52" t="str">
        <f t="shared" ref="J267:J293" si="216">IF(I267="pagado","pagado",IF(G267&lt;$V$1-30,"fuera de fecha","en periodo de pago"))</f>
        <v>pagado</v>
      </c>
      <c r="K267" s="51" t="str">
        <f t="shared" ref="K267:K293" ca="1" si="217">+IF(B267&gt;$V$1,"excluir",IF(J267="en periodo de pago",IF($V$1&gt;G267,"a pagar","proximo a vencer"),"excluir"))</f>
        <v>excluir</v>
      </c>
      <c r="L267" s="51" t="str">
        <f t="shared" ref="L267:L293" ca="1" si="218">+IF(K267="proximo a vencer",IF($V$1+5&gt;G267,"para la semana","no semana"),"no semana")</f>
        <v>no semana</v>
      </c>
      <c r="M267" s="51" t="str">
        <f>IFERROR(VLOOKUP(E267,'cheques a conf'!A:D,4,FALSE),"no clearing")</f>
        <v>no clearing</v>
      </c>
      <c r="N267" s="51">
        <f t="shared" ref="N267:N293" si="219">+WEEKNUM(G267,2)</f>
        <v>16</v>
      </c>
      <c r="O267" s="53">
        <f t="shared" ref="O267:O293" si="220">+MONTH(G267)</f>
        <v>4</v>
      </c>
      <c r="P267" s="53">
        <f t="shared" ref="P267:P293" si="221">+YEAR(G267)</f>
        <v>2025</v>
      </c>
    </row>
    <row r="268" spans="1:16" customFormat="1" x14ac:dyDescent="0.25">
      <c r="A268" s="21">
        <v>3000000512</v>
      </c>
      <c r="B268" s="22">
        <v>45762</v>
      </c>
      <c r="C268" s="20">
        <v>12698470</v>
      </c>
      <c r="D268" s="21" t="s">
        <v>22</v>
      </c>
      <c r="E268" s="21">
        <v>94231541</v>
      </c>
      <c r="F268" s="20">
        <v>12698470</v>
      </c>
      <c r="G268" s="22">
        <v>45763</v>
      </c>
      <c r="H268" t="s">
        <v>13</v>
      </c>
      <c r="I268" s="51" t="str">
        <f>IFERROR(IF(VLOOKUP(E268,extracto!C:C,1,FALSE)=E268,"pagado","no pagado"),"no pagado")</f>
        <v>pagado</v>
      </c>
      <c r="J268" s="52" t="str">
        <f t="shared" si="216"/>
        <v>pagado</v>
      </c>
      <c r="K268" s="51" t="str">
        <f t="shared" ca="1" si="217"/>
        <v>excluir</v>
      </c>
      <c r="L268" s="51" t="str">
        <f t="shared" ca="1" si="218"/>
        <v>no semana</v>
      </c>
      <c r="M268" s="51" t="str">
        <f>IFERROR(VLOOKUP(E268,'cheques a conf'!A:D,4,FALSE),"no clearing")</f>
        <v>no clearing</v>
      </c>
      <c r="N268" s="51">
        <f t="shared" si="219"/>
        <v>16</v>
      </c>
      <c r="O268" s="53">
        <f t="shared" si="220"/>
        <v>4</v>
      </c>
      <c r="P268" s="53">
        <f t="shared" si="221"/>
        <v>2025</v>
      </c>
    </row>
    <row r="269" spans="1:16" customFormat="1" x14ac:dyDescent="0.25">
      <c r="A269" s="21">
        <v>3000000525</v>
      </c>
      <c r="B269" s="22">
        <v>45763</v>
      </c>
      <c r="C269" s="20">
        <v>193651920</v>
      </c>
      <c r="D269" s="21" t="s">
        <v>289</v>
      </c>
      <c r="E269" s="21">
        <v>97123482</v>
      </c>
      <c r="F269" s="20">
        <v>193651920</v>
      </c>
      <c r="G269" s="22">
        <v>45771</v>
      </c>
      <c r="H269" s="21" t="s">
        <v>61</v>
      </c>
      <c r="I269" s="51" t="str">
        <f>IFERROR(IF(VLOOKUP(E269,extracto!C:C,1,FALSE)=E269,"pagado","no pagado"),"no pagado")</f>
        <v>pagado</v>
      </c>
      <c r="J269" s="52" t="str">
        <f t="shared" si="216"/>
        <v>pagado</v>
      </c>
      <c r="K269" s="51" t="str">
        <f t="shared" ca="1" si="217"/>
        <v>excluir</v>
      </c>
      <c r="L269" s="51" t="str">
        <f t="shared" ca="1" si="218"/>
        <v>no semana</v>
      </c>
      <c r="M269" s="51" t="str">
        <f>IFERROR(VLOOKUP(E269,'cheques a conf'!A:D,4,FALSE),"no clearing")</f>
        <v>no clearing</v>
      </c>
      <c r="N269" s="51">
        <f t="shared" si="219"/>
        <v>17</v>
      </c>
      <c r="O269" s="53">
        <f t="shared" si="220"/>
        <v>4</v>
      </c>
      <c r="P269" s="53">
        <f t="shared" si="221"/>
        <v>2025</v>
      </c>
    </row>
    <row r="270" spans="1:16" customFormat="1" x14ac:dyDescent="0.25">
      <c r="A270" s="21">
        <v>3000000525</v>
      </c>
      <c r="B270" s="22">
        <v>45763</v>
      </c>
      <c r="C270" s="20">
        <v>30000000</v>
      </c>
      <c r="D270" s="21" t="s">
        <v>289</v>
      </c>
      <c r="E270" s="21">
        <v>97123483</v>
      </c>
      <c r="F270" s="20">
        <v>30000000</v>
      </c>
      <c r="G270" s="22">
        <v>45771</v>
      </c>
      <c r="H270" s="21" t="s">
        <v>61</v>
      </c>
      <c r="I270" s="51" t="str">
        <f>IFERROR(IF(VLOOKUP(E270,extracto!C:C,1,FALSE)=E270,"pagado","no pagado"),"no pagado")</f>
        <v>pagado</v>
      </c>
      <c r="J270" s="52" t="str">
        <f t="shared" si="216"/>
        <v>pagado</v>
      </c>
      <c r="K270" s="51" t="str">
        <f t="shared" ca="1" si="217"/>
        <v>excluir</v>
      </c>
      <c r="L270" s="51" t="str">
        <f t="shared" ca="1" si="218"/>
        <v>no semana</v>
      </c>
      <c r="M270" s="51" t="str">
        <f>IFERROR(VLOOKUP(E270,'cheques a conf'!A:D,4,FALSE),"no clearing")</f>
        <v>no clearing</v>
      </c>
      <c r="N270" s="51">
        <f t="shared" si="219"/>
        <v>17</v>
      </c>
      <c r="O270" s="53">
        <f t="shared" si="220"/>
        <v>4</v>
      </c>
      <c r="P270" s="53">
        <f t="shared" si="221"/>
        <v>2025</v>
      </c>
    </row>
    <row r="271" spans="1:16" customFormat="1" x14ac:dyDescent="0.25">
      <c r="A271" s="21">
        <v>3000000525</v>
      </c>
      <c r="B271" s="22">
        <v>45763</v>
      </c>
      <c r="C271" s="20">
        <v>29623928.539999999</v>
      </c>
      <c r="D271" s="21" t="s">
        <v>289</v>
      </c>
      <c r="E271" s="21">
        <v>97123484</v>
      </c>
      <c r="F271" s="20">
        <v>29623928.539999999</v>
      </c>
      <c r="G271" s="22">
        <v>45772</v>
      </c>
      <c r="H271" s="21" t="s">
        <v>61</v>
      </c>
      <c r="I271" s="51" t="str">
        <f>IFERROR(IF(VLOOKUP(E271,extracto!C:C,1,FALSE)=E271,"pagado","no pagado"),"no pagado")</f>
        <v>pagado</v>
      </c>
      <c r="J271" s="52" t="str">
        <f t="shared" si="216"/>
        <v>pagado</v>
      </c>
      <c r="K271" s="51" t="str">
        <f t="shared" ca="1" si="217"/>
        <v>excluir</v>
      </c>
      <c r="L271" s="51" t="str">
        <f t="shared" ca="1" si="218"/>
        <v>no semana</v>
      </c>
      <c r="M271" s="51" t="str">
        <f>IFERROR(VLOOKUP(E271,'cheques a conf'!A:D,4,FALSE),"no clearing")</f>
        <v>no clearing</v>
      </c>
      <c r="N271" s="51">
        <f t="shared" si="219"/>
        <v>17</v>
      </c>
      <c r="O271" s="53">
        <f t="shared" si="220"/>
        <v>4</v>
      </c>
      <c r="P271" s="53">
        <f t="shared" si="221"/>
        <v>2025</v>
      </c>
    </row>
    <row r="272" spans="1:16" customFormat="1" x14ac:dyDescent="0.25">
      <c r="A272" s="21">
        <v>3000000528</v>
      </c>
      <c r="B272" s="22">
        <v>45763</v>
      </c>
      <c r="C272" s="20">
        <v>15000000</v>
      </c>
      <c r="D272" s="21" t="s">
        <v>197</v>
      </c>
      <c r="E272" s="21">
        <v>97123487</v>
      </c>
      <c r="F272" s="20">
        <v>15000000</v>
      </c>
      <c r="G272" s="22">
        <v>45771</v>
      </c>
      <c r="H272" s="21" t="s">
        <v>61</v>
      </c>
      <c r="I272" s="51" t="str">
        <f>IFERROR(IF(VLOOKUP(E272,extracto!C:C,1,FALSE)=E272,"pagado","no pagado"),"no pagado")</f>
        <v>pagado</v>
      </c>
      <c r="J272" s="52" t="str">
        <f t="shared" si="216"/>
        <v>pagado</v>
      </c>
      <c r="K272" s="51" t="str">
        <f t="shared" ca="1" si="217"/>
        <v>excluir</v>
      </c>
      <c r="L272" s="51" t="str">
        <f t="shared" ca="1" si="218"/>
        <v>no semana</v>
      </c>
      <c r="M272" s="51" t="str">
        <f>IFERROR(VLOOKUP(E272,'cheques a conf'!A:D,4,FALSE),"no clearing")</f>
        <v>no clearing</v>
      </c>
      <c r="N272" s="51">
        <f t="shared" si="219"/>
        <v>17</v>
      </c>
      <c r="O272" s="53">
        <f t="shared" si="220"/>
        <v>4</v>
      </c>
      <c r="P272" s="53">
        <f t="shared" si="221"/>
        <v>2025</v>
      </c>
    </row>
    <row r="273" spans="1:16" customFormat="1" x14ac:dyDescent="0.25">
      <c r="A273" s="21">
        <v>3000000528</v>
      </c>
      <c r="B273" s="22">
        <v>45763</v>
      </c>
      <c r="C273" s="20">
        <v>15857316.6</v>
      </c>
      <c r="D273" s="21" t="s">
        <v>197</v>
      </c>
      <c r="E273" s="21">
        <v>97123488</v>
      </c>
      <c r="F273" s="20">
        <v>15857316.6</v>
      </c>
      <c r="G273" s="22">
        <v>45772</v>
      </c>
      <c r="H273" s="21" t="s">
        <v>61</v>
      </c>
      <c r="I273" s="51" t="str">
        <f>IFERROR(IF(VLOOKUP(E273,extracto!C:C,1,FALSE)=E273,"pagado","no pagado"),"no pagado")</f>
        <v>pagado</v>
      </c>
      <c r="J273" s="52" t="str">
        <f t="shared" si="216"/>
        <v>pagado</v>
      </c>
      <c r="K273" s="51" t="str">
        <f t="shared" ca="1" si="217"/>
        <v>excluir</v>
      </c>
      <c r="L273" s="51" t="str">
        <f t="shared" ca="1" si="218"/>
        <v>no semana</v>
      </c>
      <c r="M273" s="51" t="str">
        <f>IFERROR(VLOOKUP(E273,'cheques a conf'!A:D,4,FALSE),"no clearing")</f>
        <v>no clearing</v>
      </c>
      <c r="N273" s="51">
        <f t="shared" si="219"/>
        <v>17</v>
      </c>
      <c r="O273" s="53">
        <f t="shared" si="220"/>
        <v>4</v>
      </c>
      <c r="P273" s="53">
        <f t="shared" si="221"/>
        <v>2025</v>
      </c>
    </row>
    <row r="274" spans="1:16" customFormat="1" x14ac:dyDescent="0.25">
      <c r="A274" s="21">
        <v>3000000529</v>
      </c>
      <c r="B274" s="22">
        <v>45763</v>
      </c>
      <c r="C274" s="20">
        <v>15000000</v>
      </c>
      <c r="D274" s="21" t="s">
        <v>350</v>
      </c>
      <c r="E274" s="21">
        <v>97123489</v>
      </c>
      <c r="F274" s="20">
        <v>15000000</v>
      </c>
      <c r="G274" s="22">
        <v>45771</v>
      </c>
      <c r="H274" s="21" t="s">
        <v>61</v>
      </c>
      <c r="I274" s="51" t="str">
        <f>IFERROR(IF(VLOOKUP(E274,extracto!C:C,1,FALSE)=E274,"pagado","no pagado"),"no pagado")</f>
        <v>pagado</v>
      </c>
      <c r="J274" s="52" t="str">
        <f t="shared" si="216"/>
        <v>pagado</v>
      </c>
      <c r="K274" s="51" t="str">
        <f t="shared" ca="1" si="217"/>
        <v>excluir</v>
      </c>
      <c r="L274" s="51" t="str">
        <f t="shared" ca="1" si="218"/>
        <v>no semana</v>
      </c>
      <c r="M274" s="51" t="str">
        <f>IFERROR(VLOOKUP(E274,'cheques a conf'!A:D,4,FALSE),"no clearing")</f>
        <v>no clearing</v>
      </c>
      <c r="N274" s="51">
        <f t="shared" si="219"/>
        <v>17</v>
      </c>
      <c r="O274" s="53">
        <f t="shared" si="220"/>
        <v>4</v>
      </c>
      <c r="P274" s="53">
        <f t="shared" si="221"/>
        <v>2025</v>
      </c>
    </row>
    <row r="275" spans="1:16" customFormat="1" x14ac:dyDescent="0.25">
      <c r="A275" s="21">
        <v>3000000529</v>
      </c>
      <c r="B275" s="22">
        <v>45763</v>
      </c>
      <c r="C275" s="20">
        <v>10899797.85</v>
      </c>
      <c r="D275" s="21" t="s">
        <v>350</v>
      </c>
      <c r="E275" s="21">
        <v>97123490</v>
      </c>
      <c r="F275" s="20">
        <v>10899797.85</v>
      </c>
      <c r="G275" s="22">
        <v>45772</v>
      </c>
      <c r="H275" s="21" t="s">
        <v>61</v>
      </c>
      <c r="I275" s="51" t="str">
        <f>IFERROR(IF(VLOOKUP(E275,extracto!C:C,1,FALSE)=E275,"pagado","no pagado"),"no pagado")</f>
        <v>pagado</v>
      </c>
      <c r="J275" s="52" t="str">
        <f t="shared" si="216"/>
        <v>pagado</v>
      </c>
      <c r="K275" s="51" t="str">
        <f t="shared" ca="1" si="217"/>
        <v>excluir</v>
      </c>
      <c r="L275" s="51" t="str">
        <f t="shared" ca="1" si="218"/>
        <v>no semana</v>
      </c>
      <c r="M275" s="51" t="str">
        <f>IFERROR(VLOOKUP(E275,'cheques a conf'!A:D,4,FALSE),"no clearing")</f>
        <v>no clearing</v>
      </c>
      <c r="N275" s="51">
        <f t="shared" si="219"/>
        <v>17</v>
      </c>
      <c r="O275" s="53">
        <f t="shared" si="220"/>
        <v>4</v>
      </c>
      <c r="P275" s="53">
        <f t="shared" si="221"/>
        <v>2025</v>
      </c>
    </row>
    <row r="276" spans="1:16" customFormat="1" x14ac:dyDescent="0.25">
      <c r="A276" s="21">
        <v>3000000526</v>
      </c>
      <c r="B276" s="22">
        <v>45763</v>
      </c>
      <c r="C276" s="20">
        <v>11465296.449999999</v>
      </c>
      <c r="D276" s="21" t="s">
        <v>284</v>
      </c>
      <c r="E276" s="21">
        <v>97123485</v>
      </c>
      <c r="F276" s="20">
        <v>11465296.449999999</v>
      </c>
      <c r="G276" s="22">
        <v>45771</v>
      </c>
      <c r="H276" s="21" t="s">
        <v>61</v>
      </c>
      <c r="I276" s="51" t="str">
        <f>IFERROR(IF(VLOOKUP(E276,extracto!C:C,1,FALSE)=E276,"pagado","no pagado"),"no pagado")</f>
        <v>pagado</v>
      </c>
      <c r="J276" s="52" t="str">
        <f t="shared" si="216"/>
        <v>pagado</v>
      </c>
      <c r="K276" s="51" t="str">
        <f t="shared" ca="1" si="217"/>
        <v>excluir</v>
      </c>
      <c r="L276" s="51" t="str">
        <f t="shared" ca="1" si="218"/>
        <v>no semana</v>
      </c>
      <c r="M276" s="51" t="str">
        <f>IFERROR(VLOOKUP(E276,'cheques a conf'!A:D,4,FALSE),"no clearing")</f>
        <v>no clearing</v>
      </c>
      <c r="N276" s="51">
        <f t="shared" si="219"/>
        <v>17</v>
      </c>
      <c r="O276" s="53">
        <f t="shared" si="220"/>
        <v>4</v>
      </c>
      <c r="P276" s="53">
        <f t="shared" si="221"/>
        <v>2025</v>
      </c>
    </row>
    <row r="277" spans="1:16" customFormat="1" x14ac:dyDescent="0.25">
      <c r="A277" s="21">
        <v>3000000527</v>
      </c>
      <c r="B277" s="22">
        <v>45763</v>
      </c>
      <c r="C277" s="20">
        <v>4633382</v>
      </c>
      <c r="D277" s="21" t="s">
        <v>365</v>
      </c>
      <c r="E277" s="21">
        <v>97123486</v>
      </c>
      <c r="F277" s="20">
        <v>4633382</v>
      </c>
      <c r="G277" s="22">
        <v>45771</v>
      </c>
      <c r="H277" s="21" t="s">
        <v>61</v>
      </c>
      <c r="I277" s="51" t="str">
        <f>IFERROR(IF(VLOOKUP(E277,extracto!C:C,1,FALSE)=E277,"pagado","no pagado"),"no pagado")</f>
        <v>pagado</v>
      </c>
      <c r="J277" s="52" t="str">
        <f t="shared" si="216"/>
        <v>pagado</v>
      </c>
      <c r="K277" s="51" t="str">
        <f t="shared" ca="1" si="217"/>
        <v>excluir</v>
      </c>
      <c r="L277" s="51" t="str">
        <f t="shared" ca="1" si="218"/>
        <v>no semana</v>
      </c>
      <c r="M277" s="51" t="str">
        <f>IFERROR(VLOOKUP(E277,'cheques a conf'!A:D,4,FALSE),"no clearing")</f>
        <v>no clearing</v>
      </c>
      <c r="N277" s="51">
        <f t="shared" si="219"/>
        <v>17</v>
      </c>
      <c r="O277" s="53">
        <f t="shared" si="220"/>
        <v>4</v>
      </c>
      <c r="P277" s="53">
        <f t="shared" si="221"/>
        <v>2025</v>
      </c>
    </row>
    <row r="278" spans="1:16" customFormat="1" x14ac:dyDescent="0.25">
      <c r="A278" s="21">
        <v>3000000530</v>
      </c>
      <c r="B278" s="22">
        <v>45763</v>
      </c>
      <c r="C278" s="20">
        <v>4305453</v>
      </c>
      <c r="D278" s="21" t="s">
        <v>356</v>
      </c>
      <c r="E278" s="21">
        <v>97123491</v>
      </c>
      <c r="F278" s="20">
        <v>4305453</v>
      </c>
      <c r="G278" s="22">
        <v>45771</v>
      </c>
      <c r="H278" s="21" t="s">
        <v>61</v>
      </c>
      <c r="I278" s="51" t="str">
        <f>IFERROR(IF(VLOOKUP(E278,extracto!C:C,1,FALSE)=E278,"pagado","no pagado"),"no pagado")</f>
        <v>pagado</v>
      </c>
      <c r="J278" s="52" t="str">
        <f t="shared" si="216"/>
        <v>pagado</v>
      </c>
      <c r="K278" s="51" t="str">
        <f t="shared" ca="1" si="217"/>
        <v>excluir</v>
      </c>
      <c r="L278" s="51" t="str">
        <f t="shared" ca="1" si="218"/>
        <v>no semana</v>
      </c>
      <c r="M278" s="51" t="str">
        <f>IFERROR(VLOOKUP(E278,'cheques a conf'!A:D,4,FALSE),"no clearing")</f>
        <v>no clearing</v>
      </c>
      <c r="N278" s="51">
        <f t="shared" si="219"/>
        <v>17</v>
      </c>
      <c r="O278" s="53">
        <f t="shared" si="220"/>
        <v>4</v>
      </c>
      <c r="P278" s="53">
        <f t="shared" si="221"/>
        <v>2025</v>
      </c>
    </row>
    <row r="279" spans="1:16" customFormat="1" x14ac:dyDescent="0.25">
      <c r="A279" s="21">
        <v>3000000531</v>
      </c>
      <c r="B279" s="22">
        <v>45763</v>
      </c>
      <c r="C279" s="20">
        <v>11306156.9</v>
      </c>
      <c r="D279" s="21" t="s">
        <v>286</v>
      </c>
      <c r="E279" s="21">
        <v>97123492</v>
      </c>
      <c r="F279" s="20">
        <v>11306156.9</v>
      </c>
      <c r="G279" s="22">
        <v>45771</v>
      </c>
      <c r="H279" s="21" t="s">
        <v>61</v>
      </c>
      <c r="I279" s="51" t="str">
        <f>IFERROR(IF(VLOOKUP(E279,extracto!C:C,1,FALSE)=E279,"pagado","no pagado"),"no pagado")</f>
        <v>pagado</v>
      </c>
      <c r="J279" s="52" t="str">
        <f t="shared" si="216"/>
        <v>pagado</v>
      </c>
      <c r="K279" s="51" t="str">
        <f t="shared" ca="1" si="217"/>
        <v>excluir</v>
      </c>
      <c r="L279" s="51" t="str">
        <f t="shared" ca="1" si="218"/>
        <v>no semana</v>
      </c>
      <c r="M279" s="51" t="str">
        <f>IFERROR(VLOOKUP(E279,'cheques a conf'!A:D,4,FALSE),"no clearing")</f>
        <v>no clearing</v>
      </c>
      <c r="N279" s="51">
        <f t="shared" si="219"/>
        <v>17</v>
      </c>
      <c r="O279" s="53">
        <f t="shared" si="220"/>
        <v>4</v>
      </c>
      <c r="P279" s="53">
        <f t="shared" si="221"/>
        <v>2025</v>
      </c>
    </row>
    <row r="280" spans="1:16" customFormat="1" x14ac:dyDescent="0.25">
      <c r="A280" s="21">
        <v>3000000532</v>
      </c>
      <c r="B280" s="22">
        <v>45763</v>
      </c>
      <c r="C280" s="20">
        <v>28087500</v>
      </c>
      <c r="D280" s="21" t="s">
        <v>366</v>
      </c>
      <c r="E280" s="21">
        <v>3400742</v>
      </c>
      <c r="F280" s="20">
        <v>28087500</v>
      </c>
      <c r="G280" s="22">
        <v>45763</v>
      </c>
      <c r="H280" t="s">
        <v>13</v>
      </c>
      <c r="I280" s="51" t="str">
        <f>IFERROR(IF(VLOOKUP(E280,extracto!C:C,1,FALSE)=E280,"pagado","no pagado"),"no pagado")</f>
        <v>pagado</v>
      </c>
      <c r="J280" s="52" t="str">
        <f t="shared" si="216"/>
        <v>pagado</v>
      </c>
      <c r="K280" s="51" t="str">
        <f t="shared" ca="1" si="217"/>
        <v>excluir</v>
      </c>
      <c r="L280" s="51" t="str">
        <f t="shared" ca="1" si="218"/>
        <v>no semana</v>
      </c>
      <c r="M280" s="51" t="str">
        <f>IFERROR(VLOOKUP(E280,'cheques a conf'!A:D,4,FALSE),"no clearing")</f>
        <v>no clearing</v>
      </c>
      <c r="N280" s="51">
        <f t="shared" si="219"/>
        <v>16</v>
      </c>
      <c r="O280" s="53">
        <f t="shared" si="220"/>
        <v>4</v>
      </c>
      <c r="P280" s="53">
        <f t="shared" si="221"/>
        <v>2025</v>
      </c>
    </row>
    <row r="281" spans="1:16" customFormat="1" x14ac:dyDescent="0.25">
      <c r="A281" s="21">
        <v>3000000532</v>
      </c>
      <c r="B281" s="22">
        <v>45763</v>
      </c>
      <c r="C281" s="20">
        <v>28087500</v>
      </c>
      <c r="D281" s="21" t="s">
        <v>366</v>
      </c>
      <c r="E281" s="21">
        <v>3400743</v>
      </c>
      <c r="F281" s="20">
        <v>28087500</v>
      </c>
      <c r="G281" s="22">
        <v>45763</v>
      </c>
      <c r="H281" t="s">
        <v>13</v>
      </c>
      <c r="I281" s="51" t="str">
        <f>IFERROR(IF(VLOOKUP(E281,extracto!C:C,1,FALSE)=E281,"pagado","no pagado"),"no pagado")</f>
        <v>pagado</v>
      </c>
      <c r="J281" s="52" t="str">
        <f t="shared" si="216"/>
        <v>pagado</v>
      </c>
      <c r="K281" s="51" t="str">
        <f t="shared" ca="1" si="217"/>
        <v>excluir</v>
      </c>
      <c r="L281" s="51" t="str">
        <f t="shared" ca="1" si="218"/>
        <v>no semana</v>
      </c>
      <c r="M281" s="51" t="str">
        <f>IFERROR(VLOOKUP(E281,'cheques a conf'!A:D,4,FALSE),"no clearing")</f>
        <v>no clearing</v>
      </c>
      <c r="N281" s="51">
        <f t="shared" si="219"/>
        <v>16</v>
      </c>
      <c r="O281" s="53">
        <f t="shared" si="220"/>
        <v>4</v>
      </c>
      <c r="P281" s="53">
        <f t="shared" si="221"/>
        <v>2025</v>
      </c>
    </row>
    <row r="282" spans="1:16" customFormat="1" x14ac:dyDescent="0.25">
      <c r="A282" s="21">
        <v>3000000543</v>
      </c>
      <c r="B282" s="22">
        <v>45769</v>
      </c>
      <c r="C282" s="20">
        <v>8000000</v>
      </c>
      <c r="D282" s="21" t="s">
        <v>287</v>
      </c>
      <c r="E282" s="21">
        <v>97123496</v>
      </c>
      <c r="F282" s="9">
        <v>8000000</v>
      </c>
      <c r="G282" s="3">
        <v>45772</v>
      </c>
      <c r="H282" s="21" t="s">
        <v>61</v>
      </c>
      <c r="I282" s="51" t="str">
        <f>IFERROR(IF(VLOOKUP(E282,extracto!C:C,1,FALSE)=E282,"pagado","no pagado"),"no pagado")</f>
        <v>pagado</v>
      </c>
      <c r="J282" s="52" t="str">
        <f t="shared" si="216"/>
        <v>pagado</v>
      </c>
      <c r="K282" s="51" t="str">
        <f t="shared" ca="1" si="217"/>
        <v>excluir</v>
      </c>
      <c r="L282" s="51" t="str">
        <f t="shared" ca="1" si="218"/>
        <v>no semana</v>
      </c>
      <c r="M282" s="51" t="str">
        <f>IFERROR(VLOOKUP(E282,'cheques a conf'!A:D,4,FALSE),"no clearing")</f>
        <v>no clearing</v>
      </c>
      <c r="N282" s="51">
        <f t="shared" si="219"/>
        <v>17</v>
      </c>
      <c r="O282" s="53">
        <f t="shared" si="220"/>
        <v>4</v>
      </c>
      <c r="P282" s="53">
        <f t="shared" si="221"/>
        <v>2025</v>
      </c>
    </row>
    <row r="283" spans="1:16" customFormat="1" x14ac:dyDescent="0.25">
      <c r="A283" s="21">
        <v>3000000543</v>
      </c>
      <c r="B283" s="22">
        <v>45769</v>
      </c>
      <c r="C283" s="20">
        <v>8314869.75</v>
      </c>
      <c r="D283" s="21" t="s">
        <v>287</v>
      </c>
      <c r="E283" s="21">
        <v>97123497</v>
      </c>
      <c r="F283" s="9">
        <v>8314869.75</v>
      </c>
      <c r="G283" s="3">
        <v>45775</v>
      </c>
      <c r="H283" s="21" t="s">
        <v>61</v>
      </c>
      <c r="I283" s="51" t="str">
        <f>IFERROR(IF(VLOOKUP(E283,extracto!C:C,1,FALSE)=E283,"pagado","no pagado"),"no pagado")</f>
        <v>pagado</v>
      </c>
      <c r="J283" s="52" t="str">
        <f t="shared" si="216"/>
        <v>pagado</v>
      </c>
      <c r="K283" s="51" t="str">
        <f t="shared" ca="1" si="217"/>
        <v>excluir</v>
      </c>
      <c r="L283" s="51" t="str">
        <f t="shared" ca="1" si="218"/>
        <v>no semana</v>
      </c>
      <c r="M283" s="51" t="str">
        <f>IFERROR(VLOOKUP(E283,'cheques a conf'!A:D,4,FALSE),"no clearing")</f>
        <v>no clearing</v>
      </c>
      <c r="N283" s="51">
        <f t="shared" si="219"/>
        <v>18</v>
      </c>
      <c r="O283" s="53">
        <f t="shared" si="220"/>
        <v>4</v>
      </c>
      <c r="P283" s="53">
        <f t="shared" si="221"/>
        <v>2025</v>
      </c>
    </row>
    <row r="284" spans="1:16" customFormat="1" x14ac:dyDescent="0.25">
      <c r="A284" s="21">
        <v>3000000540</v>
      </c>
      <c r="B284" s="22">
        <v>45769</v>
      </c>
      <c r="C284" s="20">
        <v>6487780.1900000004</v>
      </c>
      <c r="D284" s="21" t="s">
        <v>350</v>
      </c>
      <c r="E284" s="21">
        <v>97123493</v>
      </c>
      <c r="F284" s="9">
        <v>6487780.1900000004</v>
      </c>
      <c r="G284" s="3">
        <v>45772</v>
      </c>
      <c r="H284" s="21" t="s">
        <v>61</v>
      </c>
      <c r="I284" s="51" t="str">
        <f>IFERROR(IF(VLOOKUP(E284,extracto!C:C,1,FALSE)=E284,"pagado","no pagado"),"no pagado")</f>
        <v>pagado</v>
      </c>
      <c r="J284" s="52" t="str">
        <f t="shared" si="216"/>
        <v>pagado</v>
      </c>
      <c r="K284" s="51" t="str">
        <f t="shared" ca="1" si="217"/>
        <v>excluir</v>
      </c>
      <c r="L284" s="51" t="str">
        <f t="shared" ca="1" si="218"/>
        <v>no semana</v>
      </c>
      <c r="M284" s="51" t="str">
        <f>IFERROR(VLOOKUP(E284,'cheques a conf'!A:D,4,FALSE),"no clearing")</f>
        <v>no clearing</v>
      </c>
      <c r="N284" s="51">
        <f t="shared" si="219"/>
        <v>17</v>
      </c>
      <c r="O284" s="53">
        <f t="shared" si="220"/>
        <v>4</v>
      </c>
      <c r="P284" s="53">
        <f t="shared" si="221"/>
        <v>2025</v>
      </c>
    </row>
    <row r="285" spans="1:16" customFormat="1" x14ac:dyDescent="0.25">
      <c r="A285" s="21">
        <v>3000000541</v>
      </c>
      <c r="B285" s="22">
        <v>45769</v>
      </c>
      <c r="C285" s="20">
        <v>13665667.15</v>
      </c>
      <c r="D285" s="21" t="s">
        <v>348</v>
      </c>
      <c r="E285" s="21">
        <v>97123494</v>
      </c>
      <c r="F285" s="9">
        <v>13665667.15</v>
      </c>
      <c r="G285" s="3">
        <v>45772</v>
      </c>
      <c r="H285" s="21" t="s">
        <v>61</v>
      </c>
      <c r="I285" s="51" t="str">
        <f>IFERROR(IF(VLOOKUP(E285,extracto!C:C,1,FALSE)=E285,"pagado","no pagado"),"no pagado")</f>
        <v>pagado</v>
      </c>
      <c r="J285" s="52" t="str">
        <f t="shared" si="216"/>
        <v>pagado</v>
      </c>
      <c r="K285" s="51" t="str">
        <f t="shared" ca="1" si="217"/>
        <v>excluir</v>
      </c>
      <c r="L285" s="51" t="str">
        <f t="shared" ca="1" si="218"/>
        <v>no semana</v>
      </c>
      <c r="M285" s="51" t="str">
        <f>IFERROR(VLOOKUP(E285,'cheques a conf'!A:D,4,FALSE),"no clearing")</f>
        <v>no clearing</v>
      </c>
      <c r="N285" s="51">
        <f t="shared" si="219"/>
        <v>17</v>
      </c>
      <c r="O285" s="53">
        <f t="shared" si="220"/>
        <v>4</v>
      </c>
      <c r="P285" s="53">
        <f t="shared" si="221"/>
        <v>2025</v>
      </c>
    </row>
    <row r="286" spans="1:16" customFormat="1" x14ac:dyDescent="0.25">
      <c r="A286" s="21">
        <v>3000000542</v>
      </c>
      <c r="B286" s="22">
        <v>45769</v>
      </c>
      <c r="C286" s="20">
        <v>14987333.4</v>
      </c>
      <c r="D286" s="21" t="s">
        <v>304</v>
      </c>
      <c r="E286" s="21">
        <v>97123495</v>
      </c>
      <c r="F286" s="9">
        <v>14987333.4</v>
      </c>
      <c r="G286" s="3">
        <v>45772</v>
      </c>
      <c r="H286" s="21" t="s">
        <v>61</v>
      </c>
      <c r="I286" s="51" t="str">
        <f>IFERROR(IF(VLOOKUP(E286,extracto!C:C,1,FALSE)=E286,"pagado","no pagado"),"no pagado")</f>
        <v>pagado</v>
      </c>
      <c r="J286" s="52" t="str">
        <f t="shared" si="216"/>
        <v>pagado</v>
      </c>
      <c r="K286" s="51" t="str">
        <f t="shared" ca="1" si="217"/>
        <v>excluir</v>
      </c>
      <c r="L286" s="51" t="str">
        <f t="shared" ca="1" si="218"/>
        <v>no semana</v>
      </c>
      <c r="M286" s="51" t="str">
        <f>IFERROR(VLOOKUP(E286,'cheques a conf'!A:D,4,FALSE),"no clearing")</f>
        <v>no clearing</v>
      </c>
      <c r="N286" s="51">
        <f t="shared" si="219"/>
        <v>17</v>
      </c>
      <c r="O286" s="53">
        <f t="shared" si="220"/>
        <v>4</v>
      </c>
      <c r="P286" s="53">
        <f t="shared" si="221"/>
        <v>2025</v>
      </c>
    </row>
    <row r="287" spans="1:16" customFormat="1" x14ac:dyDescent="0.25">
      <c r="A287" s="21">
        <v>3000000544</v>
      </c>
      <c r="B287" s="22">
        <v>45769</v>
      </c>
      <c r="C287" s="20">
        <v>2845691.75</v>
      </c>
      <c r="D287" s="21" t="s">
        <v>287</v>
      </c>
      <c r="E287" s="21">
        <v>97123498</v>
      </c>
      <c r="F287" s="9">
        <v>2845691.75</v>
      </c>
      <c r="G287" s="3">
        <v>45772</v>
      </c>
      <c r="H287" s="21" t="s">
        <v>61</v>
      </c>
      <c r="I287" s="51" t="str">
        <f>IFERROR(IF(VLOOKUP(E287,extracto!C:C,1,FALSE)=E287,"pagado","no pagado"),"no pagado")</f>
        <v>pagado</v>
      </c>
      <c r="J287" s="52" t="str">
        <f t="shared" si="216"/>
        <v>pagado</v>
      </c>
      <c r="K287" s="51" t="str">
        <f t="shared" ca="1" si="217"/>
        <v>excluir</v>
      </c>
      <c r="L287" s="51" t="str">
        <f t="shared" ca="1" si="218"/>
        <v>no semana</v>
      </c>
      <c r="M287" s="51" t="str">
        <f>IFERROR(VLOOKUP(E287,'cheques a conf'!A:D,4,FALSE),"no clearing")</f>
        <v>no clearing</v>
      </c>
      <c r="N287" s="51">
        <f t="shared" si="219"/>
        <v>17</v>
      </c>
      <c r="O287" s="53">
        <f t="shared" si="220"/>
        <v>4</v>
      </c>
      <c r="P287" s="53">
        <f t="shared" si="221"/>
        <v>2025</v>
      </c>
    </row>
    <row r="288" spans="1:16" customFormat="1" x14ac:dyDescent="0.25">
      <c r="A288" s="21">
        <v>3000000582</v>
      </c>
      <c r="B288" s="22">
        <v>45776</v>
      </c>
      <c r="C288" s="20">
        <v>474400</v>
      </c>
      <c r="D288" s="21" t="s">
        <v>291</v>
      </c>
      <c r="E288" s="21">
        <v>94231542</v>
      </c>
      <c r="F288" s="20">
        <v>474400</v>
      </c>
      <c r="G288" s="22">
        <v>45777</v>
      </c>
      <c r="H288" s="21" t="s">
        <v>13</v>
      </c>
      <c r="I288" s="51" t="str">
        <f>IFERROR(IF(VLOOKUP(E288,extracto!C:C,1,FALSE)=E288,"pagado","no pagado"),"no pagado")</f>
        <v>pagado</v>
      </c>
      <c r="J288" s="52" t="str">
        <f t="shared" si="216"/>
        <v>pagado</v>
      </c>
      <c r="K288" s="51" t="str">
        <f t="shared" ca="1" si="217"/>
        <v>excluir</v>
      </c>
      <c r="L288" s="51" t="str">
        <f t="shared" ca="1" si="218"/>
        <v>no semana</v>
      </c>
      <c r="M288" s="51" t="str">
        <f>IFERROR(VLOOKUP(E288,'cheques a conf'!A:D,4,FALSE),"no clearing")</f>
        <v>no clearing</v>
      </c>
      <c r="N288" s="51">
        <f t="shared" si="219"/>
        <v>18</v>
      </c>
      <c r="O288" s="53">
        <f t="shared" si="220"/>
        <v>4</v>
      </c>
      <c r="P288" s="53">
        <f t="shared" si="221"/>
        <v>2025</v>
      </c>
    </row>
    <row r="289" spans="1:16" customFormat="1" x14ac:dyDescent="0.25">
      <c r="A289" s="21">
        <v>3000000582</v>
      </c>
      <c r="B289" s="22">
        <v>45776</v>
      </c>
      <c r="C289" s="20">
        <v>474400</v>
      </c>
      <c r="D289" s="21" t="s">
        <v>291</v>
      </c>
      <c r="E289" s="21">
        <v>94231543</v>
      </c>
      <c r="F289" s="20">
        <v>474400</v>
      </c>
      <c r="G289" s="22">
        <v>45777</v>
      </c>
      <c r="H289" s="21" t="s">
        <v>13</v>
      </c>
      <c r="I289" s="51" t="str">
        <f>IFERROR(IF(VLOOKUP(E289,extracto!C:C,1,FALSE)=E289,"pagado","no pagado"),"no pagado")</f>
        <v>pagado</v>
      </c>
      <c r="J289" s="52" t="str">
        <f t="shared" si="216"/>
        <v>pagado</v>
      </c>
      <c r="K289" s="51" t="str">
        <f t="shared" ca="1" si="217"/>
        <v>excluir</v>
      </c>
      <c r="L289" s="51" t="str">
        <f t="shared" ca="1" si="218"/>
        <v>no semana</v>
      </c>
      <c r="M289" s="51" t="str">
        <f>IFERROR(VLOOKUP(E289,'cheques a conf'!A:D,4,FALSE),"no clearing")</f>
        <v>no clearing</v>
      </c>
      <c r="N289" s="51">
        <f t="shared" si="219"/>
        <v>18</v>
      </c>
      <c r="O289" s="53">
        <f t="shared" si="220"/>
        <v>4</v>
      </c>
      <c r="P289" s="53">
        <f t="shared" si="221"/>
        <v>2025</v>
      </c>
    </row>
    <row r="290" spans="1:16" customFormat="1" x14ac:dyDescent="0.25">
      <c r="A290" s="21">
        <v>3000000582</v>
      </c>
      <c r="B290" s="22">
        <v>45776</v>
      </c>
      <c r="C290" s="20">
        <v>170000</v>
      </c>
      <c r="D290" s="21" t="s">
        <v>291</v>
      </c>
      <c r="E290" s="21">
        <v>94231544</v>
      </c>
      <c r="F290" s="20">
        <v>170000</v>
      </c>
      <c r="G290" s="22">
        <v>45777</v>
      </c>
      <c r="H290" s="21" t="s">
        <v>13</v>
      </c>
      <c r="I290" s="51" t="str">
        <f>IFERROR(IF(VLOOKUP(E290,extracto!C:C,1,FALSE)=E290,"pagado","no pagado"),"no pagado")</f>
        <v>pagado</v>
      </c>
      <c r="J290" s="52" t="str">
        <f t="shared" si="216"/>
        <v>pagado</v>
      </c>
      <c r="K290" s="51" t="str">
        <f t="shared" ca="1" si="217"/>
        <v>excluir</v>
      </c>
      <c r="L290" s="51" t="str">
        <f t="shared" ca="1" si="218"/>
        <v>no semana</v>
      </c>
      <c r="M290" s="51" t="str">
        <f>IFERROR(VLOOKUP(E290,'cheques a conf'!A:D,4,FALSE),"no clearing")</f>
        <v>no clearing</v>
      </c>
      <c r="N290" s="51">
        <f t="shared" si="219"/>
        <v>18</v>
      </c>
      <c r="O290" s="53">
        <f t="shared" si="220"/>
        <v>4</v>
      </c>
      <c r="P290" s="53">
        <f t="shared" si="221"/>
        <v>2025</v>
      </c>
    </row>
    <row r="291" spans="1:16" customFormat="1" x14ac:dyDescent="0.25">
      <c r="A291" s="21">
        <v>3000000582</v>
      </c>
      <c r="B291" s="22">
        <v>45776</v>
      </c>
      <c r="C291" s="20">
        <v>200000</v>
      </c>
      <c r="D291" s="21" t="s">
        <v>291</v>
      </c>
      <c r="E291" s="21">
        <v>94231545</v>
      </c>
      <c r="F291" s="20">
        <v>200000</v>
      </c>
      <c r="G291" s="22">
        <v>45777</v>
      </c>
      <c r="H291" s="21" t="s">
        <v>13</v>
      </c>
      <c r="I291" s="51" t="str">
        <f>IFERROR(IF(VLOOKUP(E291,extracto!C:C,1,FALSE)=E291,"pagado","no pagado"),"no pagado")</f>
        <v>pagado</v>
      </c>
      <c r="J291" s="52" t="str">
        <f t="shared" si="216"/>
        <v>pagado</v>
      </c>
      <c r="K291" s="51" t="str">
        <f t="shared" ca="1" si="217"/>
        <v>excluir</v>
      </c>
      <c r="L291" s="51" t="str">
        <f t="shared" ca="1" si="218"/>
        <v>no semana</v>
      </c>
      <c r="M291" s="51" t="str">
        <f>IFERROR(VLOOKUP(E291,'cheques a conf'!A:D,4,FALSE),"no clearing")</f>
        <v>no clearing</v>
      </c>
      <c r="N291" s="51">
        <f t="shared" si="219"/>
        <v>18</v>
      </c>
      <c r="O291" s="53">
        <f t="shared" si="220"/>
        <v>4</v>
      </c>
      <c r="P291" s="53">
        <f t="shared" si="221"/>
        <v>2025</v>
      </c>
    </row>
    <row r="292" spans="1:16" customFormat="1" x14ac:dyDescent="0.25">
      <c r="A292" s="21">
        <v>1200000414</v>
      </c>
      <c r="B292" s="22">
        <v>45776</v>
      </c>
      <c r="C292" s="20">
        <v>3411298.5</v>
      </c>
      <c r="D292" s="21" t="s">
        <v>296</v>
      </c>
      <c r="E292" s="21">
        <v>97123508</v>
      </c>
      <c r="F292" s="20">
        <v>3411298.5</v>
      </c>
      <c r="G292" s="22">
        <v>45783</v>
      </c>
      <c r="H292" s="21" t="s">
        <v>61</v>
      </c>
      <c r="I292" s="51" t="str">
        <f>IFERROR(IF(VLOOKUP(E292,extracto!C:C,1,FALSE)=E292,"pagado","no pagado"),"no pagado")</f>
        <v>pagado</v>
      </c>
      <c r="J292" s="52" t="str">
        <f t="shared" si="216"/>
        <v>pagado</v>
      </c>
      <c r="K292" s="51" t="str">
        <f t="shared" ca="1" si="217"/>
        <v>excluir</v>
      </c>
      <c r="L292" s="51" t="str">
        <f t="shared" ca="1" si="218"/>
        <v>no semana</v>
      </c>
      <c r="M292" s="51" t="str">
        <f>IFERROR(VLOOKUP(E292,'cheques a conf'!A:D,4,FALSE),"no clearing")</f>
        <v>no clearing</v>
      </c>
      <c r="N292" s="51">
        <f t="shared" si="219"/>
        <v>19</v>
      </c>
      <c r="O292" s="53">
        <f t="shared" si="220"/>
        <v>5</v>
      </c>
      <c r="P292" s="53">
        <f t="shared" si="221"/>
        <v>2025</v>
      </c>
    </row>
    <row r="293" spans="1:16" customFormat="1" x14ac:dyDescent="0.25">
      <c r="A293" s="21">
        <v>1200000414</v>
      </c>
      <c r="B293" s="22">
        <v>45776</v>
      </c>
      <c r="C293" s="20">
        <v>4288213.4000000004</v>
      </c>
      <c r="D293" s="21" t="s">
        <v>296</v>
      </c>
      <c r="E293" s="21">
        <v>97123509</v>
      </c>
      <c r="F293" s="20">
        <v>4288213.4000000004</v>
      </c>
      <c r="G293" s="22">
        <v>45783</v>
      </c>
      <c r="H293" s="21" t="s">
        <v>61</v>
      </c>
      <c r="I293" s="51" t="str">
        <f>IFERROR(IF(VLOOKUP(E293,extracto!C:C,1,FALSE)=E293,"pagado","no pagado"),"no pagado")</f>
        <v>pagado</v>
      </c>
      <c r="J293" s="52" t="str">
        <f t="shared" si="216"/>
        <v>pagado</v>
      </c>
      <c r="K293" s="51" t="str">
        <f t="shared" ca="1" si="217"/>
        <v>excluir</v>
      </c>
      <c r="L293" s="51" t="str">
        <f t="shared" ca="1" si="218"/>
        <v>no semana</v>
      </c>
      <c r="M293" s="51" t="str">
        <f>IFERROR(VLOOKUP(E293,'cheques a conf'!A:D,4,FALSE),"no clearing")</f>
        <v>no clearing</v>
      </c>
      <c r="N293" s="51">
        <f t="shared" si="219"/>
        <v>19</v>
      </c>
      <c r="O293" s="53">
        <f t="shared" si="220"/>
        <v>5</v>
      </c>
      <c r="P293" s="53">
        <f t="shared" si="221"/>
        <v>2025</v>
      </c>
    </row>
    <row r="294" spans="1:16" customFormat="1" x14ac:dyDescent="0.25">
      <c r="A294" s="21">
        <v>1200000414</v>
      </c>
      <c r="B294" s="22">
        <v>45776</v>
      </c>
      <c r="C294" s="20">
        <v>12641535.58</v>
      </c>
      <c r="D294" s="21" t="s">
        <v>296</v>
      </c>
      <c r="E294" s="21">
        <v>97123510</v>
      </c>
      <c r="F294" s="20">
        <v>12641535.58</v>
      </c>
      <c r="G294" s="22">
        <v>45784</v>
      </c>
      <c r="H294" s="21" t="s">
        <v>61</v>
      </c>
      <c r="I294" s="51" t="str">
        <f>IFERROR(IF(VLOOKUP(E294,extracto!C:C,1,FALSE)=E294,"pagado","no pagado"),"no pagado")</f>
        <v>pagado</v>
      </c>
      <c r="J294" s="52" t="str">
        <f t="shared" ref="J294" si="222">IF(I294="pagado","pagado",IF(G294&lt;$V$1-30,"fuera de fecha","en periodo de pago"))</f>
        <v>pagado</v>
      </c>
      <c r="K294" s="51" t="str">
        <f t="shared" ref="K294" ca="1" si="223">+IF(B294&gt;$V$1,"excluir",IF(J294="en periodo de pago",IF($V$1&gt;G294,"a pagar","proximo a vencer"),"excluir"))</f>
        <v>excluir</v>
      </c>
      <c r="L294" s="51" t="str">
        <f t="shared" ref="L294" ca="1" si="224">+IF(K294="proximo a vencer",IF($V$1+5&gt;G294,"para la semana","no semana"),"no semana")</f>
        <v>no semana</v>
      </c>
      <c r="M294" s="51" t="str">
        <f>IFERROR(VLOOKUP(E294,'cheques a conf'!A:D,4,FALSE),"no clearing")</f>
        <v>no clearing</v>
      </c>
      <c r="N294" s="51">
        <f t="shared" ref="N294" si="225">+WEEKNUM(G294,2)</f>
        <v>19</v>
      </c>
      <c r="O294" s="53">
        <f t="shared" ref="O294" si="226">+MONTH(G294)</f>
        <v>5</v>
      </c>
      <c r="P294" s="53">
        <f t="shared" ref="P294" si="227">+YEAR(G294)</f>
        <v>2025</v>
      </c>
    </row>
    <row r="295" spans="1:16" customFormat="1" x14ac:dyDescent="0.25">
      <c r="A295" s="21">
        <v>1200000414</v>
      </c>
      <c r="B295" s="22">
        <v>45776</v>
      </c>
      <c r="C295" s="20">
        <v>45991454.549999997</v>
      </c>
      <c r="D295" s="21" t="s">
        <v>296</v>
      </c>
      <c r="E295" s="21">
        <v>97123511</v>
      </c>
      <c r="F295" s="20">
        <v>45991454.549999997</v>
      </c>
      <c r="G295" s="22">
        <v>45784</v>
      </c>
      <c r="H295" s="21" t="s">
        <v>61</v>
      </c>
      <c r="I295" s="51" t="str">
        <f>IFERROR(IF(VLOOKUP(E295,extracto!C:C,1,FALSE)=E295,"pagado","no pagado"),"no pagado")</f>
        <v>pagado</v>
      </c>
      <c r="J295" s="52" t="str">
        <f t="shared" ref="J295:J318" si="228">IF(I295="pagado","pagado",IF(G295&lt;$V$1-30,"fuera de fecha","en periodo de pago"))</f>
        <v>pagado</v>
      </c>
      <c r="K295" s="51" t="str">
        <f t="shared" ref="K295:K318" ca="1" si="229">+IF(B295&gt;$V$1,"excluir",IF(J295="en periodo de pago",IF($V$1&gt;G295,"a pagar","proximo a vencer"),"excluir"))</f>
        <v>excluir</v>
      </c>
      <c r="L295" s="51" t="str">
        <f t="shared" ref="L295:L318" ca="1" si="230">+IF(K295="proximo a vencer",IF($V$1+5&gt;G295,"para la semana","no semana"),"no semana")</f>
        <v>no semana</v>
      </c>
      <c r="M295" s="51" t="str">
        <f>IFERROR(VLOOKUP(E295,'cheques a conf'!A:D,4,FALSE),"no clearing")</f>
        <v>no clearing</v>
      </c>
      <c r="N295" s="51">
        <f t="shared" ref="N295:N318" si="231">+WEEKNUM(G295,2)</f>
        <v>19</v>
      </c>
      <c r="O295" s="53">
        <f t="shared" ref="O295:O318" si="232">+MONTH(G295)</f>
        <v>5</v>
      </c>
      <c r="P295" s="53">
        <f t="shared" ref="P295:P318" si="233">+YEAR(G295)</f>
        <v>2025</v>
      </c>
    </row>
    <row r="296" spans="1:16" customFormat="1" x14ac:dyDescent="0.25">
      <c r="A296" s="21">
        <v>3000000583</v>
      </c>
      <c r="B296" s="22">
        <v>45776</v>
      </c>
      <c r="C296" s="20">
        <v>14296925.4</v>
      </c>
      <c r="D296" s="21" t="s">
        <v>360</v>
      </c>
      <c r="E296" s="21">
        <v>97123499</v>
      </c>
      <c r="F296" s="20">
        <v>14296925.4</v>
      </c>
      <c r="G296" s="22">
        <v>45782</v>
      </c>
      <c r="H296" s="21" t="s">
        <v>61</v>
      </c>
      <c r="I296" s="51" t="str">
        <f>IFERROR(IF(VLOOKUP(E296,extracto!C:C,1,FALSE)=E296,"pagado","no pagado"),"no pagado")</f>
        <v>pagado</v>
      </c>
      <c r="J296" s="52" t="str">
        <f t="shared" si="228"/>
        <v>pagado</v>
      </c>
      <c r="K296" s="51" t="str">
        <f t="shared" ca="1" si="229"/>
        <v>excluir</v>
      </c>
      <c r="L296" s="51" t="str">
        <f t="shared" ca="1" si="230"/>
        <v>no semana</v>
      </c>
      <c r="M296" s="51" t="str">
        <f>IFERROR(VLOOKUP(E296,'cheques a conf'!A:D,4,FALSE),"no clearing")</f>
        <v>no clearing</v>
      </c>
      <c r="N296" s="51">
        <f t="shared" si="231"/>
        <v>19</v>
      </c>
      <c r="O296" s="53">
        <f t="shared" si="232"/>
        <v>5</v>
      </c>
      <c r="P296" s="53">
        <f t="shared" si="233"/>
        <v>2025</v>
      </c>
    </row>
    <row r="297" spans="1:16" customFormat="1" x14ac:dyDescent="0.25">
      <c r="A297" s="21">
        <v>3000000584</v>
      </c>
      <c r="B297" s="22">
        <v>45776</v>
      </c>
      <c r="C297" s="20">
        <v>33084275.699999999</v>
      </c>
      <c r="D297" s="21" t="s">
        <v>365</v>
      </c>
      <c r="E297" s="21">
        <v>97123500</v>
      </c>
      <c r="F297" s="20">
        <v>33084275.699999999</v>
      </c>
      <c r="G297" s="22">
        <v>45783</v>
      </c>
      <c r="H297" s="21" t="s">
        <v>61</v>
      </c>
      <c r="I297" s="51" t="str">
        <f>IFERROR(IF(VLOOKUP(E297,extracto!C:C,1,FALSE)=E297,"pagado","no pagado"),"no pagado")</f>
        <v>pagado</v>
      </c>
      <c r="J297" s="52" t="str">
        <f t="shared" si="228"/>
        <v>pagado</v>
      </c>
      <c r="K297" s="51" t="str">
        <f t="shared" ca="1" si="229"/>
        <v>excluir</v>
      </c>
      <c r="L297" s="51" t="str">
        <f t="shared" ca="1" si="230"/>
        <v>no semana</v>
      </c>
      <c r="M297" s="51" t="str">
        <f>IFERROR(VLOOKUP(E297,'cheques a conf'!A:D,4,FALSE),"no clearing")</f>
        <v>no clearing</v>
      </c>
      <c r="N297" s="51">
        <f t="shared" si="231"/>
        <v>19</v>
      </c>
      <c r="O297" s="53">
        <f t="shared" si="232"/>
        <v>5</v>
      </c>
      <c r="P297" s="53">
        <f t="shared" si="233"/>
        <v>2025</v>
      </c>
    </row>
    <row r="298" spans="1:16" customFormat="1" x14ac:dyDescent="0.25">
      <c r="A298" s="21">
        <v>3000000585</v>
      </c>
      <c r="B298" s="22">
        <v>45776</v>
      </c>
      <c r="C298" s="20">
        <v>9993892.3599999994</v>
      </c>
      <c r="D298" s="21" t="s">
        <v>288</v>
      </c>
      <c r="E298" s="21">
        <v>97123501</v>
      </c>
      <c r="F298" s="20">
        <v>9993892.3599999994</v>
      </c>
      <c r="G298" s="22">
        <v>45782</v>
      </c>
      <c r="H298" s="21" t="s">
        <v>61</v>
      </c>
      <c r="I298" s="51" t="str">
        <f>IFERROR(IF(VLOOKUP(E298,extracto!C:C,1,FALSE)=E298,"pagado","no pagado"),"no pagado")</f>
        <v>pagado</v>
      </c>
      <c r="J298" s="52" t="str">
        <f t="shared" si="228"/>
        <v>pagado</v>
      </c>
      <c r="K298" s="51" t="str">
        <f t="shared" ca="1" si="229"/>
        <v>excluir</v>
      </c>
      <c r="L298" s="51" t="str">
        <f t="shared" ca="1" si="230"/>
        <v>no semana</v>
      </c>
      <c r="M298" s="51" t="str">
        <f>IFERROR(VLOOKUP(E298,'cheques a conf'!A:D,4,FALSE),"no clearing")</f>
        <v>no clearing</v>
      </c>
      <c r="N298" s="51">
        <f t="shared" si="231"/>
        <v>19</v>
      </c>
      <c r="O298" s="53">
        <f t="shared" si="232"/>
        <v>5</v>
      </c>
      <c r="P298" s="53">
        <f t="shared" si="233"/>
        <v>2025</v>
      </c>
    </row>
    <row r="299" spans="1:16" customFormat="1" x14ac:dyDescent="0.25">
      <c r="A299" s="21">
        <v>3000000586</v>
      </c>
      <c r="B299" s="22">
        <v>45776</v>
      </c>
      <c r="C299" s="20">
        <v>28999682.719999999</v>
      </c>
      <c r="D299" s="21" t="s">
        <v>16</v>
      </c>
      <c r="E299" s="21">
        <v>97123502</v>
      </c>
      <c r="F299" s="20">
        <v>28999682.719999999</v>
      </c>
      <c r="G299" s="22">
        <v>45783</v>
      </c>
      <c r="H299" s="21" t="s">
        <v>61</v>
      </c>
      <c r="I299" s="51" t="str">
        <f>IFERROR(IF(VLOOKUP(E299,extracto!C:C,1,FALSE)=E299,"pagado","no pagado"),"no pagado")</f>
        <v>pagado</v>
      </c>
      <c r="J299" s="52" t="str">
        <f t="shared" si="228"/>
        <v>pagado</v>
      </c>
      <c r="K299" s="51" t="str">
        <f t="shared" ca="1" si="229"/>
        <v>excluir</v>
      </c>
      <c r="L299" s="51" t="str">
        <f t="shared" ca="1" si="230"/>
        <v>no semana</v>
      </c>
      <c r="M299" s="51" t="str">
        <f>IFERROR(VLOOKUP(E299,'cheques a conf'!A:D,4,FALSE),"no clearing")</f>
        <v>no clearing</v>
      </c>
      <c r="N299" s="51">
        <f t="shared" si="231"/>
        <v>19</v>
      </c>
      <c r="O299" s="53">
        <f t="shared" si="232"/>
        <v>5</v>
      </c>
      <c r="P299" s="53">
        <f t="shared" si="233"/>
        <v>2025</v>
      </c>
    </row>
    <row r="300" spans="1:16" customFormat="1" x14ac:dyDescent="0.25">
      <c r="A300" s="21">
        <v>3000000587</v>
      </c>
      <c r="B300" s="22">
        <v>45776</v>
      </c>
      <c r="C300" s="20">
        <v>5951965.6500000004</v>
      </c>
      <c r="D300" s="21" t="s">
        <v>57</v>
      </c>
      <c r="E300" s="21">
        <v>97123503</v>
      </c>
      <c r="F300" s="20">
        <v>5951965.6500000004</v>
      </c>
      <c r="G300" s="22">
        <v>45782</v>
      </c>
      <c r="H300" s="21" t="s">
        <v>61</v>
      </c>
      <c r="I300" s="51" t="str">
        <f>IFERROR(IF(VLOOKUP(E300,extracto!C:C,1,FALSE)=E300,"pagado","no pagado"),"no pagado")</f>
        <v>pagado</v>
      </c>
      <c r="J300" s="52" t="str">
        <f t="shared" si="228"/>
        <v>pagado</v>
      </c>
      <c r="K300" s="51" t="str">
        <f t="shared" ca="1" si="229"/>
        <v>excluir</v>
      </c>
      <c r="L300" s="51" t="str">
        <f t="shared" ca="1" si="230"/>
        <v>no semana</v>
      </c>
      <c r="M300" s="51" t="str">
        <f>IFERROR(VLOOKUP(E300,'cheques a conf'!A:D,4,FALSE),"no clearing")</f>
        <v>no clearing</v>
      </c>
      <c r="N300" s="51">
        <f t="shared" si="231"/>
        <v>19</v>
      </c>
      <c r="O300" s="53">
        <f t="shared" si="232"/>
        <v>5</v>
      </c>
      <c r="P300" s="53">
        <f t="shared" si="233"/>
        <v>2025</v>
      </c>
    </row>
    <row r="301" spans="1:16" customFormat="1" x14ac:dyDescent="0.25">
      <c r="A301" s="21">
        <v>3000000589</v>
      </c>
      <c r="B301" s="22">
        <v>45776</v>
      </c>
      <c r="C301" s="20">
        <v>8807343.4000000004</v>
      </c>
      <c r="D301" s="21" t="s">
        <v>353</v>
      </c>
      <c r="E301" s="21">
        <v>97123505</v>
      </c>
      <c r="F301" s="20">
        <v>8807343.4000000004</v>
      </c>
      <c r="G301" s="22">
        <v>45782</v>
      </c>
      <c r="H301" s="21" t="s">
        <v>61</v>
      </c>
      <c r="I301" s="51" t="str">
        <f>IFERROR(IF(VLOOKUP(E301,extracto!C:C,1,FALSE)=E301,"pagado","no pagado"),"no pagado")</f>
        <v>pagado</v>
      </c>
      <c r="J301" s="52" t="str">
        <f t="shared" si="228"/>
        <v>pagado</v>
      </c>
      <c r="K301" s="51" t="str">
        <f t="shared" ca="1" si="229"/>
        <v>excluir</v>
      </c>
      <c r="L301" s="51" t="str">
        <f t="shared" ca="1" si="230"/>
        <v>no semana</v>
      </c>
      <c r="M301" s="51" t="str">
        <f>IFERROR(VLOOKUP(E301,'cheques a conf'!A:D,4,FALSE),"no clearing")</f>
        <v>no clearing</v>
      </c>
      <c r="N301" s="51">
        <f t="shared" si="231"/>
        <v>19</v>
      </c>
      <c r="O301" s="53">
        <f t="shared" si="232"/>
        <v>5</v>
      </c>
      <c r="P301" s="53">
        <f t="shared" si="233"/>
        <v>2025</v>
      </c>
    </row>
    <row r="302" spans="1:16" customFormat="1" x14ac:dyDescent="0.25">
      <c r="A302" s="21">
        <v>3000000590</v>
      </c>
      <c r="B302" s="22">
        <v>45776</v>
      </c>
      <c r="C302" s="20">
        <v>11279571.4</v>
      </c>
      <c r="D302" s="21" t="s">
        <v>355</v>
      </c>
      <c r="E302" s="21">
        <v>97123506</v>
      </c>
      <c r="F302" s="20">
        <v>11279571.4</v>
      </c>
      <c r="G302" s="22">
        <v>45782</v>
      </c>
      <c r="H302" s="21" t="s">
        <v>61</v>
      </c>
      <c r="I302" s="51" t="str">
        <f>IFERROR(IF(VLOOKUP(E302,extracto!C:C,1,FALSE)=E302,"pagado","no pagado"),"no pagado")</f>
        <v>pagado</v>
      </c>
      <c r="J302" s="52" t="str">
        <f t="shared" si="228"/>
        <v>pagado</v>
      </c>
      <c r="K302" s="51" t="str">
        <f t="shared" ca="1" si="229"/>
        <v>excluir</v>
      </c>
      <c r="L302" s="51" t="str">
        <f t="shared" ca="1" si="230"/>
        <v>no semana</v>
      </c>
      <c r="M302" s="51" t="str">
        <f>IFERROR(VLOOKUP(E302,'cheques a conf'!A:D,4,FALSE),"no clearing")</f>
        <v>no clearing</v>
      </c>
      <c r="N302" s="51">
        <f t="shared" si="231"/>
        <v>19</v>
      </c>
      <c r="O302" s="53">
        <f t="shared" si="232"/>
        <v>5</v>
      </c>
      <c r="P302" s="53">
        <f t="shared" si="233"/>
        <v>2025</v>
      </c>
    </row>
    <row r="303" spans="1:16" customFormat="1" x14ac:dyDescent="0.25">
      <c r="A303" s="21">
        <v>3000000591</v>
      </c>
      <c r="B303" s="22">
        <v>45776</v>
      </c>
      <c r="C303" s="20">
        <v>25602500</v>
      </c>
      <c r="D303" s="21" t="s">
        <v>350</v>
      </c>
      <c r="E303" s="21">
        <v>97123507</v>
      </c>
      <c r="F303" s="20">
        <v>25602500</v>
      </c>
      <c r="G303" s="22">
        <v>45783</v>
      </c>
      <c r="H303" s="21" t="s">
        <v>61</v>
      </c>
      <c r="I303" s="51" t="str">
        <f>IFERROR(IF(VLOOKUP(E303,extracto!C:C,1,FALSE)=E303,"pagado","no pagado"),"no pagado")</f>
        <v>pagado</v>
      </c>
      <c r="J303" s="52" t="str">
        <f t="shared" si="228"/>
        <v>pagado</v>
      </c>
      <c r="K303" s="51" t="str">
        <f t="shared" ca="1" si="229"/>
        <v>excluir</v>
      </c>
      <c r="L303" s="51" t="str">
        <f t="shared" ca="1" si="230"/>
        <v>no semana</v>
      </c>
      <c r="M303" s="51" t="str">
        <f>IFERROR(VLOOKUP(E303,'cheques a conf'!A:D,4,FALSE),"no clearing")</f>
        <v>no clearing</v>
      </c>
      <c r="N303" s="51">
        <f t="shared" si="231"/>
        <v>19</v>
      </c>
      <c r="O303" s="53">
        <f t="shared" si="232"/>
        <v>5</v>
      </c>
      <c r="P303" s="53">
        <f t="shared" si="233"/>
        <v>2025</v>
      </c>
    </row>
    <row r="304" spans="1:16" customFormat="1" x14ac:dyDescent="0.25">
      <c r="A304" s="21">
        <v>3000000588</v>
      </c>
      <c r="B304" s="22">
        <v>45776</v>
      </c>
      <c r="C304" s="20">
        <v>19243310.199999999</v>
      </c>
      <c r="D304" s="21" t="s">
        <v>347</v>
      </c>
      <c r="E304" s="21">
        <v>97123504</v>
      </c>
      <c r="F304" s="20">
        <v>19243310.199999999</v>
      </c>
      <c r="G304" s="22">
        <v>45782</v>
      </c>
      <c r="H304" s="21" t="s">
        <v>61</v>
      </c>
      <c r="I304" s="51" t="str">
        <f>IFERROR(IF(VLOOKUP(E304,extracto!C:C,1,FALSE)=E304,"pagado","no pagado"),"no pagado")</f>
        <v>pagado</v>
      </c>
      <c r="J304" s="52" t="str">
        <f t="shared" si="228"/>
        <v>pagado</v>
      </c>
      <c r="K304" s="51" t="str">
        <f t="shared" ca="1" si="229"/>
        <v>excluir</v>
      </c>
      <c r="L304" s="51" t="str">
        <f t="shared" ca="1" si="230"/>
        <v>no semana</v>
      </c>
      <c r="M304" s="51" t="str">
        <f>IFERROR(VLOOKUP(E304,'cheques a conf'!A:D,4,FALSE),"no clearing")</f>
        <v>no clearing</v>
      </c>
      <c r="N304" s="51">
        <f t="shared" si="231"/>
        <v>19</v>
      </c>
      <c r="O304" s="53">
        <f t="shared" si="232"/>
        <v>5</v>
      </c>
      <c r="P304" s="53">
        <f t="shared" si="233"/>
        <v>2025</v>
      </c>
    </row>
    <row r="305" spans="1:16" customFormat="1" x14ac:dyDescent="0.25">
      <c r="A305">
        <v>3000000596</v>
      </c>
      <c r="B305" s="3">
        <v>45782</v>
      </c>
      <c r="C305" s="9">
        <v>9548104.6799999997</v>
      </c>
      <c r="D305" s="21" t="s">
        <v>381</v>
      </c>
      <c r="E305">
        <v>97123512</v>
      </c>
      <c r="F305" s="9">
        <v>9548104.6799999997</v>
      </c>
      <c r="G305" s="22">
        <v>45785</v>
      </c>
      <c r="H305" s="21" t="s">
        <v>61</v>
      </c>
      <c r="I305" s="51" t="str">
        <f>IFERROR(IF(VLOOKUP(E305,extracto!C:C,1,FALSE)=E305,"pagado","no pagado"),"no pagado")</f>
        <v>pagado</v>
      </c>
      <c r="J305" s="52" t="str">
        <f t="shared" si="228"/>
        <v>pagado</v>
      </c>
      <c r="K305" s="51" t="str">
        <f t="shared" ca="1" si="229"/>
        <v>excluir</v>
      </c>
      <c r="L305" s="51" t="str">
        <f t="shared" ca="1" si="230"/>
        <v>no semana</v>
      </c>
      <c r="M305" s="51" t="str">
        <f>IFERROR(VLOOKUP(E305,'cheques a conf'!A:D,4,FALSE),"no clearing")</f>
        <v>no clearing</v>
      </c>
      <c r="N305" s="51">
        <f t="shared" si="231"/>
        <v>19</v>
      </c>
      <c r="O305" s="53">
        <f t="shared" si="232"/>
        <v>5</v>
      </c>
      <c r="P305" s="53">
        <f t="shared" si="233"/>
        <v>2025</v>
      </c>
    </row>
    <row r="306" spans="1:16" customFormat="1" x14ac:dyDescent="0.25">
      <c r="A306">
        <v>3000000597</v>
      </c>
      <c r="B306" s="3">
        <v>45782</v>
      </c>
      <c r="C306" s="9">
        <v>8588108.4000000004</v>
      </c>
      <c r="D306" t="s">
        <v>289</v>
      </c>
      <c r="E306">
        <v>97123513</v>
      </c>
      <c r="F306" s="9">
        <v>8588108.4000000004</v>
      </c>
      <c r="G306" s="22">
        <v>45785</v>
      </c>
      <c r="H306" s="21" t="s">
        <v>61</v>
      </c>
      <c r="I306" s="51" t="str">
        <f>IFERROR(IF(VLOOKUP(E306,extracto!C:C,1,FALSE)=E306,"pagado","no pagado"),"no pagado")</f>
        <v>pagado</v>
      </c>
      <c r="J306" s="52" t="str">
        <f t="shared" si="228"/>
        <v>pagado</v>
      </c>
      <c r="K306" s="51" t="str">
        <f t="shared" ca="1" si="229"/>
        <v>excluir</v>
      </c>
      <c r="L306" s="51" t="str">
        <f t="shared" ca="1" si="230"/>
        <v>no semana</v>
      </c>
      <c r="M306" s="51" t="str">
        <f>IFERROR(VLOOKUP(E306,'cheques a conf'!A:D,4,FALSE),"no clearing")</f>
        <v>no clearing</v>
      </c>
      <c r="N306" s="51">
        <f t="shared" si="231"/>
        <v>19</v>
      </c>
      <c r="O306" s="53">
        <f t="shared" si="232"/>
        <v>5</v>
      </c>
      <c r="P306" s="53">
        <f t="shared" si="233"/>
        <v>2025</v>
      </c>
    </row>
    <row r="307" spans="1:16" customFormat="1" x14ac:dyDescent="0.25">
      <c r="A307">
        <v>3000000598</v>
      </c>
      <c r="B307" s="3">
        <v>45782</v>
      </c>
      <c r="C307" s="9">
        <v>7560893.4000000004</v>
      </c>
      <c r="D307" t="s">
        <v>355</v>
      </c>
      <c r="E307">
        <v>97123514</v>
      </c>
      <c r="F307" s="9">
        <v>7560893.4000000004</v>
      </c>
      <c r="G307" s="22">
        <v>45785</v>
      </c>
      <c r="H307" s="21" t="s">
        <v>61</v>
      </c>
      <c r="I307" s="51" t="str">
        <f>IFERROR(IF(VLOOKUP(E307,extracto!C:C,1,FALSE)=E307,"pagado","no pagado"),"no pagado")</f>
        <v>pagado</v>
      </c>
      <c r="J307" s="52" t="str">
        <f t="shared" si="228"/>
        <v>pagado</v>
      </c>
      <c r="K307" s="51" t="str">
        <f t="shared" ca="1" si="229"/>
        <v>excluir</v>
      </c>
      <c r="L307" s="51" t="str">
        <f t="shared" ca="1" si="230"/>
        <v>no semana</v>
      </c>
      <c r="M307" s="51" t="str">
        <f>IFERROR(VLOOKUP(E307,'cheques a conf'!A:D,4,FALSE),"no clearing")</f>
        <v>no clearing</v>
      </c>
      <c r="N307" s="51">
        <f t="shared" si="231"/>
        <v>19</v>
      </c>
      <c r="O307" s="53">
        <f t="shared" si="232"/>
        <v>5</v>
      </c>
      <c r="P307" s="53">
        <f t="shared" si="233"/>
        <v>2025</v>
      </c>
    </row>
    <row r="308" spans="1:16" customFormat="1" x14ac:dyDescent="0.25">
      <c r="A308">
        <v>3000000599</v>
      </c>
      <c r="B308" s="3">
        <v>45782</v>
      </c>
      <c r="C308" s="9">
        <v>13210343.4</v>
      </c>
      <c r="D308" t="s">
        <v>353</v>
      </c>
      <c r="E308">
        <v>97123515</v>
      </c>
      <c r="F308" s="9">
        <v>13210343.4</v>
      </c>
      <c r="G308" s="22">
        <v>45786</v>
      </c>
      <c r="H308" s="21" t="s">
        <v>61</v>
      </c>
      <c r="I308" s="51" t="str">
        <f>IFERROR(IF(VLOOKUP(E308,extracto!C:C,1,FALSE)=E308,"pagado","no pagado"),"no pagado")</f>
        <v>pagado</v>
      </c>
      <c r="J308" s="52" t="str">
        <f t="shared" si="228"/>
        <v>pagado</v>
      </c>
      <c r="K308" s="51" t="str">
        <f t="shared" ca="1" si="229"/>
        <v>excluir</v>
      </c>
      <c r="L308" s="51" t="str">
        <f t="shared" ca="1" si="230"/>
        <v>no semana</v>
      </c>
      <c r="M308" s="51" t="str">
        <f>IFERROR(VLOOKUP(E308,'cheques a conf'!A:D,4,FALSE),"no clearing")</f>
        <v>no clearing</v>
      </c>
      <c r="N308" s="51">
        <f t="shared" si="231"/>
        <v>19</v>
      </c>
      <c r="O308" s="53">
        <f t="shared" si="232"/>
        <v>5</v>
      </c>
      <c r="P308" s="53">
        <f t="shared" si="233"/>
        <v>2025</v>
      </c>
    </row>
    <row r="309" spans="1:16" customFormat="1" x14ac:dyDescent="0.25">
      <c r="A309">
        <v>3000000600</v>
      </c>
      <c r="B309" s="3">
        <v>45782</v>
      </c>
      <c r="C309" s="9">
        <v>9107142.4000000004</v>
      </c>
      <c r="D309" t="s">
        <v>30</v>
      </c>
      <c r="E309">
        <v>97123516</v>
      </c>
      <c r="F309" s="9">
        <v>9107142.4000000004</v>
      </c>
      <c r="G309" s="22">
        <v>45786</v>
      </c>
      <c r="H309" s="21" t="s">
        <v>61</v>
      </c>
      <c r="I309" s="51" t="str">
        <f>IFERROR(IF(VLOOKUP(E309,extracto!C:C,1,FALSE)=E309,"pagado","no pagado"),"no pagado")</f>
        <v>pagado</v>
      </c>
      <c r="J309" s="52" t="str">
        <f t="shared" si="228"/>
        <v>pagado</v>
      </c>
      <c r="K309" s="51" t="str">
        <f t="shared" ca="1" si="229"/>
        <v>excluir</v>
      </c>
      <c r="L309" s="51" t="str">
        <f t="shared" ca="1" si="230"/>
        <v>no semana</v>
      </c>
      <c r="M309" s="51" t="str">
        <f>IFERROR(VLOOKUP(E309,'cheques a conf'!A:D,4,FALSE),"no clearing")</f>
        <v>no clearing</v>
      </c>
      <c r="N309" s="51">
        <f t="shared" si="231"/>
        <v>19</v>
      </c>
      <c r="O309" s="53">
        <f t="shared" si="232"/>
        <v>5</v>
      </c>
      <c r="P309" s="53">
        <f t="shared" si="233"/>
        <v>2025</v>
      </c>
    </row>
    <row r="310" spans="1:16" customFormat="1" x14ac:dyDescent="0.25">
      <c r="A310">
        <v>3000000601</v>
      </c>
      <c r="B310" s="3">
        <v>45782</v>
      </c>
      <c r="C310" s="9">
        <v>7236463.5999999996</v>
      </c>
      <c r="D310" t="s">
        <v>284</v>
      </c>
      <c r="E310">
        <v>97123517</v>
      </c>
      <c r="F310" s="9">
        <v>7236463.5999999996</v>
      </c>
      <c r="G310" s="22">
        <v>45785</v>
      </c>
      <c r="H310" s="21" t="s">
        <v>61</v>
      </c>
      <c r="I310" s="51" t="str">
        <f>IFERROR(IF(VLOOKUP(E310,extracto!C:C,1,FALSE)=E310,"pagado","no pagado"),"no pagado")</f>
        <v>pagado</v>
      </c>
      <c r="J310" s="52" t="str">
        <f t="shared" si="228"/>
        <v>pagado</v>
      </c>
      <c r="K310" s="51" t="str">
        <f t="shared" ca="1" si="229"/>
        <v>excluir</v>
      </c>
      <c r="L310" s="51" t="str">
        <f t="shared" ca="1" si="230"/>
        <v>no semana</v>
      </c>
      <c r="M310" s="51" t="str">
        <f>IFERROR(VLOOKUP(E310,'cheques a conf'!A:D,4,FALSE),"no clearing")</f>
        <v>no clearing</v>
      </c>
      <c r="N310" s="51">
        <f t="shared" si="231"/>
        <v>19</v>
      </c>
      <c r="O310" s="53">
        <f t="shared" si="232"/>
        <v>5</v>
      </c>
      <c r="P310" s="53">
        <f t="shared" si="233"/>
        <v>2025</v>
      </c>
    </row>
    <row r="311" spans="1:16" customFormat="1" x14ac:dyDescent="0.25">
      <c r="A311" s="21">
        <v>3000000657</v>
      </c>
      <c r="B311" s="22">
        <v>45791</v>
      </c>
      <c r="C311" s="20">
        <v>22000000</v>
      </c>
      <c r="D311" s="21" t="s">
        <v>346</v>
      </c>
      <c r="E311" s="21">
        <v>97123520</v>
      </c>
      <c r="F311" s="20">
        <v>22000000</v>
      </c>
      <c r="G311" s="22">
        <v>45796</v>
      </c>
      <c r="H311" s="21" t="s">
        <v>61</v>
      </c>
      <c r="I311" s="51" t="str">
        <f>IFERROR(IF(VLOOKUP(E311,extracto!C:C,1,FALSE)=E311,"pagado","no pagado"),"no pagado")</f>
        <v>pagado</v>
      </c>
      <c r="J311" s="52" t="str">
        <f t="shared" si="228"/>
        <v>pagado</v>
      </c>
      <c r="K311" s="51" t="str">
        <f t="shared" ca="1" si="229"/>
        <v>excluir</v>
      </c>
      <c r="L311" s="51" t="str">
        <f t="shared" ca="1" si="230"/>
        <v>no semana</v>
      </c>
      <c r="M311" s="51" t="str">
        <f>IFERROR(VLOOKUP(E311,'cheques a conf'!A:D,4,FALSE),"no clearing")</f>
        <v>no clearing</v>
      </c>
      <c r="N311" s="51">
        <f t="shared" si="231"/>
        <v>21</v>
      </c>
      <c r="O311" s="53">
        <f t="shared" si="232"/>
        <v>5</v>
      </c>
      <c r="P311" s="53">
        <f t="shared" si="233"/>
        <v>2025</v>
      </c>
    </row>
    <row r="312" spans="1:16" customFormat="1" x14ac:dyDescent="0.25">
      <c r="A312" s="21">
        <v>3000000657</v>
      </c>
      <c r="B312" s="22">
        <v>45791</v>
      </c>
      <c r="C312" s="20">
        <v>22518406.57</v>
      </c>
      <c r="D312" s="21" t="s">
        <v>346</v>
      </c>
      <c r="E312" s="21">
        <v>97123521</v>
      </c>
      <c r="F312" s="20">
        <v>22518406.57</v>
      </c>
      <c r="G312" s="22">
        <v>45797</v>
      </c>
      <c r="H312" s="21" t="s">
        <v>61</v>
      </c>
      <c r="I312" s="51" t="str">
        <f>IFERROR(IF(VLOOKUP(E312,extracto!C:C,1,FALSE)=E312,"pagado","no pagado"),"no pagado")</f>
        <v>pagado</v>
      </c>
      <c r="J312" s="52" t="str">
        <f t="shared" si="228"/>
        <v>pagado</v>
      </c>
      <c r="K312" s="51" t="str">
        <f t="shared" ca="1" si="229"/>
        <v>excluir</v>
      </c>
      <c r="L312" s="51" t="str">
        <f t="shared" ca="1" si="230"/>
        <v>no semana</v>
      </c>
      <c r="M312" s="51" t="str">
        <f>IFERROR(VLOOKUP(E312,'cheques a conf'!A:D,4,FALSE),"no clearing")</f>
        <v>no clearing</v>
      </c>
      <c r="N312" s="51">
        <f t="shared" si="231"/>
        <v>21</v>
      </c>
      <c r="O312" s="53">
        <f t="shared" si="232"/>
        <v>5</v>
      </c>
      <c r="P312" s="53">
        <f t="shared" si="233"/>
        <v>2025</v>
      </c>
    </row>
    <row r="313" spans="1:16" customFormat="1" x14ac:dyDescent="0.25">
      <c r="A313" s="21">
        <v>3000000659</v>
      </c>
      <c r="B313" s="22">
        <v>45791</v>
      </c>
      <c r="C313" s="20">
        <v>23000000</v>
      </c>
      <c r="D313" s="21" t="s">
        <v>289</v>
      </c>
      <c r="E313" s="21">
        <v>97123523</v>
      </c>
      <c r="F313" s="20">
        <v>23000000</v>
      </c>
      <c r="G313" s="22">
        <v>45796</v>
      </c>
      <c r="H313" s="21" t="s">
        <v>61</v>
      </c>
      <c r="I313" s="51" t="str">
        <f>IFERROR(IF(VLOOKUP(E313,extracto!C:C,1,FALSE)=E313,"pagado","no pagado"),"no pagado")</f>
        <v>pagado</v>
      </c>
      <c r="J313" s="52" t="str">
        <f t="shared" si="228"/>
        <v>pagado</v>
      </c>
      <c r="K313" s="51" t="str">
        <f t="shared" ca="1" si="229"/>
        <v>excluir</v>
      </c>
      <c r="L313" s="51" t="str">
        <f t="shared" ca="1" si="230"/>
        <v>no semana</v>
      </c>
      <c r="M313" s="51" t="str">
        <f>IFERROR(VLOOKUP(E313,'cheques a conf'!A:D,4,FALSE),"no clearing")</f>
        <v>no clearing</v>
      </c>
      <c r="N313" s="51">
        <f t="shared" si="231"/>
        <v>21</v>
      </c>
      <c r="O313" s="53">
        <f t="shared" si="232"/>
        <v>5</v>
      </c>
      <c r="P313" s="53">
        <f t="shared" si="233"/>
        <v>2025</v>
      </c>
    </row>
    <row r="314" spans="1:16" customFormat="1" x14ac:dyDescent="0.25">
      <c r="A314" s="21">
        <v>3000000659</v>
      </c>
      <c r="B314" s="22">
        <v>45791</v>
      </c>
      <c r="C314" s="20">
        <v>20602938.5</v>
      </c>
      <c r="D314" s="21" t="s">
        <v>289</v>
      </c>
      <c r="E314" s="21">
        <v>97123524</v>
      </c>
      <c r="F314" s="20">
        <v>20602938.5</v>
      </c>
      <c r="G314" s="22">
        <v>45797</v>
      </c>
      <c r="H314" s="21" t="s">
        <v>61</v>
      </c>
      <c r="I314" s="51" t="str">
        <f>IFERROR(IF(VLOOKUP(E314,extracto!C:C,1,FALSE)=E314,"pagado","no pagado"),"no pagado")</f>
        <v>pagado</v>
      </c>
      <c r="J314" s="52" t="str">
        <f t="shared" si="228"/>
        <v>pagado</v>
      </c>
      <c r="K314" s="51" t="str">
        <f t="shared" ca="1" si="229"/>
        <v>excluir</v>
      </c>
      <c r="L314" s="51" t="str">
        <f t="shared" ca="1" si="230"/>
        <v>no semana</v>
      </c>
      <c r="M314" s="51" t="str">
        <f>IFERROR(VLOOKUP(E314,'cheques a conf'!A:D,4,FALSE),"no clearing")</f>
        <v>no clearing</v>
      </c>
      <c r="N314" s="51">
        <f t="shared" si="231"/>
        <v>21</v>
      </c>
      <c r="O314" s="53">
        <f t="shared" si="232"/>
        <v>5</v>
      </c>
      <c r="P314" s="53">
        <f t="shared" si="233"/>
        <v>2025</v>
      </c>
    </row>
    <row r="315" spans="1:16" customFormat="1" x14ac:dyDescent="0.25">
      <c r="A315" s="21">
        <v>3000000670</v>
      </c>
      <c r="B315" s="22">
        <v>45791</v>
      </c>
      <c r="C315" s="20">
        <v>11000000</v>
      </c>
      <c r="D315" s="21" t="s">
        <v>338</v>
      </c>
      <c r="E315" s="21">
        <v>97123535</v>
      </c>
      <c r="F315" s="20">
        <v>11000000</v>
      </c>
      <c r="G315" s="22">
        <v>45796</v>
      </c>
      <c r="H315" s="21" t="s">
        <v>61</v>
      </c>
      <c r="I315" s="51" t="str">
        <f>IFERROR(IF(VLOOKUP(E315,extracto!C:C,1,FALSE)=E315,"pagado","no pagado"),"no pagado")</f>
        <v>pagado</v>
      </c>
      <c r="J315" s="52" t="str">
        <f t="shared" si="228"/>
        <v>pagado</v>
      </c>
      <c r="K315" s="51" t="str">
        <f t="shared" ca="1" si="229"/>
        <v>excluir</v>
      </c>
      <c r="L315" s="51" t="str">
        <f t="shared" ca="1" si="230"/>
        <v>no semana</v>
      </c>
      <c r="M315" s="51" t="str">
        <f>IFERROR(VLOOKUP(E315,'cheques a conf'!A:D,4,FALSE),"no clearing")</f>
        <v>no clearing</v>
      </c>
      <c r="N315" s="51">
        <f t="shared" si="231"/>
        <v>21</v>
      </c>
      <c r="O315" s="53">
        <f t="shared" si="232"/>
        <v>5</v>
      </c>
      <c r="P315" s="53">
        <f t="shared" si="233"/>
        <v>2025</v>
      </c>
    </row>
    <row r="316" spans="1:16" customFormat="1" x14ac:dyDescent="0.25">
      <c r="A316" s="21">
        <v>3000000670</v>
      </c>
      <c r="B316" s="22">
        <v>45791</v>
      </c>
      <c r="C316" s="20">
        <v>10940939.789999999</v>
      </c>
      <c r="D316" s="21" t="s">
        <v>338</v>
      </c>
      <c r="E316" s="21">
        <v>97123536</v>
      </c>
      <c r="F316" s="20">
        <v>10940939.789999999</v>
      </c>
      <c r="G316" s="22">
        <v>45797</v>
      </c>
      <c r="H316" s="21" t="s">
        <v>61</v>
      </c>
      <c r="I316" s="51" t="str">
        <f>IFERROR(IF(VLOOKUP(E316,extracto!C:C,1,FALSE)=E316,"pagado","no pagado"),"no pagado")</f>
        <v>pagado</v>
      </c>
      <c r="J316" s="52" t="str">
        <f t="shared" si="228"/>
        <v>pagado</v>
      </c>
      <c r="K316" s="51" t="str">
        <f t="shared" ca="1" si="229"/>
        <v>excluir</v>
      </c>
      <c r="L316" s="51" t="str">
        <f t="shared" ca="1" si="230"/>
        <v>no semana</v>
      </c>
      <c r="M316" s="51" t="str">
        <f>IFERROR(VLOOKUP(E316,'cheques a conf'!A:D,4,FALSE),"no clearing")</f>
        <v>no clearing</v>
      </c>
      <c r="N316" s="51">
        <f t="shared" si="231"/>
        <v>21</v>
      </c>
      <c r="O316" s="53">
        <f t="shared" si="232"/>
        <v>5</v>
      </c>
      <c r="P316" s="53">
        <f t="shared" si="233"/>
        <v>2025</v>
      </c>
    </row>
    <row r="317" spans="1:16" customFormat="1" x14ac:dyDescent="0.25">
      <c r="A317" s="21">
        <v>3000000656</v>
      </c>
      <c r="B317" s="22">
        <v>45791</v>
      </c>
      <c r="C317" s="20">
        <v>7924488</v>
      </c>
      <c r="D317" s="21" t="s">
        <v>360</v>
      </c>
      <c r="E317" s="21">
        <v>97123519</v>
      </c>
      <c r="F317" s="20">
        <v>7924488</v>
      </c>
      <c r="G317" s="22">
        <v>45796</v>
      </c>
      <c r="H317" s="21" t="s">
        <v>61</v>
      </c>
      <c r="I317" s="51" t="str">
        <f>IFERROR(IF(VLOOKUP(E317,extracto!C:C,1,FALSE)=E317,"pagado","no pagado"),"no pagado")</f>
        <v>pagado</v>
      </c>
      <c r="J317" s="52" t="str">
        <f t="shared" si="228"/>
        <v>pagado</v>
      </c>
      <c r="K317" s="51" t="str">
        <f t="shared" ca="1" si="229"/>
        <v>excluir</v>
      </c>
      <c r="L317" s="51" t="str">
        <f t="shared" ca="1" si="230"/>
        <v>no semana</v>
      </c>
      <c r="M317" s="51" t="str">
        <f>IFERROR(VLOOKUP(E317,'cheques a conf'!A:D,4,FALSE),"no clearing")</f>
        <v>no clearing</v>
      </c>
      <c r="N317" s="51">
        <f t="shared" si="231"/>
        <v>21</v>
      </c>
      <c r="O317" s="53">
        <f t="shared" si="232"/>
        <v>5</v>
      </c>
      <c r="P317" s="53">
        <f t="shared" si="233"/>
        <v>2025</v>
      </c>
    </row>
    <row r="318" spans="1:16" customFormat="1" x14ac:dyDescent="0.25">
      <c r="A318" s="21">
        <v>3000000658</v>
      </c>
      <c r="B318" s="22">
        <v>45791</v>
      </c>
      <c r="C318" s="20">
        <v>9372943.4000000004</v>
      </c>
      <c r="D318" s="21" t="s">
        <v>304</v>
      </c>
      <c r="E318" s="21">
        <v>97123522</v>
      </c>
      <c r="F318" s="20">
        <v>9372943.4000000004</v>
      </c>
      <c r="G318" s="22">
        <v>45796</v>
      </c>
      <c r="H318" s="21" t="s">
        <v>61</v>
      </c>
      <c r="I318" s="51" t="str">
        <f>IFERROR(IF(VLOOKUP(E318,extracto!C:C,1,FALSE)=E318,"pagado","no pagado"),"no pagado")</f>
        <v>pagado</v>
      </c>
      <c r="J318" s="52" t="str">
        <f t="shared" si="228"/>
        <v>pagado</v>
      </c>
      <c r="K318" s="51" t="str">
        <f t="shared" ca="1" si="229"/>
        <v>excluir</v>
      </c>
      <c r="L318" s="51" t="str">
        <f t="shared" ca="1" si="230"/>
        <v>no semana</v>
      </c>
      <c r="M318" s="51" t="str">
        <f>IFERROR(VLOOKUP(E318,'cheques a conf'!A:D,4,FALSE),"no clearing")</f>
        <v>no clearing</v>
      </c>
      <c r="N318" s="51">
        <f t="shared" si="231"/>
        <v>21</v>
      </c>
      <c r="O318" s="53">
        <f t="shared" si="232"/>
        <v>5</v>
      </c>
      <c r="P318" s="53">
        <f t="shared" si="233"/>
        <v>2025</v>
      </c>
    </row>
    <row r="319" spans="1:16" customFormat="1" x14ac:dyDescent="0.25">
      <c r="A319" s="21">
        <v>3000000660</v>
      </c>
      <c r="B319" s="22">
        <v>45791</v>
      </c>
      <c r="C319" s="20">
        <v>8236483.8499999996</v>
      </c>
      <c r="D319" s="21" t="s">
        <v>350</v>
      </c>
      <c r="E319" s="21">
        <v>97123525</v>
      </c>
      <c r="F319" s="20">
        <v>8236483.8499999996</v>
      </c>
      <c r="G319" s="22">
        <v>45796</v>
      </c>
      <c r="H319" s="21" t="s">
        <v>61</v>
      </c>
      <c r="I319" s="51" t="str">
        <f>IFERROR(IF(VLOOKUP(E319,extracto!C:C,1,FALSE)=E319,"pagado","no pagado"),"no pagado")</f>
        <v>pagado</v>
      </c>
      <c r="J319" s="52" t="str">
        <f t="shared" ref="J319:J320" si="234">IF(I319="pagado","pagado",IF(G319&lt;$V$1-30,"fuera de fecha","en periodo de pago"))</f>
        <v>pagado</v>
      </c>
      <c r="K319" s="51" t="str">
        <f t="shared" ref="K319:K320" ca="1" si="235">+IF(B319&gt;$V$1,"excluir",IF(J319="en periodo de pago",IF($V$1&gt;G319,"a pagar","proximo a vencer"),"excluir"))</f>
        <v>excluir</v>
      </c>
      <c r="L319" s="51" t="str">
        <f t="shared" ref="L319:L320" ca="1" si="236">+IF(K319="proximo a vencer",IF($V$1+5&gt;G319,"para la semana","no semana"),"no semana")</f>
        <v>no semana</v>
      </c>
      <c r="M319" s="51" t="str">
        <f>IFERROR(VLOOKUP(E319,'cheques a conf'!A:D,4,FALSE),"no clearing")</f>
        <v>no clearing</v>
      </c>
      <c r="N319" s="51">
        <f t="shared" ref="N319:N320" si="237">+WEEKNUM(G319,2)</f>
        <v>21</v>
      </c>
      <c r="O319" s="53">
        <f t="shared" ref="O319:O320" si="238">+MONTH(G319)</f>
        <v>5</v>
      </c>
      <c r="P319" s="53">
        <f t="shared" ref="P319:P320" si="239">+YEAR(G319)</f>
        <v>2025</v>
      </c>
    </row>
    <row r="320" spans="1:16" customFormat="1" x14ac:dyDescent="0.25">
      <c r="A320" s="21">
        <v>3000000661</v>
      </c>
      <c r="B320" s="22">
        <v>45791</v>
      </c>
      <c r="C320" s="20">
        <v>10800711.4</v>
      </c>
      <c r="D320" s="21" t="s">
        <v>197</v>
      </c>
      <c r="E320" s="21">
        <v>97123526</v>
      </c>
      <c r="F320" s="20">
        <v>10800711.4</v>
      </c>
      <c r="G320" s="22">
        <v>45796</v>
      </c>
      <c r="H320" s="21" t="s">
        <v>61</v>
      </c>
      <c r="I320" s="51" t="str">
        <f>IFERROR(IF(VLOOKUP(E320,extracto!C:C,1,FALSE)=E320,"pagado","no pagado"),"no pagado")</f>
        <v>pagado</v>
      </c>
      <c r="J320" s="52" t="str">
        <f t="shared" si="234"/>
        <v>pagado</v>
      </c>
      <c r="K320" s="51" t="str">
        <f t="shared" ca="1" si="235"/>
        <v>excluir</v>
      </c>
      <c r="L320" s="51" t="str">
        <f t="shared" ca="1" si="236"/>
        <v>no semana</v>
      </c>
      <c r="M320" s="51" t="str">
        <f>IFERROR(VLOOKUP(E320,'cheques a conf'!A:D,4,FALSE),"no clearing")</f>
        <v>no clearing</v>
      </c>
      <c r="N320" s="51">
        <f t="shared" si="237"/>
        <v>21</v>
      </c>
      <c r="O320" s="53">
        <f t="shared" si="238"/>
        <v>5</v>
      </c>
      <c r="P320" s="53">
        <f t="shared" si="239"/>
        <v>2025</v>
      </c>
    </row>
    <row r="321" spans="1:16" customFormat="1" x14ac:dyDescent="0.25">
      <c r="A321" s="21">
        <v>3000000662</v>
      </c>
      <c r="B321" s="22">
        <v>45791</v>
      </c>
      <c r="C321" s="20">
        <v>7501903.4000000004</v>
      </c>
      <c r="D321" s="21" t="s">
        <v>383</v>
      </c>
      <c r="E321" s="21">
        <v>97123527</v>
      </c>
      <c r="F321" s="20">
        <v>7501903.4000000004</v>
      </c>
      <c r="G321" s="22">
        <v>45796</v>
      </c>
      <c r="H321" s="21" t="s">
        <v>61</v>
      </c>
      <c r="I321" s="51" t="str">
        <f>IFERROR(IF(VLOOKUP(E321,extracto!C:C,1,FALSE)=E321,"pagado","no pagado"),"no pagado")</f>
        <v>pagado</v>
      </c>
      <c r="J321" s="52" t="str">
        <f t="shared" ref="J321:J336" si="240">IF(I321="pagado","pagado",IF(G321&lt;$V$1-30,"fuera de fecha","en periodo de pago"))</f>
        <v>pagado</v>
      </c>
      <c r="K321" s="51" t="str">
        <f t="shared" ref="K321:K336" ca="1" si="241">+IF(B321&gt;$V$1,"excluir",IF(J321="en periodo de pago",IF($V$1&gt;G321,"a pagar","proximo a vencer"),"excluir"))</f>
        <v>excluir</v>
      </c>
      <c r="L321" s="51" t="str">
        <f t="shared" ref="L321:L336" ca="1" si="242">+IF(K321="proximo a vencer",IF($V$1+5&gt;G321,"para la semana","no semana"),"no semana")</f>
        <v>no semana</v>
      </c>
      <c r="M321" s="51" t="str">
        <f>IFERROR(VLOOKUP(E321,'cheques a conf'!A:D,4,FALSE),"no clearing")</f>
        <v>no clearing</v>
      </c>
      <c r="N321" s="51">
        <f t="shared" ref="N321:N336" si="243">+WEEKNUM(G321,2)</f>
        <v>21</v>
      </c>
      <c r="O321" s="53">
        <f t="shared" ref="O321:O336" si="244">+MONTH(G321)</f>
        <v>5</v>
      </c>
      <c r="P321" s="53">
        <f t="shared" ref="P321:P336" si="245">+YEAR(G321)</f>
        <v>2025</v>
      </c>
    </row>
    <row r="322" spans="1:16" customFormat="1" x14ac:dyDescent="0.25">
      <c r="A322" s="21">
        <v>3000000663</v>
      </c>
      <c r="B322" s="22">
        <v>45791</v>
      </c>
      <c r="C322" s="20">
        <v>11120378.300000001</v>
      </c>
      <c r="D322" s="21" t="s">
        <v>384</v>
      </c>
      <c r="E322" s="21">
        <v>97123528</v>
      </c>
      <c r="F322" s="20">
        <v>11120378.300000001</v>
      </c>
      <c r="G322" s="22">
        <v>45796</v>
      </c>
      <c r="H322" s="21" t="s">
        <v>61</v>
      </c>
      <c r="I322" s="51" t="str">
        <f>IFERROR(IF(VLOOKUP(E322,extracto!C:C,1,FALSE)=E322,"pagado","no pagado"),"no pagado")</f>
        <v>pagado</v>
      </c>
      <c r="J322" s="52" t="str">
        <f t="shared" si="240"/>
        <v>pagado</v>
      </c>
      <c r="K322" s="51" t="str">
        <f t="shared" ca="1" si="241"/>
        <v>excluir</v>
      </c>
      <c r="L322" s="51" t="str">
        <f t="shared" ca="1" si="242"/>
        <v>no semana</v>
      </c>
      <c r="M322" s="51" t="str">
        <f>IFERROR(VLOOKUP(E322,'cheques a conf'!A:D,4,FALSE),"no clearing")</f>
        <v>no clearing</v>
      </c>
      <c r="N322" s="51">
        <f t="shared" si="243"/>
        <v>21</v>
      </c>
      <c r="O322" s="53">
        <f t="shared" si="244"/>
        <v>5</v>
      </c>
      <c r="P322" s="53">
        <f t="shared" si="245"/>
        <v>2025</v>
      </c>
    </row>
    <row r="323" spans="1:16" customFormat="1" x14ac:dyDescent="0.25">
      <c r="A323" s="21">
        <v>3000000664</v>
      </c>
      <c r="B323" s="22">
        <v>45791</v>
      </c>
      <c r="C323" s="20">
        <v>7189299.7599999998</v>
      </c>
      <c r="D323" s="21" t="s">
        <v>337</v>
      </c>
      <c r="E323" s="21">
        <v>97123529</v>
      </c>
      <c r="F323" s="20">
        <v>7189299.7599999998</v>
      </c>
      <c r="G323" s="22">
        <v>45796</v>
      </c>
      <c r="H323" s="21" t="s">
        <v>61</v>
      </c>
      <c r="I323" s="51" t="str">
        <f>IFERROR(IF(VLOOKUP(E323,extracto!C:C,1,FALSE)=E323,"pagado","no pagado"),"no pagado")</f>
        <v>pagado</v>
      </c>
      <c r="J323" s="52" t="str">
        <f t="shared" si="240"/>
        <v>pagado</v>
      </c>
      <c r="K323" s="51" t="str">
        <f t="shared" ca="1" si="241"/>
        <v>excluir</v>
      </c>
      <c r="L323" s="51" t="str">
        <f t="shared" ca="1" si="242"/>
        <v>no semana</v>
      </c>
      <c r="M323" s="51" t="str">
        <f>IFERROR(VLOOKUP(E323,'cheques a conf'!A:D,4,FALSE),"no clearing")</f>
        <v>no clearing</v>
      </c>
      <c r="N323" s="51">
        <f t="shared" si="243"/>
        <v>21</v>
      </c>
      <c r="O323" s="53">
        <f t="shared" si="244"/>
        <v>5</v>
      </c>
      <c r="P323" s="53">
        <f t="shared" si="245"/>
        <v>2025</v>
      </c>
    </row>
    <row r="324" spans="1:16" customFormat="1" x14ac:dyDescent="0.25">
      <c r="A324" s="21">
        <v>3000000665</v>
      </c>
      <c r="B324" s="22">
        <v>45791</v>
      </c>
      <c r="C324" s="20">
        <v>9994807.8200000003</v>
      </c>
      <c r="D324" s="21" t="s">
        <v>359</v>
      </c>
      <c r="E324" s="21">
        <v>97123530</v>
      </c>
      <c r="F324" s="20">
        <v>9994807.8200000003</v>
      </c>
      <c r="G324" s="22">
        <v>45796</v>
      </c>
      <c r="H324" s="21" t="s">
        <v>61</v>
      </c>
      <c r="I324" s="51" t="str">
        <f>IFERROR(IF(VLOOKUP(E324,extracto!C:C,1,FALSE)=E324,"pagado","no pagado"),"no pagado")</f>
        <v>pagado</v>
      </c>
      <c r="J324" s="52" t="str">
        <f t="shared" si="240"/>
        <v>pagado</v>
      </c>
      <c r="K324" s="51" t="str">
        <f t="shared" ca="1" si="241"/>
        <v>excluir</v>
      </c>
      <c r="L324" s="51" t="str">
        <f t="shared" ca="1" si="242"/>
        <v>no semana</v>
      </c>
      <c r="M324" s="51" t="str">
        <f>IFERROR(VLOOKUP(E324,'cheques a conf'!A:D,4,FALSE),"no clearing")</f>
        <v>no clearing</v>
      </c>
      <c r="N324" s="51">
        <f t="shared" si="243"/>
        <v>21</v>
      </c>
      <c r="O324" s="53">
        <f t="shared" si="244"/>
        <v>5</v>
      </c>
      <c r="P324" s="53">
        <f t="shared" si="245"/>
        <v>2025</v>
      </c>
    </row>
    <row r="325" spans="1:16" customFormat="1" x14ac:dyDescent="0.25">
      <c r="A325" s="21">
        <v>3000000666</v>
      </c>
      <c r="B325" s="22">
        <v>45791</v>
      </c>
      <c r="C325" s="20">
        <v>7529330.3300000001</v>
      </c>
      <c r="D325" s="21" t="s">
        <v>371</v>
      </c>
      <c r="E325" s="21">
        <v>97123531</v>
      </c>
      <c r="F325" s="20">
        <v>7529330.3300000001</v>
      </c>
      <c r="G325" s="22">
        <v>45796</v>
      </c>
      <c r="H325" s="21" t="s">
        <v>61</v>
      </c>
      <c r="I325" s="51" t="str">
        <f>IFERROR(IF(VLOOKUP(E325,extracto!C:C,1,FALSE)=E325,"pagado","no pagado"),"no pagado")</f>
        <v>pagado</v>
      </c>
      <c r="J325" s="52" t="str">
        <f t="shared" si="240"/>
        <v>pagado</v>
      </c>
      <c r="K325" s="51" t="str">
        <f t="shared" ca="1" si="241"/>
        <v>excluir</v>
      </c>
      <c r="L325" s="51" t="str">
        <f t="shared" ca="1" si="242"/>
        <v>no semana</v>
      </c>
      <c r="M325" s="51" t="str">
        <f>IFERROR(VLOOKUP(E325,'cheques a conf'!A:D,4,FALSE),"no clearing")</f>
        <v>no clearing</v>
      </c>
      <c r="N325" s="51">
        <f t="shared" si="243"/>
        <v>21</v>
      </c>
      <c r="O325" s="53">
        <f t="shared" si="244"/>
        <v>5</v>
      </c>
      <c r="P325" s="53">
        <f t="shared" si="245"/>
        <v>2025</v>
      </c>
    </row>
    <row r="326" spans="1:16" customFormat="1" x14ac:dyDescent="0.25">
      <c r="A326" s="21">
        <v>3000000667</v>
      </c>
      <c r="B326" s="22">
        <v>45791</v>
      </c>
      <c r="C326" s="20">
        <v>4683141.54</v>
      </c>
      <c r="D326" s="21" t="s">
        <v>385</v>
      </c>
      <c r="E326" s="21">
        <v>97123532</v>
      </c>
      <c r="F326" s="20">
        <v>4683141.54</v>
      </c>
      <c r="G326" s="22">
        <v>45796</v>
      </c>
      <c r="H326" s="21" t="s">
        <v>61</v>
      </c>
      <c r="I326" s="51" t="str">
        <f>IFERROR(IF(VLOOKUP(E326,extracto!C:C,1,FALSE)=E326,"pagado","no pagado"),"no pagado")</f>
        <v>pagado</v>
      </c>
      <c r="J326" s="52" t="str">
        <f t="shared" si="240"/>
        <v>pagado</v>
      </c>
      <c r="K326" s="51" t="str">
        <f t="shared" ca="1" si="241"/>
        <v>excluir</v>
      </c>
      <c r="L326" s="51" t="str">
        <f t="shared" ca="1" si="242"/>
        <v>no semana</v>
      </c>
      <c r="M326" s="51" t="str">
        <f>IFERROR(VLOOKUP(E326,'cheques a conf'!A:D,4,FALSE),"no clearing")</f>
        <v>no clearing</v>
      </c>
      <c r="N326" s="51">
        <f t="shared" si="243"/>
        <v>21</v>
      </c>
      <c r="O326" s="53">
        <f t="shared" si="244"/>
        <v>5</v>
      </c>
      <c r="P326" s="53">
        <f t="shared" si="245"/>
        <v>2025</v>
      </c>
    </row>
    <row r="327" spans="1:16" customFormat="1" x14ac:dyDescent="0.25">
      <c r="A327" s="21">
        <v>3000000668</v>
      </c>
      <c r="B327" s="22">
        <v>45791</v>
      </c>
      <c r="C327" s="20">
        <v>6177998.8600000003</v>
      </c>
      <c r="D327" s="21" t="s">
        <v>344</v>
      </c>
      <c r="E327" s="21">
        <v>97123533</v>
      </c>
      <c r="F327" s="20">
        <v>6177998.8600000003</v>
      </c>
      <c r="G327" s="22">
        <v>45796</v>
      </c>
      <c r="H327" s="21" t="s">
        <v>61</v>
      </c>
      <c r="I327" s="51" t="str">
        <f>IFERROR(IF(VLOOKUP(E327,extracto!C:C,1,FALSE)=E327,"pagado","no pagado"),"no pagado")</f>
        <v>pagado</v>
      </c>
      <c r="J327" s="52" t="str">
        <f t="shared" si="240"/>
        <v>pagado</v>
      </c>
      <c r="K327" s="51" t="str">
        <f t="shared" ca="1" si="241"/>
        <v>excluir</v>
      </c>
      <c r="L327" s="51" t="str">
        <f t="shared" ca="1" si="242"/>
        <v>no semana</v>
      </c>
      <c r="M327" s="51" t="str">
        <f>IFERROR(VLOOKUP(E327,'cheques a conf'!A:D,4,FALSE),"no clearing")</f>
        <v>no clearing</v>
      </c>
      <c r="N327" s="51">
        <f t="shared" si="243"/>
        <v>21</v>
      </c>
      <c r="O327" s="53">
        <f t="shared" si="244"/>
        <v>5</v>
      </c>
      <c r="P327" s="53">
        <f t="shared" si="245"/>
        <v>2025</v>
      </c>
    </row>
    <row r="328" spans="1:16" customFormat="1" x14ac:dyDescent="0.25">
      <c r="A328" s="21">
        <v>3000000669</v>
      </c>
      <c r="B328" s="22">
        <v>45791</v>
      </c>
      <c r="C328" s="20">
        <v>9617991.3900000006</v>
      </c>
      <c r="D328" s="21" t="s">
        <v>16</v>
      </c>
      <c r="E328" s="21">
        <v>97123534</v>
      </c>
      <c r="F328" s="20">
        <v>9617991.3900000006</v>
      </c>
      <c r="G328" s="22">
        <v>45796</v>
      </c>
      <c r="H328" s="21" t="s">
        <v>61</v>
      </c>
      <c r="I328" s="51" t="str">
        <f>IFERROR(IF(VLOOKUP(E328,extracto!C:C,1,FALSE)=E328,"pagado","no pagado"),"no pagado")</f>
        <v>pagado</v>
      </c>
      <c r="J328" s="52" t="str">
        <f t="shared" si="240"/>
        <v>pagado</v>
      </c>
      <c r="K328" s="51" t="str">
        <f t="shared" ca="1" si="241"/>
        <v>excluir</v>
      </c>
      <c r="L328" s="51" t="str">
        <f t="shared" ca="1" si="242"/>
        <v>no semana</v>
      </c>
      <c r="M328" s="51" t="str">
        <f>IFERROR(VLOOKUP(E328,'cheques a conf'!A:D,4,FALSE),"no clearing")</f>
        <v>no clearing</v>
      </c>
      <c r="N328" s="51">
        <f t="shared" si="243"/>
        <v>21</v>
      </c>
      <c r="O328" s="53">
        <f t="shared" si="244"/>
        <v>5</v>
      </c>
      <c r="P328" s="53">
        <f t="shared" si="245"/>
        <v>2025</v>
      </c>
    </row>
    <row r="329" spans="1:16" customFormat="1" x14ac:dyDescent="0.25">
      <c r="A329" s="21">
        <v>3000000684</v>
      </c>
      <c r="B329" s="22">
        <v>45797</v>
      </c>
      <c r="C329" s="20">
        <v>8806000</v>
      </c>
      <c r="D329" s="21" t="s">
        <v>353</v>
      </c>
      <c r="E329" s="21">
        <v>97123538</v>
      </c>
      <c r="F329" s="20">
        <v>8806000</v>
      </c>
      <c r="G329" s="22">
        <v>45800</v>
      </c>
      <c r="H329" s="21" t="s">
        <v>61</v>
      </c>
      <c r="I329" s="51" t="str">
        <f>IFERROR(IF(VLOOKUP(E329,extracto!C:C,1,FALSE)=E329,"pagado","no pagado"),"no pagado")</f>
        <v>pagado</v>
      </c>
      <c r="J329" s="52" t="str">
        <f t="shared" si="240"/>
        <v>pagado</v>
      </c>
      <c r="K329" s="51" t="str">
        <f t="shared" ca="1" si="241"/>
        <v>excluir</v>
      </c>
      <c r="L329" s="51" t="str">
        <f t="shared" ca="1" si="242"/>
        <v>no semana</v>
      </c>
      <c r="M329" s="51" t="str">
        <f>IFERROR(VLOOKUP(E329,'cheques a conf'!A:D,4,FALSE),"no clearing")</f>
        <v>no clearing</v>
      </c>
      <c r="N329" s="51">
        <f t="shared" si="243"/>
        <v>21</v>
      </c>
      <c r="O329" s="53">
        <f t="shared" si="244"/>
        <v>5</v>
      </c>
      <c r="P329" s="53">
        <f t="shared" si="245"/>
        <v>2025</v>
      </c>
    </row>
    <row r="330" spans="1:16" customFormat="1" x14ac:dyDescent="0.25">
      <c r="A330" s="21">
        <v>3000000685</v>
      </c>
      <c r="B330" s="22">
        <v>45797</v>
      </c>
      <c r="C330" s="20">
        <v>5850955</v>
      </c>
      <c r="D330" s="21" t="s">
        <v>350</v>
      </c>
      <c r="E330" s="21">
        <v>97123539</v>
      </c>
      <c r="F330" s="20">
        <v>5850955</v>
      </c>
      <c r="G330" s="22">
        <v>45800</v>
      </c>
      <c r="H330" s="21" t="s">
        <v>61</v>
      </c>
      <c r="I330" s="51" t="str">
        <f>IFERROR(IF(VLOOKUP(E330,extracto!C:C,1,FALSE)=E330,"pagado","no pagado"),"no pagado")</f>
        <v>pagado</v>
      </c>
      <c r="J330" s="52" t="str">
        <f t="shared" si="240"/>
        <v>pagado</v>
      </c>
      <c r="K330" s="51" t="str">
        <f t="shared" ca="1" si="241"/>
        <v>excluir</v>
      </c>
      <c r="L330" s="51" t="str">
        <f t="shared" ca="1" si="242"/>
        <v>no semana</v>
      </c>
      <c r="M330" s="51" t="str">
        <f>IFERROR(VLOOKUP(E330,'cheques a conf'!A:D,4,FALSE),"no clearing")</f>
        <v>no clearing</v>
      </c>
      <c r="N330" s="51">
        <f t="shared" si="243"/>
        <v>21</v>
      </c>
      <c r="O330" s="53">
        <f t="shared" si="244"/>
        <v>5</v>
      </c>
      <c r="P330" s="53">
        <f t="shared" si="245"/>
        <v>2025</v>
      </c>
    </row>
    <row r="331" spans="1:16" customFormat="1" x14ac:dyDescent="0.25">
      <c r="A331" s="21">
        <v>3000000686</v>
      </c>
      <c r="B331" s="22">
        <v>45797</v>
      </c>
      <c r="C331" s="20">
        <v>3014400</v>
      </c>
      <c r="D331" s="21" t="s">
        <v>386</v>
      </c>
      <c r="E331" s="21">
        <v>97123540</v>
      </c>
      <c r="F331" s="20">
        <v>3014400</v>
      </c>
      <c r="G331" s="22">
        <v>45800</v>
      </c>
      <c r="H331" s="21" t="s">
        <v>61</v>
      </c>
      <c r="I331" s="51" t="str">
        <f>IFERROR(IF(VLOOKUP(E331,extracto!C:C,1,FALSE)=E331,"pagado","no pagado"),"no pagado")</f>
        <v>pagado</v>
      </c>
      <c r="J331" s="52" t="str">
        <f t="shared" si="240"/>
        <v>pagado</v>
      </c>
      <c r="K331" s="51" t="str">
        <f t="shared" ca="1" si="241"/>
        <v>excluir</v>
      </c>
      <c r="L331" s="51" t="str">
        <f t="shared" ca="1" si="242"/>
        <v>no semana</v>
      </c>
      <c r="M331" s="51" t="str">
        <f>IFERROR(VLOOKUP(E331,'cheques a conf'!A:D,4,FALSE),"no clearing")</f>
        <v>no clearing</v>
      </c>
      <c r="N331" s="51">
        <f t="shared" si="243"/>
        <v>21</v>
      </c>
      <c r="O331" s="53">
        <f t="shared" si="244"/>
        <v>5</v>
      </c>
      <c r="P331" s="53">
        <f t="shared" si="245"/>
        <v>2025</v>
      </c>
    </row>
    <row r="332" spans="1:16" customFormat="1" x14ac:dyDescent="0.25">
      <c r="A332" s="21">
        <v>3000000687</v>
      </c>
      <c r="B332" s="22">
        <v>45797</v>
      </c>
      <c r="C332" s="20">
        <v>12695564.98</v>
      </c>
      <c r="D332" s="21" t="s">
        <v>340</v>
      </c>
      <c r="E332" s="21">
        <v>97123541</v>
      </c>
      <c r="F332" s="20">
        <v>12695564.98</v>
      </c>
      <c r="G332" s="22">
        <v>45800</v>
      </c>
      <c r="H332" s="21" t="s">
        <v>61</v>
      </c>
      <c r="I332" s="51" t="str">
        <f>IFERROR(IF(VLOOKUP(E332,extracto!C:C,1,FALSE)=E332,"pagado","no pagado"),"no pagado")</f>
        <v>pagado</v>
      </c>
      <c r="J332" s="52" t="str">
        <f t="shared" si="240"/>
        <v>pagado</v>
      </c>
      <c r="K332" s="51" t="str">
        <f t="shared" ca="1" si="241"/>
        <v>excluir</v>
      </c>
      <c r="L332" s="51" t="str">
        <f t="shared" ca="1" si="242"/>
        <v>no semana</v>
      </c>
      <c r="M332" s="51" t="str">
        <f>IFERROR(VLOOKUP(E332,'cheques a conf'!A:D,4,FALSE),"no clearing")</f>
        <v>no clearing</v>
      </c>
      <c r="N332" s="51">
        <f t="shared" si="243"/>
        <v>21</v>
      </c>
      <c r="O332" s="53">
        <f t="shared" si="244"/>
        <v>5</v>
      </c>
      <c r="P332" s="53">
        <f t="shared" si="245"/>
        <v>2025</v>
      </c>
    </row>
    <row r="333" spans="1:16" customFormat="1" x14ac:dyDescent="0.25">
      <c r="A333" s="21">
        <v>3000000688</v>
      </c>
      <c r="B333" s="22">
        <v>45797</v>
      </c>
      <c r="C333" s="20">
        <v>3256303.45</v>
      </c>
      <c r="D333" s="21" t="s">
        <v>387</v>
      </c>
      <c r="E333" s="21">
        <v>97123542</v>
      </c>
      <c r="F333" s="20">
        <v>3256303.45</v>
      </c>
      <c r="G333" s="22">
        <v>45800</v>
      </c>
      <c r="H333" s="21" t="s">
        <v>61</v>
      </c>
      <c r="I333" s="51" t="str">
        <f>IFERROR(IF(VLOOKUP(E333,extracto!C:C,1,FALSE)=E333,"pagado","no pagado"),"no pagado")</f>
        <v>pagado</v>
      </c>
      <c r="J333" s="52" t="str">
        <f t="shared" si="240"/>
        <v>pagado</v>
      </c>
      <c r="K333" s="51" t="str">
        <f t="shared" ca="1" si="241"/>
        <v>excluir</v>
      </c>
      <c r="L333" s="51" t="str">
        <f t="shared" ca="1" si="242"/>
        <v>no semana</v>
      </c>
      <c r="M333" s="51" t="str">
        <f>IFERROR(VLOOKUP(E333,'cheques a conf'!A:D,4,FALSE),"no clearing")</f>
        <v>no clearing</v>
      </c>
      <c r="N333" s="51">
        <f t="shared" si="243"/>
        <v>21</v>
      </c>
      <c r="O333" s="53">
        <f t="shared" si="244"/>
        <v>5</v>
      </c>
      <c r="P333" s="53">
        <f t="shared" si="245"/>
        <v>2025</v>
      </c>
    </row>
    <row r="334" spans="1:16" customFormat="1" x14ac:dyDescent="0.25">
      <c r="A334" s="21">
        <v>3000000689</v>
      </c>
      <c r="B334" s="22">
        <v>45797</v>
      </c>
      <c r="C334" s="20">
        <v>6807633.5700000003</v>
      </c>
      <c r="D334" s="21" t="s">
        <v>26</v>
      </c>
      <c r="E334" s="21">
        <v>97123543</v>
      </c>
      <c r="F334" s="20">
        <v>6807633.5700000003</v>
      </c>
      <c r="G334" s="22">
        <v>45800</v>
      </c>
      <c r="H334" s="21" t="s">
        <v>61</v>
      </c>
      <c r="I334" s="51" t="str">
        <f>IFERROR(IF(VLOOKUP(E334,extracto!C:C,1,FALSE)=E334,"pagado","no pagado"),"no pagado")</f>
        <v>pagado</v>
      </c>
      <c r="J334" s="52" t="str">
        <f t="shared" si="240"/>
        <v>pagado</v>
      </c>
      <c r="K334" s="51" t="str">
        <f t="shared" ca="1" si="241"/>
        <v>excluir</v>
      </c>
      <c r="L334" s="51" t="str">
        <f t="shared" ca="1" si="242"/>
        <v>no semana</v>
      </c>
      <c r="M334" s="51" t="str">
        <f>IFERROR(VLOOKUP(E334,'cheques a conf'!A:D,4,FALSE),"no clearing")</f>
        <v>no clearing</v>
      </c>
      <c r="N334" s="51">
        <f t="shared" si="243"/>
        <v>21</v>
      </c>
      <c r="O334" s="53">
        <f t="shared" si="244"/>
        <v>5</v>
      </c>
      <c r="P334" s="53">
        <f t="shared" si="245"/>
        <v>2025</v>
      </c>
    </row>
    <row r="335" spans="1:16" customFormat="1" x14ac:dyDescent="0.25">
      <c r="A335" s="21">
        <v>3000000690</v>
      </c>
      <c r="B335" s="22">
        <v>45797</v>
      </c>
      <c r="C335" s="20">
        <v>1886523.46</v>
      </c>
      <c r="D335" s="21" t="s">
        <v>306</v>
      </c>
      <c r="E335" s="21">
        <v>97123544</v>
      </c>
      <c r="F335" s="20">
        <v>1886523.46</v>
      </c>
      <c r="G335" s="22">
        <v>45800</v>
      </c>
      <c r="H335" s="21" t="s">
        <v>61</v>
      </c>
      <c r="I335" s="51" t="str">
        <f>IFERROR(IF(VLOOKUP(E335,extracto!C:C,1,FALSE)=E335,"pagado","no pagado"),"no pagado")</f>
        <v>pagado</v>
      </c>
      <c r="J335" s="52" t="str">
        <f t="shared" si="240"/>
        <v>pagado</v>
      </c>
      <c r="K335" s="51" t="str">
        <f t="shared" ca="1" si="241"/>
        <v>excluir</v>
      </c>
      <c r="L335" s="51" t="str">
        <f t="shared" ca="1" si="242"/>
        <v>no semana</v>
      </c>
      <c r="M335" s="51" t="str">
        <f>IFERROR(VLOOKUP(E335,'cheques a conf'!A:D,4,FALSE),"no clearing")</f>
        <v>no clearing</v>
      </c>
      <c r="N335" s="51">
        <f t="shared" si="243"/>
        <v>21</v>
      </c>
      <c r="O335" s="53">
        <f t="shared" si="244"/>
        <v>5</v>
      </c>
      <c r="P335" s="53">
        <f t="shared" si="245"/>
        <v>2025</v>
      </c>
    </row>
    <row r="336" spans="1:16" customFormat="1" x14ac:dyDescent="0.25">
      <c r="A336" s="21">
        <v>3000000691</v>
      </c>
      <c r="B336" s="22">
        <v>45797</v>
      </c>
      <c r="C336" s="20">
        <v>1720173</v>
      </c>
      <c r="D336" s="21" t="s">
        <v>301</v>
      </c>
      <c r="E336" s="21">
        <v>97123545</v>
      </c>
      <c r="F336" s="20">
        <v>1720173</v>
      </c>
      <c r="G336" s="22">
        <v>45800</v>
      </c>
      <c r="H336" s="21" t="s">
        <v>61</v>
      </c>
      <c r="I336" s="51" t="str">
        <f>IFERROR(IF(VLOOKUP(E336,extracto!C:C,1,FALSE)=E336,"pagado","no pagado"),"no pagado")</f>
        <v>pagado</v>
      </c>
      <c r="J336" s="52" t="str">
        <f t="shared" si="240"/>
        <v>pagado</v>
      </c>
      <c r="K336" s="51" t="str">
        <f t="shared" ca="1" si="241"/>
        <v>excluir</v>
      </c>
      <c r="L336" s="51" t="str">
        <f t="shared" ca="1" si="242"/>
        <v>no semana</v>
      </c>
      <c r="M336" s="51" t="str">
        <f>IFERROR(VLOOKUP(E336,'cheques a conf'!A:D,4,FALSE),"no clearing")</f>
        <v>no clearing</v>
      </c>
      <c r="N336" s="51">
        <f t="shared" si="243"/>
        <v>21</v>
      </c>
      <c r="O336" s="53">
        <f t="shared" si="244"/>
        <v>5</v>
      </c>
      <c r="P336" s="53">
        <f t="shared" si="245"/>
        <v>2025</v>
      </c>
    </row>
    <row r="337" spans="1:16" customFormat="1" x14ac:dyDescent="0.25">
      <c r="A337" s="21">
        <v>3000000692</v>
      </c>
      <c r="B337" s="22">
        <v>45797</v>
      </c>
      <c r="C337" s="20">
        <v>2279030.02</v>
      </c>
      <c r="D337" s="21" t="s">
        <v>342</v>
      </c>
      <c r="E337" s="21">
        <v>97123546</v>
      </c>
      <c r="F337" s="20">
        <v>2279030.02</v>
      </c>
      <c r="G337" s="22">
        <v>45800</v>
      </c>
      <c r="H337" s="21" t="s">
        <v>61</v>
      </c>
      <c r="I337" s="51" t="str">
        <f>IFERROR(IF(VLOOKUP(E337,extracto!C:C,1,FALSE)=E337,"pagado","no pagado"),"no pagado")</f>
        <v>pagado</v>
      </c>
      <c r="J337" s="52" t="str">
        <f t="shared" ref="J337:J341" si="246">IF(I337="pagado","pagado",IF(G337&lt;$V$1-30,"fuera de fecha","en periodo de pago"))</f>
        <v>pagado</v>
      </c>
      <c r="K337" s="51" t="str">
        <f t="shared" ref="K337:K341" ca="1" si="247">+IF(B337&gt;$V$1,"excluir",IF(J337="en periodo de pago",IF($V$1&gt;G337,"a pagar","proximo a vencer"),"excluir"))</f>
        <v>excluir</v>
      </c>
      <c r="L337" s="51" t="str">
        <f t="shared" ref="L337:L341" ca="1" si="248">+IF(K337="proximo a vencer",IF($V$1+5&gt;G337,"para la semana","no semana"),"no semana")</f>
        <v>no semana</v>
      </c>
      <c r="M337" s="51" t="str">
        <f>IFERROR(VLOOKUP(E337,'cheques a conf'!A:D,4,FALSE),"no clearing")</f>
        <v>no clearing</v>
      </c>
      <c r="N337" s="51">
        <f t="shared" ref="N337:N341" si="249">+WEEKNUM(G337,2)</f>
        <v>21</v>
      </c>
      <c r="O337" s="53">
        <f t="shared" ref="O337:O341" si="250">+MONTH(G337)</f>
        <v>5</v>
      </c>
      <c r="P337" s="53">
        <f t="shared" ref="P337:P341" si="251">+YEAR(G337)</f>
        <v>2025</v>
      </c>
    </row>
    <row r="338" spans="1:16" customFormat="1" x14ac:dyDescent="0.25">
      <c r="A338" s="21">
        <v>3000000693</v>
      </c>
      <c r="B338" s="22">
        <v>45797</v>
      </c>
      <c r="C338" s="20">
        <v>12962967.279999999</v>
      </c>
      <c r="D338" s="21" t="s">
        <v>388</v>
      </c>
      <c r="E338" s="21">
        <v>97123547</v>
      </c>
      <c r="F338" s="20">
        <v>12962967.279999999</v>
      </c>
      <c r="G338" s="22">
        <v>45800</v>
      </c>
      <c r="H338" s="21" t="s">
        <v>61</v>
      </c>
      <c r="I338" s="51" t="str">
        <f>IFERROR(IF(VLOOKUP(E338,extracto!C:C,1,FALSE)=E338,"pagado","no pagado"),"no pagado")</f>
        <v>pagado</v>
      </c>
      <c r="J338" s="52" t="str">
        <f t="shared" si="246"/>
        <v>pagado</v>
      </c>
      <c r="K338" s="51" t="str">
        <f t="shared" ca="1" si="247"/>
        <v>excluir</v>
      </c>
      <c r="L338" s="51" t="str">
        <f t="shared" ca="1" si="248"/>
        <v>no semana</v>
      </c>
      <c r="M338" s="51" t="str">
        <f>IFERROR(VLOOKUP(E338,'cheques a conf'!A:D,4,FALSE),"no clearing")</f>
        <v>no clearing</v>
      </c>
      <c r="N338" s="51">
        <f t="shared" si="249"/>
        <v>21</v>
      </c>
      <c r="O338" s="53">
        <f t="shared" si="250"/>
        <v>5</v>
      </c>
      <c r="P338" s="53">
        <f t="shared" si="251"/>
        <v>2025</v>
      </c>
    </row>
    <row r="339" spans="1:16" customFormat="1" x14ac:dyDescent="0.25">
      <c r="A339" s="21">
        <v>1200000417</v>
      </c>
      <c r="B339" s="22">
        <v>45799</v>
      </c>
      <c r="C339" s="20">
        <v>43487582.719999999</v>
      </c>
      <c r="D339" s="21" t="s">
        <v>389</v>
      </c>
      <c r="E339" s="21">
        <v>97123548</v>
      </c>
      <c r="F339" s="20">
        <v>43487582.719999999</v>
      </c>
      <c r="G339" s="22">
        <v>45803</v>
      </c>
      <c r="H339" s="21" t="s">
        <v>61</v>
      </c>
      <c r="I339" s="51" t="str">
        <f>IFERROR(IF(VLOOKUP(E339,extracto!C:C,1,FALSE)=E339,"pagado","no pagado"),"no pagado")</f>
        <v>pagado</v>
      </c>
      <c r="J339" s="52" t="str">
        <f t="shared" si="246"/>
        <v>pagado</v>
      </c>
      <c r="K339" s="51" t="str">
        <f t="shared" ca="1" si="247"/>
        <v>excluir</v>
      </c>
      <c r="L339" s="51" t="str">
        <f t="shared" ca="1" si="248"/>
        <v>no semana</v>
      </c>
      <c r="M339" s="51" t="str">
        <f>IFERROR(VLOOKUP(E339,'cheques a conf'!A:D,4,FALSE),"no clearing")</f>
        <v>no clearing</v>
      </c>
      <c r="N339" s="51">
        <f t="shared" si="249"/>
        <v>22</v>
      </c>
      <c r="O339" s="53">
        <f t="shared" si="250"/>
        <v>5</v>
      </c>
      <c r="P339" s="53">
        <f t="shared" si="251"/>
        <v>2025</v>
      </c>
    </row>
    <row r="340" spans="1:16" customFormat="1" x14ac:dyDescent="0.25">
      <c r="A340" s="21">
        <v>1200000417</v>
      </c>
      <c r="B340" s="22">
        <v>45799</v>
      </c>
      <c r="C340" s="20">
        <v>6381944.7400000002</v>
      </c>
      <c r="D340" s="21" t="s">
        <v>305</v>
      </c>
      <c r="E340" s="21">
        <v>97123549</v>
      </c>
      <c r="F340" s="20">
        <v>6381944.7400000002</v>
      </c>
      <c r="G340" s="22">
        <v>45804</v>
      </c>
      <c r="H340" s="21" t="s">
        <v>61</v>
      </c>
      <c r="I340" s="51" t="str">
        <f>IFERROR(IF(VLOOKUP(E340,extracto!C:C,1,FALSE)=E340,"pagado","no pagado"),"no pagado")</f>
        <v>pagado</v>
      </c>
      <c r="J340" s="52" t="str">
        <f t="shared" si="246"/>
        <v>pagado</v>
      </c>
      <c r="K340" s="51" t="str">
        <f t="shared" ca="1" si="247"/>
        <v>excluir</v>
      </c>
      <c r="L340" s="51" t="str">
        <f t="shared" ca="1" si="248"/>
        <v>no semana</v>
      </c>
      <c r="M340" s="51" t="str">
        <f>IFERROR(VLOOKUP(E340,'cheques a conf'!A:D,4,FALSE),"no clearing")</f>
        <v>no clearing</v>
      </c>
      <c r="N340" s="51">
        <f t="shared" si="249"/>
        <v>22</v>
      </c>
      <c r="O340" s="53">
        <f t="shared" si="250"/>
        <v>5</v>
      </c>
      <c r="P340" s="53">
        <f t="shared" si="251"/>
        <v>2025</v>
      </c>
    </row>
    <row r="341" spans="1:16" customFormat="1" x14ac:dyDescent="0.25">
      <c r="A341" s="21">
        <v>3000000702</v>
      </c>
      <c r="B341" s="22">
        <v>45799</v>
      </c>
      <c r="C341" s="20">
        <v>13612550</v>
      </c>
      <c r="D341" s="21" t="s">
        <v>360</v>
      </c>
      <c r="E341" s="21">
        <v>97123550</v>
      </c>
      <c r="F341" s="20">
        <v>13612550</v>
      </c>
      <c r="G341" s="22">
        <v>45804</v>
      </c>
      <c r="H341" s="21" t="s">
        <v>61</v>
      </c>
      <c r="I341" s="51" t="str">
        <f>IFERROR(IF(VLOOKUP(E341,extracto!C:C,1,FALSE)=E341,"pagado","no pagado"),"no pagado")</f>
        <v>pagado</v>
      </c>
      <c r="J341" s="52" t="str">
        <f t="shared" si="246"/>
        <v>pagado</v>
      </c>
      <c r="K341" s="51" t="str">
        <f t="shared" ca="1" si="247"/>
        <v>excluir</v>
      </c>
      <c r="L341" s="51" t="str">
        <f t="shared" ca="1" si="248"/>
        <v>no semana</v>
      </c>
      <c r="M341" s="51" t="str">
        <f>IFERROR(VLOOKUP(E341,'cheques a conf'!A:D,4,FALSE),"no clearing")</f>
        <v>no clearing</v>
      </c>
      <c r="N341" s="51">
        <f t="shared" si="249"/>
        <v>22</v>
      </c>
      <c r="O341" s="53">
        <f t="shared" si="250"/>
        <v>5</v>
      </c>
      <c r="P341" s="53">
        <f t="shared" si="251"/>
        <v>2025</v>
      </c>
    </row>
    <row r="342" spans="1:16" customFormat="1" x14ac:dyDescent="0.25">
      <c r="A342" s="21">
        <v>3000000703</v>
      </c>
      <c r="B342" s="22">
        <v>45799</v>
      </c>
      <c r="C342" s="20">
        <v>36301812.100000001</v>
      </c>
      <c r="D342" s="21" t="s">
        <v>390</v>
      </c>
      <c r="E342" s="21">
        <v>97123551</v>
      </c>
      <c r="F342" s="20">
        <v>36301812.100000001</v>
      </c>
      <c r="G342" s="22">
        <v>45804</v>
      </c>
      <c r="H342" s="21" t="s">
        <v>61</v>
      </c>
      <c r="I342" s="51" t="str">
        <f>IFERROR(IF(VLOOKUP(E342,extracto!C:C,1,FALSE)=E342,"pagado","no pagado"),"no pagado")</f>
        <v>pagado</v>
      </c>
      <c r="J342" s="52" t="str">
        <f t="shared" ref="J342:J364" si="252">IF(I342="pagado","pagado",IF(G342&lt;$V$1-30,"fuera de fecha","en periodo de pago"))</f>
        <v>pagado</v>
      </c>
      <c r="K342" s="51" t="str">
        <f t="shared" ref="K342:K364" ca="1" si="253">+IF(B342&gt;$V$1,"excluir",IF(J342="en periodo de pago",IF($V$1&gt;G342,"a pagar","proximo a vencer"),"excluir"))</f>
        <v>excluir</v>
      </c>
      <c r="L342" s="51" t="str">
        <f t="shared" ref="L342:L364" ca="1" si="254">+IF(K342="proximo a vencer",IF($V$1+5&gt;G342,"para la semana","no semana"),"no semana")</f>
        <v>no semana</v>
      </c>
      <c r="M342" s="51" t="str">
        <f>IFERROR(VLOOKUP(E342,'cheques a conf'!A:D,4,FALSE),"no clearing")</f>
        <v>no clearing</v>
      </c>
      <c r="N342" s="51">
        <f t="shared" ref="N342:N364" si="255">+WEEKNUM(G342,2)</f>
        <v>22</v>
      </c>
      <c r="O342" s="53">
        <f t="shared" ref="O342:O364" si="256">+MONTH(G342)</f>
        <v>5</v>
      </c>
      <c r="P342" s="53">
        <f t="shared" ref="P342:P364" si="257">+YEAR(G342)</f>
        <v>2025</v>
      </c>
    </row>
    <row r="343" spans="1:16" customFormat="1" x14ac:dyDescent="0.25">
      <c r="A343" s="21">
        <v>3000000704</v>
      </c>
      <c r="B343" s="22">
        <v>45799</v>
      </c>
      <c r="C343" s="20">
        <v>7916254.2999999998</v>
      </c>
      <c r="D343" s="21" t="s">
        <v>338</v>
      </c>
      <c r="E343" s="21">
        <v>97123552</v>
      </c>
      <c r="F343" s="20">
        <v>7916254.2999999998</v>
      </c>
      <c r="G343" s="22">
        <v>45804</v>
      </c>
      <c r="H343" s="21" t="s">
        <v>61</v>
      </c>
      <c r="I343" s="51" t="str">
        <f>IFERROR(IF(VLOOKUP(E343,extracto!C:C,1,FALSE)=E343,"pagado","no pagado"),"no pagado")</f>
        <v>pagado</v>
      </c>
      <c r="J343" s="52" t="str">
        <f t="shared" si="252"/>
        <v>pagado</v>
      </c>
      <c r="K343" s="51" t="str">
        <f t="shared" ca="1" si="253"/>
        <v>excluir</v>
      </c>
      <c r="L343" s="51" t="str">
        <f t="shared" ca="1" si="254"/>
        <v>no semana</v>
      </c>
      <c r="M343" s="51" t="str">
        <f>IFERROR(VLOOKUP(E343,'cheques a conf'!A:D,4,FALSE),"no clearing")</f>
        <v>no clearing</v>
      </c>
      <c r="N343" s="51">
        <f t="shared" si="255"/>
        <v>22</v>
      </c>
      <c r="O343" s="53">
        <f t="shared" si="256"/>
        <v>5</v>
      </c>
      <c r="P343" s="53">
        <f t="shared" si="257"/>
        <v>2025</v>
      </c>
    </row>
    <row r="344" spans="1:16" customFormat="1" x14ac:dyDescent="0.25">
      <c r="A344">
        <v>3000000709</v>
      </c>
      <c r="B344" s="22">
        <v>45800</v>
      </c>
      <c r="C344" s="9">
        <v>12607380</v>
      </c>
      <c r="D344" t="s">
        <v>22</v>
      </c>
      <c r="E344">
        <v>94231546</v>
      </c>
      <c r="F344" s="9">
        <v>12607380</v>
      </c>
      <c r="G344" s="22">
        <v>45803</v>
      </c>
      <c r="H344" s="21" t="s">
        <v>13</v>
      </c>
      <c r="I344" s="51" t="str">
        <f>IFERROR(IF(VLOOKUP(E344,extracto!C:C,1,FALSE)=E344,"pagado","no pagado"),"no pagado")</f>
        <v>pagado</v>
      </c>
      <c r="J344" s="52" t="str">
        <f t="shared" si="252"/>
        <v>pagado</v>
      </c>
      <c r="K344" s="51" t="str">
        <f t="shared" ca="1" si="253"/>
        <v>excluir</v>
      </c>
      <c r="L344" s="51" t="str">
        <f t="shared" ca="1" si="254"/>
        <v>no semana</v>
      </c>
      <c r="M344" s="51" t="str">
        <f>IFERROR(VLOOKUP(E344,'cheques a conf'!A:D,4,FALSE),"no clearing")</f>
        <v>no clearing</v>
      </c>
      <c r="N344" s="51">
        <f t="shared" si="255"/>
        <v>22</v>
      </c>
      <c r="O344" s="53">
        <f t="shared" si="256"/>
        <v>5</v>
      </c>
      <c r="P344" s="53">
        <f t="shared" si="257"/>
        <v>2025</v>
      </c>
    </row>
    <row r="345" spans="1:16" customFormat="1" x14ac:dyDescent="0.25">
      <c r="A345" s="21">
        <v>3000000716</v>
      </c>
      <c r="B345" s="22">
        <v>45803</v>
      </c>
      <c r="C345" s="20">
        <v>6000000</v>
      </c>
      <c r="D345" s="21" t="s">
        <v>391</v>
      </c>
      <c r="E345" s="21">
        <v>97123554</v>
      </c>
      <c r="F345" s="20">
        <v>6000000</v>
      </c>
      <c r="G345" s="22">
        <v>45806</v>
      </c>
      <c r="H345" s="21" t="s">
        <v>61</v>
      </c>
      <c r="I345" s="51" t="str">
        <f>IFERROR(IF(VLOOKUP(E345,extracto!C:C,1,FALSE)=E345,"pagado","no pagado"),"no pagado")</f>
        <v>pagado</v>
      </c>
      <c r="J345" s="52" t="str">
        <f t="shared" si="252"/>
        <v>pagado</v>
      </c>
      <c r="K345" s="51" t="str">
        <f t="shared" ca="1" si="253"/>
        <v>excluir</v>
      </c>
      <c r="L345" s="51" t="str">
        <f t="shared" ca="1" si="254"/>
        <v>no semana</v>
      </c>
      <c r="M345" s="51" t="str">
        <f>IFERROR(VLOOKUP(E345,'cheques a conf'!A:D,4,FALSE),"no clearing")</f>
        <v>no clearing</v>
      </c>
      <c r="N345" s="51">
        <f t="shared" si="255"/>
        <v>22</v>
      </c>
      <c r="O345" s="53">
        <f t="shared" si="256"/>
        <v>5</v>
      </c>
      <c r="P345" s="53">
        <f t="shared" si="257"/>
        <v>2025</v>
      </c>
    </row>
    <row r="346" spans="1:16" customFormat="1" x14ac:dyDescent="0.25">
      <c r="A346" s="21">
        <v>3000000716</v>
      </c>
      <c r="B346" s="22">
        <v>45803</v>
      </c>
      <c r="C346" s="20">
        <v>6509862.4800000004</v>
      </c>
      <c r="D346" s="21" t="s">
        <v>391</v>
      </c>
      <c r="E346" s="21">
        <v>97123555</v>
      </c>
      <c r="F346" s="20">
        <v>6509862.4800000004</v>
      </c>
      <c r="G346" s="22">
        <v>45807</v>
      </c>
      <c r="H346" s="21" t="s">
        <v>61</v>
      </c>
      <c r="I346" s="51" t="str">
        <f>IFERROR(IF(VLOOKUP(E346,extracto!C:C,1,FALSE)=E346,"pagado","no pagado"),"no pagado")</f>
        <v>pagado</v>
      </c>
      <c r="J346" s="52" t="str">
        <f t="shared" si="252"/>
        <v>pagado</v>
      </c>
      <c r="K346" s="51" t="str">
        <f t="shared" ca="1" si="253"/>
        <v>excluir</v>
      </c>
      <c r="L346" s="51" t="str">
        <f t="shared" ca="1" si="254"/>
        <v>no semana</v>
      </c>
      <c r="M346" s="51" t="str">
        <f>IFERROR(VLOOKUP(E346,'cheques a conf'!A:D,4,FALSE),"no clearing")</f>
        <v>no clearing</v>
      </c>
      <c r="N346" s="51">
        <f t="shared" si="255"/>
        <v>22</v>
      </c>
      <c r="O346" s="53">
        <f t="shared" si="256"/>
        <v>5</v>
      </c>
      <c r="P346" s="53">
        <f t="shared" si="257"/>
        <v>2025</v>
      </c>
    </row>
    <row r="347" spans="1:16" customFormat="1" x14ac:dyDescent="0.25">
      <c r="A347" s="21">
        <v>3000000717</v>
      </c>
      <c r="B347" s="22">
        <v>45803</v>
      </c>
      <c r="C347" s="20">
        <v>2000000</v>
      </c>
      <c r="D347" s="21" t="s">
        <v>287</v>
      </c>
      <c r="E347" s="21">
        <v>97123556</v>
      </c>
      <c r="F347" s="20">
        <v>2000000</v>
      </c>
      <c r="G347" s="22">
        <v>45806</v>
      </c>
      <c r="H347" s="21" t="s">
        <v>61</v>
      </c>
      <c r="I347" s="51" t="str">
        <f>IFERROR(IF(VLOOKUP(E347,extracto!C:C,1,FALSE)=E347,"pagado","no pagado"),"no pagado")</f>
        <v>pagado</v>
      </c>
      <c r="J347" s="52" t="str">
        <f t="shared" si="252"/>
        <v>pagado</v>
      </c>
      <c r="K347" s="51" t="str">
        <f t="shared" ca="1" si="253"/>
        <v>excluir</v>
      </c>
      <c r="L347" s="51" t="str">
        <f t="shared" ca="1" si="254"/>
        <v>no semana</v>
      </c>
      <c r="M347" s="51" t="str">
        <f>IFERROR(VLOOKUP(E347,'cheques a conf'!A:D,4,FALSE),"no clearing")</f>
        <v>no clearing</v>
      </c>
      <c r="N347" s="51">
        <f t="shared" si="255"/>
        <v>22</v>
      </c>
      <c r="O347" s="53">
        <f t="shared" si="256"/>
        <v>5</v>
      </c>
      <c r="P347" s="53">
        <f t="shared" si="257"/>
        <v>2025</v>
      </c>
    </row>
    <row r="348" spans="1:16" customFormat="1" x14ac:dyDescent="0.25">
      <c r="A348" s="21">
        <v>3000000717</v>
      </c>
      <c r="B348" s="22">
        <v>45803</v>
      </c>
      <c r="C348" s="20">
        <v>2000000</v>
      </c>
      <c r="D348" s="21" t="s">
        <v>287</v>
      </c>
      <c r="E348" s="21">
        <v>97123557</v>
      </c>
      <c r="F348" s="20">
        <v>2000000</v>
      </c>
      <c r="G348" s="22">
        <v>45806</v>
      </c>
      <c r="H348" s="21" t="s">
        <v>61</v>
      </c>
      <c r="I348" s="51" t="str">
        <f>IFERROR(IF(VLOOKUP(E348,extracto!C:C,1,FALSE)=E348,"pagado","no pagado"),"no pagado")</f>
        <v>pagado</v>
      </c>
      <c r="J348" s="52" t="str">
        <f t="shared" si="252"/>
        <v>pagado</v>
      </c>
      <c r="K348" s="51" t="str">
        <f t="shared" ca="1" si="253"/>
        <v>excluir</v>
      </c>
      <c r="L348" s="51" t="str">
        <f t="shared" ca="1" si="254"/>
        <v>no semana</v>
      </c>
      <c r="M348" s="51" t="str">
        <f>IFERROR(VLOOKUP(E348,'cheques a conf'!A:D,4,FALSE),"no clearing")</f>
        <v>no clearing</v>
      </c>
      <c r="N348" s="51">
        <f t="shared" si="255"/>
        <v>22</v>
      </c>
      <c r="O348" s="53">
        <f t="shared" si="256"/>
        <v>5</v>
      </c>
      <c r="P348" s="53">
        <f t="shared" si="257"/>
        <v>2025</v>
      </c>
    </row>
    <row r="349" spans="1:16" customFormat="1" x14ac:dyDescent="0.25">
      <c r="A349" s="21">
        <v>3000000717</v>
      </c>
      <c r="B349" s="22">
        <v>45803</v>
      </c>
      <c r="C349" s="20">
        <v>2000000</v>
      </c>
      <c r="D349" s="21" t="s">
        <v>287</v>
      </c>
      <c r="E349" s="21">
        <v>97123558</v>
      </c>
      <c r="F349" s="20">
        <v>2000000</v>
      </c>
      <c r="G349" s="22">
        <v>45806</v>
      </c>
      <c r="H349" s="21" t="s">
        <v>61</v>
      </c>
      <c r="I349" s="51" t="str">
        <f>IFERROR(IF(VLOOKUP(E349,extracto!C:C,1,FALSE)=E349,"pagado","no pagado"),"no pagado")</f>
        <v>pagado</v>
      </c>
      <c r="J349" s="52" t="str">
        <f t="shared" si="252"/>
        <v>pagado</v>
      </c>
      <c r="K349" s="51" t="str">
        <f t="shared" ca="1" si="253"/>
        <v>excluir</v>
      </c>
      <c r="L349" s="51" t="str">
        <f t="shared" ca="1" si="254"/>
        <v>no semana</v>
      </c>
      <c r="M349" s="51" t="str">
        <f>IFERROR(VLOOKUP(E349,'cheques a conf'!A:D,4,FALSE),"no clearing")</f>
        <v>no clearing</v>
      </c>
      <c r="N349" s="51">
        <f t="shared" si="255"/>
        <v>22</v>
      </c>
      <c r="O349" s="53">
        <f t="shared" si="256"/>
        <v>5</v>
      </c>
      <c r="P349" s="53">
        <f t="shared" si="257"/>
        <v>2025</v>
      </c>
    </row>
    <row r="350" spans="1:16" customFormat="1" x14ac:dyDescent="0.25">
      <c r="A350" s="21">
        <v>3000000717</v>
      </c>
      <c r="B350" s="22">
        <v>45803</v>
      </c>
      <c r="C350" s="20">
        <v>2000000</v>
      </c>
      <c r="D350" s="21" t="s">
        <v>287</v>
      </c>
      <c r="E350" s="21">
        <v>97123559</v>
      </c>
      <c r="F350" s="20">
        <v>2000000</v>
      </c>
      <c r="G350" s="22">
        <v>45806</v>
      </c>
      <c r="H350" s="21" t="s">
        <v>61</v>
      </c>
      <c r="I350" s="51" t="str">
        <f>IFERROR(IF(VLOOKUP(E350,extracto!C:C,1,FALSE)=E350,"pagado","no pagado"),"no pagado")</f>
        <v>pagado</v>
      </c>
      <c r="J350" s="52" t="str">
        <f t="shared" si="252"/>
        <v>pagado</v>
      </c>
      <c r="K350" s="51" t="str">
        <f t="shared" ca="1" si="253"/>
        <v>excluir</v>
      </c>
      <c r="L350" s="51" t="str">
        <f t="shared" ca="1" si="254"/>
        <v>no semana</v>
      </c>
      <c r="M350" s="51" t="str">
        <f>IFERROR(VLOOKUP(E350,'cheques a conf'!A:D,4,FALSE),"no clearing")</f>
        <v>no clearing</v>
      </c>
      <c r="N350" s="51">
        <f t="shared" si="255"/>
        <v>22</v>
      </c>
      <c r="O350" s="53">
        <f t="shared" si="256"/>
        <v>5</v>
      </c>
      <c r="P350" s="53">
        <f t="shared" si="257"/>
        <v>2025</v>
      </c>
    </row>
    <row r="351" spans="1:16" customFormat="1" x14ac:dyDescent="0.25">
      <c r="A351" s="21">
        <v>3000000717</v>
      </c>
      <c r="B351" s="22">
        <v>45803</v>
      </c>
      <c r="C351" s="20">
        <v>2000000</v>
      </c>
      <c r="D351" s="21" t="s">
        <v>287</v>
      </c>
      <c r="E351" s="21">
        <v>97123560</v>
      </c>
      <c r="F351" s="20">
        <v>2000000</v>
      </c>
      <c r="G351" s="22">
        <v>45807</v>
      </c>
      <c r="H351" s="21" t="s">
        <v>61</v>
      </c>
      <c r="I351" s="51" t="str">
        <f>IFERROR(IF(VLOOKUP(E351,extracto!C:C,1,FALSE)=E351,"pagado","no pagado"),"no pagado")</f>
        <v>pagado</v>
      </c>
      <c r="J351" s="52" t="str">
        <f t="shared" si="252"/>
        <v>pagado</v>
      </c>
      <c r="K351" s="51" t="str">
        <f t="shared" ca="1" si="253"/>
        <v>excluir</v>
      </c>
      <c r="L351" s="51" t="str">
        <f t="shared" ca="1" si="254"/>
        <v>no semana</v>
      </c>
      <c r="M351" s="51" t="str">
        <f>IFERROR(VLOOKUP(E351,'cheques a conf'!A:D,4,FALSE),"no clearing")</f>
        <v>no clearing</v>
      </c>
      <c r="N351" s="51">
        <f t="shared" si="255"/>
        <v>22</v>
      </c>
      <c r="O351" s="53">
        <f t="shared" si="256"/>
        <v>5</v>
      </c>
      <c r="P351" s="53">
        <f t="shared" si="257"/>
        <v>2025</v>
      </c>
    </row>
    <row r="352" spans="1:16" customFormat="1" x14ac:dyDescent="0.25">
      <c r="A352" s="21">
        <v>3000000717</v>
      </c>
      <c r="B352" s="22">
        <v>45803</v>
      </c>
      <c r="C352" s="20">
        <v>1564920.9</v>
      </c>
      <c r="D352" s="21" t="s">
        <v>287</v>
      </c>
      <c r="E352" s="21">
        <v>97123562</v>
      </c>
      <c r="F352" s="20">
        <v>1564920.9</v>
      </c>
      <c r="G352" s="22">
        <v>45807</v>
      </c>
      <c r="H352" s="21" t="s">
        <v>61</v>
      </c>
      <c r="I352" s="51" t="str">
        <f>IFERROR(IF(VLOOKUP(E352,extracto!C:C,1,FALSE)=E352,"pagado","no pagado"),"no pagado")</f>
        <v>pagado</v>
      </c>
      <c r="J352" s="52" t="str">
        <f t="shared" si="252"/>
        <v>pagado</v>
      </c>
      <c r="K352" s="51" t="str">
        <f t="shared" ca="1" si="253"/>
        <v>excluir</v>
      </c>
      <c r="L352" s="51" t="str">
        <f t="shared" ca="1" si="254"/>
        <v>no semana</v>
      </c>
      <c r="M352" s="51" t="str">
        <f>IFERROR(VLOOKUP(E352,'cheques a conf'!A:D,4,FALSE),"no clearing")</f>
        <v>no clearing</v>
      </c>
      <c r="N352" s="51">
        <f t="shared" si="255"/>
        <v>22</v>
      </c>
      <c r="O352" s="53">
        <f t="shared" si="256"/>
        <v>5</v>
      </c>
      <c r="P352" s="53">
        <f t="shared" si="257"/>
        <v>2025</v>
      </c>
    </row>
    <row r="353" spans="1:16" customFormat="1" x14ac:dyDescent="0.25">
      <c r="A353" s="21">
        <v>3000000715</v>
      </c>
      <c r="B353" s="22">
        <v>45803</v>
      </c>
      <c r="C353" s="20">
        <v>4554913.75</v>
      </c>
      <c r="D353" s="21" t="s">
        <v>392</v>
      </c>
      <c r="E353" s="21">
        <v>97123553</v>
      </c>
      <c r="F353" s="20">
        <v>4554913.75</v>
      </c>
      <c r="G353" s="22">
        <v>45806</v>
      </c>
      <c r="H353" s="21" t="s">
        <v>61</v>
      </c>
      <c r="I353" s="51" t="str">
        <f>IFERROR(IF(VLOOKUP(E353,extracto!C:C,1,FALSE)=E353,"pagado","no pagado"),"no pagado")</f>
        <v>pagado</v>
      </c>
      <c r="J353" s="52" t="str">
        <f t="shared" si="252"/>
        <v>pagado</v>
      </c>
      <c r="K353" s="51" t="str">
        <f t="shared" ca="1" si="253"/>
        <v>excluir</v>
      </c>
      <c r="L353" s="51" t="str">
        <f t="shared" ca="1" si="254"/>
        <v>no semana</v>
      </c>
      <c r="M353" s="51" t="str">
        <f>IFERROR(VLOOKUP(E353,'cheques a conf'!A:D,4,FALSE),"no clearing")</f>
        <v>no clearing</v>
      </c>
      <c r="N353" s="51">
        <f t="shared" si="255"/>
        <v>22</v>
      </c>
      <c r="O353" s="53">
        <f t="shared" si="256"/>
        <v>5</v>
      </c>
      <c r="P353" s="53">
        <f t="shared" si="257"/>
        <v>2025</v>
      </c>
    </row>
    <row r="354" spans="1:16" customFormat="1" x14ac:dyDescent="0.25">
      <c r="A354" s="21">
        <v>3000000718</v>
      </c>
      <c r="B354" s="22">
        <v>45803</v>
      </c>
      <c r="C354" s="20">
        <v>5463364.5</v>
      </c>
      <c r="D354" s="21" t="s">
        <v>346</v>
      </c>
      <c r="E354" s="21">
        <v>97123563</v>
      </c>
      <c r="F354" s="20">
        <v>5463364.5</v>
      </c>
      <c r="G354" s="22">
        <v>45806</v>
      </c>
      <c r="H354" s="21" t="s">
        <v>61</v>
      </c>
      <c r="I354" s="51" t="str">
        <f>IFERROR(IF(VLOOKUP(E354,extracto!C:C,1,FALSE)=E354,"pagado","no pagado"),"no pagado")</f>
        <v>pagado</v>
      </c>
      <c r="J354" s="52" t="str">
        <f t="shared" si="252"/>
        <v>pagado</v>
      </c>
      <c r="K354" s="51" t="str">
        <f t="shared" ca="1" si="253"/>
        <v>excluir</v>
      </c>
      <c r="L354" s="51" t="str">
        <f t="shared" ca="1" si="254"/>
        <v>no semana</v>
      </c>
      <c r="M354" s="51" t="str">
        <f>IFERROR(VLOOKUP(E354,'cheques a conf'!A:D,4,FALSE),"no clearing")</f>
        <v>no clearing</v>
      </c>
      <c r="N354" s="51">
        <f t="shared" si="255"/>
        <v>22</v>
      </c>
      <c r="O354" s="53">
        <f t="shared" si="256"/>
        <v>5</v>
      </c>
      <c r="P354" s="53">
        <f t="shared" si="257"/>
        <v>2025</v>
      </c>
    </row>
    <row r="355" spans="1:16" customFormat="1" x14ac:dyDescent="0.25">
      <c r="A355" s="21">
        <v>3000000719</v>
      </c>
      <c r="B355" s="22">
        <v>45803</v>
      </c>
      <c r="C355" s="20">
        <v>4063008.02</v>
      </c>
      <c r="D355" s="21" t="s">
        <v>291</v>
      </c>
      <c r="E355" s="21">
        <v>97123564</v>
      </c>
      <c r="F355" s="20">
        <v>4063008.02</v>
      </c>
      <c r="G355" s="22">
        <v>45806</v>
      </c>
      <c r="H355" s="21" t="s">
        <v>61</v>
      </c>
      <c r="I355" s="51" t="str">
        <f>IFERROR(IF(VLOOKUP(E355,extracto!C:C,1,FALSE)=E355,"pagado","no pagado"),"no pagado")</f>
        <v>pagado</v>
      </c>
      <c r="J355" s="52" t="str">
        <f t="shared" si="252"/>
        <v>pagado</v>
      </c>
      <c r="K355" s="51" t="str">
        <f t="shared" ca="1" si="253"/>
        <v>excluir</v>
      </c>
      <c r="L355" s="51" t="str">
        <f t="shared" ca="1" si="254"/>
        <v>no semana</v>
      </c>
      <c r="M355" s="51" t="str">
        <f>IFERROR(VLOOKUP(E355,'cheques a conf'!A:D,4,FALSE),"no clearing")</f>
        <v>no clearing</v>
      </c>
      <c r="N355" s="51">
        <f t="shared" si="255"/>
        <v>22</v>
      </c>
      <c r="O355" s="53">
        <f t="shared" si="256"/>
        <v>5</v>
      </c>
      <c r="P355" s="53">
        <f t="shared" si="257"/>
        <v>2025</v>
      </c>
    </row>
    <row r="356" spans="1:16" customFormat="1" x14ac:dyDescent="0.25">
      <c r="A356" s="21">
        <v>3000000717</v>
      </c>
      <c r="B356" s="22">
        <v>45803</v>
      </c>
      <c r="C356" s="20">
        <v>2000000</v>
      </c>
      <c r="D356" s="21" t="s">
        <v>287</v>
      </c>
      <c r="E356" s="21">
        <v>97123561</v>
      </c>
      <c r="F356" s="20">
        <v>2000000</v>
      </c>
      <c r="G356" s="22">
        <v>45806</v>
      </c>
      <c r="H356" s="21" t="s">
        <v>61</v>
      </c>
      <c r="I356" s="51" t="str">
        <f>IFERROR(IF(VLOOKUP(E356,extracto!C:C,1,FALSE)=E356,"pagado","no pagado"),"no pagado")</f>
        <v>pagado</v>
      </c>
      <c r="J356" s="52" t="str">
        <f t="shared" si="252"/>
        <v>pagado</v>
      </c>
      <c r="K356" s="51" t="str">
        <f t="shared" ca="1" si="253"/>
        <v>excluir</v>
      </c>
      <c r="L356" s="51" t="str">
        <f t="shared" ca="1" si="254"/>
        <v>no semana</v>
      </c>
      <c r="M356" s="51" t="str">
        <f>IFERROR(VLOOKUP(E356,'cheques a conf'!A:D,4,FALSE),"no clearing")</f>
        <v>no clearing</v>
      </c>
      <c r="N356" s="51">
        <f t="shared" si="255"/>
        <v>22</v>
      </c>
      <c r="O356" s="53">
        <f t="shared" si="256"/>
        <v>5</v>
      </c>
      <c r="P356" s="53">
        <f t="shared" si="257"/>
        <v>2025</v>
      </c>
    </row>
    <row r="357" spans="1:16" customFormat="1" x14ac:dyDescent="0.25">
      <c r="A357">
        <v>3000000740</v>
      </c>
      <c r="B357" s="3">
        <v>45805</v>
      </c>
      <c r="C357" s="9">
        <v>20000000</v>
      </c>
      <c r="D357" t="s">
        <v>393</v>
      </c>
      <c r="E357">
        <v>97123566</v>
      </c>
      <c r="F357" s="9">
        <v>20000000</v>
      </c>
      <c r="G357" s="3">
        <v>45807</v>
      </c>
      <c r="H357" s="21" t="s">
        <v>61</v>
      </c>
      <c r="I357" s="51" t="str">
        <f>IFERROR(IF(VLOOKUP(E357,extracto!C:C,1,FALSE)=E357,"pagado","no pagado"),"no pagado")</f>
        <v>pagado</v>
      </c>
      <c r="J357" s="52" t="str">
        <f t="shared" si="252"/>
        <v>pagado</v>
      </c>
      <c r="K357" s="51" t="str">
        <f t="shared" ca="1" si="253"/>
        <v>excluir</v>
      </c>
      <c r="L357" s="51" t="str">
        <f t="shared" ca="1" si="254"/>
        <v>no semana</v>
      </c>
      <c r="M357" s="51" t="str">
        <f>IFERROR(VLOOKUP(E357,'cheques a conf'!A:D,4,FALSE),"no clearing")</f>
        <v>no clearing</v>
      </c>
      <c r="N357" s="51">
        <f t="shared" si="255"/>
        <v>22</v>
      </c>
      <c r="O357" s="53">
        <f t="shared" si="256"/>
        <v>5</v>
      </c>
      <c r="P357" s="53">
        <f t="shared" si="257"/>
        <v>2025</v>
      </c>
    </row>
    <row r="358" spans="1:16" customFormat="1" x14ac:dyDescent="0.25">
      <c r="A358">
        <v>3000000740</v>
      </c>
      <c r="B358" s="3">
        <v>45805</v>
      </c>
      <c r="C358" s="9">
        <v>15728477.85</v>
      </c>
      <c r="D358" t="s">
        <v>393</v>
      </c>
      <c r="E358">
        <v>97123567</v>
      </c>
      <c r="F358" s="9">
        <v>15728477.85</v>
      </c>
      <c r="G358" s="3">
        <v>45810</v>
      </c>
      <c r="H358" s="21" t="s">
        <v>61</v>
      </c>
      <c r="I358" s="51" t="str">
        <f>IFERROR(IF(VLOOKUP(E358,extracto!C:C,1,FALSE)=E358,"pagado","no pagado"),"no pagado")</f>
        <v>pagado</v>
      </c>
      <c r="J358" s="52" t="str">
        <f t="shared" si="252"/>
        <v>pagado</v>
      </c>
      <c r="K358" s="51" t="str">
        <f t="shared" ca="1" si="253"/>
        <v>excluir</v>
      </c>
      <c r="L358" s="51" t="str">
        <f t="shared" ca="1" si="254"/>
        <v>no semana</v>
      </c>
      <c r="M358" s="51" t="str">
        <f>IFERROR(VLOOKUP(E358,'cheques a conf'!A:D,4,FALSE),"no clearing")</f>
        <v>no clearing</v>
      </c>
      <c r="N358" s="51">
        <f t="shared" si="255"/>
        <v>23</v>
      </c>
      <c r="O358" s="53">
        <f t="shared" si="256"/>
        <v>6</v>
      </c>
      <c r="P358" s="53">
        <f t="shared" si="257"/>
        <v>2025</v>
      </c>
    </row>
    <row r="359" spans="1:16" customFormat="1" x14ac:dyDescent="0.25">
      <c r="A359">
        <v>3000000741</v>
      </c>
      <c r="B359" s="3">
        <v>45805</v>
      </c>
      <c r="C359" s="9">
        <v>25000000</v>
      </c>
      <c r="D359" t="s">
        <v>303</v>
      </c>
      <c r="E359">
        <v>97123568</v>
      </c>
      <c r="F359" s="9">
        <v>25000000</v>
      </c>
      <c r="G359" s="3">
        <v>45807</v>
      </c>
      <c r="H359" s="21" t="s">
        <v>61</v>
      </c>
      <c r="I359" s="51" t="str">
        <f>IFERROR(IF(VLOOKUP(E359,extracto!C:C,1,FALSE)=E359,"pagado","no pagado"),"no pagado")</f>
        <v>pagado</v>
      </c>
      <c r="J359" s="52" t="str">
        <f t="shared" si="252"/>
        <v>pagado</v>
      </c>
      <c r="K359" s="51" t="str">
        <f t="shared" ca="1" si="253"/>
        <v>excluir</v>
      </c>
      <c r="L359" s="51" t="str">
        <f t="shared" ca="1" si="254"/>
        <v>no semana</v>
      </c>
      <c r="M359" s="51" t="str">
        <f>IFERROR(VLOOKUP(E359,'cheques a conf'!A:D,4,FALSE),"no clearing")</f>
        <v>no clearing</v>
      </c>
      <c r="N359" s="51">
        <f t="shared" si="255"/>
        <v>22</v>
      </c>
      <c r="O359" s="53">
        <f t="shared" si="256"/>
        <v>5</v>
      </c>
      <c r="P359" s="53">
        <f t="shared" si="257"/>
        <v>2025</v>
      </c>
    </row>
    <row r="360" spans="1:16" customFormat="1" x14ac:dyDescent="0.25">
      <c r="A360">
        <v>3000000741</v>
      </c>
      <c r="B360" s="3">
        <v>45805</v>
      </c>
      <c r="C360" s="9">
        <v>23505897.850000001</v>
      </c>
      <c r="D360" t="s">
        <v>303</v>
      </c>
      <c r="E360">
        <v>97123569</v>
      </c>
      <c r="F360" s="9">
        <v>23505897.850000001</v>
      </c>
      <c r="G360" s="3">
        <v>45810</v>
      </c>
      <c r="H360" s="21" t="s">
        <v>61</v>
      </c>
      <c r="I360" s="51" t="str">
        <f>IFERROR(IF(VLOOKUP(E360,extracto!C:C,1,FALSE)=E360,"pagado","no pagado"),"no pagado")</f>
        <v>pagado</v>
      </c>
      <c r="J360" s="52" t="str">
        <f t="shared" si="252"/>
        <v>pagado</v>
      </c>
      <c r="K360" s="51" t="str">
        <f t="shared" ca="1" si="253"/>
        <v>excluir</v>
      </c>
      <c r="L360" s="51" t="str">
        <f t="shared" ca="1" si="254"/>
        <v>no semana</v>
      </c>
      <c r="M360" s="51" t="str">
        <f>IFERROR(VLOOKUP(E360,'cheques a conf'!A:D,4,FALSE),"no clearing")</f>
        <v>no clearing</v>
      </c>
      <c r="N360" s="51">
        <f t="shared" si="255"/>
        <v>23</v>
      </c>
      <c r="O360" s="53">
        <f t="shared" si="256"/>
        <v>6</v>
      </c>
      <c r="P360" s="53">
        <f t="shared" si="257"/>
        <v>2025</v>
      </c>
    </row>
    <row r="361" spans="1:16" customFormat="1" x14ac:dyDescent="0.25">
      <c r="A361">
        <v>3000000742</v>
      </c>
      <c r="B361" s="3">
        <v>45805</v>
      </c>
      <c r="C361" s="9">
        <v>12000000</v>
      </c>
      <c r="D361" t="s">
        <v>384</v>
      </c>
      <c r="E361">
        <v>97123570</v>
      </c>
      <c r="F361" s="9">
        <v>12000000</v>
      </c>
      <c r="G361" s="3">
        <v>45807</v>
      </c>
      <c r="H361" s="21" t="s">
        <v>61</v>
      </c>
      <c r="I361" s="51" t="str">
        <f>IFERROR(IF(VLOOKUP(E361,extracto!C:C,1,FALSE)=E361,"pagado","no pagado"),"no pagado")</f>
        <v>pagado</v>
      </c>
      <c r="J361" s="52" t="str">
        <f t="shared" si="252"/>
        <v>pagado</v>
      </c>
      <c r="K361" s="51" t="str">
        <f t="shared" ca="1" si="253"/>
        <v>excluir</v>
      </c>
      <c r="L361" s="51" t="str">
        <f t="shared" ca="1" si="254"/>
        <v>no semana</v>
      </c>
      <c r="M361" s="51" t="str">
        <f>IFERROR(VLOOKUP(E361,'cheques a conf'!A:D,4,FALSE),"no clearing")</f>
        <v>no clearing</v>
      </c>
      <c r="N361" s="51">
        <f t="shared" si="255"/>
        <v>22</v>
      </c>
      <c r="O361" s="53">
        <f t="shared" si="256"/>
        <v>5</v>
      </c>
      <c r="P361" s="53">
        <f t="shared" si="257"/>
        <v>2025</v>
      </c>
    </row>
    <row r="362" spans="1:16" customFormat="1" x14ac:dyDescent="0.25">
      <c r="A362">
        <v>3000000742</v>
      </c>
      <c r="B362" s="3">
        <v>45805</v>
      </c>
      <c r="C362" s="9">
        <v>12440001.17</v>
      </c>
      <c r="D362" t="s">
        <v>384</v>
      </c>
      <c r="E362">
        <v>97123571</v>
      </c>
      <c r="F362" s="9">
        <v>12440001.17</v>
      </c>
      <c r="G362" s="3">
        <v>45810</v>
      </c>
      <c r="H362" s="21" t="s">
        <v>61</v>
      </c>
      <c r="I362" s="51" t="str">
        <f>IFERROR(IF(VLOOKUP(E362,extracto!C:C,1,FALSE)=E362,"pagado","no pagado"),"no pagado")</f>
        <v>pagado</v>
      </c>
      <c r="J362" s="52" t="str">
        <f t="shared" si="252"/>
        <v>pagado</v>
      </c>
      <c r="K362" s="51" t="str">
        <f t="shared" ca="1" si="253"/>
        <v>excluir</v>
      </c>
      <c r="L362" s="51" t="str">
        <f t="shared" ca="1" si="254"/>
        <v>no semana</v>
      </c>
      <c r="M362" s="51" t="str">
        <f>IFERROR(VLOOKUP(E362,'cheques a conf'!A:D,4,FALSE),"no clearing")</f>
        <v>no clearing</v>
      </c>
      <c r="N362" s="51">
        <f t="shared" si="255"/>
        <v>23</v>
      </c>
      <c r="O362" s="53">
        <f t="shared" si="256"/>
        <v>6</v>
      </c>
      <c r="P362" s="53">
        <f t="shared" si="257"/>
        <v>2025</v>
      </c>
    </row>
    <row r="363" spans="1:16" customFormat="1" x14ac:dyDescent="0.25">
      <c r="A363">
        <v>3000000739</v>
      </c>
      <c r="B363" s="3">
        <v>45805</v>
      </c>
      <c r="C363" s="9">
        <v>5575083.5599999996</v>
      </c>
      <c r="D363" t="s">
        <v>359</v>
      </c>
      <c r="E363">
        <v>97123565</v>
      </c>
      <c r="F363" s="9">
        <v>5575083.5599999996</v>
      </c>
      <c r="G363" s="3">
        <v>45807</v>
      </c>
      <c r="H363" s="21" t="s">
        <v>61</v>
      </c>
      <c r="I363" s="51" t="str">
        <f>IFERROR(IF(VLOOKUP(E363,extracto!C:C,1,FALSE)=E363,"pagado","no pagado"),"no pagado")</f>
        <v>pagado</v>
      </c>
      <c r="J363" s="52" t="str">
        <f t="shared" si="252"/>
        <v>pagado</v>
      </c>
      <c r="K363" s="51" t="str">
        <f t="shared" ca="1" si="253"/>
        <v>excluir</v>
      </c>
      <c r="L363" s="51" t="str">
        <f t="shared" ca="1" si="254"/>
        <v>no semana</v>
      </c>
      <c r="M363" s="51" t="str">
        <f>IFERROR(VLOOKUP(E363,'cheques a conf'!A:D,4,FALSE),"no clearing")</f>
        <v>no clearing</v>
      </c>
      <c r="N363" s="51">
        <f t="shared" si="255"/>
        <v>22</v>
      </c>
      <c r="O363" s="53">
        <f t="shared" si="256"/>
        <v>5</v>
      </c>
      <c r="P363" s="53">
        <f t="shared" si="257"/>
        <v>2025</v>
      </c>
    </row>
    <row r="364" spans="1:16" customFormat="1" x14ac:dyDescent="0.25">
      <c r="A364">
        <v>3000000743</v>
      </c>
      <c r="B364" s="3">
        <v>45805</v>
      </c>
      <c r="C364" s="9">
        <v>12767204.609999999</v>
      </c>
      <c r="D364" t="s">
        <v>283</v>
      </c>
      <c r="E364">
        <v>97123572</v>
      </c>
      <c r="F364" s="9">
        <v>12767204.609999999</v>
      </c>
      <c r="G364" s="3">
        <v>45807</v>
      </c>
      <c r="H364" s="21" t="s">
        <v>61</v>
      </c>
      <c r="I364" s="51" t="str">
        <f>IFERROR(IF(VLOOKUP(E364,extracto!C:C,1,FALSE)=E364,"pagado","no pagado"),"no pagado")</f>
        <v>pagado</v>
      </c>
      <c r="J364" s="52" t="str">
        <f t="shared" si="252"/>
        <v>pagado</v>
      </c>
      <c r="K364" s="51" t="str">
        <f t="shared" ca="1" si="253"/>
        <v>excluir</v>
      </c>
      <c r="L364" s="51" t="str">
        <f t="shared" ca="1" si="254"/>
        <v>no semana</v>
      </c>
      <c r="M364" s="51" t="str">
        <f>IFERROR(VLOOKUP(E364,'cheques a conf'!A:D,4,FALSE),"no clearing")</f>
        <v>no clearing</v>
      </c>
      <c r="N364" s="51">
        <f t="shared" si="255"/>
        <v>22</v>
      </c>
      <c r="O364" s="53">
        <f t="shared" si="256"/>
        <v>5</v>
      </c>
      <c r="P364" s="53">
        <f t="shared" si="257"/>
        <v>2025</v>
      </c>
    </row>
    <row r="365" spans="1:16" customFormat="1" x14ac:dyDescent="0.25">
      <c r="A365" s="21">
        <v>3000000749</v>
      </c>
      <c r="B365" s="22">
        <v>45810</v>
      </c>
      <c r="C365" s="20">
        <v>10000000</v>
      </c>
      <c r="D365" s="21" t="s">
        <v>291</v>
      </c>
      <c r="E365" s="21">
        <v>94231547</v>
      </c>
      <c r="F365" s="20">
        <v>10000000</v>
      </c>
      <c r="G365" s="22">
        <v>45811</v>
      </c>
      <c r="H365" s="21" t="s">
        <v>13</v>
      </c>
      <c r="I365" s="51" t="str">
        <f>IFERROR(IF(VLOOKUP(E365,extracto!C:C,1,FALSE)=E365,"pagado","no pagado"),"no pagado")</f>
        <v>pagado</v>
      </c>
      <c r="J365" s="52" t="str">
        <f t="shared" ref="J365:J382" si="258">IF(I365="pagado","pagado",IF(G365&lt;$V$1-30,"fuera de fecha","en periodo de pago"))</f>
        <v>pagado</v>
      </c>
      <c r="K365" s="51" t="str">
        <f t="shared" ref="K365:K382" ca="1" si="259">+IF(B365&gt;$V$1,"excluir",IF(J365="en periodo de pago",IF($V$1&gt;G365,"a pagar","proximo a vencer"),"excluir"))</f>
        <v>excluir</v>
      </c>
      <c r="L365" s="51" t="str">
        <f t="shared" ref="L365:L382" ca="1" si="260">+IF(K365="proximo a vencer",IF($V$1+5&gt;G365,"para la semana","no semana"),"no semana")</f>
        <v>no semana</v>
      </c>
      <c r="M365" s="51" t="str">
        <f>IFERROR(VLOOKUP(E365,'cheques a conf'!A:D,4,FALSE),"no clearing")</f>
        <v>no clearing</v>
      </c>
      <c r="N365" s="51">
        <f t="shared" ref="N365:N382" si="261">+WEEKNUM(G365,2)</f>
        <v>23</v>
      </c>
      <c r="O365" s="53">
        <f t="shared" ref="O365:O382" si="262">+MONTH(G365)</f>
        <v>6</v>
      </c>
      <c r="P365" s="53">
        <f t="shared" ref="P365:P382" si="263">+YEAR(G365)</f>
        <v>2025</v>
      </c>
    </row>
    <row r="366" spans="1:16" customFormat="1" x14ac:dyDescent="0.25">
      <c r="A366" s="21">
        <v>3000000749</v>
      </c>
      <c r="B366" s="22">
        <v>45810</v>
      </c>
      <c r="C366" s="20">
        <v>0</v>
      </c>
      <c r="D366" t="s">
        <v>179</v>
      </c>
      <c r="E366" s="21">
        <v>94231548</v>
      </c>
      <c r="F366" s="20">
        <v>0</v>
      </c>
      <c r="G366" s="22">
        <v>45813</v>
      </c>
      <c r="H366" s="21" t="s">
        <v>13</v>
      </c>
      <c r="I366" s="51" t="str">
        <f>IFERROR(IF(VLOOKUP(E366,extracto!C:C,1,FALSE)=E366,"pagado","no pagado"),"no pagado")</f>
        <v>no pagado</v>
      </c>
      <c r="J366" s="52" t="str">
        <f t="shared" ca="1" si="258"/>
        <v>fuera de fecha</v>
      </c>
      <c r="K366" s="51" t="str">
        <f t="shared" ca="1" si="259"/>
        <v>excluir</v>
      </c>
      <c r="L366" s="51" t="str">
        <f t="shared" ca="1" si="260"/>
        <v>no semana</v>
      </c>
      <c r="M366" s="51" t="str">
        <f>IFERROR(VLOOKUP(E366,'cheques a conf'!A:D,4,FALSE),"no clearing")</f>
        <v>no clearing</v>
      </c>
      <c r="N366" s="51">
        <f t="shared" si="261"/>
        <v>23</v>
      </c>
      <c r="O366" s="53">
        <f t="shared" si="262"/>
        <v>6</v>
      </c>
      <c r="P366" s="53">
        <f t="shared" si="263"/>
        <v>2025</v>
      </c>
    </row>
    <row r="367" spans="1:16" customFormat="1" x14ac:dyDescent="0.25">
      <c r="A367" s="21">
        <v>3000000749</v>
      </c>
      <c r="B367" s="22">
        <v>45810</v>
      </c>
      <c r="C367" s="20">
        <v>2000000</v>
      </c>
      <c r="D367" s="21" t="s">
        <v>291</v>
      </c>
      <c r="E367" s="21">
        <v>94231549</v>
      </c>
      <c r="F367" s="20">
        <v>2000000</v>
      </c>
      <c r="G367" s="22">
        <v>45813</v>
      </c>
      <c r="H367" s="21" t="s">
        <v>13</v>
      </c>
      <c r="I367" s="51" t="str">
        <f>IFERROR(IF(VLOOKUP(E367,extracto!C:C,1,FALSE)=E367,"pagado","no pagado"),"no pagado")</f>
        <v>pagado</v>
      </c>
      <c r="J367" s="52" t="str">
        <f t="shared" si="258"/>
        <v>pagado</v>
      </c>
      <c r="K367" s="51" t="str">
        <f t="shared" ca="1" si="259"/>
        <v>excluir</v>
      </c>
      <c r="L367" s="51" t="str">
        <f t="shared" ca="1" si="260"/>
        <v>no semana</v>
      </c>
      <c r="M367" s="51" t="str">
        <f>IFERROR(VLOOKUP(E367,'cheques a conf'!A:D,4,FALSE),"no clearing")</f>
        <v>no clearing</v>
      </c>
      <c r="N367" s="51">
        <f t="shared" si="261"/>
        <v>23</v>
      </c>
      <c r="O367" s="53">
        <f t="shared" si="262"/>
        <v>6</v>
      </c>
      <c r="P367" s="53">
        <f t="shared" si="263"/>
        <v>2025</v>
      </c>
    </row>
    <row r="368" spans="1:16" customFormat="1" x14ac:dyDescent="0.25">
      <c r="A368" s="21">
        <v>3000000749</v>
      </c>
      <c r="B368" s="22">
        <v>45810</v>
      </c>
      <c r="C368" s="20">
        <v>500000</v>
      </c>
      <c r="D368" s="21" t="s">
        <v>291</v>
      </c>
      <c r="E368" s="21">
        <v>94231550</v>
      </c>
      <c r="F368" s="20">
        <v>500000</v>
      </c>
      <c r="G368" s="22">
        <v>45813</v>
      </c>
      <c r="H368" s="21" t="s">
        <v>13</v>
      </c>
      <c r="I368" s="51" t="str">
        <f>IFERROR(IF(VLOOKUP(E368,extracto!C:C,1,FALSE)=E368,"pagado","no pagado"),"no pagado")</f>
        <v>pagado</v>
      </c>
      <c r="J368" s="52" t="str">
        <f t="shared" si="258"/>
        <v>pagado</v>
      </c>
      <c r="K368" s="51" t="str">
        <f t="shared" ca="1" si="259"/>
        <v>excluir</v>
      </c>
      <c r="L368" s="51" t="str">
        <f t="shared" ca="1" si="260"/>
        <v>no semana</v>
      </c>
      <c r="M368" s="51" t="str">
        <f>IFERROR(VLOOKUP(E368,'cheques a conf'!A:D,4,FALSE),"no clearing")</f>
        <v>no clearing</v>
      </c>
      <c r="N368" s="51">
        <f t="shared" si="261"/>
        <v>23</v>
      </c>
      <c r="O368" s="53">
        <f t="shared" si="262"/>
        <v>6</v>
      </c>
      <c r="P368" s="53">
        <f t="shared" si="263"/>
        <v>2025</v>
      </c>
    </row>
    <row r="369" spans="1:16" customFormat="1" x14ac:dyDescent="0.25">
      <c r="A369" s="21">
        <v>3000000749</v>
      </c>
      <c r="B369" s="22">
        <v>45810</v>
      </c>
      <c r="C369" s="20">
        <v>500000</v>
      </c>
      <c r="D369" s="21" t="s">
        <v>291</v>
      </c>
      <c r="E369" s="21">
        <v>94231551</v>
      </c>
      <c r="F369" s="20">
        <v>500000</v>
      </c>
      <c r="G369" s="22">
        <v>45813</v>
      </c>
      <c r="H369" s="21" t="s">
        <v>13</v>
      </c>
      <c r="I369" s="51" t="str">
        <f>IFERROR(IF(VLOOKUP(E369,extracto!C:C,1,FALSE)=E369,"pagado","no pagado"),"no pagado")</f>
        <v>pagado</v>
      </c>
      <c r="J369" s="52" t="str">
        <f t="shared" si="258"/>
        <v>pagado</v>
      </c>
      <c r="K369" s="51" t="str">
        <f t="shared" ca="1" si="259"/>
        <v>excluir</v>
      </c>
      <c r="L369" s="51" t="str">
        <f t="shared" ca="1" si="260"/>
        <v>no semana</v>
      </c>
      <c r="M369" s="51" t="str">
        <f>IFERROR(VLOOKUP(E369,'cheques a conf'!A:D,4,FALSE),"no clearing")</f>
        <v>no clearing</v>
      </c>
      <c r="N369" s="51">
        <f t="shared" si="261"/>
        <v>23</v>
      </c>
      <c r="O369" s="53">
        <f t="shared" si="262"/>
        <v>6</v>
      </c>
      <c r="P369" s="53">
        <f t="shared" si="263"/>
        <v>2025</v>
      </c>
    </row>
    <row r="370" spans="1:16" customFormat="1" x14ac:dyDescent="0.25">
      <c r="A370" s="21">
        <v>3000000749</v>
      </c>
      <c r="B370" s="22">
        <v>45810</v>
      </c>
      <c r="C370" s="20">
        <v>300000</v>
      </c>
      <c r="D370" s="21" t="s">
        <v>291</v>
      </c>
      <c r="E370" s="21">
        <v>94231552</v>
      </c>
      <c r="F370" s="20">
        <v>300000</v>
      </c>
      <c r="G370" s="22">
        <v>45813</v>
      </c>
      <c r="H370" s="21" t="s">
        <v>13</v>
      </c>
      <c r="I370" s="51" t="str">
        <f>IFERROR(IF(VLOOKUP(E370,extracto!C:C,1,FALSE)=E370,"pagado","no pagado"),"no pagado")</f>
        <v>pagado</v>
      </c>
      <c r="J370" s="52" t="str">
        <f t="shared" si="258"/>
        <v>pagado</v>
      </c>
      <c r="K370" s="51" t="str">
        <f t="shared" ca="1" si="259"/>
        <v>excluir</v>
      </c>
      <c r="L370" s="51" t="str">
        <f t="shared" ca="1" si="260"/>
        <v>no semana</v>
      </c>
      <c r="M370" s="51" t="str">
        <f>IFERROR(VLOOKUP(E370,'cheques a conf'!A:D,4,FALSE),"no clearing")</f>
        <v>no clearing</v>
      </c>
      <c r="N370" s="51">
        <f t="shared" si="261"/>
        <v>23</v>
      </c>
      <c r="O370" s="53">
        <f t="shared" si="262"/>
        <v>6</v>
      </c>
      <c r="P370" s="53">
        <f t="shared" si="263"/>
        <v>2025</v>
      </c>
    </row>
    <row r="371" spans="1:16" customFormat="1" x14ac:dyDescent="0.25">
      <c r="A371" s="21">
        <v>3000000749</v>
      </c>
      <c r="B371" s="22">
        <v>45810</v>
      </c>
      <c r="C371" s="20">
        <v>376343.4</v>
      </c>
      <c r="D371" s="21" t="s">
        <v>291</v>
      </c>
      <c r="E371" s="21">
        <v>94231553</v>
      </c>
      <c r="F371" s="20">
        <v>376343.4</v>
      </c>
      <c r="G371" s="22">
        <v>45813</v>
      </c>
      <c r="H371" s="21" t="s">
        <v>13</v>
      </c>
      <c r="I371" s="51" t="str">
        <f>IFERROR(IF(VLOOKUP(E371,extracto!C:C,1,FALSE)=E371,"pagado","no pagado"),"no pagado")</f>
        <v>pagado</v>
      </c>
      <c r="J371" s="52" t="str">
        <f t="shared" si="258"/>
        <v>pagado</v>
      </c>
      <c r="K371" s="51" t="str">
        <f t="shared" ca="1" si="259"/>
        <v>excluir</v>
      </c>
      <c r="L371" s="51" t="str">
        <f t="shared" ca="1" si="260"/>
        <v>no semana</v>
      </c>
      <c r="M371" s="51" t="str">
        <f>IFERROR(VLOOKUP(E371,'cheques a conf'!A:D,4,FALSE),"no clearing")</f>
        <v>no clearing</v>
      </c>
      <c r="N371" s="51">
        <f t="shared" si="261"/>
        <v>23</v>
      </c>
      <c r="O371" s="53">
        <f t="shared" si="262"/>
        <v>6</v>
      </c>
      <c r="P371" s="53">
        <f t="shared" si="263"/>
        <v>2025</v>
      </c>
    </row>
    <row r="372" spans="1:16" customFormat="1" x14ac:dyDescent="0.25">
      <c r="A372" s="21">
        <v>3000000776</v>
      </c>
      <c r="B372" s="22">
        <v>45812</v>
      </c>
      <c r="C372" s="20">
        <v>15000000</v>
      </c>
      <c r="D372" s="21" t="s">
        <v>384</v>
      </c>
      <c r="E372" s="21">
        <v>97123582</v>
      </c>
      <c r="F372" s="20">
        <v>15000000</v>
      </c>
      <c r="G372" s="22">
        <v>45817</v>
      </c>
      <c r="H372" s="21" t="s">
        <v>61</v>
      </c>
      <c r="I372" s="51" t="str">
        <f>IFERROR(IF(VLOOKUP(E372,extracto!C:C,1,FALSE)=E372,"pagado","no pagado"),"no pagado")</f>
        <v>pagado</v>
      </c>
      <c r="J372" s="52" t="str">
        <f t="shared" si="258"/>
        <v>pagado</v>
      </c>
      <c r="K372" s="51" t="str">
        <f t="shared" ca="1" si="259"/>
        <v>excluir</v>
      </c>
      <c r="L372" s="51" t="str">
        <f t="shared" ca="1" si="260"/>
        <v>no semana</v>
      </c>
      <c r="M372" s="51" t="str">
        <f>IFERROR(VLOOKUP(E372,'cheques a conf'!A:D,4,FALSE),"no clearing")</f>
        <v>no clearing</v>
      </c>
      <c r="N372" s="51">
        <f t="shared" si="261"/>
        <v>24</v>
      </c>
      <c r="O372" s="53">
        <f t="shared" si="262"/>
        <v>6</v>
      </c>
      <c r="P372" s="53">
        <f t="shared" si="263"/>
        <v>2025</v>
      </c>
    </row>
    <row r="373" spans="1:16" customFormat="1" x14ac:dyDescent="0.25">
      <c r="A373" s="21">
        <v>3000000776</v>
      </c>
      <c r="B373" s="22">
        <v>45812</v>
      </c>
      <c r="C373" s="20">
        <v>10335296.789999999</v>
      </c>
      <c r="D373" s="21" t="s">
        <v>384</v>
      </c>
      <c r="E373" s="21">
        <v>97123583</v>
      </c>
      <c r="F373" s="20">
        <v>10335296.789999999</v>
      </c>
      <c r="G373" s="22">
        <v>45818</v>
      </c>
      <c r="H373" s="21" t="s">
        <v>61</v>
      </c>
      <c r="I373" s="51" t="str">
        <f>IFERROR(IF(VLOOKUP(E373,extracto!C:C,1,FALSE)=E373,"pagado","no pagado"),"no pagado")</f>
        <v>pagado</v>
      </c>
      <c r="J373" s="52" t="str">
        <f t="shared" si="258"/>
        <v>pagado</v>
      </c>
      <c r="K373" s="51" t="str">
        <f t="shared" ca="1" si="259"/>
        <v>excluir</v>
      </c>
      <c r="L373" s="51" t="str">
        <f t="shared" ca="1" si="260"/>
        <v>no semana</v>
      </c>
      <c r="M373" s="51" t="str">
        <f>IFERROR(VLOOKUP(E373,'cheques a conf'!A:D,4,FALSE),"no clearing")</f>
        <v>no clearing</v>
      </c>
      <c r="N373" s="51">
        <f t="shared" si="261"/>
        <v>24</v>
      </c>
      <c r="O373" s="53">
        <f t="shared" si="262"/>
        <v>6</v>
      </c>
      <c r="P373" s="53">
        <f t="shared" si="263"/>
        <v>2025</v>
      </c>
    </row>
    <row r="374" spans="1:16" customFormat="1" x14ac:dyDescent="0.25">
      <c r="A374" s="21">
        <v>3000000777</v>
      </c>
      <c r="B374" s="22">
        <v>45812</v>
      </c>
      <c r="C374" s="20">
        <v>15000000</v>
      </c>
      <c r="D374" s="21" t="s">
        <v>394</v>
      </c>
      <c r="E374" s="21">
        <v>97123584</v>
      </c>
      <c r="F374" s="20">
        <v>15000000</v>
      </c>
      <c r="G374" s="22">
        <v>45817</v>
      </c>
      <c r="H374" s="21" t="s">
        <v>61</v>
      </c>
      <c r="I374" s="51" t="str">
        <f>IFERROR(IF(VLOOKUP(E374,extracto!C:C,1,FALSE)=E374,"pagado","no pagado"),"no pagado")</f>
        <v>pagado</v>
      </c>
      <c r="J374" s="52" t="str">
        <f t="shared" si="258"/>
        <v>pagado</v>
      </c>
      <c r="K374" s="51" t="str">
        <f t="shared" ca="1" si="259"/>
        <v>excluir</v>
      </c>
      <c r="L374" s="51" t="str">
        <f t="shared" ca="1" si="260"/>
        <v>no semana</v>
      </c>
      <c r="M374" s="51" t="str">
        <f>IFERROR(VLOOKUP(E374,'cheques a conf'!A:D,4,FALSE),"no clearing")</f>
        <v>no clearing</v>
      </c>
      <c r="N374" s="51">
        <f t="shared" si="261"/>
        <v>24</v>
      </c>
      <c r="O374" s="53">
        <f t="shared" si="262"/>
        <v>6</v>
      </c>
      <c r="P374" s="53">
        <f t="shared" si="263"/>
        <v>2025</v>
      </c>
    </row>
    <row r="375" spans="1:16" customFormat="1" x14ac:dyDescent="0.25">
      <c r="A375" s="21">
        <v>3000000777</v>
      </c>
      <c r="B375" s="22">
        <v>45812</v>
      </c>
      <c r="C375" s="20">
        <v>16724791.76</v>
      </c>
      <c r="D375" s="21" t="s">
        <v>394</v>
      </c>
      <c r="E375" s="21">
        <v>97123585</v>
      </c>
      <c r="F375" s="20">
        <v>16724791.76</v>
      </c>
      <c r="G375" s="22">
        <v>45818</v>
      </c>
      <c r="H375" s="21" t="s">
        <v>61</v>
      </c>
      <c r="I375" s="51" t="str">
        <f>IFERROR(IF(VLOOKUP(E375,extracto!C:C,1,FALSE)=E375,"pagado","no pagado"),"no pagado")</f>
        <v>pagado</v>
      </c>
      <c r="J375" s="52" t="str">
        <f t="shared" si="258"/>
        <v>pagado</v>
      </c>
      <c r="K375" s="51" t="str">
        <f t="shared" ca="1" si="259"/>
        <v>excluir</v>
      </c>
      <c r="L375" s="51" t="str">
        <f t="shared" ca="1" si="260"/>
        <v>no semana</v>
      </c>
      <c r="M375" s="51" t="str">
        <f>IFERROR(VLOOKUP(E375,'cheques a conf'!A:D,4,FALSE),"no clearing")</f>
        <v>no clearing</v>
      </c>
      <c r="N375" s="51">
        <f t="shared" si="261"/>
        <v>24</v>
      </c>
      <c r="O375" s="53">
        <f t="shared" si="262"/>
        <v>6</v>
      </c>
      <c r="P375" s="53">
        <f t="shared" si="263"/>
        <v>2025</v>
      </c>
    </row>
    <row r="376" spans="1:16" customFormat="1" x14ac:dyDescent="0.25">
      <c r="A376" s="21">
        <v>3000000778</v>
      </c>
      <c r="B376" s="22">
        <v>45812</v>
      </c>
      <c r="C376" s="20">
        <v>13000000</v>
      </c>
      <c r="D376" s="21" t="s">
        <v>371</v>
      </c>
      <c r="E376" s="21">
        <v>97123586</v>
      </c>
      <c r="F376" s="20">
        <v>13000000</v>
      </c>
      <c r="G376" s="22">
        <v>45817</v>
      </c>
      <c r="H376" s="21" t="s">
        <v>61</v>
      </c>
      <c r="I376" s="51" t="str">
        <f>IFERROR(IF(VLOOKUP(E376,extracto!C:C,1,FALSE)=E376,"pagado","no pagado"),"no pagado")</f>
        <v>pagado</v>
      </c>
      <c r="J376" s="52" t="str">
        <f t="shared" si="258"/>
        <v>pagado</v>
      </c>
      <c r="K376" s="51" t="str">
        <f t="shared" ca="1" si="259"/>
        <v>excluir</v>
      </c>
      <c r="L376" s="51" t="str">
        <f t="shared" ca="1" si="260"/>
        <v>no semana</v>
      </c>
      <c r="M376" s="51" t="str">
        <f>IFERROR(VLOOKUP(E376,'cheques a conf'!A:D,4,FALSE),"no clearing")</f>
        <v>no clearing</v>
      </c>
      <c r="N376" s="51">
        <f t="shared" si="261"/>
        <v>24</v>
      </c>
      <c r="O376" s="53">
        <f t="shared" si="262"/>
        <v>6</v>
      </c>
      <c r="P376" s="53">
        <f t="shared" si="263"/>
        <v>2025</v>
      </c>
    </row>
    <row r="377" spans="1:16" customFormat="1" x14ac:dyDescent="0.25">
      <c r="A377" s="21">
        <v>3000000778</v>
      </c>
      <c r="B377" s="22">
        <v>45812</v>
      </c>
      <c r="C377" s="20">
        <v>13093217.98</v>
      </c>
      <c r="D377" s="21" t="s">
        <v>371</v>
      </c>
      <c r="E377" s="21">
        <v>97123587</v>
      </c>
      <c r="F377" s="20">
        <v>13093217.98</v>
      </c>
      <c r="G377" s="22">
        <v>45818</v>
      </c>
      <c r="H377" s="21" t="s">
        <v>61</v>
      </c>
      <c r="I377" s="51" t="str">
        <f>IFERROR(IF(VLOOKUP(E377,extracto!C:C,1,FALSE)=E377,"pagado","no pagado"),"no pagado")</f>
        <v>pagado</v>
      </c>
      <c r="J377" s="52" t="str">
        <f t="shared" si="258"/>
        <v>pagado</v>
      </c>
      <c r="K377" s="51" t="str">
        <f t="shared" ca="1" si="259"/>
        <v>excluir</v>
      </c>
      <c r="L377" s="51" t="str">
        <f t="shared" ca="1" si="260"/>
        <v>no semana</v>
      </c>
      <c r="M377" s="51" t="str">
        <f>IFERROR(VLOOKUP(E377,'cheques a conf'!A:D,4,FALSE),"no clearing")</f>
        <v>no clearing</v>
      </c>
      <c r="N377" s="51">
        <f t="shared" si="261"/>
        <v>24</v>
      </c>
      <c r="O377" s="53">
        <f t="shared" si="262"/>
        <v>6</v>
      </c>
      <c r="P377" s="53">
        <f t="shared" si="263"/>
        <v>2025</v>
      </c>
    </row>
    <row r="378" spans="1:16" customFormat="1" x14ac:dyDescent="0.25">
      <c r="A378" s="21">
        <v>3000000755</v>
      </c>
      <c r="B378" s="22">
        <v>45812</v>
      </c>
      <c r="C378" s="20">
        <v>7222263.4000000004</v>
      </c>
      <c r="D378" s="21" t="s">
        <v>353</v>
      </c>
      <c r="E378" s="21">
        <v>97123573</v>
      </c>
      <c r="F378" s="20">
        <v>7222263.4000000004</v>
      </c>
      <c r="G378" s="22">
        <v>45815</v>
      </c>
      <c r="H378" s="21" t="s">
        <v>61</v>
      </c>
      <c r="I378" s="51" t="str">
        <f>IFERROR(IF(VLOOKUP(E378,extracto!C:C,1,FALSE)=E378,"pagado","no pagado"),"no pagado")</f>
        <v>pagado</v>
      </c>
      <c r="J378" s="52" t="str">
        <f t="shared" si="258"/>
        <v>pagado</v>
      </c>
      <c r="K378" s="51" t="str">
        <f t="shared" ca="1" si="259"/>
        <v>excluir</v>
      </c>
      <c r="L378" s="51" t="str">
        <f t="shared" ca="1" si="260"/>
        <v>no semana</v>
      </c>
      <c r="M378" s="51" t="str">
        <f>IFERROR(VLOOKUP(E378,'cheques a conf'!A:D,4,FALSE),"no clearing")</f>
        <v>no clearing</v>
      </c>
      <c r="N378" s="51">
        <f t="shared" si="261"/>
        <v>23</v>
      </c>
      <c r="O378" s="53">
        <f t="shared" si="262"/>
        <v>6</v>
      </c>
      <c r="P378" s="53">
        <f t="shared" si="263"/>
        <v>2025</v>
      </c>
    </row>
    <row r="379" spans="1:16" customFormat="1" x14ac:dyDescent="0.25">
      <c r="A379" s="21">
        <v>3000000768</v>
      </c>
      <c r="B379" s="22">
        <v>45812</v>
      </c>
      <c r="C379" s="20">
        <v>6518128.3700000001</v>
      </c>
      <c r="D379" s="21" t="s">
        <v>359</v>
      </c>
      <c r="E379" s="21">
        <v>97123574</v>
      </c>
      <c r="F379" s="20">
        <v>6518128.3700000001</v>
      </c>
      <c r="G379" s="22">
        <v>45817</v>
      </c>
      <c r="H379" s="21" t="s">
        <v>61</v>
      </c>
      <c r="I379" s="51" t="str">
        <f>IFERROR(IF(VLOOKUP(E379,extracto!C:C,1,FALSE)=E379,"pagado","no pagado"),"no pagado")</f>
        <v>pagado</v>
      </c>
      <c r="J379" s="52" t="str">
        <f t="shared" si="258"/>
        <v>pagado</v>
      </c>
      <c r="K379" s="51" t="str">
        <f t="shared" ca="1" si="259"/>
        <v>excluir</v>
      </c>
      <c r="L379" s="51" t="str">
        <f t="shared" ca="1" si="260"/>
        <v>no semana</v>
      </c>
      <c r="M379" s="51" t="str">
        <f>IFERROR(VLOOKUP(E379,'cheques a conf'!A:D,4,FALSE),"no clearing")</f>
        <v>no clearing</v>
      </c>
      <c r="N379" s="51">
        <f t="shared" si="261"/>
        <v>24</v>
      </c>
      <c r="O379" s="53">
        <f t="shared" si="262"/>
        <v>6</v>
      </c>
      <c r="P379" s="53">
        <f t="shared" si="263"/>
        <v>2025</v>
      </c>
    </row>
    <row r="380" spans="1:16" customFormat="1" x14ac:dyDescent="0.25">
      <c r="A380" s="21">
        <v>3000000769</v>
      </c>
      <c r="B380" s="22">
        <v>45812</v>
      </c>
      <c r="C380" s="20">
        <v>8650081.0999999996</v>
      </c>
      <c r="D380" s="21" t="s">
        <v>395</v>
      </c>
      <c r="E380" s="21">
        <v>97123575</v>
      </c>
      <c r="F380" s="20">
        <v>8650081.0999999996</v>
      </c>
      <c r="G380" s="22">
        <v>45817</v>
      </c>
      <c r="H380" s="21" t="s">
        <v>61</v>
      </c>
      <c r="I380" s="51" t="str">
        <f>IFERROR(IF(VLOOKUP(E380,extracto!C:C,1,FALSE)=E380,"pagado","no pagado"),"no pagado")</f>
        <v>pagado</v>
      </c>
      <c r="J380" s="52" t="str">
        <f t="shared" si="258"/>
        <v>pagado</v>
      </c>
      <c r="K380" s="51" t="str">
        <f t="shared" ca="1" si="259"/>
        <v>excluir</v>
      </c>
      <c r="L380" s="51" t="str">
        <f t="shared" ca="1" si="260"/>
        <v>no semana</v>
      </c>
      <c r="M380" s="51" t="str">
        <f>IFERROR(VLOOKUP(E380,'cheques a conf'!A:D,4,FALSE),"no clearing")</f>
        <v>no clearing</v>
      </c>
      <c r="N380" s="51">
        <f t="shared" si="261"/>
        <v>24</v>
      </c>
      <c r="O380" s="53">
        <f t="shared" si="262"/>
        <v>6</v>
      </c>
      <c r="P380" s="53">
        <f t="shared" si="263"/>
        <v>2025</v>
      </c>
    </row>
    <row r="381" spans="1:16" customFormat="1" x14ac:dyDescent="0.25">
      <c r="A381" s="21">
        <v>3000000770</v>
      </c>
      <c r="B381" s="22">
        <v>45812</v>
      </c>
      <c r="C381" s="20">
        <v>9273780.4600000009</v>
      </c>
      <c r="D381" s="21" t="s">
        <v>301</v>
      </c>
      <c r="E381" s="21">
        <v>97123576</v>
      </c>
      <c r="F381" s="20">
        <v>9273780.4600000009</v>
      </c>
      <c r="G381" s="22">
        <v>45818</v>
      </c>
      <c r="H381" s="21" t="s">
        <v>61</v>
      </c>
      <c r="I381" s="51" t="str">
        <f>IFERROR(IF(VLOOKUP(E381,extracto!C:C,1,FALSE)=E381,"pagado","no pagado"),"no pagado")</f>
        <v>pagado</v>
      </c>
      <c r="J381" s="52" t="str">
        <f t="shared" si="258"/>
        <v>pagado</v>
      </c>
      <c r="K381" s="51" t="str">
        <f t="shared" ca="1" si="259"/>
        <v>excluir</v>
      </c>
      <c r="L381" s="51" t="str">
        <f t="shared" ca="1" si="260"/>
        <v>no semana</v>
      </c>
      <c r="M381" s="51" t="str">
        <f>IFERROR(VLOOKUP(E381,'cheques a conf'!A:D,4,FALSE),"no clearing")</f>
        <v>no clearing</v>
      </c>
      <c r="N381" s="51">
        <f t="shared" si="261"/>
        <v>24</v>
      </c>
      <c r="O381" s="53">
        <f t="shared" si="262"/>
        <v>6</v>
      </c>
      <c r="P381" s="53">
        <f t="shared" si="263"/>
        <v>2025</v>
      </c>
    </row>
    <row r="382" spans="1:16" customFormat="1" x14ac:dyDescent="0.25">
      <c r="A382" s="21">
        <v>3000000771</v>
      </c>
      <c r="B382" s="22">
        <v>45812</v>
      </c>
      <c r="C382" s="20">
        <v>9425410.0999999996</v>
      </c>
      <c r="D382" s="21" t="s">
        <v>337</v>
      </c>
      <c r="E382" s="21">
        <v>97123577</v>
      </c>
      <c r="F382" s="20">
        <v>9425410.0999999996</v>
      </c>
      <c r="G382" s="22">
        <v>45818</v>
      </c>
      <c r="H382" s="21" t="s">
        <v>61</v>
      </c>
      <c r="I382" s="51" t="str">
        <f>IFERROR(IF(VLOOKUP(E382,extracto!C:C,1,FALSE)=E382,"pagado","no pagado"),"no pagado")</f>
        <v>pagado</v>
      </c>
      <c r="J382" s="52" t="str">
        <f t="shared" si="258"/>
        <v>pagado</v>
      </c>
      <c r="K382" s="51" t="str">
        <f t="shared" ca="1" si="259"/>
        <v>excluir</v>
      </c>
      <c r="L382" s="51" t="str">
        <f t="shared" ca="1" si="260"/>
        <v>no semana</v>
      </c>
      <c r="M382" s="51" t="str">
        <f>IFERROR(VLOOKUP(E382,'cheques a conf'!A:D,4,FALSE),"no clearing")</f>
        <v>no clearing</v>
      </c>
      <c r="N382" s="51">
        <f t="shared" si="261"/>
        <v>24</v>
      </c>
      <c r="O382" s="53">
        <f t="shared" si="262"/>
        <v>6</v>
      </c>
      <c r="P382" s="53">
        <f t="shared" si="263"/>
        <v>2025</v>
      </c>
    </row>
    <row r="383" spans="1:16" customFormat="1" x14ac:dyDescent="0.25">
      <c r="A383" s="21">
        <v>3000000772</v>
      </c>
      <c r="B383" s="22">
        <v>45812</v>
      </c>
      <c r="C383" s="20">
        <v>2625899.7799999998</v>
      </c>
      <c r="D383" s="21" t="s">
        <v>393</v>
      </c>
      <c r="E383" s="21">
        <v>97123578</v>
      </c>
      <c r="F383" s="20">
        <v>2625899.7799999998</v>
      </c>
      <c r="G383" s="22">
        <v>45817</v>
      </c>
      <c r="H383" s="21" t="s">
        <v>61</v>
      </c>
      <c r="I383" s="51" t="str">
        <f>IFERROR(IF(VLOOKUP(E383,extracto!C:C,1,FALSE)=E383,"pagado","no pagado"),"no pagado")</f>
        <v>pagado</v>
      </c>
      <c r="J383" s="52" t="str">
        <f t="shared" ref="J383" si="264">IF(I383="pagado","pagado",IF(G383&lt;$V$1-30,"fuera de fecha","en periodo de pago"))</f>
        <v>pagado</v>
      </c>
      <c r="K383" s="51" t="str">
        <f t="shared" ref="K383" ca="1" si="265">+IF(B383&gt;$V$1,"excluir",IF(J383="en periodo de pago",IF($V$1&gt;G383,"a pagar","proximo a vencer"),"excluir"))</f>
        <v>excluir</v>
      </c>
      <c r="L383" s="51" t="str">
        <f t="shared" ref="L383" ca="1" si="266">+IF(K383="proximo a vencer",IF($V$1+5&gt;G383,"para la semana","no semana"),"no semana")</f>
        <v>no semana</v>
      </c>
      <c r="M383" s="51" t="str">
        <f>IFERROR(VLOOKUP(E383,'cheques a conf'!A:D,4,FALSE),"no clearing")</f>
        <v>no clearing</v>
      </c>
      <c r="N383" s="51">
        <f t="shared" ref="N383" si="267">+WEEKNUM(G383,2)</f>
        <v>24</v>
      </c>
      <c r="O383" s="53">
        <f t="shared" ref="O383" si="268">+MONTH(G383)</f>
        <v>6</v>
      </c>
      <c r="P383" s="53">
        <f t="shared" ref="P383" si="269">+YEAR(G383)</f>
        <v>2025</v>
      </c>
    </row>
    <row r="384" spans="1:16" customFormat="1" x14ac:dyDescent="0.25">
      <c r="A384" s="21">
        <v>3000000773</v>
      </c>
      <c r="B384" s="22">
        <v>45812</v>
      </c>
      <c r="C384" s="20">
        <v>3095749.7</v>
      </c>
      <c r="D384" s="21" t="s">
        <v>396</v>
      </c>
      <c r="E384" s="21">
        <v>97123579</v>
      </c>
      <c r="F384" s="20">
        <v>3095749.7</v>
      </c>
      <c r="G384" s="22">
        <v>45817</v>
      </c>
      <c r="H384" s="21" t="s">
        <v>61</v>
      </c>
      <c r="I384" s="51" t="str">
        <f>IFERROR(IF(VLOOKUP(E384,extracto!C:C,1,FALSE)=E384,"pagado","no pagado"),"no pagado")</f>
        <v>pagado</v>
      </c>
      <c r="J384" s="52" t="str">
        <f t="shared" ref="J384" si="270">IF(I384="pagado","pagado",IF(G384&lt;$V$1-30,"fuera de fecha","en periodo de pago"))</f>
        <v>pagado</v>
      </c>
      <c r="K384" s="51" t="str">
        <f t="shared" ref="K384" ca="1" si="271">+IF(B384&gt;$V$1,"excluir",IF(J384="en periodo de pago",IF($V$1&gt;G384,"a pagar","proximo a vencer"),"excluir"))</f>
        <v>excluir</v>
      </c>
      <c r="L384" s="51" t="str">
        <f t="shared" ref="L384" ca="1" si="272">+IF(K384="proximo a vencer",IF($V$1+5&gt;G384,"para la semana","no semana"),"no semana")</f>
        <v>no semana</v>
      </c>
      <c r="M384" s="51" t="str">
        <f>IFERROR(VLOOKUP(E384,'cheques a conf'!A:D,4,FALSE),"no clearing")</f>
        <v>no clearing</v>
      </c>
      <c r="N384" s="51">
        <f t="shared" ref="N384" si="273">+WEEKNUM(G384,2)</f>
        <v>24</v>
      </c>
      <c r="O384" s="53">
        <f t="shared" ref="O384" si="274">+MONTH(G384)</f>
        <v>6</v>
      </c>
      <c r="P384" s="53">
        <f t="shared" ref="P384" si="275">+YEAR(G384)</f>
        <v>2025</v>
      </c>
    </row>
    <row r="385" spans="1:16" customFormat="1" x14ac:dyDescent="0.25">
      <c r="A385" s="21">
        <v>3000000774</v>
      </c>
      <c r="B385" s="22">
        <v>45812</v>
      </c>
      <c r="C385" s="20">
        <v>3034813.72</v>
      </c>
      <c r="D385" s="21" t="s">
        <v>297</v>
      </c>
      <c r="E385" s="21">
        <v>97123580</v>
      </c>
      <c r="F385" s="20">
        <v>3034813.72</v>
      </c>
      <c r="G385" s="22">
        <v>45817</v>
      </c>
      <c r="H385" s="21" t="s">
        <v>61</v>
      </c>
      <c r="I385" s="51" t="str">
        <f>IFERROR(IF(VLOOKUP(E385,extracto!C:C,1,FALSE)=E385,"pagado","no pagado"),"no pagado")</f>
        <v>pagado</v>
      </c>
      <c r="J385" s="52" t="str">
        <f t="shared" ref="J385" si="276">IF(I385="pagado","pagado",IF(G385&lt;$V$1-30,"fuera de fecha","en periodo de pago"))</f>
        <v>pagado</v>
      </c>
      <c r="K385" s="51" t="str">
        <f t="shared" ref="K385" ca="1" si="277">+IF(B385&gt;$V$1,"excluir",IF(J385="en periodo de pago",IF($V$1&gt;G385,"a pagar","proximo a vencer"),"excluir"))</f>
        <v>excluir</v>
      </c>
      <c r="L385" s="51" t="str">
        <f t="shared" ref="L385" ca="1" si="278">+IF(K385="proximo a vencer",IF($V$1+5&gt;G385,"para la semana","no semana"),"no semana")</f>
        <v>no semana</v>
      </c>
      <c r="M385" s="51" t="str">
        <f>IFERROR(VLOOKUP(E385,'cheques a conf'!A:D,4,FALSE),"no clearing")</f>
        <v>no clearing</v>
      </c>
      <c r="N385" s="51">
        <f t="shared" ref="N385" si="279">+WEEKNUM(G385,2)</f>
        <v>24</v>
      </c>
      <c r="O385" s="53">
        <f t="shared" ref="O385" si="280">+MONTH(G385)</f>
        <v>6</v>
      </c>
      <c r="P385" s="53">
        <f t="shared" ref="P385" si="281">+YEAR(G385)</f>
        <v>2025</v>
      </c>
    </row>
    <row r="386" spans="1:16" customFormat="1" x14ac:dyDescent="0.25">
      <c r="A386" s="21">
        <v>3000000775</v>
      </c>
      <c r="B386" s="22">
        <v>45812</v>
      </c>
      <c r="C386" s="20">
        <v>3768167.92</v>
      </c>
      <c r="D386" s="21" t="s">
        <v>386</v>
      </c>
      <c r="E386" s="21">
        <v>97123581</v>
      </c>
      <c r="F386" s="20">
        <v>3768167.92</v>
      </c>
      <c r="G386" s="22">
        <v>45817</v>
      </c>
      <c r="H386" s="21" t="s">
        <v>61</v>
      </c>
      <c r="I386" s="51" t="str">
        <f>IFERROR(IF(VLOOKUP(E386,extracto!C:C,1,FALSE)=E386,"pagado","no pagado"),"no pagado")</f>
        <v>pagado</v>
      </c>
      <c r="J386" s="52" t="str">
        <f t="shared" ref="J386:J429" si="282">IF(I386="pagado","pagado",IF(G386&lt;$V$1-30,"fuera de fecha","en periodo de pago"))</f>
        <v>pagado</v>
      </c>
      <c r="K386" s="51" t="str">
        <f t="shared" ref="K386:K429" ca="1" si="283">+IF(B386&gt;$V$1,"excluir",IF(J386="en periodo de pago",IF($V$1&gt;G386,"a pagar","proximo a vencer"),"excluir"))</f>
        <v>excluir</v>
      </c>
      <c r="L386" s="51" t="str">
        <f t="shared" ref="L386:L429" ca="1" si="284">+IF(K386="proximo a vencer",IF($V$1+5&gt;G386,"para la semana","no semana"),"no semana")</f>
        <v>no semana</v>
      </c>
      <c r="M386" s="51" t="str">
        <f>IFERROR(VLOOKUP(E386,'cheques a conf'!A:D,4,FALSE),"no clearing")</f>
        <v>no clearing</v>
      </c>
      <c r="N386" s="51">
        <f t="shared" ref="N386:N429" si="285">+WEEKNUM(G386,2)</f>
        <v>24</v>
      </c>
      <c r="O386" s="53">
        <f t="shared" ref="O386:O429" si="286">+MONTH(G386)</f>
        <v>6</v>
      </c>
      <c r="P386" s="53">
        <f t="shared" ref="P386:P429" si="287">+YEAR(G386)</f>
        <v>2025</v>
      </c>
    </row>
    <row r="387" spans="1:16" customFormat="1" x14ac:dyDescent="0.25">
      <c r="A387" s="21">
        <v>3000000779</v>
      </c>
      <c r="B387" s="22">
        <v>45812</v>
      </c>
      <c r="C387" s="20">
        <v>11583281.75</v>
      </c>
      <c r="D387" s="21" t="s">
        <v>307</v>
      </c>
      <c r="E387" s="21">
        <v>97123588</v>
      </c>
      <c r="F387" s="20">
        <v>11583281.75</v>
      </c>
      <c r="G387" s="22">
        <v>45818</v>
      </c>
      <c r="H387" s="21" t="s">
        <v>61</v>
      </c>
      <c r="I387" s="51" t="str">
        <f>IFERROR(IF(VLOOKUP(E387,extracto!C:C,1,FALSE)=E387,"pagado","no pagado"),"no pagado")</f>
        <v>pagado</v>
      </c>
      <c r="J387" s="52" t="str">
        <f t="shared" si="282"/>
        <v>pagado</v>
      </c>
      <c r="K387" s="51" t="str">
        <f t="shared" ca="1" si="283"/>
        <v>excluir</v>
      </c>
      <c r="L387" s="51" t="str">
        <f t="shared" ca="1" si="284"/>
        <v>no semana</v>
      </c>
      <c r="M387" s="51" t="str">
        <f>IFERROR(VLOOKUP(E387,'cheques a conf'!A:D,4,FALSE),"no clearing")</f>
        <v>no clearing</v>
      </c>
      <c r="N387" s="51">
        <f t="shared" si="285"/>
        <v>24</v>
      </c>
      <c r="O387" s="53">
        <f t="shared" si="286"/>
        <v>6</v>
      </c>
      <c r="P387" s="53">
        <f t="shared" si="287"/>
        <v>2025</v>
      </c>
    </row>
    <row r="388" spans="1:16" customFormat="1" x14ac:dyDescent="0.25">
      <c r="A388" s="21">
        <v>3000000796</v>
      </c>
      <c r="B388" s="22">
        <v>45813</v>
      </c>
      <c r="C388" s="20">
        <v>3560486.77</v>
      </c>
      <c r="D388" s="21" t="s">
        <v>344</v>
      </c>
      <c r="E388" s="21">
        <v>97123589</v>
      </c>
      <c r="F388" s="20">
        <v>3560486.77</v>
      </c>
      <c r="G388" s="22">
        <v>45817</v>
      </c>
      <c r="H388" s="21" t="s">
        <v>61</v>
      </c>
      <c r="I388" s="51" t="str">
        <f>IFERROR(IF(VLOOKUP(E388,extracto!C:C,1,FALSE)=E388,"pagado","no pagado"),"no pagado")</f>
        <v>pagado</v>
      </c>
      <c r="J388" s="52" t="str">
        <f t="shared" si="282"/>
        <v>pagado</v>
      </c>
      <c r="K388" s="51" t="str">
        <f t="shared" ca="1" si="283"/>
        <v>excluir</v>
      </c>
      <c r="L388" s="51" t="str">
        <f t="shared" ca="1" si="284"/>
        <v>no semana</v>
      </c>
      <c r="M388" s="51" t="str">
        <f>IFERROR(VLOOKUP(E388,'cheques a conf'!A:D,4,FALSE),"no clearing")</f>
        <v>no clearing</v>
      </c>
      <c r="N388" s="51">
        <f t="shared" si="285"/>
        <v>24</v>
      </c>
      <c r="O388" s="53">
        <f t="shared" si="286"/>
        <v>6</v>
      </c>
      <c r="P388" s="53">
        <f t="shared" si="287"/>
        <v>2025</v>
      </c>
    </row>
    <row r="389" spans="1:16" customFormat="1" x14ac:dyDescent="0.25">
      <c r="A389" s="21">
        <v>3000000796</v>
      </c>
      <c r="B389" s="22">
        <v>45813</v>
      </c>
      <c r="C389" s="20">
        <v>14064357.029999999</v>
      </c>
      <c r="D389" s="21" t="s">
        <v>344</v>
      </c>
      <c r="E389" s="21">
        <v>97123590</v>
      </c>
      <c r="F389" s="20">
        <v>14064357.029999999</v>
      </c>
      <c r="G389" s="22">
        <v>45818</v>
      </c>
      <c r="H389" s="21" t="s">
        <v>61</v>
      </c>
      <c r="I389" s="51" t="str">
        <f>IFERROR(IF(VLOOKUP(E389,extracto!C:C,1,FALSE)=E389,"pagado","no pagado"),"no pagado")</f>
        <v>pagado</v>
      </c>
      <c r="J389" s="52" t="str">
        <f t="shared" si="282"/>
        <v>pagado</v>
      </c>
      <c r="K389" s="51" t="str">
        <f t="shared" ca="1" si="283"/>
        <v>excluir</v>
      </c>
      <c r="L389" s="51" t="str">
        <f t="shared" ca="1" si="284"/>
        <v>no semana</v>
      </c>
      <c r="M389" s="51" t="str">
        <f>IFERROR(VLOOKUP(E389,'cheques a conf'!A:D,4,FALSE),"no clearing")</f>
        <v>no clearing</v>
      </c>
      <c r="N389" s="51">
        <f t="shared" si="285"/>
        <v>24</v>
      </c>
      <c r="O389" s="53">
        <f t="shared" si="286"/>
        <v>6</v>
      </c>
      <c r="P389" s="53">
        <f t="shared" si="287"/>
        <v>2025</v>
      </c>
    </row>
    <row r="390" spans="1:16" customFormat="1" x14ac:dyDescent="0.25">
      <c r="A390" s="21">
        <v>3000000797</v>
      </c>
      <c r="B390" s="22">
        <v>45813</v>
      </c>
      <c r="C390" s="20">
        <v>5067190.53</v>
      </c>
      <c r="D390" s="21" t="s">
        <v>397</v>
      </c>
      <c r="E390" s="21">
        <v>97123591</v>
      </c>
      <c r="F390" s="20">
        <v>5067190.53</v>
      </c>
      <c r="G390" s="22">
        <v>45817</v>
      </c>
      <c r="H390" s="21" t="s">
        <v>61</v>
      </c>
      <c r="I390" s="51" t="str">
        <f>IFERROR(IF(VLOOKUP(E390,extracto!C:C,1,FALSE)=E390,"pagado","no pagado"),"no pagado")</f>
        <v>pagado</v>
      </c>
      <c r="J390" s="52" t="str">
        <f t="shared" si="282"/>
        <v>pagado</v>
      </c>
      <c r="K390" s="51" t="str">
        <f t="shared" ca="1" si="283"/>
        <v>excluir</v>
      </c>
      <c r="L390" s="51" t="str">
        <f t="shared" ca="1" si="284"/>
        <v>no semana</v>
      </c>
      <c r="M390" s="51" t="str">
        <f>IFERROR(VLOOKUP(E390,'cheques a conf'!A:D,4,FALSE),"no clearing")</f>
        <v>no clearing</v>
      </c>
      <c r="N390" s="51">
        <f t="shared" si="285"/>
        <v>24</v>
      </c>
      <c r="O390" s="53">
        <f t="shared" si="286"/>
        <v>6</v>
      </c>
      <c r="P390" s="53">
        <f t="shared" si="287"/>
        <v>2025</v>
      </c>
    </row>
    <row r="391" spans="1:16" customFormat="1" x14ac:dyDescent="0.25">
      <c r="A391" s="21">
        <v>3000000798</v>
      </c>
      <c r="B391" s="22">
        <v>45813</v>
      </c>
      <c r="C391" s="20">
        <v>8000000</v>
      </c>
      <c r="D391" s="21" t="s">
        <v>338</v>
      </c>
      <c r="E391" s="21">
        <v>97123592</v>
      </c>
      <c r="F391" s="20">
        <v>8000000</v>
      </c>
      <c r="G391" s="22">
        <v>45817</v>
      </c>
      <c r="H391" s="21" t="s">
        <v>61</v>
      </c>
      <c r="I391" s="51" t="str">
        <f>IFERROR(IF(VLOOKUP(E391,extracto!C:C,1,FALSE)=E391,"pagado","no pagado"),"no pagado")</f>
        <v>pagado</v>
      </c>
      <c r="J391" s="52" t="str">
        <f t="shared" si="282"/>
        <v>pagado</v>
      </c>
      <c r="K391" s="51" t="str">
        <f t="shared" ca="1" si="283"/>
        <v>excluir</v>
      </c>
      <c r="L391" s="51" t="str">
        <f t="shared" ca="1" si="284"/>
        <v>no semana</v>
      </c>
      <c r="M391" s="51" t="str">
        <f>IFERROR(VLOOKUP(E391,'cheques a conf'!A:D,4,FALSE),"no clearing")</f>
        <v>no clearing</v>
      </c>
      <c r="N391" s="51">
        <f t="shared" si="285"/>
        <v>24</v>
      </c>
      <c r="O391" s="53">
        <f t="shared" si="286"/>
        <v>6</v>
      </c>
      <c r="P391" s="53">
        <f t="shared" si="287"/>
        <v>2025</v>
      </c>
    </row>
    <row r="392" spans="1:16" customFormat="1" x14ac:dyDescent="0.25">
      <c r="A392" s="21">
        <v>3000000798</v>
      </c>
      <c r="B392" s="22">
        <v>45813</v>
      </c>
      <c r="C392" s="20">
        <v>8295215.9100000001</v>
      </c>
      <c r="D392" s="21" t="s">
        <v>338</v>
      </c>
      <c r="E392" s="21">
        <v>97123593</v>
      </c>
      <c r="F392" s="20">
        <v>8295215.9100000001</v>
      </c>
      <c r="G392" s="22">
        <v>45818</v>
      </c>
      <c r="H392" s="21" t="s">
        <v>61</v>
      </c>
      <c r="I392" s="51" t="str">
        <f>IFERROR(IF(VLOOKUP(E392,extracto!C:C,1,FALSE)=E392,"pagado","no pagado"),"no pagado")</f>
        <v>pagado</v>
      </c>
      <c r="J392" s="52" t="str">
        <f t="shared" si="282"/>
        <v>pagado</v>
      </c>
      <c r="K392" s="51" t="str">
        <f t="shared" ca="1" si="283"/>
        <v>excluir</v>
      </c>
      <c r="L392" s="51" t="str">
        <f t="shared" ca="1" si="284"/>
        <v>no semana</v>
      </c>
      <c r="M392" s="51" t="str">
        <f>IFERROR(VLOOKUP(E392,'cheques a conf'!A:D,4,FALSE),"no clearing")</f>
        <v>no clearing</v>
      </c>
      <c r="N392" s="51">
        <f t="shared" si="285"/>
        <v>24</v>
      </c>
      <c r="O392" s="53">
        <f t="shared" si="286"/>
        <v>6</v>
      </c>
      <c r="P392" s="53">
        <f t="shared" si="287"/>
        <v>2025</v>
      </c>
    </row>
    <row r="393" spans="1:16" customFormat="1" x14ac:dyDescent="0.25">
      <c r="A393" s="21">
        <v>3000000799</v>
      </c>
      <c r="B393" s="22">
        <v>45813</v>
      </c>
      <c r="C393" s="20">
        <v>11178582.01</v>
      </c>
      <c r="D393" s="21" t="s">
        <v>363</v>
      </c>
      <c r="E393" s="21">
        <v>97123594</v>
      </c>
      <c r="F393" s="20">
        <v>11178582.01</v>
      </c>
      <c r="G393" s="22">
        <v>45818</v>
      </c>
      <c r="H393" s="21" t="s">
        <v>61</v>
      </c>
      <c r="I393" s="51" t="str">
        <f>IFERROR(IF(VLOOKUP(E393,extracto!C:C,1,FALSE)=E393,"pagado","no pagado"),"no pagado")</f>
        <v>pagado</v>
      </c>
      <c r="J393" s="52" t="str">
        <f t="shared" si="282"/>
        <v>pagado</v>
      </c>
      <c r="K393" s="51" t="str">
        <f t="shared" ca="1" si="283"/>
        <v>excluir</v>
      </c>
      <c r="L393" s="51" t="str">
        <f t="shared" ca="1" si="284"/>
        <v>no semana</v>
      </c>
      <c r="M393" s="51" t="str">
        <f>IFERROR(VLOOKUP(E393,'cheques a conf'!A:D,4,FALSE),"no clearing")</f>
        <v>no clearing</v>
      </c>
      <c r="N393" s="51">
        <f t="shared" si="285"/>
        <v>24</v>
      </c>
      <c r="O393" s="53">
        <f t="shared" si="286"/>
        <v>6</v>
      </c>
      <c r="P393" s="53">
        <f t="shared" si="287"/>
        <v>2025</v>
      </c>
    </row>
    <row r="394" spans="1:16" customFormat="1" x14ac:dyDescent="0.25">
      <c r="A394">
        <v>3000000810</v>
      </c>
      <c r="B394" s="3">
        <v>45817</v>
      </c>
      <c r="C394" s="9">
        <v>0</v>
      </c>
      <c r="D394" t="s">
        <v>179</v>
      </c>
      <c r="E394">
        <v>97123595</v>
      </c>
      <c r="F394" s="9">
        <v>0</v>
      </c>
      <c r="G394" s="22">
        <v>45819</v>
      </c>
      <c r="H394" s="21" t="s">
        <v>61</v>
      </c>
      <c r="I394" s="51" t="str">
        <f>IFERROR(IF(VLOOKUP(E394,extracto!C:C,1,FALSE)=E394,"pagado","no pagado"),"no pagado")</f>
        <v>no pagado</v>
      </c>
      <c r="J394" s="52" t="str">
        <f t="shared" ca="1" si="282"/>
        <v>fuera de fecha</v>
      </c>
      <c r="K394" s="51" t="str">
        <f t="shared" ca="1" si="283"/>
        <v>excluir</v>
      </c>
      <c r="L394" s="51" t="str">
        <f t="shared" ca="1" si="284"/>
        <v>no semana</v>
      </c>
      <c r="M394" s="51" t="str">
        <f>IFERROR(VLOOKUP(E394,'cheques a conf'!A:D,4,FALSE),"no clearing")</f>
        <v>no clearing</v>
      </c>
      <c r="N394" s="51">
        <f t="shared" si="285"/>
        <v>24</v>
      </c>
      <c r="O394" s="53">
        <f t="shared" si="286"/>
        <v>6</v>
      </c>
      <c r="P394" s="53">
        <f t="shared" si="287"/>
        <v>2025</v>
      </c>
    </row>
    <row r="395" spans="1:16" customFormat="1" x14ac:dyDescent="0.25">
      <c r="A395">
        <v>3000000811</v>
      </c>
      <c r="B395" s="3">
        <v>45817</v>
      </c>
      <c r="C395" s="9">
        <v>0</v>
      </c>
      <c r="D395" t="s">
        <v>179</v>
      </c>
      <c r="E395">
        <v>97123596</v>
      </c>
      <c r="F395" s="9">
        <v>0</v>
      </c>
      <c r="G395" s="22">
        <v>45819</v>
      </c>
      <c r="H395" s="21" t="s">
        <v>61</v>
      </c>
      <c r="I395" s="51" t="str">
        <f>IFERROR(IF(VLOOKUP(E395,extracto!C:C,1,FALSE)=E395,"pagado","no pagado"),"no pagado")</f>
        <v>no pagado</v>
      </c>
      <c r="J395" s="52" t="str">
        <f t="shared" ca="1" si="282"/>
        <v>fuera de fecha</v>
      </c>
      <c r="K395" s="51" t="str">
        <f t="shared" ca="1" si="283"/>
        <v>excluir</v>
      </c>
      <c r="L395" s="51" t="str">
        <f t="shared" ca="1" si="284"/>
        <v>no semana</v>
      </c>
      <c r="M395" s="51" t="str">
        <f>IFERROR(VLOOKUP(E395,'cheques a conf'!A:D,4,FALSE),"no clearing")</f>
        <v>no clearing</v>
      </c>
      <c r="N395" s="51">
        <f t="shared" si="285"/>
        <v>24</v>
      </c>
      <c r="O395" s="53">
        <f t="shared" si="286"/>
        <v>6</v>
      </c>
      <c r="P395" s="53">
        <f t="shared" si="287"/>
        <v>2025</v>
      </c>
    </row>
    <row r="396" spans="1:16" customFormat="1" x14ac:dyDescent="0.25">
      <c r="A396">
        <v>3000000835</v>
      </c>
      <c r="B396" s="3">
        <v>45820</v>
      </c>
      <c r="C396" s="9">
        <v>13866510</v>
      </c>
      <c r="D396" s="21" t="s">
        <v>22</v>
      </c>
      <c r="E396">
        <v>94231554</v>
      </c>
      <c r="F396" s="9">
        <v>13866510</v>
      </c>
      <c r="G396" s="22">
        <v>45821</v>
      </c>
      <c r="H396" s="21" t="s">
        <v>13</v>
      </c>
      <c r="I396" s="51" t="str">
        <f>IFERROR(IF(VLOOKUP(E396,extracto!C:C,1,FALSE)=E396,"pagado","no pagado"),"no pagado")</f>
        <v>pagado</v>
      </c>
      <c r="J396" s="52" t="str">
        <f t="shared" si="282"/>
        <v>pagado</v>
      </c>
      <c r="K396" s="51" t="str">
        <f t="shared" ca="1" si="283"/>
        <v>excluir</v>
      </c>
      <c r="L396" s="51" t="str">
        <f t="shared" ca="1" si="284"/>
        <v>no semana</v>
      </c>
      <c r="M396" s="51" t="str">
        <f>IFERROR(VLOOKUP(E396,'cheques a conf'!A:D,4,FALSE),"no clearing")</f>
        <v>no clearing</v>
      </c>
      <c r="N396" s="51">
        <f t="shared" si="285"/>
        <v>24</v>
      </c>
      <c r="O396" s="53">
        <f t="shared" si="286"/>
        <v>6</v>
      </c>
      <c r="P396" s="53">
        <f t="shared" si="287"/>
        <v>2025</v>
      </c>
    </row>
    <row r="397" spans="1:16" customFormat="1" x14ac:dyDescent="0.25">
      <c r="A397" s="21">
        <v>3000000840</v>
      </c>
      <c r="B397" s="22">
        <v>45820</v>
      </c>
      <c r="C397" s="20">
        <v>10000000</v>
      </c>
      <c r="D397" s="21" t="s">
        <v>386</v>
      </c>
      <c r="E397" s="21">
        <v>97123601</v>
      </c>
      <c r="F397" s="20">
        <v>10000000</v>
      </c>
      <c r="G397" s="22">
        <v>45826</v>
      </c>
      <c r="H397" s="21" t="s">
        <v>61</v>
      </c>
      <c r="I397" s="51" t="str">
        <f>IFERROR(IF(VLOOKUP(E397,extracto!C:C,1,FALSE)=E397,"pagado","no pagado"),"no pagado")</f>
        <v>pagado</v>
      </c>
      <c r="J397" s="52" t="str">
        <f t="shared" si="282"/>
        <v>pagado</v>
      </c>
      <c r="K397" s="51" t="str">
        <f t="shared" ca="1" si="283"/>
        <v>excluir</v>
      </c>
      <c r="L397" s="51" t="str">
        <f t="shared" ca="1" si="284"/>
        <v>no semana</v>
      </c>
      <c r="M397" s="51" t="str">
        <f>IFERROR(VLOOKUP(E397,'cheques a conf'!A:D,4,FALSE),"no clearing")</f>
        <v>no clearing</v>
      </c>
      <c r="N397" s="51">
        <f t="shared" si="285"/>
        <v>25</v>
      </c>
      <c r="O397" s="53">
        <f t="shared" si="286"/>
        <v>6</v>
      </c>
      <c r="P397" s="53">
        <f t="shared" si="287"/>
        <v>2025</v>
      </c>
    </row>
    <row r="398" spans="1:16" customFormat="1" x14ac:dyDescent="0.25">
      <c r="A398" s="21">
        <v>3000000840</v>
      </c>
      <c r="B398" s="22">
        <v>45820</v>
      </c>
      <c r="C398" s="20">
        <v>5095550</v>
      </c>
      <c r="D398" s="21" t="s">
        <v>386</v>
      </c>
      <c r="E398" s="21">
        <v>97123602</v>
      </c>
      <c r="F398" s="20">
        <v>5095550</v>
      </c>
      <c r="G398" s="22">
        <v>45827</v>
      </c>
      <c r="H398" s="21" t="s">
        <v>61</v>
      </c>
      <c r="I398" s="51" t="str">
        <f>IFERROR(IF(VLOOKUP(E398,extracto!C:C,1,FALSE)=E398,"pagado","no pagado"),"no pagado")</f>
        <v>pagado</v>
      </c>
      <c r="J398" s="52" t="str">
        <f t="shared" si="282"/>
        <v>pagado</v>
      </c>
      <c r="K398" s="51" t="str">
        <f t="shared" ca="1" si="283"/>
        <v>excluir</v>
      </c>
      <c r="L398" s="51" t="str">
        <f t="shared" ca="1" si="284"/>
        <v>no semana</v>
      </c>
      <c r="M398" s="51" t="str">
        <f>IFERROR(VLOOKUP(E398,'cheques a conf'!A:D,4,FALSE),"no clearing")</f>
        <v>no clearing</v>
      </c>
      <c r="N398" s="51">
        <f t="shared" si="285"/>
        <v>25</v>
      </c>
      <c r="O398" s="53">
        <f t="shared" si="286"/>
        <v>6</v>
      </c>
      <c r="P398" s="53">
        <f t="shared" si="287"/>
        <v>2025</v>
      </c>
    </row>
    <row r="399" spans="1:16" customFormat="1" x14ac:dyDescent="0.25">
      <c r="A399" s="21">
        <v>3000000843</v>
      </c>
      <c r="B399" s="22">
        <v>45820</v>
      </c>
      <c r="C399" s="20">
        <v>25000000</v>
      </c>
      <c r="D399" s="21" t="s">
        <v>398</v>
      </c>
      <c r="E399" s="21">
        <v>97123605</v>
      </c>
      <c r="F399" s="20">
        <v>25000000</v>
      </c>
      <c r="G399" s="22">
        <v>45826</v>
      </c>
      <c r="H399" s="21" t="s">
        <v>61</v>
      </c>
      <c r="I399" s="51" t="str">
        <f>IFERROR(IF(VLOOKUP(E399,extracto!C:C,1,FALSE)=E399,"pagado","no pagado"),"no pagado")</f>
        <v>pagado</v>
      </c>
      <c r="J399" s="52" t="str">
        <f t="shared" si="282"/>
        <v>pagado</v>
      </c>
      <c r="K399" s="51" t="str">
        <f t="shared" ca="1" si="283"/>
        <v>excluir</v>
      </c>
      <c r="L399" s="51" t="str">
        <f t="shared" ca="1" si="284"/>
        <v>no semana</v>
      </c>
      <c r="M399" s="51" t="str">
        <f>IFERROR(VLOOKUP(E399,'cheques a conf'!A:D,4,FALSE),"no clearing")</f>
        <v>no clearing</v>
      </c>
      <c r="N399" s="51">
        <f t="shared" si="285"/>
        <v>25</v>
      </c>
      <c r="O399" s="53">
        <f t="shared" si="286"/>
        <v>6</v>
      </c>
      <c r="P399" s="53">
        <f t="shared" si="287"/>
        <v>2025</v>
      </c>
    </row>
    <row r="400" spans="1:16" customFormat="1" x14ac:dyDescent="0.25">
      <c r="A400" s="21">
        <v>3000000843</v>
      </c>
      <c r="B400" s="22">
        <v>45820</v>
      </c>
      <c r="C400" s="20">
        <v>24575664.460000001</v>
      </c>
      <c r="D400" s="21" t="s">
        <v>398</v>
      </c>
      <c r="E400" s="21">
        <v>97123606</v>
      </c>
      <c r="F400" s="20">
        <v>24575664.460000001</v>
      </c>
      <c r="G400" s="22">
        <v>45827</v>
      </c>
      <c r="H400" s="21" t="s">
        <v>61</v>
      </c>
      <c r="I400" s="51" t="str">
        <f>IFERROR(IF(VLOOKUP(E400,extracto!C:C,1,FALSE)=E400,"pagado","no pagado"),"no pagado")</f>
        <v>pagado</v>
      </c>
      <c r="J400" s="52" t="str">
        <f t="shared" si="282"/>
        <v>pagado</v>
      </c>
      <c r="K400" s="51" t="str">
        <f t="shared" ca="1" si="283"/>
        <v>excluir</v>
      </c>
      <c r="L400" s="51" t="str">
        <f t="shared" ca="1" si="284"/>
        <v>no semana</v>
      </c>
      <c r="M400" s="51" t="str">
        <f>IFERROR(VLOOKUP(E400,'cheques a conf'!A:D,4,FALSE),"no clearing")</f>
        <v>no clearing</v>
      </c>
      <c r="N400" s="51">
        <f t="shared" si="285"/>
        <v>25</v>
      </c>
      <c r="O400" s="53">
        <f t="shared" si="286"/>
        <v>6</v>
      </c>
      <c r="P400" s="53">
        <f t="shared" si="287"/>
        <v>2025</v>
      </c>
    </row>
    <row r="401" spans="1:16" customFormat="1" x14ac:dyDescent="0.25">
      <c r="A401" s="21">
        <v>3000000836</v>
      </c>
      <c r="B401" s="22">
        <v>45820</v>
      </c>
      <c r="C401" s="20">
        <v>9021852.0700000003</v>
      </c>
      <c r="D401" s="21" t="s">
        <v>337</v>
      </c>
      <c r="E401" s="21">
        <v>97123597</v>
      </c>
      <c r="F401" s="20">
        <v>9021852.0700000003</v>
      </c>
      <c r="G401" s="22">
        <v>45826</v>
      </c>
      <c r="H401" s="21" t="s">
        <v>61</v>
      </c>
      <c r="I401" s="51" t="str">
        <f>IFERROR(IF(VLOOKUP(E401,extracto!C:C,1,FALSE)=E401,"pagado","no pagado"),"no pagado")</f>
        <v>pagado</v>
      </c>
      <c r="J401" s="52" t="str">
        <f t="shared" si="282"/>
        <v>pagado</v>
      </c>
      <c r="K401" s="51" t="str">
        <f t="shared" ca="1" si="283"/>
        <v>excluir</v>
      </c>
      <c r="L401" s="51" t="str">
        <f t="shared" ca="1" si="284"/>
        <v>no semana</v>
      </c>
      <c r="M401" s="51" t="str">
        <f>IFERROR(VLOOKUP(E401,'cheques a conf'!A:D,4,FALSE),"no clearing")</f>
        <v>no clearing</v>
      </c>
      <c r="N401" s="51">
        <f t="shared" si="285"/>
        <v>25</v>
      </c>
      <c r="O401" s="53">
        <f t="shared" si="286"/>
        <v>6</v>
      </c>
      <c r="P401" s="53">
        <f t="shared" si="287"/>
        <v>2025</v>
      </c>
    </row>
    <row r="402" spans="1:16" customFormat="1" x14ac:dyDescent="0.25">
      <c r="A402" s="21">
        <v>3000000837</v>
      </c>
      <c r="B402" s="22">
        <v>45820</v>
      </c>
      <c r="C402" s="20">
        <v>5672933.2999999998</v>
      </c>
      <c r="D402" s="21" t="s">
        <v>340</v>
      </c>
      <c r="E402" s="21">
        <v>97123598</v>
      </c>
      <c r="F402" s="20">
        <v>5672933.2999999998</v>
      </c>
      <c r="G402" s="22">
        <v>45826</v>
      </c>
      <c r="H402" s="21" t="s">
        <v>61</v>
      </c>
      <c r="I402" s="51" t="str">
        <f>IFERROR(IF(VLOOKUP(E402,extracto!C:C,1,FALSE)=E402,"pagado","no pagado"),"no pagado")</f>
        <v>pagado</v>
      </c>
      <c r="J402" s="52" t="str">
        <f t="shared" si="282"/>
        <v>pagado</v>
      </c>
      <c r="K402" s="51" t="str">
        <f t="shared" ca="1" si="283"/>
        <v>excluir</v>
      </c>
      <c r="L402" s="51" t="str">
        <f t="shared" ca="1" si="284"/>
        <v>no semana</v>
      </c>
      <c r="M402" s="51" t="str">
        <f>IFERROR(VLOOKUP(E402,'cheques a conf'!A:D,4,FALSE),"no clearing")</f>
        <v>no clearing</v>
      </c>
      <c r="N402" s="51">
        <f t="shared" si="285"/>
        <v>25</v>
      </c>
      <c r="O402" s="53">
        <f t="shared" si="286"/>
        <v>6</v>
      </c>
      <c r="P402" s="53">
        <f t="shared" si="287"/>
        <v>2025</v>
      </c>
    </row>
    <row r="403" spans="1:16" customFormat="1" x14ac:dyDescent="0.25">
      <c r="A403" s="21">
        <v>3000000838</v>
      </c>
      <c r="B403" s="22">
        <v>45820</v>
      </c>
      <c r="C403" s="20">
        <v>3651009.18</v>
      </c>
      <c r="D403" s="21" t="s">
        <v>297</v>
      </c>
      <c r="E403" s="21">
        <v>97123599</v>
      </c>
      <c r="F403" s="20">
        <v>3651009.18</v>
      </c>
      <c r="G403" s="22">
        <v>45826</v>
      </c>
      <c r="H403" s="21" t="s">
        <v>61</v>
      </c>
      <c r="I403" s="51" t="str">
        <f>IFERROR(IF(VLOOKUP(E403,extracto!C:C,1,FALSE)=E403,"pagado","no pagado"),"no pagado")</f>
        <v>pagado</v>
      </c>
      <c r="J403" s="52" t="str">
        <f t="shared" si="282"/>
        <v>pagado</v>
      </c>
      <c r="K403" s="51" t="str">
        <f t="shared" ca="1" si="283"/>
        <v>excluir</v>
      </c>
      <c r="L403" s="51" t="str">
        <f t="shared" ca="1" si="284"/>
        <v>no semana</v>
      </c>
      <c r="M403" s="51" t="str">
        <f>IFERROR(VLOOKUP(E403,'cheques a conf'!A:D,4,FALSE),"no clearing")</f>
        <v>no clearing</v>
      </c>
      <c r="N403" s="51">
        <f t="shared" si="285"/>
        <v>25</v>
      </c>
      <c r="O403" s="53">
        <f t="shared" si="286"/>
        <v>6</v>
      </c>
      <c r="P403" s="53">
        <f t="shared" si="287"/>
        <v>2025</v>
      </c>
    </row>
    <row r="404" spans="1:16" customFormat="1" x14ac:dyDescent="0.25">
      <c r="A404" s="21">
        <v>3000000839</v>
      </c>
      <c r="B404" s="22">
        <v>45820</v>
      </c>
      <c r="C404" s="20">
        <v>7865911.7999999998</v>
      </c>
      <c r="D404" s="21" t="s">
        <v>384</v>
      </c>
      <c r="E404" s="21">
        <v>97123600</v>
      </c>
      <c r="F404" s="20">
        <v>7865911.7999999998</v>
      </c>
      <c r="G404" s="22">
        <v>45826</v>
      </c>
      <c r="H404" s="21" t="s">
        <v>61</v>
      </c>
      <c r="I404" s="51" t="str">
        <f>IFERROR(IF(VLOOKUP(E404,extracto!C:C,1,FALSE)=E404,"pagado","no pagado"),"no pagado")</f>
        <v>pagado</v>
      </c>
      <c r="J404" s="52" t="str">
        <f t="shared" si="282"/>
        <v>pagado</v>
      </c>
      <c r="K404" s="51" t="str">
        <f t="shared" ca="1" si="283"/>
        <v>excluir</v>
      </c>
      <c r="L404" s="51" t="str">
        <f t="shared" ca="1" si="284"/>
        <v>no semana</v>
      </c>
      <c r="M404" s="51" t="str">
        <f>IFERROR(VLOOKUP(E404,'cheques a conf'!A:D,4,FALSE),"no clearing")</f>
        <v>no clearing</v>
      </c>
      <c r="N404" s="51">
        <f t="shared" si="285"/>
        <v>25</v>
      </c>
      <c r="O404" s="53">
        <f t="shared" si="286"/>
        <v>6</v>
      </c>
      <c r="P404" s="53">
        <f t="shared" si="287"/>
        <v>2025</v>
      </c>
    </row>
    <row r="405" spans="1:16" customFormat="1" x14ac:dyDescent="0.25">
      <c r="A405" s="21">
        <v>3000000841</v>
      </c>
      <c r="B405" s="22">
        <v>45820</v>
      </c>
      <c r="C405" s="20">
        <v>6973986.0899999999</v>
      </c>
      <c r="D405" s="21" t="s">
        <v>393</v>
      </c>
      <c r="E405" s="21">
        <v>97123603</v>
      </c>
      <c r="F405" s="20">
        <v>6973986.0899999999</v>
      </c>
      <c r="G405" s="22">
        <v>45826</v>
      </c>
      <c r="H405" s="21" t="s">
        <v>61</v>
      </c>
      <c r="I405" s="51" t="str">
        <f>IFERROR(IF(VLOOKUP(E405,extracto!C:C,1,FALSE)=E405,"pagado","no pagado"),"no pagado")</f>
        <v>pagado</v>
      </c>
      <c r="J405" s="52" t="str">
        <f t="shared" si="282"/>
        <v>pagado</v>
      </c>
      <c r="K405" s="51" t="str">
        <f t="shared" ca="1" si="283"/>
        <v>excluir</v>
      </c>
      <c r="L405" s="51" t="str">
        <f t="shared" ca="1" si="284"/>
        <v>no semana</v>
      </c>
      <c r="M405" s="51" t="str">
        <f>IFERROR(VLOOKUP(E405,'cheques a conf'!A:D,4,FALSE),"no clearing")</f>
        <v>no clearing</v>
      </c>
      <c r="N405" s="51">
        <f t="shared" si="285"/>
        <v>25</v>
      </c>
      <c r="O405" s="53">
        <f t="shared" si="286"/>
        <v>6</v>
      </c>
      <c r="P405" s="53">
        <f t="shared" si="287"/>
        <v>2025</v>
      </c>
    </row>
    <row r="406" spans="1:16" customFormat="1" x14ac:dyDescent="0.25">
      <c r="A406" s="21">
        <v>3000000842</v>
      </c>
      <c r="B406" s="22">
        <v>45820</v>
      </c>
      <c r="C406" s="20">
        <v>6693676.7800000003</v>
      </c>
      <c r="D406" s="21" t="s">
        <v>336</v>
      </c>
      <c r="E406" s="21">
        <v>97123604</v>
      </c>
      <c r="F406" s="20">
        <v>6693676.7800000003</v>
      </c>
      <c r="G406" s="22">
        <v>45826</v>
      </c>
      <c r="H406" s="21" t="s">
        <v>61</v>
      </c>
      <c r="I406" s="51" t="str">
        <f>IFERROR(IF(VLOOKUP(E406,extracto!C:C,1,FALSE)=E406,"pagado","no pagado"),"no pagado")</f>
        <v>pagado</v>
      </c>
      <c r="J406" s="52" t="str">
        <f t="shared" si="282"/>
        <v>pagado</v>
      </c>
      <c r="K406" s="51" t="str">
        <f t="shared" ca="1" si="283"/>
        <v>excluir</v>
      </c>
      <c r="L406" s="51" t="str">
        <f t="shared" ca="1" si="284"/>
        <v>no semana</v>
      </c>
      <c r="M406" s="51" t="str">
        <f>IFERROR(VLOOKUP(E406,'cheques a conf'!A:D,4,FALSE),"no clearing")</f>
        <v>no clearing</v>
      </c>
      <c r="N406" s="51">
        <f t="shared" si="285"/>
        <v>25</v>
      </c>
      <c r="O406" s="53">
        <f t="shared" si="286"/>
        <v>6</v>
      </c>
      <c r="P406" s="53">
        <f t="shared" si="287"/>
        <v>2025</v>
      </c>
    </row>
    <row r="407" spans="1:16" customFormat="1" x14ac:dyDescent="0.25">
      <c r="A407">
        <v>3000000810</v>
      </c>
      <c r="B407" s="3">
        <v>45817</v>
      </c>
      <c r="C407" s="9">
        <v>10466343.4</v>
      </c>
      <c r="D407" t="s">
        <v>399</v>
      </c>
      <c r="E407" s="21">
        <v>97123607</v>
      </c>
      <c r="F407" s="9">
        <v>10466343.4</v>
      </c>
      <c r="G407" s="22">
        <v>45824</v>
      </c>
      <c r="H407" s="21" t="s">
        <v>61</v>
      </c>
      <c r="I407" s="51" t="str">
        <f>IFERROR(IF(VLOOKUP(E407,extracto!C:C,1,FALSE)=E407,"pagado","no pagado"),"no pagado")</f>
        <v>pagado</v>
      </c>
      <c r="J407" s="52" t="str">
        <f t="shared" si="282"/>
        <v>pagado</v>
      </c>
      <c r="K407" s="51" t="str">
        <f t="shared" ca="1" si="283"/>
        <v>excluir</v>
      </c>
      <c r="L407" s="51" t="str">
        <f t="shared" ca="1" si="284"/>
        <v>no semana</v>
      </c>
      <c r="M407" s="51" t="str">
        <f>IFERROR(VLOOKUP(E407,'cheques a conf'!A:D,4,FALSE),"no clearing")</f>
        <v>no clearing</v>
      </c>
      <c r="N407" s="51">
        <f t="shared" si="285"/>
        <v>25</v>
      </c>
      <c r="O407" s="53">
        <f t="shared" si="286"/>
        <v>6</v>
      </c>
      <c r="P407" s="53">
        <f t="shared" si="287"/>
        <v>2025</v>
      </c>
    </row>
    <row r="408" spans="1:16" customFormat="1" x14ac:dyDescent="0.25">
      <c r="A408">
        <v>3000000811</v>
      </c>
      <c r="B408" s="3">
        <v>45817</v>
      </c>
      <c r="C408" s="9">
        <v>6101642.9199999999</v>
      </c>
      <c r="D408" t="s">
        <v>197</v>
      </c>
      <c r="E408" s="21">
        <v>97123608</v>
      </c>
      <c r="F408" s="9">
        <v>6101642.9199999999</v>
      </c>
      <c r="G408" s="22">
        <v>45824</v>
      </c>
      <c r="H408" s="21" t="s">
        <v>61</v>
      </c>
      <c r="I408" s="51" t="str">
        <f>IFERROR(IF(VLOOKUP(E408,extracto!C:C,1,FALSE)=E408,"pagado","no pagado"),"no pagado")</f>
        <v>pagado</v>
      </c>
      <c r="J408" s="52" t="str">
        <f t="shared" si="282"/>
        <v>pagado</v>
      </c>
      <c r="K408" s="51" t="str">
        <f t="shared" ca="1" si="283"/>
        <v>excluir</v>
      </c>
      <c r="L408" s="51" t="str">
        <f t="shared" ca="1" si="284"/>
        <v>no semana</v>
      </c>
      <c r="M408" s="51" t="str">
        <f>IFERROR(VLOOKUP(E408,'cheques a conf'!A:D,4,FALSE),"no clearing")</f>
        <v>no clearing</v>
      </c>
      <c r="N408" s="51">
        <f t="shared" si="285"/>
        <v>25</v>
      </c>
      <c r="O408" s="53">
        <f t="shared" si="286"/>
        <v>6</v>
      </c>
      <c r="P408" s="53">
        <f t="shared" si="287"/>
        <v>2025</v>
      </c>
    </row>
    <row r="409" spans="1:16" customFormat="1" x14ac:dyDescent="0.25">
      <c r="A409">
        <v>3000000749</v>
      </c>
      <c r="B409" s="3">
        <v>45825</v>
      </c>
      <c r="C409" s="9">
        <v>500000</v>
      </c>
      <c r="D409" t="s">
        <v>291</v>
      </c>
      <c r="E409">
        <v>94231555</v>
      </c>
      <c r="F409" s="9">
        <v>500000</v>
      </c>
      <c r="G409" s="22">
        <v>45826</v>
      </c>
      <c r="H409" s="21" t="s">
        <v>13</v>
      </c>
      <c r="I409" s="51" t="str">
        <f>IFERROR(IF(VLOOKUP(E409,extracto!C:C,1,FALSE)=E409,"pagado","no pagado"),"no pagado")</f>
        <v>pagado</v>
      </c>
      <c r="J409" s="52" t="str">
        <f t="shared" si="282"/>
        <v>pagado</v>
      </c>
      <c r="K409" s="51" t="str">
        <f t="shared" ca="1" si="283"/>
        <v>excluir</v>
      </c>
      <c r="L409" s="51" t="str">
        <f t="shared" ca="1" si="284"/>
        <v>no semana</v>
      </c>
      <c r="M409" s="51" t="str">
        <f>IFERROR(VLOOKUP(E409,'cheques a conf'!A:D,4,FALSE),"no clearing")</f>
        <v>no clearing</v>
      </c>
      <c r="N409" s="51">
        <f t="shared" si="285"/>
        <v>25</v>
      </c>
      <c r="O409" s="53">
        <f t="shared" si="286"/>
        <v>6</v>
      </c>
      <c r="P409" s="53">
        <f t="shared" si="287"/>
        <v>2025</v>
      </c>
    </row>
    <row r="410" spans="1:16" customFormat="1" x14ac:dyDescent="0.25">
      <c r="A410">
        <v>3000000749</v>
      </c>
      <c r="B410" s="3">
        <v>45825</v>
      </c>
      <c r="C410" s="9">
        <v>500000</v>
      </c>
      <c r="D410" t="s">
        <v>291</v>
      </c>
      <c r="E410">
        <v>94231556</v>
      </c>
      <c r="F410" s="9">
        <v>500000</v>
      </c>
      <c r="G410" s="22">
        <v>45826</v>
      </c>
      <c r="H410" s="21" t="s">
        <v>13</v>
      </c>
      <c r="I410" s="51" t="str">
        <f>IFERROR(IF(VLOOKUP(E410,extracto!C:C,1,FALSE)=E410,"pagado","no pagado"),"no pagado")</f>
        <v>pagado</v>
      </c>
      <c r="J410" s="52" t="str">
        <f t="shared" si="282"/>
        <v>pagado</v>
      </c>
      <c r="K410" s="51" t="str">
        <f t="shared" ca="1" si="283"/>
        <v>excluir</v>
      </c>
      <c r="L410" s="51" t="str">
        <f t="shared" ca="1" si="284"/>
        <v>no semana</v>
      </c>
      <c r="M410" s="51" t="str">
        <f>IFERROR(VLOOKUP(E410,'cheques a conf'!A:D,4,FALSE),"no clearing")</f>
        <v>no clearing</v>
      </c>
      <c r="N410" s="51">
        <f t="shared" si="285"/>
        <v>25</v>
      </c>
      <c r="O410" s="53">
        <f t="shared" si="286"/>
        <v>6</v>
      </c>
      <c r="P410" s="53">
        <f t="shared" si="287"/>
        <v>2025</v>
      </c>
    </row>
    <row r="411" spans="1:16" customFormat="1" x14ac:dyDescent="0.25">
      <c r="A411">
        <v>3000000749</v>
      </c>
      <c r="B411" s="3">
        <v>45825</v>
      </c>
      <c r="C411" s="9">
        <v>500000</v>
      </c>
      <c r="D411" t="s">
        <v>291</v>
      </c>
      <c r="E411">
        <v>94231557</v>
      </c>
      <c r="F411" s="9">
        <v>500000</v>
      </c>
      <c r="G411" s="22">
        <v>45826</v>
      </c>
      <c r="H411" s="21" t="s">
        <v>13</v>
      </c>
      <c r="I411" s="51" t="str">
        <f>IFERROR(IF(VLOOKUP(E411,extracto!C:C,1,FALSE)=E411,"pagado","no pagado"),"no pagado")</f>
        <v>pagado</v>
      </c>
      <c r="J411" s="52" t="str">
        <f t="shared" si="282"/>
        <v>pagado</v>
      </c>
      <c r="K411" s="51" t="str">
        <f t="shared" ca="1" si="283"/>
        <v>excluir</v>
      </c>
      <c r="L411" s="51" t="str">
        <f t="shared" ca="1" si="284"/>
        <v>no semana</v>
      </c>
      <c r="M411" s="51" t="str">
        <f>IFERROR(VLOOKUP(E411,'cheques a conf'!A:D,4,FALSE),"no clearing")</f>
        <v>no clearing</v>
      </c>
      <c r="N411" s="51">
        <f t="shared" si="285"/>
        <v>25</v>
      </c>
      <c r="O411" s="53">
        <f t="shared" si="286"/>
        <v>6</v>
      </c>
      <c r="P411" s="53">
        <f t="shared" si="287"/>
        <v>2025</v>
      </c>
    </row>
    <row r="412" spans="1:16" customFormat="1" x14ac:dyDescent="0.25">
      <c r="A412">
        <v>3000000749</v>
      </c>
      <c r="B412" s="3">
        <v>45825</v>
      </c>
      <c r="C412" s="9">
        <v>500000</v>
      </c>
      <c r="D412" t="s">
        <v>291</v>
      </c>
      <c r="E412">
        <v>94231558</v>
      </c>
      <c r="F412" s="9">
        <v>500000</v>
      </c>
      <c r="G412" s="22">
        <v>45826</v>
      </c>
      <c r="H412" s="21" t="s">
        <v>13</v>
      </c>
      <c r="I412" s="51" t="str">
        <f>IFERROR(IF(VLOOKUP(E412,extracto!C:C,1,FALSE)=E412,"pagado","no pagado"),"no pagado")</f>
        <v>pagado</v>
      </c>
      <c r="J412" s="52" t="str">
        <f t="shared" si="282"/>
        <v>pagado</v>
      </c>
      <c r="K412" s="51" t="str">
        <f t="shared" ca="1" si="283"/>
        <v>excluir</v>
      </c>
      <c r="L412" s="51" t="str">
        <f t="shared" ca="1" si="284"/>
        <v>no semana</v>
      </c>
      <c r="M412" s="51" t="str">
        <f>IFERROR(VLOOKUP(E412,'cheques a conf'!A:D,4,FALSE),"no clearing")</f>
        <v>no clearing</v>
      </c>
      <c r="N412" s="51">
        <f t="shared" si="285"/>
        <v>25</v>
      </c>
      <c r="O412" s="53">
        <f t="shared" si="286"/>
        <v>6</v>
      </c>
      <c r="P412" s="53">
        <f t="shared" si="287"/>
        <v>2025</v>
      </c>
    </row>
    <row r="413" spans="1:16" customFormat="1" x14ac:dyDescent="0.25">
      <c r="A413" s="21">
        <v>1200000857</v>
      </c>
      <c r="B413" s="22">
        <v>45825</v>
      </c>
      <c r="C413" s="20">
        <v>9496520.3100000005</v>
      </c>
      <c r="D413" s="21" t="s">
        <v>305</v>
      </c>
      <c r="E413" s="21">
        <v>97123609</v>
      </c>
      <c r="F413" s="20">
        <v>9496520.3100000005</v>
      </c>
      <c r="G413" s="22">
        <v>45831</v>
      </c>
      <c r="H413" s="21" t="s">
        <v>61</v>
      </c>
      <c r="I413" s="51" t="str">
        <f>IFERROR(IF(VLOOKUP(E413,extracto!C:C,1,FALSE)=E413,"pagado","no pagado"),"no pagado")</f>
        <v>pagado</v>
      </c>
      <c r="J413" s="52" t="str">
        <f t="shared" si="282"/>
        <v>pagado</v>
      </c>
      <c r="K413" s="51" t="str">
        <f t="shared" ca="1" si="283"/>
        <v>excluir</v>
      </c>
      <c r="L413" s="51" t="str">
        <f t="shared" ca="1" si="284"/>
        <v>no semana</v>
      </c>
      <c r="M413" s="51" t="str">
        <f>IFERROR(VLOOKUP(E413,'cheques a conf'!A:D,4,FALSE),"no clearing")</f>
        <v>no clearing</v>
      </c>
      <c r="N413" s="51">
        <f t="shared" si="285"/>
        <v>26</v>
      </c>
      <c r="O413" s="53">
        <f t="shared" si="286"/>
        <v>6</v>
      </c>
      <c r="P413" s="53">
        <f t="shared" si="287"/>
        <v>2025</v>
      </c>
    </row>
    <row r="414" spans="1:16" customFormat="1" x14ac:dyDescent="0.25">
      <c r="A414" s="21">
        <v>1200000857</v>
      </c>
      <c r="B414" s="22">
        <v>45825</v>
      </c>
      <c r="C414" s="20">
        <v>7606970.3899999997</v>
      </c>
      <c r="D414" s="21" t="s">
        <v>305</v>
      </c>
      <c r="E414" s="21">
        <v>97123610</v>
      </c>
      <c r="F414" s="20">
        <v>7606970.3899999997</v>
      </c>
      <c r="G414" s="22">
        <v>45831</v>
      </c>
      <c r="H414" s="21" t="s">
        <v>61</v>
      </c>
      <c r="I414" s="51" t="str">
        <f>IFERROR(IF(VLOOKUP(E414,extracto!C:C,1,FALSE)=E414,"pagado","no pagado"),"no pagado")</f>
        <v>pagado</v>
      </c>
      <c r="J414" s="52" t="str">
        <f t="shared" si="282"/>
        <v>pagado</v>
      </c>
      <c r="K414" s="51" t="str">
        <f t="shared" ca="1" si="283"/>
        <v>excluir</v>
      </c>
      <c r="L414" s="51" t="str">
        <f t="shared" ca="1" si="284"/>
        <v>no semana</v>
      </c>
      <c r="M414" s="51" t="str">
        <f>IFERROR(VLOOKUP(E414,'cheques a conf'!A:D,4,FALSE),"no clearing")</f>
        <v>no clearing</v>
      </c>
      <c r="N414" s="51">
        <f t="shared" si="285"/>
        <v>26</v>
      </c>
      <c r="O414" s="53">
        <f t="shared" si="286"/>
        <v>6</v>
      </c>
      <c r="P414" s="53">
        <f t="shared" si="287"/>
        <v>2025</v>
      </c>
    </row>
    <row r="415" spans="1:16" customFormat="1" x14ac:dyDescent="0.25">
      <c r="A415" s="21">
        <v>1200000857</v>
      </c>
      <c r="B415" s="22">
        <v>45825</v>
      </c>
      <c r="C415" s="20">
        <v>3928252.45</v>
      </c>
      <c r="D415" s="21" t="s">
        <v>305</v>
      </c>
      <c r="E415" s="21">
        <v>97123611</v>
      </c>
      <c r="F415" s="20">
        <v>3928252.45</v>
      </c>
      <c r="G415" s="22">
        <v>45831</v>
      </c>
      <c r="H415" s="21" t="s">
        <v>61</v>
      </c>
      <c r="I415" s="51" t="str">
        <f>IFERROR(IF(VLOOKUP(E415,extracto!C:C,1,FALSE)=E415,"pagado","no pagado"),"no pagado")</f>
        <v>pagado</v>
      </c>
      <c r="J415" s="52" t="str">
        <f t="shared" si="282"/>
        <v>pagado</v>
      </c>
      <c r="K415" s="51" t="str">
        <f t="shared" ca="1" si="283"/>
        <v>excluir</v>
      </c>
      <c r="L415" s="51" t="str">
        <f t="shared" ca="1" si="284"/>
        <v>no semana</v>
      </c>
      <c r="M415" s="51" t="str">
        <f>IFERROR(VLOOKUP(E415,'cheques a conf'!A:D,4,FALSE),"no clearing")</f>
        <v>no clearing</v>
      </c>
      <c r="N415" s="51">
        <f t="shared" si="285"/>
        <v>26</v>
      </c>
      <c r="O415" s="53">
        <f t="shared" si="286"/>
        <v>6</v>
      </c>
      <c r="P415" s="53">
        <f t="shared" si="287"/>
        <v>2025</v>
      </c>
    </row>
    <row r="416" spans="1:16" customFormat="1" x14ac:dyDescent="0.25">
      <c r="A416" s="21">
        <v>1200000857</v>
      </c>
      <c r="B416" s="22">
        <v>45825</v>
      </c>
      <c r="C416" s="20">
        <v>2374540.14</v>
      </c>
      <c r="D416" s="21" t="s">
        <v>305</v>
      </c>
      <c r="E416" s="21">
        <v>97123612</v>
      </c>
      <c r="F416" s="20">
        <v>2374540.14</v>
      </c>
      <c r="G416" s="22">
        <v>45831</v>
      </c>
      <c r="H416" s="21" t="s">
        <v>61</v>
      </c>
      <c r="I416" s="51" t="str">
        <f>IFERROR(IF(VLOOKUP(E416,extracto!C:C,1,FALSE)=E416,"pagado","no pagado"),"no pagado")</f>
        <v>pagado</v>
      </c>
      <c r="J416" s="52" t="str">
        <f t="shared" si="282"/>
        <v>pagado</v>
      </c>
      <c r="K416" s="51" t="str">
        <f t="shared" ca="1" si="283"/>
        <v>excluir</v>
      </c>
      <c r="L416" s="51" t="str">
        <f t="shared" ca="1" si="284"/>
        <v>no semana</v>
      </c>
      <c r="M416" s="51" t="str">
        <f>IFERROR(VLOOKUP(E416,'cheques a conf'!A:D,4,FALSE),"no clearing")</f>
        <v>no clearing</v>
      </c>
      <c r="N416" s="51">
        <f t="shared" si="285"/>
        <v>26</v>
      </c>
      <c r="O416" s="53">
        <f t="shared" si="286"/>
        <v>6</v>
      </c>
      <c r="P416" s="53">
        <f t="shared" si="287"/>
        <v>2025</v>
      </c>
    </row>
    <row r="417" spans="1:16" customFormat="1" x14ac:dyDescent="0.25">
      <c r="A417" s="21">
        <v>3000000853</v>
      </c>
      <c r="B417" s="22">
        <v>45825</v>
      </c>
      <c r="C417" s="20">
        <v>5257227.2300000004</v>
      </c>
      <c r="D417" s="21" t="s">
        <v>58</v>
      </c>
      <c r="E417" s="21">
        <v>97123613</v>
      </c>
      <c r="F417" s="20">
        <v>5257227.2300000004</v>
      </c>
      <c r="G417" s="22">
        <v>45831</v>
      </c>
      <c r="H417" s="21" t="s">
        <v>61</v>
      </c>
      <c r="I417" s="51" t="str">
        <f>IFERROR(IF(VLOOKUP(E417,extracto!C:C,1,FALSE)=E417,"pagado","no pagado"),"no pagado")</f>
        <v>pagado</v>
      </c>
      <c r="J417" s="52" t="str">
        <f t="shared" si="282"/>
        <v>pagado</v>
      </c>
      <c r="K417" s="51" t="str">
        <f t="shared" ca="1" si="283"/>
        <v>excluir</v>
      </c>
      <c r="L417" s="51" t="str">
        <f t="shared" ca="1" si="284"/>
        <v>no semana</v>
      </c>
      <c r="M417" s="51" t="str">
        <f>IFERROR(VLOOKUP(E417,'cheques a conf'!A:D,4,FALSE),"no clearing")</f>
        <v>no clearing</v>
      </c>
      <c r="N417" s="51">
        <f t="shared" si="285"/>
        <v>26</v>
      </c>
      <c r="O417" s="53">
        <f t="shared" si="286"/>
        <v>6</v>
      </c>
      <c r="P417" s="53">
        <f t="shared" si="287"/>
        <v>2025</v>
      </c>
    </row>
    <row r="418" spans="1:16" customFormat="1" x14ac:dyDescent="0.25">
      <c r="A418" s="21">
        <v>3000000854</v>
      </c>
      <c r="B418" s="22">
        <v>45825</v>
      </c>
      <c r="C418" s="20">
        <v>3833259.1</v>
      </c>
      <c r="D418" s="21" t="s">
        <v>283</v>
      </c>
      <c r="E418" s="21">
        <v>97123614</v>
      </c>
      <c r="F418" s="20">
        <v>3833259.1</v>
      </c>
      <c r="G418" s="22">
        <v>45827</v>
      </c>
      <c r="H418" s="21" t="s">
        <v>61</v>
      </c>
      <c r="I418" s="51" t="str">
        <f>IFERROR(IF(VLOOKUP(E418,extracto!C:C,1,FALSE)=E418,"pagado","no pagado"),"no pagado")</f>
        <v>pagado</v>
      </c>
      <c r="J418" s="52" t="str">
        <f t="shared" si="282"/>
        <v>pagado</v>
      </c>
      <c r="K418" s="51" t="str">
        <f t="shared" ca="1" si="283"/>
        <v>excluir</v>
      </c>
      <c r="L418" s="51" t="str">
        <f t="shared" ca="1" si="284"/>
        <v>no semana</v>
      </c>
      <c r="M418" s="51" t="str">
        <f>IFERROR(VLOOKUP(E418,'cheques a conf'!A:D,4,FALSE),"no clearing")</f>
        <v>no clearing</v>
      </c>
      <c r="N418" s="51">
        <f t="shared" si="285"/>
        <v>25</v>
      </c>
      <c r="O418" s="53">
        <f t="shared" si="286"/>
        <v>6</v>
      </c>
      <c r="P418" s="53">
        <f t="shared" si="287"/>
        <v>2025</v>
      </c>
    </row>
    <row r="419" spans="1:16" customFormat="1" x14ac:dyDescent="0.25">
      <c r="A419" s="21">
        <v>3000000855</v>
      </c>
      <c r="B419" s="22">
        <v>45825</v>
      </c>
      <c r="C419" s="20">
        <v>4287243.5999999996</v>
      </c>
      <c r="D419" s="21" t="s">
        <v>308</v>
      </c>
      <c r="E419" s="21">
        <v>97123615</v>
      </c>
      <c r="F419" s="20">
        <v>4287243.5999999996</v>
      </c>
      <c r="G419" s="22">
        <v>45831</v>
      </c>
      <c r="H419" s="21" t="s">
        <v>61</v>
      </c>
      <c r="I419" s="51" t="str">
        <f>IFERROR(IF(VLOOKUP(E419,extracto!C:C,1,FALSE)=E419,"pagado","no pagado"),"no pagado")</f>
        <v>pagado</v>
      </c>
      <c r="J419" s="52" t="str">
        <f t="shared" si="282"/>
        <v>pagado</v>
      </c>
      <c r="K419" s="51" t="str">
        <f t="shared" ca="1" si="283"/>
        <v>excluir</v>
      </c>
      <c r="L419" s="51" t="str">
        <f t="shared" ca="1" si="284"/>
        <v>no semana</v>
      </c>
      <c r="M419" s="51" t="str">
        <f>IFERROR(VLOOKUP(E419,'cheques a conf'!A:D,4,FALSE),"no clearing")</f>
        <v>no clearing</v>
      </c>
      <c r="N419" s="51">
        <f t="shared" si="285"/>
        <v>26</v>
      </c>
      <c r="O419" s="53">
        <f t="shared" si="286"/>
        <v>6</v>
      </c>
      <c r="P419" s="53">
        <f t="shared" si="287"/>
        <v>2025</v>
      </c>
    </row>
    <row r="420" spans="1:16" customFormat="1" x14ac:dyDescent="0.25">
      <c r="A420" s="21">
        <v>3000000856</v>
      </c>
      <c r="B420" s="22">
        <v>45825</v>
      </c>
      <c r="C420" s="20">
        <v>7822851.8799999999</v>
      </c>
      <c r="D420" s="21" t="s">
        <v>346</v>
      </c>
      <c r="E420" s="21">
        <v>97123616</v>
      </c>
      <c r="F420" s="20">
        <v>7822851.8799999999</v>
      </c>
      <c r="G420" s="22">
        <v>45831</v>
      </c>
      <c r="H420" s="21" t="s">
        <v>61</v>
      </c>
      <c r="I420" s="51" t="str">
        <f>IFERROR(IF(VLOOKUP(E420,extracto!C:C,1,FALSE)=E420,"pagado","no pagado"),"no pagado")</f>
        <v>pagado</v>
      </c>
      <c r="J420" s="52" t="str">
        <f t="shared" si="282"/>
        <v>pagado</v>
      </c>
      <c r="K420" s="51" t="str">
        <f t="shared" ca="1" si="283"/>
        <v>excluir</v>
      </c>
      <c r="L420" s="51" t="str">
        <f t="shared" ca="1" si="284"/>
        <v>no semana</v>
      </c>
      <c r="M420" s="51" t="str">
        <f>IFERROR(VLOOKUP(E420,'cheques a conf'!A:D,4,FALSE),"no clearing")</f>
        <v>no clearing</v>
      </c>
      <c r="N420" s="51">
        <f t="shared" si="285"/>
        <v>26</v>
      </c>
      <c r="O420" s="53">
        <f t="shared" si="286"/>
        <v>6</v>
      </c>
      <c r="P420" s="53">
        <f t="shared" si="287"/>
        <v>2025</v>
      </c>
    </row>
    <row r="421" spans="1:16" customFormat="1" x14ac:dyDescent="0.25">
      <c r="A421" s="21">
        <v>3000000868</v>
      </c>
      <c r="B421" s="22">
        <v>45831</v>
      </c>
      <c r="C421" s="20">
        <v>20000000</v>
      </c>
      <c r="D421" s="21" t="s">
        <v>346</v>
      </c>
      <c r="E421" s="21">
        <v>97123622</v>
      </c>
      <c r="F421" s="20">
        <v>20000000</v>
      </c>
      <c r="G421" s="22">
        <v>45834</v>
      </c>
      <c r="H421" s="21" t="s">
        <v>61</v>
      </c>
      <c r="I421" s="51" t="str">
        <f>IFERROR(IF(VLOOKUP(E421,extracto!C:C,1,FALSE)=E421,"pagado","no pagado"),"no pagado")</f>
        <v>pagado</v>
      </c>
      <c r="J421" s="52" t="str">
        <f t="shared" si="282"/>
        <v>pagado</v>
      </c>
      <c r="K421" s="51" t="str">
        <f t="shared" ca="1" si="283"/>
        <v>excluir</v>
      </c>
      <c r="L421" s="51" t="str">
        <f t="shared" ca="1" si="284"/>
        <v>no semana</v>
      </c>
      <c r="M421" s="51" t="str">
        <f>IFERROR(VLOOKUP(E421,'cheques a conf'!A:D,4,FALSE),"no clearing")</f>
        <v>no clearing</v>
      </c>
      <c r="N421" s="51">
        <f t="shared" si="285"/>
        <v>26</v>
      </c>
      <c r="O421" s="53">
        <f t="shared" si="286"/>
        <v>6</v>
      </c>
      <c r="P421" s="53">
        <f t="shared" si="287"/>
        <v>2025</v>
      </c>
    </row>
    <row r="422" spans="1:16" customFormat="1" x14ac:dyDescent="0.25">
      <c r="A422" s="21">
        <v>3000000868</v>
      </c>
      <c r="B422" s="22">
        <v>45831</v>
      </c>
      <c r="C422" s="20">
        <v>21192190.829999998</v>
      </c>
      <c r="D422" s="21" t="s">
        <v>346</v>
      </c>
      <c r="E422" s="21">
        <v>97123623</v>
      </c>
      <c r="F422" s="20">
        <v>21192190.829999998</v>
      </c>
      <c r="G422" s="22">
        <v>45835</v>
      </c>
      <c r="H422" s="21" t="s">
        <v>61</v>
      </c>
      <c r="I422" s="51" t="str">
        <f>IFERROR(IF(VLOOKUP(E422,extracto!C:C,1,FALSE)=E422,"pagado","no pagado"),"no pagado")</f>
        <v>pagado</v>
      </c>
      <c r="J422" s="52" t="str">
        <f t="shared" si="282"/>
        <v>pagado</v>
      </c>
      <c r="K422" s="51" t="str">
        <f t="shared" ca="1" si="283"/>
        <v>excluir</v>
      </c>
      <c r="L422" s="51" t="str">
        <f t="shared" ca="1" si="284"/>
        <v>no semana</v>
      </c>
      <c r="M422" s="51" t="str">
        <f>IFERROR(VLOOKUP(E422,'cheques a conf'!A:D,4,FALSE),"no clearing")</f>
        <v>no clearing</v>
      </c>
      <c r="N422" s="51">
        <f t="shared" si="285"/>
        <v>26</v>
      </c>
      <c r="O422" s="53">
        <f t="shared" si="286"/>
        <v>6</v>
      </c>
      <c r="P422" s="53">
        <f t="shared" si="287"/>
        <v>2025</v>
      </c>
    </row>
    <row r="423" spans="1:16" customFormat="1" x14ac:dyDescent="0.25">
      <c r="A423" s="21">
        <v>3000000871</v>
      </c>
      <c r="B423" s="22">
        <v>45831</v>
      </c>
      <c r="C423" s="20">
        <v>8000000</v>
      </c>
      <c r="D423" s="21" t="s">
        <v>287</v>
      </c>
      <c r="E423" s="21">
        <v>97123626</v>
      </c>
      <c r="F423" s="20">
        <v>8000000</v>
      </c>
      <c r="G423" s="22">
        <v>45834</v>
      </c>
      <c r="H423" s="21" t="s">
        <v>61</v>
      </c>
      <c r="I423" s="51" t="str">
        <f>IFERROR(IF(VLOOKUP(E423,extracto!C:C,1,FALSE)=E423,"pagado","no pagado"),"no pagado")</f>
        <v>pagado</v>
      </c>
      <c r="J423" s="52" t="str">
        <f t="shared" si="282"/>
        <v>pagado</v>
      </c>
      <c r="K423" s="51" t="str">
        <f t="shared" ca="1" si="283"/>
        <v>excluir</v>
      </c>
      <c r="L423" s="51" t="str">
        <f t="shared" ca="1" si="284"/>
        <v>no semana</v>
      </c>
      <c r="M423" s="51" t="str">
        <f>IFERROR(VLOOKUP(E423,'cheques a conf'!A:D,4,FALSE),"no clearing")</f>
        <v>no clearing</v>
      </c>
      <c r="N423" s="51">
        <f t="shared" si="285"/>
        <v>26</v>
      </c>
      <c r="O423" s="53">
        <f t="shared" si="286"/>
        <v>6</v>
      </c>
      <c r="P423" s="53">
        <f t="shared" si="287"/>
        <v>2025</v>
      </c>
    </row>
    <row r="424" spans="1:16" customFormat="1" x14ac:dyDescent="0.25">
      <c r="A424" s="21">
        <v>3000000871</v>
      </c>
      <c r="B424" s="22">
        <v>45831</v>
      </c>
      <c r="C424" s="20">
        <v>8000000</v>
      </c>
      <c r="D424" s="21" t="s">
        <v>287</v>
      </c>
      <c r="E424" s="21">
        <v>97123627</v>
      </c>
      <c r="F424" s="20">
        <v>8000000</v>
      </c>
      <c r="G424" s="22">
        <v>45834</v>
      </c>
      <c r="H424" s="21" t="s">
        <v>61</v>
      </c>
      <c r="I424" s="51" t="str">
        <f>IFERROR(IF(VLOOKUP(E424,extracto!C:C,1,FALSE)=E424,"pagado","no pagado"),"no pagado")</f>
        <v>pagado</v>
      </c>
      <c r="J424" s="52" t="str">
        <f t="shared" si="282"/>
        <v>pagado</v>
      </c>
      <c r="K424" s="51" t="str">
        <f t="shared" ca="1" si="283"/>
        <v>excluir</v>
      </c>
      <c r="L424" s="51" t="str">
        <f t="shared" ca="1" si="284"/>
        <v>no semana</v>
      </c>
      <c r="M424" s="51" t="str">
        <f>IFERROR(VLOOKUP(E424,'cheques a conf'!A:D,4,FALSE),"no clearing")</f>
        <v>no clearing</v>
      </c>
      <c r="N424" s="51">
        <f t="shared" si="285"/>
        <v>26</v>
      </c>
      <c r="O424" s="53">
        <f t="shared" si="286"/>
        <v>6</v>
      </c>
      <c r="P424" s="53">
        <f t="shared" si="287"/>
        <v>2025</v>
      </c>
    </row>
    <row r="425" spans="1:16" customFormat="1" x14ac:dyDescent="0.25">
      <c r="A425" s="21">
        <v>3000000871</v>
      </c>
      <c r="B425" s="22">
        <v>45831</v>
      </c>
      <c r="C425" s="20">
        <v>7041816.9000000004</v>
      </c>
      <c r="D425" s="21" t="s">
        <v>287</v>
      </c>
      <c r="E425" s="21">
        <v>97123628</v>
      </c>
      <c r="F425" s="20">
        <v>7041816.9000000004</v>
      </c>
      <c r="G425" s="22">
        <v>45835</v>
      </c>
      <c r="H425" s="21" t="s">
        <v>61</v>
      </c>
      <c r="I425" s="51" t="str">
        <f>IFERROR(IF(VLOOKUP(E425,extracto!C:C,1,FALSE)=E425,"pagado","no pagado"),"no pagado")</f>
        <v>pagado</v>
      </c>
      <c r="J425" s="52" t="str">
        <f t="shared" si="282"/>
        <v>pagado</v>
      </c>
      <c r="K425" s="51" t="str">
        <f t="shared" ca="1" si="283"/>
        <v>excluir</v>
      </c>
      <c r="L425" s="51" t="str">
        <f t="shared" ca="1" si="284"/>
        <v>no semana</v>
      </c>
      <c r="M425" s="51" t="str">
        <f>IFERROR(VLOOKUP(E425,'cheques a conf'!A:D,4,FALSE),"no clearing")</f>
        <v>no clearing</v>
      </c>
      <c r="N425" s="51">
        <f t="shared" si="285"/>
        <v>26</v>
      </c>
      <c r="O425" s="53">
        <f t="shared" si="286"/>
        <v>6</v>
      </c>
      <c r="P425" s="53">
        <f t="shared" si="287"/>
        <v>2025</v>
      </c>
    </row>
    <row r="426" spans="1:16" customFormat="1" x14ac:dyDescent="0.25">
      <c r="A426" s="21">
        <v>3000000863</v>
      </c>
      <c r="B426" s="22">
        <v>45831</v>
      </c>
      <c r="C426" s="20">
        <v>8993594.9000000004</v>
      </c>
      <c r="D426" s="21" t="s">
        <v>285</v>
      </c>
      <c r="E426" s="21">
        <v>97123617</v>
      </c>
      <c r="F426" s="20">
        <v>8993594.9000000004</v>
      </c>
      <c r="G426" s="22">
        <v>45833</v>
      </c>
      <c r="H426" s="21" t="s">
        <v>61</v>
      </c>
      <c r="I426" s="51" t="str">
        <f>IFERROR(IF(VLOOKUP(E426,extracto!C:C,1,FALSE)=E426,"pagado","no pagado"),"no pagado")</f>
        <v>pagado</v>
      </c>
      <c r="J426" s="52" t="str">
        <f t="shared" si="282"/>
        <v>pagado</v>
      </c>
      <c r="K426" s="51" t="str">
        <f t="shared" ca="1" si="283"/>
        <v>excluir</v>
      </c>
      <c r="L426" s="51" t="str">
        <f t="shared" ca="1" si="284"/>
        <v>no semana</v>
      </c>
      <c r="M426" s="51" t="str">
        <f>IFERROR(VLOOKUP(E426,'cheques a conf'!A:D,4,FALSE),"no clearing")</f>
        <v>no clearing</v>
      </c>
      <c r="N426" s="51">
        <f t="shared" si="285"/>
        <v>26</v>
      </c>
      <c r="O426" s="53">
        <f t="shared" si="286"/>
        <v>6</v>
      </c>
      <c r="P426" s="53">
        <f t="shared" si="287"/>
        <v>2025</v>
      </c>
    </row>
    <row r="427" spans="1:16" customFormat="1" x14ac:dyDescent="0.25">
      <c r="A427" s="21">
        <v>3000000864</v>
      </c>
      <c r="B427" s="22">
        <v>45831</v>
      </c>
      <c r="C427" s="20">
        <v>11145836.800000001</v>
      </c>
      <c r="D427" s="21" t="s">
        <v>197</v>
      </c>
      <c r="E427" s="21">
        <v>97123618</v>
      </c>
      <c r="F427" s="20">
        <v>11145836.800000001</v>
      </c>
      <c r="G427" s="22">
        <v>45833</v>
      </c>
      <c r="H427" s="21" t="s">
        <v>61</v>
      </c>
      <c r="I427" s="51" t="str">
        <f>IFERROR(IF(VLOOKUP(E427,extracto!C:C,1,FALSE)=E427,"pagado","no pagado"),"no pagado")</f>
        <v>pagado</v>
      </c>
      <c r="J427" s="52" t="str">
        <f t="shared" si="282"/>
        <v>pagado</v>
      </c>
      <c r="K427" s="51" t="str">
        <f t="shared" ca="1" si="283"/>
        <v>excluir</v>
      </c>
      <c r="L427" s="51" t="str">
        <f t="shared" ca="1" si="284"/>
        <v>no semana</v>
      </c>
      <c r="M427" s="51" t="str">
        <f>IFERROR(VLOOKUP(E427,'cheques a conf'!A:D,4,FALSE),"no clearing")</f>
        <v>no clearing</v>
      </c>
      <c r="N427" s="51">
        <f t="shared" si="285"/>
        <v>26</v>
      </c>
      <c r="O427" s="53">
        <f t="shared" si="286"/>
        <v>6</v>
      </c>
      <c r="P427" s="53">
        <f t="shared" si="287"/>
        <v>2025</v>
      </c>
    </row>
    <row r="428" spans="1:16" customFormat="1" x14ac:dyDescent="0.25">
      <c r="A428" s="21">
        <v>3000000865</v>
      </c>
      <c r="B428" s="22">
        <v>45831</v>
      </c>
      <c r="C428" s="20">
        <v>4814492.37</v>
      </c>
      <c r="D428" s="21" t="s">
        <v>400</v>
      </c>
      <c r="E428" s="21">
        <v>97123619</v>
      </c>
      <c r="F428" s="20">
        <v>4814492.37</v>
      </c>
      <c r="G428" s="22">
        <v>45833</v>
      </c>
      <c r="H428" s="21" t="s">
        <v>61</v>
      </c>
      <c r="I428" s="51" t="str">
        <f>IFERROR(IF(VLOOKUP(E428,extracto!C:C,1,FALSE)=E428,"pagado","no pagado"),"no pagado")</f>
        <v>pagado</v>
      </c>
      <c r="J428" s="52" t="str">
        <f t="shared" si="282"/>
        <v>pagado</v>
      </c>
      <c r="K428" s="51" t="str">
        <f t="shared" ca="1" si="283"/>
        <v>excluir</v>
      </c>
      <c r="L428" s="51" t="str">
        <f t="shared" ca="1" si="284"/>
        <v>no semana</v>
      </c>
      <c r="M428" s="51" t="str">
        <f>IFERROR(VLOOKUP(E428,'cheques a conf'!A:D,4,FALSE),"no clearing")</f>
        <v>no clearing</v>
      </c>
      <c r="N428" s="51">
        <f t="shared" si="285"/>
        <v>26</v>
      </c>
      <c r="O428" s="53">
        <f t="shared" si="286"/>
        <v>6</v>
      </c>
      <c r="P428" s="53">
        <f t="shared" si="287"/>
        <v>2025</v>
      </c>
    </row>
    <row r="429" spans="1:16" customFormat="1" x14ac:dyDescent="0.25">
      <c r="A429" s="21">
        <v>3000000866</v>
      </c>
      <c r="B429" s="22">
        <v>45831</v>
      </c>
      <c r="C429" s="20">
        <v>12829097.619999999</v>
      </c>
      <c r="D429" s="21" t="s">
        <v>358</v>
      </c>
      <c r="E429" s="21">
        <v>97123620</v>
      </c>
      <c r="F429" s="20">
        <v>12829097.619999999</v>
      </c>
      <c r="G429" s="22">
        <v>45834</v>
      </c>
      <c r="H429" s="21" t="s">
        <v>61</v>
      </c>
      <c r="I429" s="51" t="str">
        <f>IFERROR(IF(VLOOKUP(E429,extracto!C:C,1,FALSE)=E429,"pagado","no pagado"),"no pagado")</f>
        <v>pagado</v>
      </c>
      <c r="J429" s="52" t="str">
        <f t="shared" si="282"/>
        <v>pagado</v>
      </c>
      <c r="K429" s="51" t="str">
        <f t="shared" ca="1" si="283"/>
        <v>excluir</v>
      </c>
      <c r="L429" s="51" t="str">
        <f t="shared" ca="1" si="284"/>
        <v>no semana</v>
      </c>
      <c r="M429" s="51" t="str">
        <f>IFERROR(VLOOKUP(E429,'cheques a conf'!A:D,4,FALSE),"no clearing")</f>
        <v>no clearing</v>
      </c>
      <c r="N429" s="51">
        <f t="shared" si="285"/>
        <v>26</v>
      </c>
      <c r="O429" s="53">
        <f t="shared" si="286"/>
        <v>6</v>
      </c>
      <c r="P429" s="53">
        <f t="shared" si="287"/>
        <v>2025</v>
      </c>
    </row>
    <row r="430" spans="1:16" customFormat="1" x14ac:dyDescent="0.25">
      <c r="A430" s="21">
        <v>3000000867</v>
      </c>
      <c r="B430" s="22">
        <v>45831</v>
      </c>
      <c r="C430" s="20">
        <v>5180962.74</v>
      </c>
      <c r="D430" s="21" t="s">
        <v>350</v>
      </c>
      <c r="E430" s="21">
        <v>97123621</v>
      </c>
      <c r="F430" s="20">
        <v>5180962.74</v>
      </c>
      <c r="G430" s="22">
        <v>45834</v>
      </c>
      <c r="H430" s="21" t="s">
        <v>61</v>
      </c>
      <c r="I430" s="51" t="str">
        <f>IFERROR(IF(VLOOKUP(E430,extracto!C:C,1,FALSE)=E430,"pagado","no pagado"),"no pagado")</f>
        <v>pagado</v>
      </c>
      <c r="J430" s="52" t="str">
        <f t="shared" ref="J430:J437" si="288">IF(I430="pagado","pagado",IF(G430&lt;$V$1-30,"fuera de fecha","en periodo de pago"))</f>
        <v>pagado</v>
      </c>
      <c r="K430" s="51" t="str">
        <f t="shared" ref="K430:K437" ca="1" si="289">+IF(B430&gt;$V$1,"excluir",IF(J430="en periodo de pago",IF($V$1&gt;G430,"a pagar","proximo a vencer"),"excluir"))</f>
        <v>excluir</v>
      </c>
      <c r="L430" s="51" t="str">
        <f t="shared" ref="L430:L437" ca="1" si="290">+IF(K430="proximo a vencer",IF($V$1+5&gt;G430,"para la semana","no semana"),"no semana")</f>
        <v>no semana</v>
      </c>
      <c r="M430" s="51" t="str">
        <f>IFERROR(VLOOKUP(E430,'cheques a conf'!A:D,4,FALSE),"no clearing")</f>
        <v>no clearing</v>
      </c>
      <c r="N430" s="51">
        <f t="shared" ref="N430:N437" si="291">+WEEKNUM(G430,2)</f>
        <v>26</v>
      </c>
      <c r="O430" s="53">
        <f t="shared" ref="O430:O437" si="292">+MONTH(G430)</f>
        <v>6</v>
      </c>
      <c r="P430" s="53">
        <f t="shared" ref="P430:P437" si="293">+YEAR(G430)</f>
        <v>2025</v>
      </c>
    </row>
    <row r="431" spans="1:16" customFormat="1" x14ac:dyDescent="0.25">
      <c r="A431" s="21">
        <v>3000000869</v>
      </c>
      <c r="B431" s="22">
        <v>45831</v>
      </c>
      <c r="C431" s="20">
        <v>5939823.7999999998</v>
      </c>
      <c r="D431" s="21" t="s">
        <v>300</v>
      </c>
      <c r="E431" s="21">
        <v>97123624</v>
      </c>
      <c r="F431" s="20">
        <v>5939823.7999999998</v>
      </c>
      <c r="G431" s="22">
        <v>45834</v>
      </c>
      <c r="H431" s="21" t="s">
        <v>61</v>
      </c>
      <c r="I431" s="51" t="str">
        <f>IFERROR(IF(VLOOKUP(E431,extracto!C:C,1,FALSE)=E431,"pagado","no pagado"),"no pagado")</f>
        <v>pagado</v>
      </c>
      <c r="J431" s="52" t="str">
        <f t="shared" si="288"/>
        <v>pagado</v>
      </c>
      <c r="K431" s="51" t="str">
        <f t="shared" ca="1" si="289"/>
        <v>excluir</v>
      </c>
      <c r="L431" s="51" t="str">
        <f t="shared" ca="1" si="290"/>
        <v>no semana</v>
      </c>
      <c r="M431" s="51" t="str">
        <f>IFERROR(VLOOKUP(E431,'cheques a conf'!A:D,4,FALSE),"no clearing")</f>
        <v>no clearing</v>
      </c>
      <c r="N431" s="51">
        <f t="shared" si="291"/>
        <v>26</v>
      </c>
      <c r="O431" s="53">
        <f t="shared" si="292"/>
        <v>6</v>
      </c>
      <c r="P431" s="53">
        <f t="shared" si="293"/>
        <v>2025</v>
      </c>
    </row>
    <row r="432" spans="1:16" customFormat="1" x14ac:dyDescent="0.25">
      <c r="A432" s="21">
        <v>3000000870</v>
      </c>
      <c r="B432" s="22">
        <v>45831</v>
      </c>
      <c r="C432" s="20">
        <v>6796200.9199999999</v>
      </c>
      <c r="D432" s="21" t="s">
        <v>289</v>
      </c>
      <c r="E432" s="21">
        <v>97123625</v>
      </c>
      <c r="F432" s="20">
        <v>6796200.9199999999</v>
      </c>
      <c r="G432" s="22">
        <v>45834</v>
      </c>
      <c r="H432" s="21" t="s">
        <v>61</v>
      </c>
      <c r="I432" s="51" t="str">
        <f>IFERROR(IF(VLOOKUP(E432,extracto!C:C,1,FALSE)=E432,"pagado","no pagado"),"no pagado")</f>
        <v>pagado</v>
      </c>
      <c r="J432" s="52" t="str">
        <f t="shared" si="288"/>
        <v>pagado</v>
      </c>
      <c r="K432" s="51" t="str">
        <f t="shared" ca="1" si="289"/>
        <v>excluir</v>
      </c>
      <c r="L432" s="51" t="str">
        <f t="shared" ca="1" si="290"/>
        <v>no semana</v>
      </c>
      <c r="M432" s="51" t="str">
        <f>IFERROR(VLOOKUP(E432,'cheques a conf'!A:D,4,FALSE),"no clearing")</f>
        <v>no clearing</v>
      </c>
      <c r="N432" s="51">
        <f t="shared" si="291"/>
        <v>26</v>
      </c>
      <c r="O432" s="53">
        <f t="shared" si="292"/>
        <v>6</v>
      </c>
      <c r="P432" s="53">
        <f t="shared" si="293"/>
        <v>2025</v>
      </c>
    </row>
    <row r="433" spans="1:16" customFormat="1" x14ac:dyDescent="0.25">
      <c r="A433">
        <v>3000000890</v>
      </c>
      <c r="B433" s="3">
        <v>45833</v>
      </c>
      <c r="C433" s="9">
        <v>20000000</v>
      </c>
      <c r="D433" t="s">
        <v>359</v>
      </c>
      <c r="E433">
        <v>97123632</v>
      </c>
      <c r="F433" s="9">
        <v>20000000</v>
      </c>
      <c r="G433" s="3">
        <v>45838</v>
      </c>
      <c r="H433" s="21" t="s">
        <v>61</v>
      </c>
      <c r="I433" s="51" t="str">
        <f>IFERROR(IF(VLOOKUP(E433,extracto!C:C,1,FALSE)=E433,"pagado","no pagado"),"no pagado")</f>
        <v>pagado</v>
      </c>
      <c r="J433" s="52" t="str">
        <f t="shared" si="288"/>
        <v>pagado</v>
      </c>
      <c r="K433" s="51" t="str">
        <f t="shared" ca="1" si="289"/>
        <v>excluir</v>
      </c>
      <c r="L433" s="51" t="str">
        <f t="shared" ca="1" si="290"/>
        <v>no semana</v>
      </c>
      <c r="M433" s="51" t="str">
        <f>IFERROR(VLOOKUP(E433,'cheques a conf'!A:D,4,FALSE),"no clearing")</f>
        <v>no clearing</v>
      </c>
      <c r="N433" s="51">
        <f t="shared" si="291"/>
        <v>27</v>
      </c>
      <c r="O433" s="53">
        <f t="shared" si="292"/>
        <v>6</v>
      </c>
      <c r="P433" s="53">
        <f t="shared" si="293"/>
        <v>2025</v>
      </c>
    </row>
    <row r="434" spans="1:16" customFormat="1" x14ac:dyDescent="0.25">
      <c r="A434">
        <v>3000000890</v>
      </c>
      <c r="B434" s="3">
        <v>45833</v>
      </c>
      <c r="C434" s="9">
        <v>17457675.149999999</v>
      </c>
      <c r="D434" t="s">
        <v>359</v>
      </c>
      <c r="E434">
        <v>97123633</v>
      </c>
      <c r="F434" s="9">
        <v>17457675.149999999</v>
      </c>
      <c r="G434" s="3">
        <v>45839</v>
      </c>
      <c r="H434" s="21" t="s">
        <v>61</v>
      </c>
      <c r="I434" s="51" t="str">
        <f>IFERROR(IF(VLOOKUP(E434,extracto!C:C,1,FALSE)=E434,"pagado","no pagado"),"no pagado")</f>
        <v>pagado</v>
      </c>
      <c r="J434" s="52" t="str">
        <f t="shared" si="288"/>
        <v>pagado</v>
      </c>
      <c r="K434" s="51" t="str">
        <f t="shared" ca="1" si="289"/>
        <v>excluir</v>
      </c>
      <c r="L434" s="51" t="str">
        <f t="shared" ca="1" si="290"/>
        <v>no semana</v>
      </c>
      <c r="M434" s="51" t="str">
        <f>IFERROR(VLOOKUP(E434,'cheques a conf'!A:D,4,FALSE),"no clearing")</f>
        <v>no clearing</v>
      </c>
      <c r="N434" s="51">
        <f t="shared" si="291"/>
        <v>27</v>
      </c>
      <c r="O434" s="53">
        <f t="shared" si="292"/>
        <v>7</v>
      </c>
      <c r="P434" s="53">
        <f t="shared" si="293"/>
        <v>2025</v>
      </c>
    </row>
    <row r="435" spans="1:16" customFormat="1" x14ac:dyDescent="0.25">
      <c r="A435">
        <v>3000000892</v>
      </c>
      <c r="B435" s="3">
        <v>45833</v>
      </c>
      <c r="C435" s="9">
        <v>20000000</v>
      </c>
      <c r="D435" t="s">
        <v>363</v>
      </c>
      <c r="E435">
        <v>97123635</v>
      </c>
      <c r="F435" s="9">
        <v>20000000</v>
      </c>
      <c r="G435" s="3">
        <v>45838</v>
      </c>
      <c r="H435" s="21" t="s">
        <v>61</v>
      </c>
      <c r="I435" s="51" t="str">
        <f>IFERROR(IF(VLOOKUP(E435,extracto!C:C,1,FALSE)=E435,"pagado","no pagado"),"no pagado")</f>
        <v>pagado</v>
      </c>
      <c r="J435" s="52" t="str">
        <f t="shared" si="288"/>
        <v>pagado</v>
      </c>
      <c r="K435" s="51" t="str">
        <f t="shared" ca="1" si="289"/>
        <v>excluir</v>
      </c>
      <c r="L435" s="51" t="str">
        <f t="shared" ca="1" si="290"/>
        <v>no semana</v>
      </c>
      <c r="M435" s="51" t="str">
        <f>IFERROR(VLOOKUP(E435,'cheques a conf'!A:D,4,FALSE),"no clearing")</f>
        <v>no clearing</v>
      </c>
      <c r="N435" s="51">
        <f t="shared" si="291"/>
        <v>27</v>
      </c>
      <c r="O435" s="53">
        <f t="shared" si="292"/>
        <v>6</v>
      </c>
      <c r="P435" s="53">
        <f t="shared" si="293"/>
        <v>2025</v>
      </c>
    </row>
    <row r="436" spans="1:16" customFormat="1" x14ac:dyDescent="0.25">
      <c r="A436">
        <v>3000000892</v>
      </c>
      <c r="B436" s="3">
        <v>45833</v>
      </c>
      <c r="C436" s="9">
        <v>21178447.57</v>
      </c>
      <c r="D436" t="s">
        <v>363</v>
      </c>
      <c r="E436">
        <v>97123636</v>
      </c>
      <c r="F436" s="9">
        <v>21178447.57</v>
      </c>
      <c r="G436" s="3">
        <v>45839</v>
      </c>
      <c r="H436" s="21" t="s">
        <v>61</v>
      </c>
      <c r="I436" s="51" t="str">
        <f>IFERROR(IF(VLOOKUP(E436,extracto!C:C,1,FALSE)=E436,"pagado","no pagado"),"no pagado")</f>
        <v>pagado</v>
      </c>
      <c r="J436" s="52" t="str">
        <f t="shared" si="288"/>
        <v>pagado</v>
      </c>
      <c r="K436" s="51" t="str">
        <f t="shared" ca="1" si="289"/>
        <v>excluir</v>
      </c>
      <c r="L436" s="51" t="str">
        <f t="shared" ca="1" si="290"/>
        <v>no semana</v>
      </c>
      <c r="M436" s="51" t="str">
        <f>IFERROR(VLOOKUP(E436,'cheques a conf'!A:D,4,FALSE),"no clearing")</f>
        <v>no clearing</v>
      </c>
      <c r="N436" s="51">
        <f t="shared" si="291"/>
        <v>27</v>
      </c>
      <c r="O436" s="53">
        <f t="shared" si="292"/>
        <v>7</v>
      </c>
      <c r="P436" s="53">
        <f t="shared" si="293"/>
        <v>2025</v>
      </c>
    </row>
    <row r="437" spans="1:16" customFormat="1" x14ac:dyDescent="0.25">
      <c r="A437">
        <v>3000000887</v>
      </c>
      <c r="B437" s="3">
        <v>45833</v>
      </c>
      <c r="C437" s="9">
        <v>11824089.029999999</v>
      </c>
      <c r="D437" t="s">
        <v>301</v>
      </c>
      <c r="E437">
        <v>97123629</v>
      </c>
      <c r="F437" s="9">
        <v>11824089.029999999</v>
      </c>
      <c r="G437" s="3">
        <v>45838</v>
      </c>
      <c r="H437" s="21" t="s">
        <v>61</v>
      </c>
      <c r="I437" s="51" t="str">
        <f>IFERROR(IF(VLOOKUP(E437,extracto!C:C,1,FALSE)=E437,"pagado","no pagado"),"no pagado")</f>
        <v>pagado</v>
      </c>
      <c r="J437" s="52" t="str">
        <f t="shared" si="288"/>
        <v>pagado</v>
      </c>
      <c r="K437" s="51" t="str">
        <f t="shared" ca="1" si="289"/>
        <v>excluir</v>
      </c>
      <c r="L437" s="51" t="str">
        <f t="shared" ca="1" si="290"/>
        <v>no semana</v>
      </c>
      <c r="M437" s="51" t="str">
        <f>IFERROR(VLOOKUP(E437,'cheques a conf'!A:D,4,FALSE),"no clearing")</f>
        <v>no clearing</v>
      </c>
      <c r="N437" s="51">
        <f t="shared" si="291"/>
        <v>27</v>
      </c>
      <c r="O437" s="53">
        <f t="shared" si="292"/>
        <v>6</v>
      </c>
      <c r="P437" s="53">
        <f t="shared" si="293"/>
        <v>2025</v>
      </c>
    </row>
    <row r="438" spans="1:16" customFormat="1" x14ac:dyDescent="0.25">
      <c r="A438">
        <v>3000000888</v>
      </c>
      <c r="B438" s="3">
        <v>45833</v>
      </c>
      <c r="C438" s="9">
        <v>7190472.1900000004</v>
      </c>
      <c r="D438" t="s">
        <v>338</v>
      </c>
      <c r="E438">
        <v>97123630</v>
      </c>
      <c r="F438" s="9">
        <v>7190472.1900000004</v>
      </c>
      <c r="G438" s="3">
        <v>45838</v>
      </c>
      <c r="H438" s="21" t="s">
        <v>61</v>
      </c>
      <c r="I438" s="51" t="str">
        <f>IFERROR(IF(VLOOKUP(E438,extracto!C:C,1,FALSE)=E438,"pagado","no pagado"),"no pagado")</f>
        <v>pagado</v>
      </c>
      <c r="J438" s="52" t="str">
        <f t="shared" ref="J438:J451" si="294">IF(I438="pagado","pagado",IF(G438&lt;$V$1-30,"fuera de fecha","en periodo de pago"))</f>
        <v>pagado</v>
      </c>
      <c r="K438" s="51" t="str">
        <f t="shared" ref="K438:K451" ca="1" si="295">+IF(B438&gt;$V$1,"excluir",IF(J438="en periodo de pago",IF($V$1&gt;G438,"a pagar","proximo a vencer"),"excluir"))</f>
        <v>excluir</v>
      </c>
      <c r="L438" s="51" t="str">
        <f t="shared" ref="L438:L451" ca="1" si="296">+IF(K438="proximo a vencer",IF($V$1+5&gt;G438,"para la semana","no semana"),"no semana")</f>
        <v>no semana</v>
      </c>
      <c r="M438" s="51" t="str">
        <f>IFERROR(VLOOKUP(E438,'cheques a conf'!A:D,4,FALSE),"no clearing")</f>
        <v>no clearing</v>
      </c>
      <c r="N438" s="51">
        <f t="shared" ref="N438:N451" si="297">+WEEKNUM(G438,2)</f>
        <v>27</v>
      </c>
      <c r="O438" s="53">
        <f t="shared" ref="O438:O451" si="298">+MONTH(G438)</f>
        <v>6</v>
      </c>
      <c r="P438" s="53">
        <f t="shared" ref="P438:P451" si="299">+YEAR(G438)</f>
        <v>2025</v>
      </c>
    </row>
    <row r="439" spans="1:16" customFormat="1" x14ac:dyDescent="0.25">
      <c r="A439">
        <v>3000000889</v>
      </c>
      <c r="B439" s="3">
        <v>45833</v>
      </c>
      <c r="C439" s="9">
        <v>13724424.23</v>
      </c>
      <c r="D439" t="s">
        <v>303</v>
      </c>
      <c r="E439">
        <v>97123631</v>
      </c>
      <c r="F439" s="9">
        <v>13724424.23</v>
      </c>
      <c r="G439" s="3">
        <v>45838</v>
      </c>
      <c r="H439" s="21" t="s">
        <v>61</v>
      </c>
      <c r="I439" s="51" t="str">
        <f>IFERROR(IF(VLOOKUP(E439,extracto!C:C,1,FALSE)=E439,"pagado","no pagado"),"no pagado")</f>
        <v>pagado</v>
      </c>
      <c r="J439" s="52" t="str">
        <f t="shared" si="294"/>
        <v>pagado</v>
      </c>
      <c r="K439" s="51" t="str">
        <f t="shared" ca="1" si="295"/>
        <v>excluir</v>
      </c>
      <c r="L439" s="51" t="str">
        <f t="shared" ca="1" si="296"/>
        <v>no semana</v>
      </c>
      <c r="M439" s="51" t="str">
        <f>IFERROR(VLOOKUP(E439,'cheques a conf'!A:D,4,FALSE),"no clearing")</f>
        <v>no clearing</v>
      </c>
      <c r="N439" s="51">
        <f t="shared" si="297"/>
        <v>27</v>
      </c>
      <c r="O439" s="53">
        <f t="shared" si="298"/>
        <v>6</v>
      </c>
      <c r="P439" s="53">
        <f t="shared" si="299"/>
        <v>2025</v>
      </c>
    </row>
    <row r="440" spans="1:16" customFormat="1" x14ac:dyDescent="0.25">
      <c r="A440">
        <v>3000000891</v>
      </c>
      <c r="B440" s="3">
        <v>45833</v>
      </c>
      <c r="C440" s="9">
        <v>5559576.6200000001</v>
      </c>
      <c r="D440" t="s">
        <v>392</v>
      </c>
      <c r="E440">
        <v>97123634</v>
      </c>
      <c r="F440" s="9">
        <v>5559576.6200000001</v>
      </c>
      <c r="G440" s="3">
        <v>45838</v>
      </c>
      <c r="H440" s="21" t="s">
        <v>61</v>
      </c>
      <c r="I440" s="51" t="str">
        <f>IFERROR(IF(VLOOKUP(E440,extracto!C:C,1,FALSE)=E440,"pagado","no pagado"),"no pagado")</f>
        <v>pagado</v>
      </c>
      <c r="J440" s="52" t="str">
        <f t="shared" si="294"/>
        <v>pagado</v>
      </c>
      <c r="K440" s="51" t="str">
        <f t="shared" ca="1" si="295"/>
        <v>excluir</v>
      </c>
      <c r="L440" s="51" t="str">
        <f t="shared" ca="1" si="296"/>
        <v>no semana</v>
      </c>
      <c r="M440" s="51" t="str">
        <f>IFERROR(VLOOKUP(E440,'cheques a conf'!A:D,4,FALSE),"no clearing")</f>
        <v>no clearing</v>
      </c>
      <c r="N440" s="51">
        <f t="shared" si="297"/>
        <v>27</v>
      </c>
      <c r="O440" s="53">
        <f t="shared" si="298"/>
        <v>6</v>
      </c>
      <c r="P440" s="53">
        <f t="shared" si="299"/>
        <v>2025</v>
      </c>
    </row>
    <row r="441" spans="1:16" customFormat="1" x14ac:dyDescent="0.25">
      <c r="A441">
        <v>3000000893</v>
      </c>
      <c r="B441" s="3">
        <v>45833</v>
      </c>
      <c r="C441" s="9">
        <v>10632112.869999999</v>
      </c>
      <c r="D441" t="s">
        <v>396</v>
      </c>
      <c r="E441">
        <v>97123637</v>
      </c>
      <c r="F441" s="9">
        <v>10632112.869999999</v>
      </c>
      <c r="G441" s="3">
        <v>45838</v>
      </c>
      <c r="H441" s="21" t="s">
        <v>61</v>
      </c>
      <c r="I441" s="51" t="str">
        <f>IFERROR(IF(VLOOKUP(E441,extracto!C:C,1,FALSE)=E441,"pagado","no pagado"),"no pagado")</f>
        <v>pagado</v>
      </c>
      <c r="J441" s="52" t="str">
        <f t="shared" si="294"/>
        <v>pagado</v>
      </c>
      <c r="K441" s="51" t="str">
        <f t="shared" ca="1" si="295"/>
        <v>excluir</v>
      </c>
      <c r="L441" s="51" t="str">
        <f t="shared" ca="1" si="296"/>
        <v>no semana</v>
      </c>
      <c r="M441" s="51" t="str">
        <f>IFERROR(VLOOKUP(E441,'cheques a conf'!A:D,4,FALSE),"no clearing")</f>
        <v>no clearing</v>
      </c>
      <c r="N441" s="51">
        <f t="shared" si="297"/>
        <v>27</v>
      </c>
      <c r="O441" s="53">
        <f t="shared" si="298"/>
        <v>6</v>
      </c>
      <c r="P441" s="53">
        <f t="shared" si="299"/>
        <v>2025</v>
      </c>
    </row>
    <row r="442" spans="1:16" customFormat="1" x14ac:dyDescent="0.25">
      <c r="A442">
        <v>3000000894</v>
      </c>
      <c r="B442" s="3">
        <v>45833</v>
      </c>
      <c r="C442" s="9">
        <v>2915331.01</v>
      </c>
      <c r="D442" t="s">
        <v>372</v>
      </c>
      <c r="E442">
        <v>97123638</v>
      </c>
      <c r="F442" s="9">
        <v>2915331.01</v>
      </c>
      <c r="G442" s="3">
        <v>45838</v>
      </c>
      <c r="H442" s="21" t="s">
        <v>61</v>
      </c>
      <c r="I442" s="51" t="str">
        <f>IFERROR(IF(VLOOKUP(E442,extracto!C:C,1,FALSE)=E442,"pagado","no pagado"),"no pagado")</f>
        <v>pagado</v>
      </c>
      <c r="J442" s="52" t="str">
        <f t="shared" si="294"/>
        <v>pagado</v>
      </c>
      <c r="K442" s="51" t="str">
        <f t="shared" ca="1" si="295"/>
        <v>excluir</v>
      </c>
      <c r="L442" s="51" t="str">
        <f t="shared" ca="1" si="296"/>
        <v>no semana</v>
      </c>
      <c r="M442" s="51" t="str">
        <f>IFERROR(VLOOKUP(E442,'cheques a conf'!A:D,4,FALSE),"no clearing")</f>
        <v>no clearing</v>
      </c>
      <c r="N442" s="51">
        <f t="shared" si="297"/>
        <v>27</v>
      </c>
      <c r="O442" s="53">
        <f t="shared" si="298"/>
        <v>6</v>
      </c>
      <c r="P442" s="53">
        <f t="shared" si="299"/>
        <v>2025</v>
      </c>
    </row>
    <row r="443" spans="1:16" customFormat="1" x14ac:dyDescent="0.25">
      <c r="A443" s="21">
        <v>3000000901</v>
      </c>
      <c r="B443" s="22">
        <v>45839</v>
      </c>
      <c r="C443" s="20">
        <v>10000000</v>
      </c>
      <c r="D443" s="21" t="s">
        <v>390</v>
      </c>
      <c r="E443" s="21">
        <v>97123639</v>
      </c>
      <c r="F443" s="20">
        <v>10000000</v>
      </c>
      <c r="G443" s="22">
        <v>45841</v>
      </c>
      <c r="H443" s="21" t="s">
        <v>61</v>
      </c>
      <c r="I443" s="51" t="str">
        <f>IFERROR(IF(VLOOKUP(E443,extracto!C:C,1,FALSE)=E443,"pagado","no pagado"),"no pagado")</f>
        <v>pagado</v>
      </c>
      <c r="J443" s="52" t="str">
        <f t="shared" si="294"/>
        <v>pagado</v>
      </c>
      <c r="K443" s="51" t="str">
        <f t="shared" ca="1" si="295"/>
        <v>excluir</v>
      </c>
      <c r="L443" s="51" t="str">
        <f t="shared" ca="1" si="296"/>
        <v>no semana</v>
      </c>
      <c r="M443" s="51" t="str">
        <f>IFERROR(VLOOKUP(E443,'cheques a conf'!A:D,4,FALSE),"no clearing")</f>
        <v>no clearing</v>
      </c>
      <c r="N443" s="51">
        <f t="shared" si="297"/>
        <v>27</v>
      </c>
      <c r="O443" s="53">
        <f t="shared" si="298"/>
        <v>7</v>
      </c>
      <c r="P443" s="53">
        <f t="shared" si="299"/>
        <v>2025</v>
      </c>
    </row>
    <row r="444" spans="1:16" customFormat="1" x14ac:dyDescent="0.25">
      <c r="A444" s="21">
        <v>3000000901</v>
      </c>
      <c r="B444" s="22">
        <v>45839</v>
      </c>
      <c r="C444" s="20">
        <v>9996863.8100000005</v>
      </c>
      <c r="D444" s="21" t="s">
        <v>390</v>
      </c>
      <c r="E444" s="21">
        <v>97123640</v>
      </c>
      <c r="F444" s="20">
        <v>9996863.8100000005</v>
      </c>
      <c r="G444" s="22">
        <v>45842</v>
      </c>
      <c r="H444" s="21" t="s">
        <v>61</v>
      </c>
      <c r="I444" s="51" t="str">
        <f>IFERROR(IF(VLOOKUP(E444,extracto!C:C,1,FALSE)=E444,"pagado","no pagado"),"no pagado")</f>
        <v>pagado</v>
      </c>
      <c r="J444" s="52" t="str">
        <f t="shared" si="294"/>
        <v>pagado</v>
      </c>
      <c r="K444" s="51" t="str">
        <f t="shared" ca="1" si="295"/>
        <v>excluir</v>
      </c>
      <c r="L444" s="51" t="str">
        <f t="shared" ca="1" si="296"/>
        <v>no semana</v>
      </c>
      <c r="M444" s="51" t="str">
        <f>IFERROR(VLOOKUP(E444,'cheques a conf'!A:D,4,FALSE),"no clearing")</f>
        <v>no clearing</v>
      </c>
      <c r="N444" s="51">
        <f t="shared" si="297"/>
        <v>27</v>
      </c>
      <c r="O444" s="53">
        <f t="shared" si="298"/>
        <v>7</v>
      </c>
      <c r="P444" s="53">
        <f t="shared" si="299"/>
        <v>2025</v>
      </c>
    </row>
    <row r="445" spans="1:16" customFormat="1" x14ac:dyDescent="0.25">
      <c r="A445" s="21">
        <v>3000000902</v>
      </c>
      <c r="B445" s="22">
        <v>45839</v>
      </c>
      <c r="C445" s="20">
        <v>12120815.51</v>
      </c>
      <c r="D445" s="21" t="s">
        <v>365</v>
      </c>
      <c r="E445" s="21">
        <v>97123641</v>
      </c>
      <c r="F445" s="20">
        <v>12120815.51</v>
      </c>
      <c r="G445" s="22">
        <v>45842</v>
      </c>
      <c r="H445" s="21" t="s">
        <v>61</v>
      </c>
      <c r="I445" s="51" t="str">
        <f>IFERROR(IF(VLOOKUP(E445,extracto!C:C,1,FALSE)=E445,"pagado","no pagado"),"no pagado")</f>
        <v>pagado</v>
      </c>
      <c r="J445" s="52" t="str">
        <f t="shared" si="294"/>
        <v>pagado</v>
      </c>
      <c r="K445" s="51" t="str">
        <f t="shared" ca="1" si="295"/>
        <v>excluir</v>
      </c>
      <c r="L445" s="51" t="str">
        <f t="shared" ca="1" si="296"/>
        <v>no semana</v>
      </c>
      <c r="M445" s="51" t="str">
        <f>IFERROR(VLOOKUP(E445,'cheques a conf'!A:D,4,FALSE),"no clearing")</f>
        <v>no clearing</v>
      </c>
      <c r="N445" s="51">
        <f t="shared" si="297"/>
        <v>27</v>
      </c>
      <c r="O445" s="53">
        <f t="shared" si="298"/>
        <v>7</v>
      </c>
      <c r="P445" s="53">
        <f t="shared" si="299"/>
        <v>2025</v>
      </c>
    </row>
    <row r="446" spans="1:16" customFormat="1" x14ac:dyDescent="0.25">
      <c r="A446" s="21">
        <v>3000000903</v>
      </c>
      <c r="B446" s="22">
        <v>45839</v>
      </c>
      <c r="C446" s="20">
        <v>7551342.5999999996</v>
      </c>
      <c r="D446" s="21" t="s">
        <v>197</v>
      </c>
      <c r="E446" s="21">
        <v>97123642</v>
      </c>
      <c r="F446" s="20">
        <v>7551342.5999999996</v>
      </c>
      <c r="G446" s="22">
        <v>45841</v>
      </c>
      <c r="H446" s="21" t="s">
        <v>61</v>
      </c>
      <c r="I446" s="51" t="str">
        <f>IFERROR(IF(VLOOKUP(E446,extracto!C:C,1,FALSE)=E446,"pagado","no pagado"),"no pagado")</f>
        <v>pagado</v>
      </c>
      <c r="J446" s="52" t="str">
        <f t="shared" si="294"/>
        <v>pagado</v>
      </c>
      <c r="K446" s="51" t="str">
        <f t="shared" ca="1" si="295"/>
        <v>excluir</v>
      </c>
      <c r="L446" s="51" t="str">
        <f t="shared" ca="1" si="296"/>
        <v>no semana</v>
      </c>
      <c r="M446" s="51" t="str">
        <f>IFERROR(VLOOKUP(E446,'cheques a conf'!A:D,4,FALSE),"no clearing")</f>
        <v>no clearing</v>
      </c>
      <c r="N446" s="51">
        <f t="shared" si="297"/>
        <v>27</v>
      </c>
      <c r="O446" s="53">
        <f t="shared" si="298"/>
        <v>7</v>
      </c>
      <c r="P446" s="53">
        <f t="shared" si="299"/>
        <v>2025</v>
      </c>
    </row>
    <row r="447" spans="1:16" customFormat="1" x14ac:dyDescent="0.25">
      <c r="A447" s="21">
        <v>3000000904</v>
      </c>
      <c r="B447" s="22">
        <v>45839</v>
      </c>
      <c r="C447" s="20">
        <v>8565013.9000000004</v>
      </c>
      <c r="D447" s="21" t="s">
        <v>350</v>
      </c>
      <c r="E447" s="21">
        <v>97123643</v>
      </c>
      <c r="F447" s="20">
        <v>8565013.9000000004</v>
      </c>
      <c r="G447" s="22">
        <v>45841</v>
      </c>
      <c r="H447" s="21" t="s">
        <v>61</v>
      </c>
      <c r="I447" s="51" t="str">
        <f>IFERROR(IF(VLOOKUP(E447,extracto!C:C,1,FALSE)=E447,"pagado","no pagado"),"no pagado")</f>
        <v>pagado</v>
      </c>
      <c r="J447" s="52" t="str">
        <f t="shared" si="294"/>
        <v>pagado</v>
      </c>
      <c r="K447" s="51" t="str">
        <f t="shared" ca="1" si="295"/>
        <v>excluir</v>
      </c>
      <c r="L447" s="51" t="str">
        <f t="shared" ca="1" si="296"/>
        <v>no semana</v>
      </c>
      <c r="M447" s="51" t="str">
        <f>IFERROR(VLOOKUP(E447,'cheques a conf'!A:D,4,FALSE),"no clearing")</f>
        <v>no clearing</v>
      </c>
      <c r="N447" s="51">
        <f t="shared" si="297"/>
        <v>27</v>
      </c>
      <c r="O447" s="53">
        <f t="shared" si="298"/>
        <v>7</v>
      </c>
      <c r="P447" s="53">
        <f t="shared" si="299"/>
        <v>2025</v>
      </c>
    </row>
    <row r="448" spans="1:16" customFormat="1" x14ac:dyDescent="0.25">
      <c r="A448" s="21">
        <v>3000000905</v>
      </c>
      <c r="B448" s="22">
        <v>45839</v>
      </c>
      <c r="C448" s="20">
        <v>1769343.4</v>
      </c>
      <c r="D448" s="21" t="s">
        <v>64</v>
      </c>
      <c r="E448" s="21">
        <v>97123644</v>
      </c>
      <c r="F448" s="20">
        <v>1769343.4</v>
      </c>
      <c r="G448" s="22">
        <v>45841</v>
      </c>
      <c r="H448" s="21" t="s">
        <v>61</v>
      </c>
      <c r="I448" s="51" t="str">
        <f>IFERROR(IF(VLOOKUP(E448,extracto!C:C,1,FALSE)=E448,"pagado","no pagado"),"no pagado")</f>
        <v>pagado</v>
      </c>
      <c r="J448" s="52" t="str">
        <f t="shared" si="294"/>
        <v>pagado</v>
      </c>
      <c r="K448" s="51" t="str">
        <f t="shared" ca="1" si="295"/>
        <v>excluir</v>
      </c>
      <c r="L448" s="51" t="str">
        <f t="shared" ca="1" si="296"/>
        <v>no semana</v>
      </c>
      <c r="M448" s="51" t="str">
        <f>IFERROR(VLOOKUP(E448,'cheques a conf'!A:D,4,FALSE),"no clearing")</f>
        <v>no clearing</v>
      </c>
      <c r="N448" s="51">
        <f t="shared" si="297"/>
        <v>27</v>
      </c>
      <c r="O448" s="53">
        <f t="shared" si="298"/>
        <v>7</v>
      </c>
      <c r="P448" s="53">
        <f t="shared" si="299"/>
        <v>2025</v>
      </c>
    </row>
    <row r="449" spans="1:16" customFormat="1" x14ac:dyDescent="0.25">
      <c r="A449" s="21">
        <v>3000000906</v>
      </c>
      <c r="B449" s="22">
        <v>45839</v>
      </c>
      <c r="C449" s="20">
        <v>9000000</v>
      </c>
      <c r="D449" s="21" t="s">
        <v>284</v>
      </c>
      <c r="E449" s="21">
        <v>97123645</v>
      </c>
      <c r="F449" s="20">
        <v>9000000</v>
      </c>
      <c r="G449" s="22">
        <v>45841</v>
      </c>
      <c r="H449" s="21" t="s">
        <v>61</v>
      </c>
      <c r="I449" s="51" t="str">
        <f>IFERROR(IF(VLOOKUP(E449,extracto!C:C,1,FALSE)=E449,"pagado","no pagado"),"no pagado")</f>
        <v>pagado</v>
      </c>
      <c r="J449" s="52" t="str">
        <f t="shared" si="294"/>
        <v>pagado</v>
      </c>
      <c r="K449" s="51" t="str">
        <f t="shared" ca="1" si="295"/>
        <v>excluir</v>
      </c>
      <c r="L449" s="51" t="str">
        <f t="shared" ca="1" si="296"/>
        <v>no semana</v>
      </c>
      <c r="M449" s="51" t="str">
        <f>IFERROR(VLOOKUP(E449,'cheques a conf'!A:D,4,FALSE),"no clearing")</f>
        <v>no clearing</v>
      </c>
      <c r="N449" s="51">
        <f t="shared" si="297"/>
        <v>27</v>
      </c>
      <c r="O449" s="53">
        <f t="shared" si="298"/>
        <v>7</v>
      </c>
      <c r="P449" s="53">
        <f t="shared" si="299"/>
        <v>2025</v>
      </c>
    </row>
    <row r="450" spans="1:16" customFormat="1" x14ac:dyDescent="0.25">
      <c r="A450" s="21">
        <v>3000000906</v>
      </c>
      <c r="B450" s="22">
        <v>45839</v>
      </c>
      <c r="C450" s="20">
        <v>8891883.4499999993</v>
      </c>
      <c r="D450" s="21" t="s">
        <v>284</v>
      </c>
      <c r="E450" s="21">
        <v>97123646</v>
      </c>
      <c r="F450" s="20">
        <v>8891883.4499999993</v>
      </c>
      <c r="G450" s="22">
        <v>45842</v>
      </c>
      <c r="H450" s="21" t="s">
        <v>61</v>
      </c>
      <c r="I450" s="51" t="str">
        <f>IFERROR(IF(VLOOKUP(E450,extracto!C:C,1,FALSE)=E450,"pagado","no pagado"),"no pagado")</f>
        <v>pagado</v>
      </c>
      <c r="J450" s="52" t="str">
        <f t="shared" si="294"/>
        <v>pagado</v>
      </c>
      <c r="K450" s="51" t="str">
        <f t="shared" ca="1" si="295"/>
        <v>excluir</v>
      </c>
      <c r="L450" s="51" t="str">
        <f t="shared" ca="1" si="296"/>
        <v>no semana</v>
      </c>
      <c r="M450" s="51" t="str">
        <f>IFERROR(VLOOKUP(E450,'cheques a conf'!A:D,4,FALSE),"no clearing")</f>
        <v>no clearing</v>
      </c>
      <c r="N450" s="51">
        <f t="shared" si="297"/>
        <v>27</v>
      </c>
      <c r="O450" s="53">
        <f t="shared" si="298"/>
        <v>7</v>
      </c>
      <c r="P450" s="53">
        <f t="shared" si="299"/>
        <v>2025</v>
      </c>
    </row>
    <row r="451" spans="1:16" customFormat="1" x14ac:dyDescent="0.25">
      <c r="A451" s="21">
        <v>3000000907</v>
      </c>
      <c r="B451" s="22">
        <v>45839</v>
      </c>
      <c r="C451" s="20">
        <v>5000000</v>
      </c>
      <c r="D451" s="21" t="s">
        <v>287</v>
      </c>
      <c r="E451" s="21">
        <v>97123647</v>
      </c>
      <c r="F451" s="20">
        <v>5000000</v>
      </c>
      <c r="G451" s="22">
        <v>45841</v>
      </c>
      <c r="H451" s="21" t="s">
        <v>61</v>
      </c>
      <c r="I451" s="51" t="str">
        <f>IFERROR(IF(VLOOKUP(E451,extracto!C:C,1,FALSE)=E451,"pagado","no pagado"),"no pagado")</f>
        <v>pagado</v>
      </c>
      <c r="J451" s="52" t="str">
        <f t="shared" si="294"/>
        <v>pagado</v>
      </c>
      <c r="K451" s="51" t="str">
        <f t="shared" ca="1" si="295"/>
        <v>excluir</v>
      </c>
      <c r="L451" s="51" t="str">
        <f t="shared" ca="1" si="296"/>
        <v>no semana</v>
      </c>
      <c r="M451" s="51" t="str">
        <f>IFERROR(VLOOKUP(E451,'cheques a conf'!A:D,4,FALSE),"no clearing")</f>
        <v>no clearing</v>
      </c>
      <c r="N451" s="51">
        <f t="shared" si="297"/>
        <v>27</v>
      </c>
      <c r="O451" s="53">
        <f t="shared" si="298"/>
        <v>7</v>
      </c>
      <c r="P451" s="53">
        <f t="shared" si="299"/>
        <v>2025</v>
      </c>
    </row>
    <row r="452" spans="1:16" customFormat="1" x14ac:dyDescent="0.25">
      <c r="A452" s="21">
        <v>3000000907</v>
      </c>
      <c r="B452" s="22">
        <v>45839</v>
      </c>
      <c r="C452" s="20">
        <v>5914278.4000000004</v>
      </c>
      <c r="D452" s="21" t="s">
        <v>287</v>
      </c>
      <c r="E452" s="21">
        <v>97123648</v>
      </c>
      <c r="F452" s="20">
        <v>5914278.4000000004</v>
      </c>
      <c r="G452" s="22">
        <v>45842</v>
      </c>
      <c r="H452" s="21" t="s">
        <v>61</v>
      </c>
      <c r="I452" s="51" t="str">
        <f>IFERROR(IF(VLOOKUP(E452,extracto!C:C,1,FALSE)=E452,"pagado","no pagado"),"no pagado")</f>
        <v>pagado</v>
      </c>
      <c r="J452" s="52" t="str">
        <f t="shared" ref="J452:J462" si="300">IF(I452="pagado","pagado",IF(G452&lt;$V$1-30,"fuera de fecha","en periodo de pago"))</f>
        <v>pagado</v>
      </c>
      <c r="K452" s="51" t="str">
        <f t="shared" ref="K452:K462" ca="1" si="301">+IF(B452&gt;$V$1,"excluir",IF(J452="en periodo de pago",IF($V$1&gt;G452,"a pagar","proximo a vencer"),"excluir"))</f>
        <v>excluir</v>
      </c>
      <c r="L452" s="51" t="str">
        <f t="shared" ref="L452:L462" ca="1" si="302">+IF(K452="proximo a vencer",IF($V$1+5&gt;G452,"para la semana","no semana"),"no semana")</f>
        <v>no semana</v>
      </c>
      <c r="M452" s="51" t="str">
        <f>IFERROR(VLOOKUP(E452,'cheques a conf'!A:D,4,FALSE),"no clearing")</f>
        <v>no clearing</v>
      </c>
      <c r="N452" s="51">
        <f t="shared" ref="N452:N462" si="303">+WEEKNUM(G452,2)</f>
        <v>27</v>
      </c>
      <c r="O452" s="53">
        <f t="shared" ref="O452:O462" si="304">+MONTH(G452)</f>
        <v>7</v>
      </c>
      <c r="P452" s="53">
        <f t="shared" ref="P452:P462" si="305">+YEAR(G452)</f>
        <v>2025</v>
      </c>
    </row>
    <row r="453" spans="1:16" customFormat="1" x14ac:dyDescent="0.25">
      <c r="A453" s="21">
        <v>3000000908</v>
      </c>
      <c r="B453" s="22">
        <v>45839</v>
      </c>
      <c r="C453" s="20">
        <v>5519368.6399999997</v>
      </c>
      <c r="D453" s="21" t="s">
        <v>354</v>
      </c>
      <c r="E453" s="21">
        <v>97123649</v>
      </c>
      <c r="F453" s="20">
        <v>5519368.6399999997</v>
      </c>
      <c r="G453" s="22">
        <v>45841</v>
      </c>
      <c r="H453" s="21" t="s">
        <v>61</v>
      </c>
      <c r="I453" s="51" t="str">
        <f>IFERROR(IF(VLOOKUP(E453,extracto!C:C,1,FALSE)=E453,"pagado","no pagado"),"no pagado")</f>
        <v>pagado</v>
      </c>
      <c r="J453" s="52" t="str">
        <f t="shared" si="300"/>
        <v>pagado</v>
      </c>
      <c r="K453" s="51" t="str">
        <f t="shared" ca="1" si="301"/>
        <v>excluir</v>
      </c>
      <c r="L453" s="51" t="str">
        <f t="shared" ca="1" si="302"/>
        <v>no semana</v>
      </c>
      <c r="M453" s="51" t="str">
        <f>IFERROR(VLOOKUP(E453,'cheques a conf'!A:D,4,FALSE),"no clearing")</f>
        <v>no clearing</v>
      </c>
      <c r="N453" s="51">
        <f t="shared" si="303"/>
        <v>27</v>
      </c>
      <c r="O453" s="53">
        <f t="shared" si="304"/>
        <v>7</v>
      </c>
      <c r="P453" s="53">
        <f t="shared" si="305"/>
        <v>2025</v>
      </c>
    </row>
    <row r="454" spans="1:16" customFormat="1" x14ac:dyDescent="0.25">
      <c r="A454" s="21">
        <v>3000000909</v>
      </c>
      <c r="B454" s="22">
        <v>45839</v>
      </c>
      <c r="C454" s="20">
        <v>12000000</v>
      </c>
      <c r="D454" s="21" t="s">
        <v>337</v>
      </c>
      <c r="E454" s="21">
        <v>97123650</v>
      </c>
      <c r="F454" s="20">
        <v>12000000</v>
      </c>
      <c r="G454" s="22">
        <v>45841</v>
      </c>
      <c r="H454" s="21" t="s">
        <v>61</v>
      </c>
      <c r="I454" s="51" t="str">
        <f>IFERROR(IF(VLOOKUP(E454,extracto!C:C,1,FALSE)=E454,"pagado","no pagado"),"no pagado")</f>
        <v>pagado</v>
      </c>
      <c r="J454" s="52" t="str">
        <f t="shared" si="300"/>
        <v>pagado</v>
      </c>
      <c r="K454" s="51" t="str">
        <f t="shared" ca="1" si="301"/>
        <v>excluir</v>
      </c>
      <c r="L454" s="51" t="str">
        <f t="shared" ca="1" si="302"/>
        <v>no semana</v>
      </c>
      <c r="M454" s="51" t="str">
        <f>IFERROR(VLOOKUP(E454,'cheques a conf'!A:D,4,FALSE),"no clearing")</f>
        <v>no clearing</v>
      </c>
      <c r="N454" s="51">
        <f t="shared" si="303"/>
        <v>27</v>
      </c>
      <c r="O454" s="53">
        <f t="shared" si="304"/>
        <v>7</v>
      </c>
      <c r="P454" s="53">
        <f t="shared" si="305"/>
        <v>2025</v>
      </c>
    </row>
    <row r="455" spans="1:16" customFormat="1" x14ac:dyDescent="0.25">
      <c r="A455" s="21">
        <v>3000000909</v>
      </c>
      <c r="B455" s="22">
        <v>45839</v>
      </c>
      <c r="C455" s="20">
        <v>11818996.720000001</v>
      </c>
      <c r="D455" s="21" t="s">
        <v>337</v>
      </c>
      <c r="E455" s="21">
        <v>97123651</v>
      </c>
      <c r="F455" s="20">
        <v>11818996.720000001</v>
      </c>
      <c r="G455" s="22">
        <v>45842</v>
      </c>
      <c r="H455" s="21" t="s">
        <v>61</v>
      </c>
      <c r="I455" s="51" t="str">
        <f>IFERROR(IF(VLOOKUP(E455,extracto!C:C,1,FALSE)=E455,"pagado","no pagado"),"no pagado")</f>
        <v>pagado</v>
      </c>
      <c r="J455" s="52" t="str">
        <f t="shared" si="300"/>
        <v>pagado</v>
      </c>
      <c r="K455" s="51" t="str">
        <f t="shared" ca="1" si="301"/>
        <v>excluir</v>
      </c>
      <c r="L455" s="51" t="str">
        <f t="shared" ca="1" si="302"/>
        <v>no semana</v>
      </c>
      <c r="M455" s="51" t="str">
        <f>IFERROR(VLOOKUP(E455,'cheques a conf'!A:D,4,FALSE),"no clearing")</f>
        <v>no clearing</v>
      </c>
      <c r="N455" s="51">
        <f t="shared" si="303"/>
        <v>27</v>
      </c>
      <c r="O455" s="53">
        <f t="shared" si="304"/>
        <v>7</v>
      </c>
      <c r="P455" s="53">
        <f t="shared" si="305"/>
        <v>2025</v>
      </c>
    </row>
    <row r="456" spans="1:16" customFormat="1" x14ac:dyDescent="0.25">
      <c r="A456" s="21">
        <v>3000000910</v>
      </c>
      <c r="B456" s="22">
        <v>45839</v>
      </c>
      <c r="C456" s="20">
        <v>14438937.970000001</v>
      </c>
      <c r="D456" s="21" t="s">
        <v>384</v>
      </c>
      <c r="E456" s="21">
        <v>97123652</v>
      </c>
      <c r="F456" s="20">
        <v>14438937.970000001</v>
      </c>
      <c r="G456" s="22">
        <v>45842</v>
      </c>
      <c r="H456" s="21" t="s">
        <v>61</v>
      </c>
      <c r="I456" s="51" t="str">
        <f>IFERROR(IF(VLOOKUP(E456,extracto!C:C,1,FALSE)=E456,"pagado","no pagado"),"no pagado")</f>
        <v>pagado</v>
      </c>
      <c r="J456" s="52" t="str">
        <f t="shared" si="300"/>
        <v>pagado</v>
      </c>
      <c r="K456" s="51" t="str">
        <f t="shared" ca="1" si="301"/>
        <v>excluir</v>
      </c>
      <c r="L456" s="51" t="str">
        <f t="shared" ca="1" si="302"/>
        <v>no semana</v>
      </c>
      <c r="M456" s="51" t="str">
        <f>IFERROR(VLOOKUP(E456,'cheques a conf'!A:D,4,FALSE),"no clearing")</f>
        <v>no clearing</v>
      </c>
      <c r="N456" s="51">
        <f t="shared" si="303"/>
        <v>27</v>
      </c>
      <c r="O456" s="53">
        <f t="shared" si="304"/>
        <v>7</v>
      </c>
      <c r="P456" s="53">
        <f t="shared" si="305"/>
        <v>2025</v>
      </c>
    </row>
    <row r="457" spans="1:16" customFormat="1" x14ac:dyDescent="0.25">
      <c r="A457" s="21">
        <v>3000000911</v>
      </c>
      <c r="B457" s="22">
        <v>45839</v>
      </c>
      <c r="C457" s="20">
        <v>10000000</v>
      </c>
      <c r="D457" s="21" t="s">
        <v>26</v>
      </c>
      <c r="E457" s="21">
        <v>97123653</v>
      </c>
      <c r="F457" s="20">
        <v>10000000</v>
      </c>
      <c r="G457" s="22">
        <v>45841</v>
      </c>
      <c r="H457" s="21" t="s">
        <v>61</v>
      </c>
      <c r="I457" s="51" t="str">
        <f>IFERROR(IF(VLOOKUP(E457,extracto!C:C,1,FALSE)=E457,"pagado","no pagado"),"no pagado")</f>
        <v>pagado</v>
      </c>
      <c r="J457" s="52" t="str">
        <f t="shared" si="300"/>
        <v>pagado</v>
      </c>
      <c r="K457" s="51" t="str">
        <f t="shared" ca="1" si="301"/>
        <v>excluir</v>
      </c>
      <c r="L457" s="51" t="str">
        <f t="shared" ca="1" si="302"/>
        <v>no semana</v>
      </c>
      <c r="M457" s="51" t="str">
        <f>IFERROR(VLOOKUP(E457,'cheques a conf'!A:D,4,FALSE),"no clearing")</f>
        <v>no clearing</v>
      </c>
      <c r="N457" s="51">
        <f t="shared" si="303"/>
        <v>27</v>
      </c>
      <c r="O457" s="53">
        <f t="shared" si="304"/>
        <v>7</v>
      </c>
      <c r="P457" s="53">
        <f t="shared" si="305"/>
        <v>2025</v>
      </c>
    </row>
    <row r="458" spans="1:16" customFormat="1" x14ac:dyDescent="0.25">
      <c r="A458" s="21">
        <v>3000000911</v>
      </c>
      <c r="B458" s="22">
        <v>45839</v>
      </c>
      <c r="C458" s="20">
        <v>11004621.82</v>
      </c>
      <c r="D458" s="21" t="s">
        <v>26</v>
      </c>
      <c r="E458" s="21">
        <v>97123654</v>
      </c>
      <c r="F458" s="20">
        <v>11004621.82</v>
      </c>
      <c r="G458" s="22">
        <v>45842</v>
      </c>
      <c r="H458" s="21" t="s">
        <v>61</v>
      </c>
      <c r="I458" s="51" t="str">
        <f>IFERROR(IF(VLOOKUP(E458,extracto!C:C,1,FALSE)=E458,"pagado","no pagado"),"no pagado")</f>
        <v>pagado</v>
      </c>
      <c r="J458" s="52" t="str">
        <f t="shared" si="300"/>
        <v>pagado</v>
      </c>
      <c r="K458" s="51" t="str">
        <f t="shared" ca="1" si="301"/>
        <v>excluir</v>
      </c>
      <c r="L458" s="51" t="str">
        <f t="shared" ca="1" si="302"/>
        <v>no semana</v>
      </c>
      <c r="M458" s="51" t="str">
        <f>IFERROR(VLOOKUP(E458,'cheques a conf'!A:D,4,FALSE),"no clearing")</f>
        <v>no clearing</v>
      </c>
      <c r="N458" s="51">
        <f t="shared" si="303"/>
        <v>27</v>
      </c>
      <c r="O458" s="53">
        <f t="shared" si="304"/>
        <v>7</v>
      </c>
      <c r="P458" s="53">
        <f t="shared" si="305"/>
        <v>2025</v>
      </c>
    </row>
    <row r="459" spans="1:16" customFormat="1" x14ac:dyDescent="0.25">
      <c r="A459" s="21">
        <v>3000000912</v>
      </c>
      <c r="B459" s="22">
        <v>45839</v>
      </c>
      <c r="C459" s="20">
        <v>3820656.17</v>
      </c>
      <c r="D459" s="21" t="s">
        <v>340</v>
      </c>
      <c r="E459" s="21">
        <v>97123655</v>
      </c>
      <c r="F459" s="20">
        <v>3820656.17</v>
      </c>
      <c r="G459" s="22">
        <v>45841</v>
      </c>
      <c r="H459" s="21" t="s">
        <v>61</v>
      </c>
      <c r="I459" s="51" t="str">
        <f>IFERROR(IF(VLOOKUP(E459,extracto!C:C,1,FALSE)=E459,"pagado","no pagado"),"no pagado")</f>
        <v>pagado</v>
      </c>
      <c r="J459" s="52" t="str">
        <f t="shared" si="300"/>
        <v>pagado</v>
      </c>
      <c r="K459" s="51" t="str">
        <f t="shared" ca="1" si="301"/>
        <v>excluir</v>
      </c>
      <c r="L459" s="51" t="str">
        <f t="shared" ca="1" si="302"/>
        <v>no semana</v>
      </c>
      <c r="M459" s="51" t="str">
        <f>IFERROR(VLOOKUP(E459,'cheques a conf'!A:D,4,FALSE),"no clearing")</f>
        <v>no clearing</v>
      </c>
      <c r="N459" s="51">
        <f t="shared" si="303"/>
        <v>27</v>
      </c>
      <c r="O459" s="53">
        <f t="shared" si="304"/>
        <v>7</v>
      </c>
      <c r="P459" s="53">
        <f t="shared" si="305"/>
        <v>2025</v>
      </c>
    </row>
    <row r="460" spans="1:16" customFormat="1" x14ac:dyDescent="0.25">
      <c r="A460" s="21">
        <v>3000000913</v>
      </c>
      <c r="B460" s="22">
        <v>45839</v>
      </c>
      <c r="C460" s="20">
        <v>8000000</v>
      </c>
      <c r="D460" s="21" t="s">
        <v>386</v>
      </c>
      <c r="E460" s="21">
        <v>97123656</v>
      </c>
      <c r="F460" s="20">
        <v>8000000</v>
      </c>
      <c r="G460" s="22">
        <v>45841</v>
      </c>
      <c r="H460" s="21" t="s">
        <v>61</v>
      </c>
      <c r="I460" s="51" t="str">
        <f>IFERROR(IF(VLOOKUP(E460,extracto!C:C,1,FALSE)=E460,"pagado","no pagado"),"no pagado")</f>
        <v>pagado</v>
      </c>
      <c r="J460" s="52" t="str">
        <f t="shared" si="300"/>
        <v>pagado</v>
      </c>
      <c r="K460" s="51" t="str">
        <f t="shared" ca="1" si="301"/>
        <v>excluir</v>
      </c>
      <c r="L460" s="51" t="str">
        <f t="shared" ca="1" si="302"/>
        <v>no semana</v>
      </c>
      <c r="M460" s="51" t="str">
        <f>IFERROR(VLOOKUP(E460,'cheques a conf'!A:D,4,FALSE),"no clearing")</f>
        <v>no clearing</v>
      </c>
      <c r="N460" s="51">
        <f t="shared" si="303"/>
        <v>27</v>
      </c>
      <c r="O460" s="53">
        <f t="shared" si="304"/>
        <v>7</v>
      </c>
      <c r="P460" s="53">
        <f t="shared" si="305"/>
        <v>2025</v>
      </c>
    </row>
    <row r="461" spans="1:16" customFormat="1" x14ac:dyDescent="0.25">
      <c r="A461" s="21">
        <v>3000000913</v>
      </c>
      <c r="B461" s="22">
        <v>45839</v>
      </c>
      <c r="C461" s="20">
        <v>8485167.9199999999</v>
      </c>
      <c r="D461" s="21" t="s">
        <v>386</v>
      </c>
      <c r="E461" s="21">
        <v>97123657</v>
      </c>
      <c r="F461" s="20">
        <v>8485167.9199999999</v>
      </c>
      <c r="G461" s="22">
        <v>45842</v>
      </c>
      <c r="H461" s="21" t="s">
        <v>61</v>
      </c>
      <c r="I461" s="51" t="str">
        <f>IFERROR(IF(VLOOKUP(E461,extracto!C:C,1,FALSE)=E461,"pagado","no pagado"),"no pagado")</f>
        <v>pagado</v>
      </c>
      <c r="J461" s="52" t="str">
        <f t="shared" si="300"/>
        <v>pagado</v>
      </c>
      <c r="K461" s="51" t="str">
        <f t="shared" ca="1" si="301"/>
        <v>excluir</v>
      </c>
      <c r="L461" s="51" t="str">
        <f t="shared" ca="1" si="302"/>
        <v>no semana</v>
      </c>
      <c r="M461" s="51" t="str">
        <f>IFERROR(VLOOKUP(E461,'cheques a conf'!A:D,4,FALSE),"no clearing")</f>
        <v>no clearing</v>
      </c>
      <c r="N461" s="51">
        <f t="shared" si="303"/>
        <v>27</v>
      </c>
      <c r="O461" s="53">
        <f t="shared" si="304"/>
        <v>7</v>
      </c>
      <c r="P461" s="53">
        <f t="shared" si="305"/>
        <v>2025</v>
      </c>
    </row>
    <row r="462" spans="1:16" customFormat="1" x14ac:dyDescent="0.25">
      <c r="A462" s="21">
        <v>3000000914</v>
      </c>
      <c r="B462" s="22">
        <v>45839</v>
      </c>
      <c r="C462" s="20">
        <v>10000000</v>
      </c>
      <c r="D462" s="21" t="s">
        <v>371</v>
      </c>
      <c r="E462" s="21">
        <v>97123658</v>
      </c>
      <c r="F462" s="20">
        <v>10000000</v>
      </c>
      <c r="G462" s="22">
        <v>45841</v>
      </c>
      <c r="H462" s="21" t="s">
        <v>61</v>
      </c>
      <c r="I462" s="51" t="str">
        <f>IFERROR(IF(VLOOKUP(E462,extracto!C:C,1,FALSE)=E462,"pagado","no pagado"),"no pagado")</f>
        <v>pagado</v>
      </c>
      <c r="J462" s="52" t="str">
        <f t="shared" si="300"/>
        <v>pagado</v>
      </c>
      <c r="K462" s="51" t="str">
        <f t="shared" ca="1" si="301"/>
        <v>excluir</v>
      </c>
      <c r="L462" s="51" t="str">
        <f t="shared" ca="1" si="302"/>
        <v>no semana</v>
      </c>
      <c r="M462" s="51" t="str">
        <f>IFERROR(VLOOKUP(E462,'cheques a conf'!A:D,4,FALSE),"no clearing")</f>
        <v>no clearing</v>
      </c>
      <c r="N462" s="51">
        <f t="shared" si="303"/>
        <v>27</v>
      </c>
      <c r="O462" s="53">
        <f t="shared" si="304"/>
        <v>7</v>
      </c>
      <c r="P462" s="53">
        <f t="shared" si="305"/>
        <v>2025</v>
      </c>
    </row>
    <row r="463" spans="1:16" customFormat="1" x14ac:dyDescent="0.25">
      <c r="A463" s="21">
        <v>3000000914</v>
      </c>
      <c r="B463" s="22">
        <v>45839</v>
      </c>
      <c r="C463" s="20">
        <v>11100726.050000001</v>
      </c>
      <c r="D463" s="21" t="s">
        <v>371</v>
      </c>
      <c r="E463" s="21">
        <v>97123659</v>
      </c>
      <c r="F463" s="20">
        <v>11100726.050000001</v>
      </c>
      <c r="G463" s="22">
        <v>45842</v>
      </c>
      <c r="H463" s="21" t="s">
        <v>61</v>
      </c>
      <c r="I463" s="51" t="str">
        <f>IFERROR(IF(VLOOKUP(E463,extracto!C:C,1,FALSE)=E463,"pagado","no pagado"),"no pagado")</f>
        <v>pagado</v>
      </c>
      <c r="J463" s="52" t="str">
        <f t="shared" ref="J463:J464" si="306">IF(I463="pagado","pagado",IF(G463&lt;$V$1-30,"fuera de fecha","en periodo de pago"))</f>
        <v>pagado</v>
      </c>
      <c r="K463" s="51" t="str">
        <f t="shared" ref="K463:K464" ca="1" si="307">+IF(B463&gt;$V$1,"excluir",IF(J463="en periodo de pago",IF($V$1&gt;G463,"a pagar","proximo a vencer"),"excluir"))</f>
        <v>excluir</v>
      </c>
      <c r="L463" s="51" t="str">
        <f t="shared" ref="L463:L464" ca="1" si="308">+IF(K463="proximo a vencer",IF($V$1+5&gt;G463,"para la semana","no semana"),"no semana")</f>
        <v>no semana</v>
      </c>
      <c r="M463" s="51" t="str">
        <f>IFERROR(VLOOKUP(E463,'cheques a conf'!A:D,4,FALSE),"no clearing")</f>
        <v>no clearing</v>
      </c>
      <c r="N463" s="51">
        <f t="shared" ref="N463:N464" si="309">+WEEKNUM(G463,2)</f>
        <v>27</v>
      </c>
      <c r="O463" s="53">
        <f t="shared" ref="O463:O464" si="310">+MONTH(G463)</f>
        <v>7</v>
      </c>
      <c r="P463" s="53">
        <f t="shared" ref="P463:P464" si="311">+YEAR(G463)</f>
        <v>2025</v>
      </c>
    </row>
    <row r="464" spans="1:16" customFormat="1" x14ac:dyDescent="0.25">
      <c r="A464" s="21">
        <v>3000000915</v>
      </c>
      <c r="B464" s="22">
        <v>45839</v>
      </c>
      <c r="C464" s="20">
        <v>6887405.2800000003</v>
      </c>
      <c r="D464" s="21" t="s">
        <v>401</v>
      </c>
      <c r="E464" s="21">
        <v>97123660</v>
      </c>
      <c r="F464" s="20">
        <v>6887405.2800000003</v>
      </c>
      <c r="G464" s="22">
        <v>45841</v>
      </c>
      <c r="H464" s="21" t="s">
        <v>61</v>
      </c>
      <c r="I464" s="51" t="str">
        <f>IFERROR(IF(VLOOKUP(E464,extracto!C:C,1,FALSE)=E464,"pagado","no pagado"),"no pagado")</f>
        <v>pagado</v>
      </c>
      <c r="J464" s="52" t="str">
        <f t="shared" si="306"/>
        <v>pagado</v>
      </c>
      <c r="K464" s="51" t="str">
        <f t="shared" ca="1" si="307"/>
        <v>excluir</v>
      </c>
      <c r="L464" s="51" t="str">
        <f t="shared" ca="1" si="308"/>
        <v>no semana</v>
      </c>
      <c r="M464" s="51" t="str">
        <f>IFERROR(VLOOKUP(E464,'cheques a conf'!A:D,4,FALSE),"no clearing")</f>
        <v>no clearing</v>
      </c>
      <c r="N464" s="51">
        <f t="shared" si="309"/>
        <v>27</v>
      </c>
      <c r="O464" s="53">
        <f t="shared" si="310"/>
        <v>7</v>
      </c>
      <c r="P464" s="53">
        <f t="shared" si="311"/>
        <v>2025</v>
      </c>
    </row>
    <row r="465" spans="1:16" customFormat="1" x14ac:dyDescent="0.25">
      <c r="A465" s="21">
        <v>3000000916</v>
      </c>
      <c r="B465" s="22">
        <v>45839</v>
      </c>
      <c r="C465" s="20">
        <v>10000000</v>
      </c>
      <c r="D465" s="21" t="s">
        <v>294</v>
      </c>
      <c r="E465" s="21">
        <v>97123661</v>
      </c>
      <c r="F465" s="20">
        <v>10000000</v>
      </c>
      <c r="G465" s="22">
        <v>45841</v>
      </c>
      <c r="H465" s="21" t="s">
        <v>61</v>
      </c>
      <c r="I465" s="51" t="str">
        <f>IFERROR(IF(VLOOKUP(E465,extracto!C:C,1,FALSE)=E465,"pagado","no pagado"),"no pagado")</f>
        <v>pagado</v>
      </c>
      <c r="J465" s="52" t="str">
        <f t="shared" ref="J465" si="312">IF(I465="pagado","pagado",IF(G465&lt;$V$1-30,"fuera de fecha","en periodo de pago"))</f>
        <v>pagado</v>
      </c>
      <c r="K465" s="51" t="str">
        <f t="shared" ref="K465" ca="1" si="313">+IF(B465&gt;$V$1,"excluir",IF(J465="en periodo de pago",IF($V$1&gt;G465,"a pagar","proximo a vencer"),"excluir"))</f>
        <v>excluir</v>
      </c>
      <c r="L465" s="51" t="str">
        <f t="shared" ref="L465" ca="1" si="314">+IF(K465="proximo a vencer",IF($V$1+5&gt;G465,"para la semana","no semana"),"no semana")</f>
        <v>no semana</v>
      </c>
      <c r="M465" s="51" t="str">
        <f>IFERROR(VLOOKUP(E465,'cheques a conf'!A:D,4,FALSE),"no clearing")</f>
        <v>no clearing</v>
      </c>
      <c r="N465" s="51">
        <f t="shared" ref="N465" si="315">+WEEKNUM(G465,2)</f>
        <v>27</v>
      </c>
      <c r="O465" s="53">
        <f t="shared" ref="O465" si="316">+MONTH(G465)</f>
        <v>7</v>
      </c>
      <c r="P465" s="53">
        <f t="shared" ref="P465" si="317">+YEAR(G465)</f>
        <v>2025</v>
      </c>
    </row>
    <row r="466" spans="1:16" customFormat="1" x14ac:dyDescent="0.25">
      <c r="A466" s="21">
        <v>3000000916</v>
      </c>
      <c r="B466" s="22">
        <v>45839</v>
      </c>
      <c r="C466" s="20">
        <v>11938647.01</v>
      </c>
      <c r="D466" s="21" t="s">
        <v>294</v>
      </c>
      <c r="E466" s="21">
        <v>97123662</v>
      </c>
      <c r="F466" s="20">
        <v>11938647.01</v>
      </c>
      <c r="G466" s="22">
        <v>45842</v>
      </c>
      <c r="H466" s="21" t="s">
        <v>61</v>
      </c>
      <c r="I466" s="51" t="str">
        <f>IFERROR(IF(VLOOKUP(E466,extracto!C:C,1,FALSE)=E466,"pagado","no pagado"),"no pagado")</f>
        <v>pagado</v>
      </c>
      <c r="J466" s="52" t="str">
        <f t="shared" ref="J466:J480" si="318">IF(I466="pagado","pagado",IF(G466&lt;$V$1-30,"fuera de fecha","en periodo de pago"))</f>
        <v>pagado</v>
      </c>
      <c r="K466" s="51" t="str">
        <f t="shared" ref="K466:K480" ca="1" si="319">+IF(B466&gt;$V$1,"excluir",IF(J466="en periodo de pago",IF($V$1&gt;G466,"a pagar","proximo a vencer"),"excluir"))</f>
        <v>excluir</v>
      </c>
      <c r="L466" s="51" t="str">
        <f t="shared" ref="L466:L480" ca="1" si="320">+IF(K466="proximo a vencer",IF($V$1+5&gt;G466,"para la semana","no semana"),"no semana")</f>
        <v>no semana</v>
      </c>
      <c r="M466" s="51" t="str">
        <f>IFERROR(VLOOKUP(E466,'cheques a conf'!A:D,4,FALSE),"no clearing")</f>
        <v>no clearing</v>
      </c>
      <c r="N466" s="51">
        <f t="shared" ref="N466:N480" si="321">+WEEKNUM(G466,2)</f>
        <v>27</v>
      </c>
      <c r="O466" s="53">
        <f t="shared" ref="O466:O480" si="322">+MONTH(G466)</f>
        <v>7</v>
      </c>
      <c r="P466" s="53">
        <f t="shared" ref="P466:P480" si="323">+YEAR(G466)</f>
        <v>2025</v>
      </c>
    </row>
    <row r="467" spans="1:16" customFormat="1" x14ac:dyDescent="0.25">
      <c r="A467" s="21">
        <v>3000000917</v>
      </c>
      <c r="B467" s="22">
        <v>45839</v>
      </c>
      <c r="C467" s="20">
        <v>14000000</v>
      </c>
      <c r="D467" s="21" t="s">
        <v>393</v>
      </c>
      <c r="E467" s="21">
        <v>97123663</v>
      </c>
      <c r="F467" s="20">
        <v>14000000</v>
      </c>
      <c r="G467" s="22">
        <v>45841</v>
      </c>
      <c r="H467" s="21" t="s">
        <v>61</v>
      </c>
      <c r="I467" s="51" t="str">
        <f>IFERROR(IF(VLOOKUP(E467,extracto!C:C,1,FALSE)=E467,"pagado","no pagado"),"no pagado")</f>
        <v>pagado</v>
      </c>
      <c r="J467" s="52" t="str">
        <f t="shared" si="318"/>
        <v>pagado</v>
      </c>
      <c r="K467" s="51" t="str">
        <f t="shared" ca="1" si="319"/>
        <v>excluir</v>
      </c>
      <c r="L467" s="51" t="str">
        <f t="shared" ca="1" si="320"/>
        <v>no semana</v>
      </c>
      <c r="M467" s="51" t="str">
        <f>IFERROR(VLOOKUP(E467,'cheques a conf'!A:D,4,FALSE),"no clearing")</f>
        <v>no clearing</v>
      </c>
      <c r="N467" s="51">
        <f t="shared" si="321"/>
        <v>27</v>
      </c>
      <c r="O467" s="53">
        <f t="shared" si="322"/>
        <v>7</v>
      </c>
      <c r="P467" s="53">
        <f t="shared" si="323"/>
        <v>2025</v>
      </c>
    </row>
    <row r="468" spans="1:16" customFormat="1" x14ac:dyDescent="0.25">
      <c r="A468" s="21">
        <v>3000000917</v>
      </c>
      <c r="B468" s="22">
        <v>45839</v>
      </c>
      <c r="C468" s="20">
        <v>13942842.789999999</v>
      </c>
      <c r="D468" s="21" t="s">
        <v>393</v>
      </c>
      <c r="E468" s="21">
        <v>97123664</v>
      </c>
      <c r="F468" s="20">
        <v>13942842.789999999</v>
      </c>
      <c r="G468" s="22">
        <v>45842</v>
      </c>
      <c r="H468" s="21" t="s">
        <v>61</v>
      </c>
      <c r="I468" s="51" t="str">
        <f>IFERROR(IF(VLOOKUP(E468,extracto!C:C,1,FALSE)=E468,"pagado","no pagado"),"no pagado")</f>
        <v>pagado</v>
      </c>
      <c r="J468" s="52" t="str">
        <f t="shared" si="318"/>
        <v>pagado</v>
      </c>
      <c r="K468" s="51" t="str">
        <f t="shared" ca="1" si="319"/>
        <v>excluir</v>
      </c>
      <c r="L468" s="51" t="str">
        <f t="shared" ca="1" si="320"/>
        <v>no semana</v>
      </c>
      <c r="M468" s="51" t="str">
        <f>IFERROR(VLOOKUP(E468,'cheques a conf'!A:D,4,FALSE),"no clearing")</f>
        <v>no clearing</v>
      </c>
      <c r="N468" s="51">
        <f t="shared" si="321"/>
        <v>27</v>
      </c>
      <c r="O468" s="53">
        <f t="shared" si="322"/>
        <v>7</v>
      </c>
      <c r="P468" s="53">
        <f t="shared" si="323"/>
        <v>2025</v>
      </c>
    </row>
    <row r="469" spans="1:16" customFormat="1" x14ac:dyDescent="0.25">
      <c r="A469" s="21">
        <v>3000000918</v>
      </c>
      <c r="B469" s="22">
        <v>45839</v>
      </c>
      <c r="C469" s="20">
        <v>26059801.82</v>
      </c>
      <c r="D469" s="21" t="s">
        <v>307</v>
      </c>
      <c r="E469" s="21">
        <v>97123665</v>
      </c>
      <c r="F469" s="20">
        <v>26059801.82</v>
      </c>
      <c r="G469" s="22">
        <v>45841</v>
      </c>
      <c r="H469" s="21" t="s">
        <v>61</v>
      </c>
      <c r="I469" s="51" t="str">
        <f>IFERROR(IF(VLOOKUP(E469,extracto!C:C,1,FALSE)=E469,"pagado","no pagado"),"no pagado")</f>
        <v>pagado</v>
      </c>
      <c r="J469" s="52" t="str">
        <f t="shared" si="318"/>
        <v>pagado</v>
      </c>
      <c r="K469" s="51" t="str">
        <f t="shared" ca="1" si="319"/>
        <v>excluir</v>
      </c>
      <c r="L469" s="51" t="str">
        <f t="shared" ca="1" si="320"/>
        <v>no semana</v>
      </c>
      <c r="M469" s="51" t="str">
        <f>IFERROR(VLOOKUP(E469,'cheques a conf'!A:D,4,FALSE),"no clearing")</f>
        <v>no clearing</v>
      </c>
      <c r="N469" s="51">
        <f t="shared" si="321"/>
        <v>27</v>
      </c>
      <c r="O469" s="53">
        <f t="shared" si="322"/>
        <v>7</v>
      </c>
      <c r="P469" s="53">
        <f t="shared" si="323"/>
        <v>2025</v>
      </c>
    </row>
    <row r="470" spans="1:16" customFormat="1" x14ac:dyDescent="0.25">
      <c r="A470" s="21">
        <v>3000000931</v>
      </c>
      <c r="B470" s="22">
        <v>45841</v>
      </c>
      <c r="C470" s="20">
        <v>1054529.3600000001</v>
      </c>
      <c r="D470" s="21" t="s">
        <v>370</v>
      </c>
      <c r="E470" s="21">
        <v>97123669</v>
      </c>
      <c r="F470" s="20">
        <v>1054529.3600000001</v>
      </c>
      <c r="G470" s="22">
        <v>45848</v>
      </c>
      <c r="H470" s="21" t="s">
        <v>61</v>
      </c>
      <c r="I470" s="51" t="str">
        <f>IFERROR(IF(VLOOKUP(E470,extracto!C:C,1,FALSE)=E470,"pagado","no pagado"),"no pagado")</f>
        <v>pagado</v>
      </c>
      <c r="J470" s="52" t="str">
        <f t="shared" si="318"/>
        <v>pagado</v>
      </c>
      <c r="K470" s="51" t="str">
        <f t="shared" ca="1" si="319"/>
        <v>excluir</v>
      </c>
      <c r="L470" s="51" t="str">
        <f t="shared" ca="1" si="320"/>
        <v>no semana</v>
      </c>
      <c r="M470" s="51" t="str">
        <f>IFERROR(VLOOKUP(E470,'cheques a conf'!A:D,4,FALSE),"no clearing")</f>
        <v>no clearing</v>
      </c>
      <c r="N470" s="51">
        <f t="shared" si="321"/>
        <v>28</v>
      </c>
      <c r="O470" s="53">
        <f t="shared" si="322"/>
        <v>7</v>
      </c>
      <c r="P470" s="53">
        <f t="shared" si="323"/>
        <v>2025</v>
      </c>
    </row>
    <row r="471" spans="1:16" customFormat="1" x14ac:dyDescent="0.25">
      <c r="A471" s="21">
        <v>3000000930</v>
      </c>
      <c r="B471" s="22">
        <v>45841</v>
      </c>
      <c r="C471" s="20">
        <v>6789197.2300000004</v>
      </c>
      <c r="D471" s="21" t="s">
        <v>297</v>
      </c>
      <c r="E471" s="21">
        <v>97123668</v>
      </c>
      <c r="F471" s="20">
        <v>6789197.2300000004</v>
      </c>
      <c r="G471" s="22">
        <v>45848</v>
      </c>
      <c r="H471" s="21" t="s">
        <v>61</v>
      </c>
      <c r="I471" s="51" t="str">
        <f>IFERROR(IF(VLOOKUP(E471,extracto!C:C,1,FALSE)=E471,"pagado","no pagado"),"no pagado")</f>
        <v>pagado</v>
      </c>
      <c r="J471" s="52" t="str">
        <f t="shared" si="318"/>
        <v>pagado</v>
      </c>
      <c r="K471" s="51" t="str">
        <f t="shared" ca="1" si="319"/>
        <v>excluir</v>
      </c>
      <c r="L471" s="51" t="str">
        <f t="shared" ca="1" si="320"/>
        <v>no semana</v>
      </c>
      <c r="M471" s="51" t="str">
        <f>IFERROR(VLOOKUP(E471,'cheques a conf'!A:D,4,FALSE),"no clearing")</f>
        <v>no clearing</v>
      </c>
      <c r="N471" s="51">
        <f t="shared" si="321"/>
        <v>28</v>
      </c>
      <c r="O471" s="53">
        <f t="shared" si="322"/>
        <v>7</v>
      </c>
      <c r="P471" s="53">
        <f t="shared" si="323"/>
        <v>2025</v>
      </c>
    </row>
    <row r="472" spans="1:16" customFormat="1" x14ac:dyDescent="0.25">
      <c r="A472" s="21">
        <v>3000000928</v>
      </c>
      <c r="B472" s="22">
        <v>45841</v>
      </c>
      <c r="C472" s="20">
        <v>357280.18</v>
      </c>
      <c r="D472" s="21" t="s">
        <v>402</v>
      </c>
      <c r="E472" s="21">
        <v>97123666</v>
      </c>
      <c r="F472" s="20">
        <v>357280.18</v>
      </c>
      <c r="G472" s="22">
        <v>45848</v>
      </c>
      <c r="H472" s="21" t="s">
        <v>61</v>
      </c>
      <c r="I472" s="51" t="str">
        <f>IFERROR(IF(VLOOKUP(E472,extracto!C:C,1,FALSE)=E472,"pagado","no pagado"),"no pagado")</f>
        <v>pagado</v>
      </c>
      <c r="J472" s="52" t="str">
        <f t="shared" si="318"/>
        <v>pagado</v>
      </c>
      <c r="K472" s="51" t="str">
        <f t="shared" ca="1" si="319"/>
        <v>excluir</v>
      </c>
      <c r="L472" s="51" t="str">
        <f t="shared" ca="1" si="320"/>
        <v>no semana</v>
      </c>
      <c r="M472" s="51" t="str">
        <f>IFERROR(VLOOKUP(E472,'cheques a conf'!A:D,4,FALSE),"no clearing")</f>
        <v>no clearing</v>
      </c>
      <c r="N472" s="51">
        <f t="shared" si="321"/>
        <v>28</v>
      </c>
      <c r="O472" s="53">
        <f t="shared" si="322"/>
        <v>7</v>
      </c>
      <c r="P472" s="53">
        <f t="shared" si="323"/>
        <v>2025</v>
      </c>
    </row>
    <row r="473" spans="1:16" customFormat="1" x14ac:dyDescent="0.25">
      <c r="A473" s="21">
        <v>3000000929</v>
      </c>
      <c r="B473" s="22">
        <v>45841</v>
      </c>
      <c r="C473" s="20">
        <v>1749284.96</v>
      </c>
      <c r="D473" s="21" t="s">
        <v>336</v>
      </c>
      <c r="E473" s="21">
        <v>97123667</v>
      </c>
      <c r="F473" s="20">
        <v>1749284.96</v>
      </c>
      <c r="G473" s="22">
        <v>45848</v>
      </c>
      <c r="H473" s="21" t="s">
        <v>61</v>
      </c>
      <c r="I473" s="51" t="str">
        <f>IFERROR(IF(VLOOKUP(E473,extracto!C:C,1,FALSE)=E473,"pagado","no pagado"),"no pagado")</f>
        <v>pagado</v>
      </c>
      <c r="J473" s="52" t="str">
        <f t="shared" si="318"/>
        <v>pagado</v>
      </c>
      <c r="K473" s="51" t="str">
        <f t="shared" ca="1" si="319"/>
        <v>excluir</v>
      </c>
      <c r="L473" s="51" t="str">
        <f t="shared" ca="1" si="320"/>
        <v>no semana</v>
      </c>
      <c r="M473" s="51" t="str">
        <f>IFERROR(VLOOKUP(E473,'cheques a conf'!A:D,4,FALSE),"no clearing")</f>
        <v>no clearing</v>
      </c>
      <c r="N473" s="51">
        <f t="shared" si="321"/>
        <v>28</v>
      </c>
      <c r="O473" s="53">
        <f t="shared" si="322"/>
        <v>7</v>
      </c>
      <c r="P473" s="53">
        <f t="shared" si="323"/>
        <v>2025</v>
      </c>
    </row>
    <row r="474" spans="1:16" customFormat="1" x14ac:dyDescent="0.25">
      <c r="A474" s="21">
        <v>3000000932</v>
      </c>
      <c r="B474" s="22">
        <v>45841</v>
      </c>
      <c r="C474" s="20">
        <v>7172756.8700000001</v>
      </c>
      <c r="D474" s="21" t="s">
        <v>403</v>
      </c>
      <c r="E474" s="21">
        <v>97123670</v>
      </c>
      <c r="F474" s="20">
        <v>7172756.8700000001</v>
      </c>
      <c r="G474" s="22">
        <v>45848</v>
      </c>
      <c r="H474" s="21" t="s">
        <v>61</v>
      </c>
      <c r="I474" s="51" t="str">
        <f>IFERROR(IF(VLOOKUP(E474,extracto!C:C,1,FALSE)=E474,"pagado","no pagado"),"no pagado")</f>
        <v>pagado</v>
      </c>
      <c r="J474" s="52" t="str">
        <f t="shared" si="318"/>
        <v>pagado</v>
      </c>
      <c r="K474" s="51" t="str">
        <f t="shared" ca="1" si="319"/>
        <v>excluir</v>
      </c>
      <c r="L474" s="51" t="str">
        <f t="shared" ca="1" si="320"/>
        <v>no semana</v>
      </c>
      <c r="M474" s="51" t="str">
        <f>IFERROR(VLOOKUP(E474,'cheques a conf'!A:D,4,FALSE),"no clearing")</f>
        <v>no clearing</v>
      </c>
      <c r="N474" s="51">
        <f t="shared" si="321"/>
        <v>28</v>
      </c>
      <c r="O474" s="53">
        <f t="shared" si="322"/>
        <v>7</v>
      </c>
      <c r="P474" s="53">
        <f t="shared" si="323"/>
        <v>2025</v>
      </c>
    </row>
    <row r="475" spans="1:16" customFormat="1" x14ac:dyDescent="0.25">
      <c r="A475" s="21">
        <v>3000000933</v>
      </c>
      <c r="B475" s="22">
        <v>45841</v>
      </c>
      <c r="C475" s="20">
        <v>4321108.0199999996</v>
      </c>
      <c r="D475" s="21" t="s">
        <v>391</v>
      </c>
      <c r="E475" s="21">
        <v>97123671</v>
      </c>
      <c r="F475" s="20">
        <v>4321108.0199999996</v>
      </c>
      <c r="G475" s="22">
        <v>45848</v>
      </c>
      <c r="H475" s="21" t="s">
        <v>61</v>
      </c>
      <c r="I475" s="51" t="str">
        <f>IFERROR(IF(VLOOKUP(E475,extracto!C:C,1,FALSE)=E475,"pagado","no pagado"),"no pagado")</f>
        <v>pagado</v>
      </c>
      <c r="J475" s="52" t="str">
        <f t="shared" si="318"/>
        <v>pagado</v>
      </c>
      <c r="K475" s="51" t="str">
        <f t="shared" ca="1" si="319"/>
        <v>excluir</v>
      </c>
      <c r="L475" s="51" t="str">
        <f t="shared" ca="1" si="320"/>
        <v>no semana</v>
      </c>
      <c r="M475" s="51" t="str">
        <f>IFERROR(VLOOKUP(E475,'cheques a conf'!A:D,4,FALSE),"no clearing")</f>
        <v>no clearing</v>
      </c>
      <c r="N475" s="51">
        <f t="shared" si="321"/>
        <v>28</v>
      </c>
      <c r="O475" s="53">
        <f t="shared" si="322"/>
        <v>7</v>
      </c>
      <c r="P475" s="53">
        <f t="shared" si="323"/>
        <v>2025</v>
      </c>
    </row>
    <row r="476" spans="1:16" customFormat="1" x14ac:dyDescent="0.25">
      <c r="A476" s="21">
        <v>3000000943</v>
      </c>
      <c r="B476" s="22">
        <v>45846</v>
      </c>
      <c r="C476" s="20">
        <v>17231257.559999999</v>
      </c>
      <c r="D476" s="21" t="s">
        <v>30</v>
      </c>
      <c r="E476" s="21">
        <v>97123672</v>
      </c>
      <c r="F476" s="20">
        <v>17231257.559999999</v>
      </c>
      <c r="G476" s="22">
        <v>45852</v>
      </c>
      <c r="H476" s="21" t="s">
        <v>61</v>
      </c>
      <c r="I476" s="51" t="str">
        <f>IFERROR(IF(VLOOKUP(E476,extracto!C:C,1,FALSE)=E476,"pagado","no pagado"),"no pagado")</f>
        <v>pagado</v>
      </c>
      <c r="J476" s="52" t="str">
        <f t="shared" si="318"/>
        <v>pagado</v>
      </c>
      <c r="K476" s="51" t="str">
        <f t="shared" ca="1" si="319"/>
        <v>excluir</v>
      </c>
      <c r="L476" s="51" t="str">
        <f t="shared" ca="1" si="320"/>
        <v>no semana</v>
      </c>
      <c r="M476" s="51" t="str">
        <f>IFERROR(VLOOKUP(E476,'cheques a conf'!A:D,4,FALSE),"no clearing")</f>
        <v>no clearing</v>
      </c>
      <c r="N476" s="51">
        <f t="shared" si="321"/>
        <v>29</v>
      </c>
      <c r="O476" s="53">
        <f t="shared" si="322"/>
        <v>7</v>
      </c>
      <c r="P476" s="53">
        <f t="shared" si="323"/>
        <v>2025</v>
      </c>
    </row>
    <row r="477" spans="1:16" customFormat="1" x14ac:dyDescent="0.25">
      <c r="A477" s="21">
        <v>3000000959</v>
      </c>
      <c r="B477" s="22">
        <v>45848</v>
      </c>
      <c r="C477" s="20">
        <v>13000000</v>
      </c>
      <c r="D477" s="21" t="s">
        <v>344</v>
      </c>
      <c r="E477" s="21">
        <v>97123673</v>
      </c>
      <c r="F477" s="20">
        <v>13000000</v>
      </c>
      <c r="G477" s="22">
        <v>45853</v>
      </c>
      <c r="H477" s="21" t="s">
        <v>61</v>
      </c>
      <c r="I477" s="51" t="str">
        <f>IFERROR(IF(VLOOKUP(E477,extracto!C:C,1,FALSE)=E477,"pagado","no pagado"),"no pagado")</f>
        <v>pagado</v>
      </c>
      <c r="J477" s="52" t="str">
        <f t="shared" si="318"/>
        <v>pagado</v>
      </c>
      <c r="K477" s="51" t="str">
        <f t="shared" ca="1" si="319"/>
        <v>excluir</v>
      </c>
      <c r="L477" s="51" t="str">
        <f t="shared" ca="1" si="320"/>
        <v>no semana</v>
      </c>
      <c r="M477" s="51" t="str">
        <f>IFERROR(VLOOKUP(E477,'cheques a conf'!A:D,4,FALSE),"no clearing")</f>
        <v>no clearing</v>
      </c>
      <c r="N477" s="51">
        <f t="shared" si="321"/>
        <v>29</v>
      </c>
      <c r="O477" s="53">
        <f t="shared" si="322"/>
        <v>7</v>
      </c>
      <c r="P477" s="53">
        <f t="shared" si="323"/>
        <v>2025</v>
      </c>
    </row>
    <row r="478" spans="1:16" customFormat="1" x14ac:dyDescent="0.25">
      <c r="A478" s="21">
        <v>3000000959</v>
      </c>
      <c r="B478" s="22">
        <v>45848</v>
      </c>
      <c r="C478" s="20">
        <v>13088899.279999999</v>
      </c>
      <c r="D478" s="21" t="s">
        <v>344</v>
      </c>
      <c r="E478" s="21">
        <v>97123674</v>
      </c>
      <c r="F478" s="20">
        <v>13088899.279999999</v>
      </c>
      <c r="G478" s="22">
        <v>45853</v>
      </c>
      <c r="H478" s="21" t="s">
        <v>61</v>
      </c>
      <c r="I478" s="51" t="str">
        <f>IFERROR(IF(VLOOKUP(E478,extracto!C:C,1,FALSE)=E478,"pagado","no pagado"),"no pagado")</f>
        <v>pagado</v>
      </c>
      <c r="J478" s="52" t="str">
        <f t="shared" si="318"/>
        <v>pagado</v>
      </c>
      <c r="K478" s="51" t="str">
        <f t="shared" ca="1" si="319"/>
        <v>excluir</v>
      </c>
      <c r="L478" s="51" t="str">
        <f t="shared" ca="1" si="320"/>
        <v>no semana</v>
      </c>
      <c r="M478" s="51" t="str">
        <f>IFERROR(VLOOKUP(E478,'cheques a conf'!A:D,4,FALSE),"no clearing")</f>
        <v>no clearing</v>
      </c>
      <c r="N478" s="51">
        <f t="shared" si="321"/>
        <v>29</v>
      </c>
      <c r="O478" s="53">
        <f t="shared" si="322"/>
        <v>7</v>
      </c>
      <c r="P478" s="53">
        <f t="shared" si="323"/>
        <v>2025</v>
      </c>
    </row>
    <row r="479" spans="1:16" customFormat="1" x14ac:dyDescent="0.25">
      <c r="A479" s="21">
        <v>3000000960</v>
      </c>
      <c r="B479" s="22">
        <v>45848</v>
      </c>
      <c r="C479" s="20">
        <v>15000000</v>
      </c>
      <c r="D479" s="21" t="s">
        <v>338</v>
      </c>
      <c r="E479" s="21">
        <v>97123675</v>
      </c>
      <c r="F479" s="20">
        <v>15000000</v>
      </c>
      <c r="G479" s="22">
        <v>45853</v>
      </c>
      <c r="H479" s="21" t="s">
        <v>61</v>
      </c>
      <c r="I479" s="51" t="str">
        <f>IFERROR(IF(VLOOKUP(E479,extracto!C:C,1,FALSE)=E479,"pagado","no pagado"),"no pagado")</f>
        <v>pagado</v>
      </c>
      <c r="J479" s="52" t="str">
        <f t="shared" si="318"/>
        <v>pagado</v>
      </c>
      <c r="K479" s="51" t="str">
        <f t="shared" ca="1" si="319"/>
        <v>excluir</v>
      </c>
      <c r="L479" s="51" t="str">
        <f t="shared" ca="1" si="320"/>
        <v>no semana</v>
      </c>
      <c r="M479" s="51" t="str">
        <f>IFERROR(VLOOKUP(E479,'cheques a conf'!A:D,4,FALSE),"no clearing")</f>
        <v>no clearing</v>
      </c>
      <c r="N479" s="51">
        <f t="shared" si="321"/>
        <v>29</v>
      </c>
      <c r="O479" s="53">
        <f t="shared" si="322"/>
        <v>7</v>
      </c>
      <c r="P479" s="53">
        <f t="shared" si="323"/>
        <v>2025</v>
      </c>
    </row>
    <row r="480" spans="1:16" customFormat="1" x14ac:dyDescent="0.25">
      <c r="A480" s="21">
        <v>3000000960</v>
      </c>
      <c r="B480" s="22">
        <v>45848</v>
      </c>
      <c r="C480" s="20">
        <v>16686869.109999999</v>
      </c>
      <c r="D480" s="21" t="s">
        <v>338</v>
      </c>
      <c r="E480" s="21">
        <v>97123676</v>
      </c>
      <c r="F480" s="20">
        <v>16686869.109999999</v>
      </c>
      <c r="G480" s="22">
        <v>45854</v>
      </c>
      <c r="H480" s="21" t="s">
        <v>61</v>
      </c>
      <c r="I480" s="51" t="str">
        <f>IFERROR(IF(VLOOKUP(E480,extracto!C:C,1,FALSE)=E480,"pagado","no pagado"),"no pagado")</f>
        <v>pagado</v>
      </c>
      <c r="J480" s="52" t="str">
        <f t="shared" si="318"/>
        <v>pagado</v>
      </c>
      <c r="K480" s="51" t="str">
        <f t="shared" ca="1" si="319"/>
        <v>excluir</v>
      </c>
      <c r="L480" s="51" t="str">
        <f t="shared" ca="1" si="320"/>
        <v>no semana</v>
      </c>
      <c r="M480" s="51" t="str">
        <f>IFERROR(VLOOKUP(E480,'cheques a conf'!A:D,4,FALSE),"no clearing")</f>
        <v>no clearing</v>
      </c>
      <c r="N480" s="51">
        <f t="shared" si="321"/>
        <v>29</v>
      </c>
      <c r="O480" s="53">
        <f t="shared" si="322"/>
        <v>7</v>
      </c>
      <c r="P480" s="53">
        <f t="shared" si="323"/>
        <v>2025</v>
      </c>
    </row>
    <row r="481" spans="1:16" customFormat="1" x14ac:dyDescent="0.25">
      <c r="A481" s="21">
        <v>3000000961</v>
      </c>
      <c r="B481" s="22">
        <v>45848</v>
      </c>
      <c r="C481" s="20">
        <v>30000000</v>
      </c>
      <c r="D481" s="21" t="s">
        <v>303</v>
      </c>
      <c r="E481" s="21">
        <v>97123677</v>
      </c>
      <c r="F481" s="20">
        <v>30000000</v>
      </c>
      <c r="G481" s="22">
        <v>45853</v>
      </c>
      <c r="H481" s="21" t="s">
        <v>61</v>
      </c>
      <c r="I481" s="51" t="str">
        <f>IFERROR(IF(VLOOKUP(E481,extracto!C:C,1,FALSE)=E481,"pagado","no pagado"),"no pagado")</f>
        <v>pagado</v>
      </c>
      <c r="J481" s="52" t="str">
        <f t="shared" ref="J481:J510" si="324">IF(I481="pagado","pagado",IF(G481&lt;$V$1-30,"fuera de fecha","en periodo de pago"))</f>
        <v>pagado</v>
      </c>
      <c r="K481" s="51" t="str">
        <f t="shared" ref="K481:K510" ca="1" si="325">+IF(B481&gt;$V$1,"excluir",IF(J481="en periodo de pago",IF($V$1&gt;G481,"a pagar","proximo a vencer"),"excluir"))</f>
        <v>excluir</v>
      </c>
      <c r="L481" s="51" t="str">
        <f t="shared" ref="L481:L510" ca="1" si="326">+IF(K481="proximo a vencer",IF($V$1+5&gt;G481,"para la semana","no semana"),"no semana")</f>
        <v>no semana</v>
      </c>
      <c r="M481" s="51" t="str">
        <f>IFERROR(VLOOKUP(E481,'cheques a conf'!A:D,4,FALSE),"no clearing")</f>
        <v>no clearing</v>
      </c>
      <c r="N481" s="51">
        <f t="shared" ref="N481:N510" si="327">+WEEKNUM(G481,2)</f>
        <v>29</v>
      </c>
      <c r="O481" s="53">
        <f t="shared" ref="O481:O510" si="328">+MONTH(G481)</f>
        <v>7</v>
      </c>
      <c r="P481" s="53">
        <f t="shared" ref="P481:P510" si="329">+YEAR(G481)</f>
        <v>2025</v>
      </c>
    </row>
    <row r="482" spans="1:16" customFormat="1" x14ac:dyDescent="0.25">
      <c r="A482" s="21">
        <v>3000000961</v>
      </c>
      <c r="B482" s="22">
        <v>45848</v>
      </c>
      <c r="C482" s="20">
        <v>27062480.219999999</v>
      </c>
      <c r="D482" s="21" t="s">
        <v>303</v>
      </c>
      <c r="E482" s="21">
        <v>97123678</v>
      </c>
      <c r="F482" s="20">
        <v>27062480.219999999</v>
      </c>
      <c r="G482" s="22">
        <v>45854</v>
      </c>
      <c r="H482" s="21" t="s">
        <v>61</v>
      </c>
      <c r="I482" s="51" t="str">
        <f>IFERROR(IF(VLOOKUP(E482,extracto!C:C,1,FALSE)=E482,"pagado","no pagado"),"no pagado")</f>
        <v>pagado</v>
      </c>
      <c r="J482" s="52" t="str">
        <f t="shared" si="324"/>
        <v>pagado</v>
      </c>
      <c r="K482" s="51" t="str">
        <f t="shared" ca="1" si="325"/>
        <v>excluir</v>
      </c>
      <c r="L482" s="51" t="str">
        <f t="shared" ca="1" si="326"/>
        <v>no semana</v>
      </c>
      <c r="M482" s="51" t="str">
        <f>IFERROR(VLOOKUP(E482,'cheques a conf'!A:D,4,FALSE),"no clearing")</f>
        <v>no clearing</v>
      </c>
      <c r="N482" s="51">
        <f t="shared" si="327"/>
        <v>29</v>
      </c>
      <c r="O482" s="53">
        <f t="shared" si="328"/>
        <v>7</v>
      </c>
      <c r="P482" s="53">
        <f t="shared" si="329"/>
        <v>2025</v>
      </c>
    </row>
    <row r="483" spans="1:16" customFormat="1" x14ac:dyDescent="0.25">
      <c r="A483" s="21">
        <v>3000000962</v>
      </c>
      <c r="B483" s="22">
        <v>45848</v>
      </c>
      <c r="C483" s="20">
        <v>4922462.93</v>
      </c>
      <c r="D483" s="21" t="s">
        <v>396</v>
      </c>
      <c r="E483" s="21">
        <v>97123679</v>
      </c>
      <c r="F483" s="20">
        <v>4922462.93</v>
      </c>
      <c r="G483" s="22">
        <v>45853</v>
      </c>
      <c r="H483" s="21" t="s">
        <v>61</v>
      </c>
      <c r="I483" s="51" t="str">
        <f>IFERROR(IF(VLOOKUP(E483,extracto!C:C,1,FALSE)=E483,"pagado","no pagado"),"no pagado")</f>
        <v>pagado</v>
      </c>
      <c r="J483" s="52" t="str">
        <f t="shared" si="324"/>
        <v>pagado</v>
      </c>
      <c r="K483" s="51" t="str">
        <f t="shared" ca="1" si="325"/>
        <v>excluir</v>
      </c>
      <c r="L483" s="51" t="str">
        <f t="shared" ca="1" si="326"/>
        <v>no semana</v>
      </c>
      <c r="M483" s="51" t="str">
        <f>IFERROR(VLOOKUP(E483,'cheques a conf'!A:D,4,FALSE),"no clearing")</f>
        <v>no clearing</v>
      </c>
      <c r="N483" s="51">
        <f t="shared" si="327"/>
        <v>29</v>
      </c>
      <c r="O483" s="53">
        <f t="shared" si="328"/>
        <v>7</v>
      </c>
      <c r="P483" s="53">
        <f t="shared" si="329"/>
        <v>2025</v>
      </c>
    </row>
    <row r="484" spans="1:16" customFormat="1" x14ac:dyDescent="0.25">
      <c r="A484" s="21">
        <v>3000000963</v>
      </c>
      <c r="B484" s="22">
        <v>45848</v>
      </c>
      <c r="C484" s="20">
        <v>18000000</v>
      </c>
      <c r="D484" s="21" t="s">
        <v>398</v>
      </c>
      <c r="E484" s="21">
        <v>97123680</v>
      </c>
      <c r="F484" s="20">
        <v>18000000</v>
      </c>
      <c r="G484" s="22">
        <v>45853</v>
      </c>
      <c r="H484" s="21" t="s">
        <v>61</v>
      </c>
      <c r="I484" s="51" t="str">
        <f>IFERROR(IF(VLOOKUP(E484,extracto!C:C,1,FALSE)=E484,"pagado","no pagado"),"no pagado")</f>
        <v>pagado</v>
      </c>
      <c r="J484" s="52" t="str">
        <f t="shared" si="324"/>
        <v>pagado</v>
      </c>
      <c r="K484" s="51" t="str">
        <f t="shared" ca="1" si="325"/>
        <v>excluir</v>
      </c>
      <c r="L484" s="51" t="str">
        <f t="shared" ca="1" si="326"/>
        <v>no semana</v>
      </c>
      <c r="M484" s="51" t="str">
        <f>IFERROR(VLOOKUP(E484,'cheques a conf'!A:D,4,FALSE),"no clearing")</f>
        <v>no clearing</v>
      </c>
      <c r="N484" s="51">
        <f t="shared" si="327"/>
        <v>29</v>
      </c>
      <c r="O484" s="53">
        <f t="shared" si="328"/>
        <v>7</v>
      </c>
      <c r="P484" s="53">
        <f t="shared" si="329"/>
        <v>2025</v>
      </c>
    </row>
    <row r="485" spans="1:16" customFormat="1" x14ac:dyDescent="0.25">
      <c r="A485" s="21">
        <v>3000000963</v>
      </c>
      <c r="B485" s="22">
        <v>45848</v>
      </c>
      <c r="C485" s="20">
        <v>15826982.65</v>
      </c>
      <c r="D485" s="21" t="s">
        <v>398</v>
      </c>
      <c r="E485" s="21">
        <v>97123681</v>
      </c>
      <c r="F485" s="20">
        <v>15826982.65</v>
      </c>
      <c r="G485" s="22">
        <v>45854</v>
      </c>
      <c r="H485" s="21" t="s">
        <v>61</v>
      </c>
      <c r="I485" s="51" t="str">
        <f>IFERROR(IF(VLOOKUP(E485,extracto!C:C,1,FALSE)=E485,"pagado","no pagado"),"no pagado")</f>
        <v>pagado</v>
      </c>
      <c r="J485" s="52" t="str">
        <f t="shared" si="324"/>
        <v>pagado</v>
      </c>
      <c r="K485" s="51" t="str">
        <f t="shared" ca="1" si="325"/>
        <v>excluir</v>
      </c>
      <c r="L485" s="51" t="str">
        <f t="shared" ca="1" si="326"/>
        <v>no semana</v>
      </c>
      <c r="M485" s="51" t="str">
        <f>IFERROR(VLOOKUP(E485,'cheques a conf'!A:D,4,FALSE),"no clearing")</f>
        <v>no clearing</v>
      </c>
      <c r="N485" s="51">
        <f t="shared" si="327"/>
        <v>29</v>
      </c>
      <c r="O485" s="53">
        <f t="shared" si="328"/>
        <v>7</v>
      </c>
      <c r="P485" s="53">
        <f t="shared" si="329"/>
        <v>2025</v>
      </c>
    </row>
    <row r="486" spans="1:16" customFormat="1" x14ac:dyDescent="0.25">
      <c r="A486" s="21">
        <v>3000000964</v>
      </c>
      <c r="B486" s="22">
        <v>45848</v>
      </c>
      <c r="C486" s="20">
        <v>15000000</v>
      </c>
      <c r="D486" s="21" t="s">
        <v>363</v>
      </c>
      <c r="E486" s="21">
        <v>97123682</v>
      </c>
      <c r="F486" s="20">
        <v>15000000</v>
      </c>
      <c r="G486" s="22">
        <v>45853</v>
      </c>
      <c r="H486" s="21" t="s">
        <v>61</v>
      </c>
      <c r="I486" s="51" t="str">
        <f>IFERROR(IF(VLOOKUP(E486,extracto!C:C,1,FALSE)=E486,"pagado","no pagado"),"no pagado")</f>
        <v>pagado</v>
      </c>
      <c r="J486" s="52" t="str">
        <f t="shared" si="324"/>
        <v>pagado</v>
      </c>
      <c r="K486" s="51" t="str">
        <f t="shared" ca="1" si="325"/>
        <v>excluir</v>
      </c>
      <c r="L486" s="51" t="str">
        <f t="shared" ca="1" si="326"/>
        <v>no semana</v>
      </c>
      <c r="M486" s="51" t="str">
        <f>IFERROR(VLOOKUP(E486,'cheques a conf'!A:D,4,FALSE),"no clearing")</f>
        <v>no clearing</v>
      </c>
      <c r="N486" s="51">
        <f t="shared" si="327"/>
        <v>29</v>
      </c>
      <c r="O486" s="53">
        <f t="shared" si="328"/>
        <v>7</v>
      </c>
      <c r="P486" s="53">
        <f t="shared" si="329"/>
        <v>2025</v>
      </c>
    </row>
    <row r="487" spans="1:16" customFormat="1" x14ac:dyDescent="0.25">
      <c r="A487" s="21">
        <v>3000000964</v>
      </c>
      <c r="B487" s="22">
        <v>45848</v>
      </c>
      <c r="C487" s="20">
        <v>11746300.390000001</v>
      </c>
      <c r="D487" s="21" t="s">
        <v>363</v>
      </c>
      <c r="E487" s="21">
        <v>97123683</v>
      </c>
      <c r="F487" s="20">
        <v>11746300.390000001</v>
      </c>
      <c r="G487" s="22">
        <v>45854</v>
      </c>
      <c r="H487" s="21" t="s">
        <v>61</v>
      </c>
      <c r="I487" s="51" t="str">
        <f>IFERROR(IF(VLOOKUP(E487,extracto!C:C,1,FALSE)=E487,"pagado","no pagado"),"no pagado")</f>
        <v>pagado</v>
      </c>
      <c r="J487" s="52" t="str">
        <f t="shared" si="324"/>
        <v>pagado</v>
      </c>
      <c r="K487" s="51" t="str">
        <f t="shared" ca="1" si="325"/>
        <v>excluir</v>
      </c>
      <c r="L487" s="51" t="str">
        <f t="shared" ca="1" si="326"/>
        <v>no semana</v>
      </c>
      <c r="M487" s="51" t="str">
        <f>IFERROR(VLOOKUP(E487,'cheques a conf'!A:D,4,FALSE),"no clearing")</f>
        <v>no clearing</v>
      </c>
      <c r="N487" s="51">
        <f t="shared" si="327"/>
        <v>29</v>
      </c>
      <c r="O487" s="53">
        <f t="shared" si="328"/>
        <v>7</v>
      </c>
      <c r="P487" s="53">
        <f t="shared" si="329"/>
        <v>2025</v>
      </c>
    </row>
    <row r="488" spans="1:16" customFormat="1" x14ac:dyDescent="0.25">
      <c r="A488" s="21">
        <v>3000000965</v>
      </c>
      <c r="B488" s="22">
        <v>45848</v>
      </c>
      <c r="C488" s="20">
        <v>3913230.15</v>
      </c>
      <c r="D488" s="21" t="s">
        <v>340</v>
      </c>
      <c r="E488" s="21">
        <v>97123684</v>
      </c>
      <c r="F488" s="20">
        <v>3913230.15</v>
      </c>
      <c r="G488" s="22">
        <v>45853</v>
      </c>
      <c r="H488" s="21" t="s">
        <v>61</v>
      </c>
      <c r="I488" s="51" t="str">
        <f>IFERROR(IF(VLOOKUP(E488,extracto!C:C,1,FALSE)=E488,"pagado","no pagado"),"no pagado")</f>
        <v>pagado</v>
      </c>
      <c r="J488" s="52" t="str">
        <f t="shared" si="324"/>
        <v>pagado</v>
      </c>
      <c r="K488" s="51" t="str">
        <f t="shared" ca="1" si="325"/>
        <v>excluir</v>
      </c>
      <c r="L488" s="51" t="str">
        <f t="shared" ca="1" si="326"/>
        <v>no semana</v>
      </c>
      <c r="M488" s="51" t="str">
        <f>IFERROR(VLOOKUP(E488,'cheques a conf'!A:D,4,FALSE),"no clearing")</f>
        <v>no clearing</v>
      </c>
      <c r="N488" s="51">
        <f t="shared" si="327"/>
        <v>29</v>
      </c>
      <c r="O488" s="53">
        <f t="shared" si="328"/>
        <v>7</v>
      </c>
      <c r="P488" s="53">
        <f t="shared" si="329"/>
        <v>2025</v>
      </c>
    </row>
    <row r="489" spans="1:16" customFormat="1" x14ac:dyDescent="0.25">
      <c r="A489" s="21">
        <v>3000000966</v>
      </c>
      <c r="B489" s="22">
        <v>45848</v>
      </c>
      <c r="C489" s="20">
        <v>11749044.039999999</v>
      </c>
      <c r="D489" s="21" t="s">
        <v>384</v>
      </c>
      <c r="E489" s="21">
        <v>97123685</v>
      </c>
      <c r="F489" s="20">
        <v>11749044.039999999</v>
      </c>
      <c r="G489" s="22">
        <v>45853</v>
      </c>
      <c r="H489" s="21" t="s">
        <v>61</v>
      </c>
      <c r="I489" s="51" t="str">
        <f>IFERROR(IF(VLOOKUP(E489,extracto!C:C,1,FALSE)=E489,"pagado","no pagado"),"no pagado")</f>
        <v>pagado</v>
      </c>
      <c r="J489" s="52" t="str">
        <f t="shared" si="324"/>
        <v>pagado</v>
      </c>
      <c r="K489" s="51" t="str">
        <f t="shared" ca="1" si="325"/>
        <v>excluir</v>
      </c>
      <c r="L489" s="51" t="str">
        <f t="shared" ca="1" si="326"/>
        <v>no semana</v>
      </c>
      <c r="M489" s="51" t="str">
        <f>IFERROR(VLOOKUP(E489,'cheques a conf'!A:D,4,FALSE),"no clearing")</f>
        <v>no clearing</v>
      </c>
      <c r="N489" s="51">
        <f t="shared" si="327"/>
        <v>29</v>
      </c>
      <c r="O489" s="53">
        <f t="shared" si="328"/>
        <v>7</v>
      </c>
      <c r="P489" s="53">
        <f t="shared" si="329"/>
        <v>2025</v>
      </c>
    </row>
    <row r="490" spans="1:16" customFormat="1" x14ac:dyDescent="0.25">
      <c r="A490" s="21">
        <v>3000000967</v>
      </c>
      <c r="B490" s="22">
        <v>45848</v>
      </c>
      <c r="C490" s="20">
        <v>5505277.5</v>
      </c>
      <c r="D490" s="21" t="s">
        <v>297</v>
      </c>
      <c r="E490" s="21">
        <v>97123686</v>
      </c>
      <c r="F490" s="20">
        <v>5505277.5</v>
      </c>
      <c r="G490" s="22">
        <v>45853</v>
      </c>
      <c r="H490" s="21" t="s">
        <v>61</v>
      </c>
      <c r="I490" s="51" t="str">
        <f>IFERROR(IF(VLOOKUP(E490,extracto!C:C,1,FALSE)=E490,"pagado","no pagado"),"no pagado")</f>
        <v>pagado</v>
      </c>
      <c r="J490" s="52" t="str">
        <f t="shared" si="324"/>
        <v>pagado</v>
      </c>
      <c r="K490" s="51" t="str">
        <f t="shared" ca="1" si="325"/>
        <v>excluir</v>
      </c>
      <c r="L490" s="51" t="str">
        <f t="shared" ca="1" si="326"/>
        <v>no semana</v>
      </c>
      <c r="M490" s="51" t="str">
        <f>IFERROR(VLOOKUP(E490,'cheques a conf'!A:D,4,FALSE),"no clearing")</f>
        <v>no clearing</v>
      </c>
      <c r="N490" s="51">
        <f t="shared" si="327"/>
        <v>29</v>
      </c>
      <c r="O490" s="53">
        <f t="shared" si="328"/>
        <v>7</v>
      </c>
      <c r="P490" s="53">
        <f t="shared" si="329"/>
        <v>2025</v>
      </c>
    </row>
    <row r="491" spans="1:16" customFormat="1" x14ac:dyDescent="0.25">
      <c r="A491" s="21">
        <v>3000000968</v>
      </c>
      <c r="B491" s="22">
        <v>45848</v>
      </c>
      <c r="C491" s="20">
        <v>3109007.99</v>
      </c>
      <c r="D491" s="21" t="s">
        <v>404</v>
      </c>
      <c r="E491" s="21">
        <v>97123687</v>
      </c>
      <c r="F491" s="20">
        <v>3109007.99</v>
      </c>
      <c r="G491" s="22">
        <v>45853</v>
      </c>
      <c r="H491" s="21" t="s">
        <v>61</v>
      </c>
      <c r="I491" s="51" t="str">
        <f>IFERROR(IF(VLOOKUP(E491,extracto!C:C,1,FALSE)=E491,"pagado","no pagado"),"no pagado")</f>
        <v>pagado</v>
      </c>
      <c r="J491" s="52" t="str">
        <f t="shared" si="324"/>
        <v>pagado</v>
      </c>
      <c r="K491" s="51" t="str">
        <f t="shared" ca="1" si="325"/>
        <v>excluir</v>
      </c>
      <c r="L491" s="51" t="str">
        <f t="shared" ca="1" si="326"/>
        <v>no semana</v>
      </c>
      <c r="M491" s="51" t="str">
        <f>IFERROR(VLOOKUP(E491,'cheques a conf'!A:D,4,FALSE),"no clearing")</f>
        <v>no clearing</v>
      </c>
      <c r="N491" s="51">
        <f t="shared" si="327"/>
        <v>29</v>
      </c>
      <c r="O491" s="53">
        <f t="shared" si="328"/>
        <v>7</v>
      </c>
      <c r="P491" s="53">
        <f t="shared" si="329"/>
        <v>2025</v>
      </c>
    </row>
    <row r="492" spans="1:16" customFormat="1" x14ac:dyDescent="0.25">
      <c r="A492" s="21">
        <v>3000000974</v>
      </c>
      <c r="B492" s="22">
        <v>45849</v>
      </c>
      <c r="C492" s="20">
        <v>19199000</v>
      </c>
      <c r="D492" t="s">
        <v>22</v>
      </c>
      <c r="E492" s="21">
        <v>12452655</v>
      </c>
      <c r="F492" s="20">
        <v>19199000</v>
      </c>
      <c r="G492" s="22">
        <v>45852</v>
      </c>
      <c r="H492" s="21" t="s">
        <v>61</v>
      </c>
      <c r="I492" s="51" t="str">
        <f>IFERROR(IF(VLOOKUP(E492,extracto!C:C,1,FALSE)=E492,"pagado","no pagado"),"no pagado")</f>
        <v>pagado</v>
      </c>
      <c r="J492" s="52" t="str">
        <f t="shared" si="324"/>
        <v>pagado</v>
      </c>
      <c r="K492" s="51" t="str">
        <f t="shared" ca="1" si="325"/>
        <v>excluir</v>
      </c>
      <c r="L492" s="51" t="str">
        <f t="shared" ca="1" si="326"/>
        <v>no semana</v>
      </c>
      <c r="M492" s="51" t="str">
        <f>IFERROR(VLOOKUP(E492,'cheques a conf'!A:D,4,FALSE),"no clearing")</f>
        <v>no clearing</v>
      </c>
      <c r="N492" s="51">
        <f t="shared" si="327"/>
        <v>29</v>
      </c>
      <c r="O492" s="53">
        <f t="shared" si="328"/>
        <v>7</v>
      </c>
      <c r="P492" s="53">
        <f t="shared" si="329"/>
        <v>2025</v>
      </c>
    </row>
    <row r="493" spans="1:16" customFormat="1" x14ac:dyDescent="0.25">
      <c r="A493" s="21">
        <v>3000000977</v>
      </c>
      <c r="B493" s="22">
        <v>45852</v>
      </c>
      <c r="C493" s="20">
        <v>4250225.53</v>
      </c>
      <c r="D493" s="21" t="s">
        <v>337</v>
      </c>
      <c r="E493" s="21">
        <v>97123688</v>
      </c>
      <c r="F493" s="20">
        <v>4250225.53</v>
      </c>
      <c r="G493" s="22">
        <v>45855</v>
      </c>
      <c r="H493" s="21" t="s">
        <v>61</v>
      </c>
      <c r="I493" s="51" t="str">
        <f>IFERROR(IF(VLOOKUP(E493,extracto!C:C,1,FALSE)=E493,"pagado","no pagado"),"no pagado")</f>
        <v>pagado</v>
      </c>
      <c r="J493" s="52" t="str">
        <f t="shared" si="324"/>
        <v>pagado</v>
      </c>
      <c r="K493" s="51" t="str">
        <f t="shared" ca="1" si="325"/>
        <v>excluir</v>
      </c>
      <c r="L493" s="51" t="str">
        <f t="shared" ca="1" si="326"/>
        <v>no semana</v>
      </c>
      <c r="M493" s="51" t="str">
        <f>IFERROR(VLOOKUP(E493,'cheques a conf'!A:D,4,FALSE),"no clearing")</f>
        <v>no clearing</v>
      </c>
      <c r="N493" s="51">
        <f t="shared" si="327"/>
        <v>29</v>
      </c>
      <c r="O493" s="53">
        <f t="shared" si="328"/>
        <v>7</v>
      </c>
      <c r="P493" s="53">
        <f t="shared" si="329"/>
        <v>2025</v>
      </c>
    </row>
    <row r="494" spans="1:16" customFormat="1" x14ac:dyDescent="0.25">
      <c r="A494" s="21">
        <v>3000000978</v>
      </c>
      <c r="B494" s="22">
        <v>45852</v>
      </c>
      <c r="C494" s="20">
        <v>6411894.8600000003</v>
      </c>
      <c r="D494" s="21" t="s">
        <v>401</v>
      </c>
      <c r="E494" s="21">
        <v>97123689</v>
      </c>
      <c r="F494" s="20">
        <v>6411894.8600000003</v>
      </c>
      <c r="G494" s="22">
        <v>45855</v>
      </c>
      <c r="H494" s="21" t="s">
        <v>61</v>
      </c>
      <c r="I494" s="51" t="str">
        <f>IFERROR(IF(VLOOKUP(E494,extracto!C:C,1,FALSE)=E494,"pagado","no pagado"),"no pagado")</f>
        <v>pagado</v>
      </c>
      <c r="J494" s="52" t="str">
        <f t="shared" si="324"/>
        <v>pagado</v>
      </c>
      <c r="K494" s="51" t="str">
        <f t="shared" ca="1" si="325"/>
        <v>excluir</v>
      </c>
      <c r="L494" s="51" t="str">
        <f t="shared" ca="1" si="326"/>
        <v>no semana</v>
      </c>
      <c r="M494" s="51" t="str">
        <f>IFERROR(VLOOKUP(E494,'cheques a conf'!A:D,4,FALSE),"no clearing")</f>
        <v>no clearing</v>
      </c>
      <c r="N494" s="51">
        <f t="shared" si="327"/>
        <v>29</v>
      </c>
      <c r="O494" s="53">
        <f t="shared" si="328"/>
        <v>7</v>
      </c>
      <c r="P494" s="53">
        <f t="shared" si="329"/>
        <v>2025</v>
      </c>
    </row>
    <row r="495" spans="1:16" customFormat="1" x14ac:dyDescent="0.25">
      <c r="A495" s="21">
        <v>3000000979</v>
      </c>
      <c r="B495" s="22">
        <v>45852</v>
      </c>
      <c r="C495" s="20">
        <v>10184573.710000001</v>
      </c>
      <c r="D495" s="21" t="s">
        <v>395</v>
      </c>
      <c r="E495" s="21">
        <v>97123690</v>
      </c>
      <c r="F495" s="20">
        <v>10184573.710000001</v>
      </c>
      <c r="G495" s="22">
        <v>45855</v>
      </c>
      <c r="H495" s="21" t="s">
        <v>61</v>
      </c>
      <c r="I495" s="51" t="str">
        <f>IFERROR(IF(VLOOKUP(E495,extracto!C:C,1,FALSE)=E495,"pagado","no pagado"),"no pagado")</f>
        <v>pagado</v>
      </c>
      <c r="J495" s="52" t="str">
        <f t="shared" si="324"/>
        <v>pagado</v>
      </c>
      <c r="K495" s="51" t="str">
        <f t="shared" ca="1" si="325"/>
        <v>excluir</v>
      </c>
      <c r="L495" s="51" t="str">
        <f t="shared" ca="1" si="326"/>
        <v>no semana</v>
      </c>
      <c r="M495" s="51" t="str">
        <f>IFERROR(VLOOKUP(E495,'cheques a conf'!A:D,4,FALSE),"no clearing")</f>
        <v>no clearing</v>
      </c>
      <c r="N495" s="51">
        <f t="shared" si="327"/>
        <v>29</v>
      </c>
      <c r="O495" s="53">
        <f t="shared" si="328"/>
        <v>7</v>
      </c>
      <c r="P495" s="53">
        <f t="shared" si="329"/>
        <v>2025</v>
      </c>
    </row>
    <row r="496" spans="1:16" customFormat="1" x14ac:dyDescent="0.25">
      <c r="A496" s="21">
        <v>3000000980</v>
      </c>
      <c r="B496" s="22">
        <v>45852</v>
      </c>
      <c r="C496" s="20">
        <v>6784045.9500000002</v>
      </c>
      <c r="D496" s="21" t="s">
        <v>284</v>
      </c>
      <c r="E496" s="21">
        <v>97123691</v>
      </c>
      <c r="F496" s="20">
        <v>6784045.9500000002</v>
      </c>
      <c r="G496" s="22">
        <v>45855</v>
      </c>
      <c r="H496" s="21" t="s">
        <v>61</v>
      </c>
      <c r="I496" s="51" t="str">
        <f>IFERROR(IF(VLOOKUP(E496,extracto!C:C,1,FALSE)=E496,"pagado","no pagado"),"no pagado")</f>
        <v>pagado</v>
      </c>
      <c r="J496" s="52" t="str">
        <f t="shared" si="324"/>
        <v>pagado</v>
      </c>
      <c r="K496" s="51" t="str">
        <f t="shared" ca="1" si="325"/>
        <v>excluir</v>
      </c>
      <c r="L496" s="51" t="str">
        <f t="shared" ca="1" si="326"/>
        <v>no semana</v>
      </c>
      <c r="M496" s="51" t="str">
        <f>IFERROR(VLOOKUP(E496,'cheques a conf'!A:D,4,FALSE),"no clearing")</f>
        <v>no clearing</v>
      </c>
      <c r="N496" s="51">
        <f t="shared" si="327"/>
        <v>29</v>
      </c>
      <c r="O496" s="53">
        <f t="shared" si="328"/>
        <v>7</v>
      </c>
      <c r="P496" s="53">
        <f t="shared" si="329"/>
        <v>2025</v>
      </c>
    </row>
    <row r="497" spans="1:16" customFormat="1" x14ac:dyDescent="0.25">
      <c r="A497" s="21">
        <v>3000000981</v>
      </c>
      <c r="B497" s="22">
        <v>45852</v>
      </c>
      <c r="C497" s="20">
        <v>6000000</v>
      </c>
      <c r="D497" s="21" t="s">
        <v>287</v>
      </c>
      <c r="E497" s="21">
        <v>97123692</v>
      </c>
      <c r="F497" s="20">
        <v>6000000</v>
      </c>
      <c r="G497" s="22">
        <v>45855</v>
      </c>
      <c r="H497" s="21" t="s">
        <v>61</v>
      </c>
      <c r="I497" s="51" t="str">
        <f>IFERROR(IF(VLOOKUP(E497,extracto!C:C,1,FALSE)=E497,"pagado","no pagado"),"no pagado")</f>
        <v>pagado</v>
      </c>
      <c r="J497" s="52" t="str">
        <f t="shared" si="324"/>
        <v>pagado</v>
      </c>
      <c r="K497" s="51" t="str">
        <f t="shared" ca="1" si="325"/>
        <v>excluir</v>
      </c>
      <c r="L497" s="51" t="str">
        <f t="shared" ca="1" si="326"/>
        <v>no semana</v>
      </c>
      <c r="M497" s="51" t="str">
        <f>IFERROR(VLOOKUP(E497,'cheques a conf'!A:D,4,FALSE),"no clearing")</f>
        <v>no clearing</v>
      </c>
      <c r="N497" s="51">
        <f t="shared" si="327"/>
        <v>29</v>
      </c>
      <c r="O497" s="53">
        <f t="shared" si="328"/>
        <v>7</v>
      </c>
      <c r="P497" s="53">
        <f t="shared" si="329"/>
        <v>2025</v>
      </c>
    </row>
    <row r="498" spans="1:16" customFormat="1" x14ac:dyDescent="0.25">
      <c r="A498" s="21">
        <v>3000000981</v>
      </c>
      <c r="B498" s="22">
        <v>45852</v>
      </c>
      <c r="C498" s="20">
        <v>5880166.0999999996</v>
      </c>
      <c r="D498" s="21" t="s">
        <v>287</v>
      </c>
      <c r="E498" s="21">
        <v>97123693</v>
      </c>
      <c r="F498" s="20">
        <v>5880166.0999999996</v>
      </c>
      <c r="G498" s="22">
        <v>45856</v>
      </c>
      <c r="H498" s="21" t="s">
        <v>61</v>
      </c>
      <c r="I498" s="51" t="str">
        <f>IFERROR(IF(VLOOKUP(E498,extracto!C:C,1,FALSE)=E498,"pagado","no pagado"),"no pagado")</f>
        <v>pagado</v>
      </c>
      <c r="J498" s="52" t="str">
        <f t="shared" si="324"/>
        <v>pagado</v>
      </c>
      <c r="K498" s="51" t="str">
        <f t="shared" ca="1" si="325"/>
        <v>excluir</v>
      </c>
      <c r="L498" s="51" t="str">
        <f t="shared" ca="1" si="326"/>
        <v>no semana</v>
      </c>
      <c r="M498" s="51" t="str">
        <f>IFERROR(VLOOKUP(E498,'cheques a conf'!A:D,4,FALSE),"no clearing")</f>
        <v>no clearing</v>
      </c>
      <c r="N498" s="51">
        <f t="shared" si="327"/>
        <v>29</v>
      </c>
      <c r="O498" s="53">
        <f t="shared" si="328"/>
        <v>7</v>
      </c>
      <c r="P498" s="53">
        <f t="shared" si="329"/>
        <v>2025</v>
      </c>
    </row>
    <row r="499" spans="1:16" customFormat="1" x14ac:dyDescent="0.25">
      <c r="A499" s="21">
        <v>3000000982</v>
      </c>
      <c r="B499" s="22">
        <v>45852</v>
      </c>
      <c r="C499" s="20">
        <v>7299857.4800000004</v>
      </c>
      <c r="D499" s="21" t="s">
        <v>346</v>
      </c>
      <c r="E499" s="21">
        <v>97123694</v>
      </c>
      <c r="F499" s="20">
        <v>7299857.4800000004</v>
      </c>
      <c r="G499" s="22">
        <v>45855</v>
      </c>
      <c r="H499" s="21" t="s">
        <v>61</v>
      </c>
      <c r="I499" s="51" t="str">
        <f>IFERROR(IF(VLOOKUP(E499,extracto!C:C,1,FALSE)=E499,"pagado","no pagado"),"no pagado")</f>
        <v>pagado</v>
      </c>
      <c r="J499" s="52" t="str">
        <f t="shared" si="324"/>
        <v>pagado</v>
      </c>
      <c r="K499" s="51" t="str">
        <f t="shared" ca="1" si="325"/>
        <v>excluir</v>
      </c>
      <c r="L499" s="51" t="str">
        <f t="shared" ca="1" si="326"/>
        <v>no semana</v>
      </c>
      <c r="M499" s="51" t="str">
        <f>IFERROR(VLOOKUP(E499,'cheques a conf'!A:D,4,FALSE),"no clearing")</f>
        <v>no clearing</v>
      </c>
      <c r="N499" s="51">
        <f t="shared" si="327"/>
        <v>29</v>
      </c>
      <c r="O499" s="53">
        <f t="shared" si="328"/>
        <v>7</v>
      </c>
      <c r="P499" s="53">
        <f t="shared" si="329"/>
        <v>2025</v>
      </c>
    </row>
    <row r="500" spans="1:16" customFormat="1" x14ac:dyDescent="0.25">
      <c r="A500" s="21">
        <v>3000000983</v>
      </c>
      <c r="B500" s="22">
        <v>45852</v>
      </c>
      <c r="C500" s="20">
        <v>11160093</v>
      </c>
      <c r="D500" s="21" t="s">
        <v>365</v>
      </c>
      <c r="E500" s="21">
        <v>97123695</v>
      </c>
      <c r="F500" s="20">
        <v>11160093</v>
      </c>
      <c r="G500" s="22">
        <v>45855</v>
      </c>
      <c r="H500" s="21" t="s">
        <v>61</v>
      </c>
      <c r="I500" s="51" t="str">
        <f>IFERROR(IF(VLOOKUP(E500,extracto!C:C,1,FALSE)=E500,"pagado","no pagado"),"no pagado")</f>
        <v>pagado</v>
      </c>
      <c r="J500" s="52" t="str">
        <f t="shared" si="324"/>
        <v>pagado</v>
      </c>
      <c r="K500" s="51" t="str">
        <f t="shared" ca="1" si="325"/>
        <v>excluir</v>
      </c>
      <c r="L500" s="51" t="str">
        <f t="shared" ca="1" si="326"/>
        <v>no semana</v>
      </c>
      <c r="M500" s="51" t="str">
        <f>IFERROR(VLOOKUP(E500,'cheques a conf'!A:D,4,FALSE),"no clearing")</f>
        <v>no clearing</v>
      </c>
      <c r="N500" s="51">
        <f t="shared" si="327"/>
        <v>29</v>
      </c>
      <c r="O500" s="53">
        <f t="shared" si="328"/>
        <v>7</v>
      </c>
      <c r="P500" s="53">
        <f t="shared" si="329"/>
        <v>2025</v>
      </c>
    </row>
    <row r="501" spans="1:16" customFormat="1" x14ac:dyDescent="0.25">
      <c r="A501" s="21">
        <v>3000001040</v>
      </c>
      <c r="B501" s="22">
        <v>45869</v>
      </c>
      <c r="C501" s="20">
        <v>8242094.2599999998</v>
      </c>
      <c r="D501" s="21" t="s">
        <v>392</v>
      </c>
      <c r="E501" s="21">
        <v>97123696</v>
      </c>
      <c r="F501" s="20">
        <v>8242094.2599999998</v>
      </c>
      <c r="G501" s="22">
        <v>45876</v>
      </c>
      <c r="H501" s="21" t="s">
        <v>61</v>
      </c>
      <c r="I501" s="51" t="str">
        <f>IFERROR(IF(VLOOKUP(E501,extracto!C:C,1,FALSE)=E501,"pagado","no pagado"),"no pagado")</f>
        <v>pagado</v>
      </c>
      <c r="J501" s="52" t="str">
        <f t="shared" si="324"/>
        <v>pagado</v>
      </c>
      <c r="K501" s="51" t="str">
        <f t="shared" ca="1" si="325"/>
        <v>excluir</v>
      </c>
      <c r="L501" s="51" t="str">
        <f t="shared" ca="1" si="326"/>
        <v>no semana</v>
      </c>
      <c r="M501" s="51" t="str">
        <f>IFERROR(VLOOKUP(E501,'cheques a conf'!A:D,4,FALSE),"no clearing")</f>
        <v>no clearing</v>
      </c>
      <c r="N501" s="51">
        <f t="shared" si="327"/>
        <v>32</v>
      </c>
      <c r="O501" s="53">
        <f t="shared" si="328"/>
        <v>8</v>
      </c>
      <c r="P501" s="53">
        <f t="shared" si="329"/>
        <v>2025</v>
      </c>
    </row>
    <row r="502" spans="1:16" customFormat="1" x14ac:dyDescent="0.25">
      <c r="A502" s="21">
        <v>3000001041</v>
      </c>
      <c r="B502" s="22">
        <v>45869</v>
      </c>
      <c r="C502" s="20">
        <v>8506626.5199999996</v>
      </c>
      <c r="D502" s="21" t="s">
        <v>371</v>
      </c>
      <c r="E502" s="21">
        <v>97123697</v>
      </c>
      <c r="F502" s="20">
        <v>8506626.5199999996</v>
      </c>
      <c r="G502" s="22">
        <v>45876</v>
      </c>
      <c r="H502" s="21" t="s">
        <v>61</v>
      </c>
      <c r="I502" s="51" t="str">
        <f>IFERROR(IF(VLOOKUP(E502,extracto!C:C,1,FALSE)=E502,"pagado","no pagado"),"no pagado")</f>
        <v>pagado</v>
      </c>
      <c r="J502" s="52" t="str">
        <f t="shared" si="324"/>
        <v>pagado</v>
      </c>
      <c r="K502" s="51" t="str">
        <f t="shared" ca="1" si="325"/>
        <v>excluir</v>
      </c>
      <c r="L502" s="51" t="str">
        <f t="shared" ca="1" si="326"/>
        <v>no semana</v>
      </c>
      <c r="M502" s="51" t="str">
        <f>IFERROR(VLOOKUP(E502,'cheques a conf'!A:D,4,FALSE),"no clearing")</f>
        <v>no clearing</v>
      </c>
      <c r="N502" s="51">
        <f t="shared" si="327"/>
        <v>32</v>
      </c>
      <c r="O502" s="53">
        <f t="shared" si="328"/>
        <v>8</v>
      </c>
      <c r="P502" s="53">
        <f t="shared" si="329"/>
        <v>2025</v>
      </c>
    </row>
    <row r="503" spans="1:16" customFormat="1" x14ac:dyDescent="0.25">
      <c r="A503" s="21">
        <v>3000001042</v>
      </c>
      <c r="B503" s="22">
        <v>45869</v>
      </c>
      <c r="C503" s="20">
        <v>4803570.42</v>
      </c>
      <c r="D503" s="21" t="s">
        <v>395</v>
      </c>
      <c r="E503" s="21">
        <v>97123698</v>
      </c>
      <c r="F503" s="20">
        <v>4803570.42</v>
      </c>
      <c r="G503" s="22">
        <v>45876</v>
      </c>
      <c r="H503" s="21" t="s">
        <v>61</v>
      </c>
      <c r="I503" s="51" t="str">
        <f>IFERROR(IF(VLOOKUP(E503,extracto!C:C,1,FALSE)=E503,"pagado","no pagado"),"no pagado")</f>
        <v>pagado</v>
      </c>
      <c r="J503" s="52" t="str">
        <f t="shared" si="324"/>
        <v>pagado</v>
      </c>
      <c r="K503" s="51" t="str">
        <f t="shared" ca="1" si="325"/>
        <v>excluir</v>
      </c>
      <c r="L503" s="51" t="str">
        <f t="shared" ca="1" si="326"/>
        <v>no semana</v>
      </c>
      <c r="M503" s="51" t="str">
        <f>IFERROR(VLOOKUP(E503,'cheques a conf'!A:D,4,FALSE),"no clearing")</f>
        <v>no clearing</v>
      </c>
      <c r="N503" s="51">
        <f t="shared" si="327"/>
        <v>32</v>
      </c>
      <c r="O503" s="53">
        <f t="shared" si="328"/>
        <v>8</v>
      </c>
      <c r="P503" s="53">
        <f t="shared" si="329"/>
        <v>2025</v>
      </c>
    </row>
    <row r="504" spans="1:16" customFormat="1" x14ac:dyDescent="0.25">
      <c r="A504" s="21">
        <v>3000001043</v>
      </c>
      <c r="B504" s="22">
        <v>45869</v>
      </c>
      <c r="C504" s="20">
        <v>4970121.51</v>
      </c>
      <c r="D504" s="21" t="s">
        <v>337</v>
      </c>
      <c r="E504" s="21">
        <v>97123699</v>
      </c>
      <c r="F504" s="20">
        <v>4970121.51</v>
      </c>
      <c r="G504" s="22">
        <v>45876</v>
      </c>
      <c r="H504" s="21" t="s">
        <v>61</v>
      </c>
      <c r="I504" s="51" t="str">
        <f>IFERROR(IF(VLOOKUP(E504,extracto!C:C,1,FALSE)=E504,"pagado","no pagado"),"no pagado")</f>
        <v>pagado</v>
      </c>
      <c r="J504" s="52" t="str">
        <f t="shared" si="324"/>
        <v>pagado</v>
      </c>
      <c r="K504" s="51" t="str">
        <f t="shared" ca="1" si="325"/>
        <v>excluir</v>
      </c>
      <c r="L504" s="51" t="str">
        <f t="shared" ca="1" si="326"/>
        <v>no semana</v>
      </c>
      <c r="M504" s="51" t="str">
        <f>IFERROR(VLOOKUP(E504,'cheques a conf'!A:D,4,FALSE),"no clearing")</f>
        <v>no clearing</v>
      </c>
      <c r="N504" s="51">
        <f t="shared" si="327"/>
        <v>32</v>
      </c>
      <c r="O504" s="53">
        <f t="shared" si="328"/>
        <v>8</v>
      </c>
      <c r="P504" s="53">
        <f t="shared" si="329"/>
        <v>2025</v>
      </c>
    </row>
    <row r="505" spans="1:16" customFormat="1" x14ac:dyDescent="0.25">
      <c r="A505" s="21">
        <v>3000001044</v>
      </c>
      <c r="B505" s="22">
        <v>45869</v>
      </c>
      <c r="C505" s="20">
        <v>3402292.44</v>
      </c>
      <c r="D505" s="21" t="s">
        <v>340</v>
      </c>
      <c r="E505" s="21">
        <v>97123700</v>
      </c>
      <c r="F505" s="20">
        <v>3402292.44</v>
      </c>
      <c r="G505" s="22">
        <v>45876</v>
      </c>
      <c r="H505" s="21" t="s">
        <v>61</v>
      </c>
      <c r="I505" s="51" t="str">
        <f>IFERROR(IF(VLOOKUP(E505,extracto!C:C,1,FALSE)=E505,"pagado","no pagado"),"no pagado")</f>
        <v>pagado</v>
      </c>
      <c r="J505" s="52" t="str">
        <f t="shared" si="324"/>
        <v>pagado</v>
      </c>
      <c r="K505" s="51" t="str">
        <f t="shared" ca="1" si="325"/>
        <v>excluir</v>
      </c>
      <c r="L505" s="51" t="str">
        <f t="shared" ca="1" si="326"/>
        <v>no semana</v>
      </c>
      <c r="M505" s="51" t="str">
        <f>IFERROR(VLOOKUP(E505,'cheques a conf'!A:D,4,FALSE),"no clearing")</f>
        <v>no clearing</v>
      </c>
      <c r="N505" s="51">
        <f t="shared" si="327"/>
        <v>32</v>
      </c>
      <c r="O505" s="53">
        <f t="shared" si="328"/>
        <v>8</v>
      </c>
      <c r="P505" s="53">
        <f t="shared" si="329"/>
        <v>2025</v>
      </c>
    </row>
    <row r="506" spans="1:16" customFormat="1" x14ac:dyDescent="0.25">
      <c r="A506" s="21">
        <v>3000001045</v>
      </c>
      <c r="B506" s="22">
        <v>45869</v>
      </c>
      <c r="C506" s="20">
        <v>6884097.5999999996</v>
      </c>
      <c r="D506" s="21" t="s">
        <v>384</v>
      </c>
      <c r="E506" s="21">
        <v>97123701</v>
      </c>
      <c r="F506" s="20">
        <v>6884097.5999999996</v>
      </c>
      <c r="G506" s="22">
        <v>45876</v>
      </c>
      <c r="H506" s="21" t="s">
        <v>61</v>
      </c>
      <c r="I506" s="51" t="str">
        <f>IFERROR(IF(VLOOKUP(E506,extracto!C:C,1,FALSE)=E506,"pagado","no pagado"),"no pagado")</f>
        <v>pagado</v>
      </c>
      <c r="J506" s="52" t="str">
        <f t="shared" si="324"/>
        <v>pagado</v>
      </c>
      <c r="K506" s="51" t="str">
        <f t="shared" ca="1" si="325"/>
        <v>excluir</v>
      </c>
      <c r="L506" s="51" t="str">
        <f t="shared" ca="1" si="326"/>
        <v>no semana</v>
      </c>
      <c r="M506" s="51" t="str">
        <f>IFERROR(VLOOKUP(E506,'cheques a conf'!A:D,4,FALSE),"no clearing")</f>
        <v>no clearing</v>
      </c>
      <c r="N506" s="51">
        <f t="shared" si="327"/>
        <v>32</v>
      </c>
      <c r="O506" s="53">
        <f t="shared" si="328"/>
        <v>8</v>
      </c>
      <c r="P506" s="53">
        <f t="shared" si="329"/>
        <v>2025</v>
      </c>
    </row>
    <row r="507" spans="1:16" customFormat="1" x14ac:dyDescent="0.25">
      <c r="A507" s="21">
        <v>3000001046</v>
      </c>
      <c r="B507" s="22">
        <v>45869</v>
      </c>
      <c r="C507" s="20">
        <v>1595040.73</v>
      </c>
      <c r="D507" s="21" t="s">
        <v>301</v>
      </c>
      <c r="E507" s="21">
        <v>97123702</v>
      </c>
      <c r="F507" s="20">
        <v>1595040.73</v>
      </c>
      <c r="G507" s="22">
        <v>45876</v>
      </c>
      <c r="H507" s="21" t="s">
        <v>61</v>
      </c>
      <c r="I507" s="51" t="str">
        <f>IFERROR(IF(VLOOKUP(E507,extracto!C:C,1,FALSE)=E507,"pagado","no pagado"),"no pagado")</f>
        <v>pagado</v>
      </c>
      <c r="J507" s="52" t="str">
        <f t="shared" si="324"/>
        <v>pagado</v>
      </c>
      <c r="K507" s="51" t="str">
        <f t="shared" ca="1" si="325"/>
        <v>excluir</v>
      </c>
      <c r="L507" s="51" t="str">
        <f t="shared" ca="1" si="326"/>
        <v>no semana</v>
      </c>
      <c r="M507" s="51" t="str">
        <f>IFERROR(VLOOKUP(E507,'cheques a conf'!A:D,4,FALSE),"no clearing")</f>
        <v>no clearing</v>
      </c>
      <c r="N507" s="51">
        <f t="shared" si="327"/>
        <v>32</v>
      </c>
      <c r="O507" s="53">
        <f t="shared" si="328"/>
        <v>8</v>
      </c>
      <c r="P507" s="53">
        <f t="shared" si="329"/>
        <v>2025</v>
      </c>
    </row>
    <row r="508" spans="1:16" customFormat="1" x14ac:dyDescent="0.25">
      <c r="A508" s="21">
        <v>3000001047</v>
      </c>
      <c r="B508" s="22">
        <v>45869</v>
      </c>
      <c r="C508" s="20">
        <v>9829943.5999999996</v>
      </c>
      <c r="D508" s="21" t="s">
        <v>405</v>
      </c>
      <c r="E508" s="21">
        <v>97123703</v>
      </c>
      <c r="F508" s="20">
        <v>9829943.5999999996</v>
      </c>
      <c r="G508" s="22">
        <v>45876</v>
      </c>
      <c r="H508" s="21" t="s">
        <v>61</v>
      </c>
      <c r="I508" s="51" t="str">
        <f>IFERROR(IF(VLOOKUP(E508,extracto!C:C,1,FALSE)=E508,"pagado","no pagado"),"no pagado")</f>
        <v>pagado</v>
      </c>
      <c r="J508" s="52" t="str">
        <f t="shared" si="324"/>
        <v>pagado</v>
      </c>
      <c r="K508" s="51" t="str">
        <f t="shared" ca="1" si="325"/>
        <v>excluir</v>
      </c>
      <c r="L508" s="51" t="str">
        <f t="shared" ca="1" si="326"/>
        <v>no semana</v>
      </c>
      <c r="M508" s="51" t="str">
        <f>IFERROR(VLOOKUP(E508,'cheques a conf'!A:D,4,FALSE),"no clearing")</f>
        <v>no clearing</v>
      </c>
      <c r="N508" s="51">
        <f t="shared" si="327"/>
        <v>32</v>
      </c>
      <c r="O508" s="53">
        <f t="shared" si="328"/>
        <v>8</v>
      </c>
      <c r="P508" s="53">
        <f t="shared" si="329"/>
        <v>2025</v>
      </c>
    </row>
    <row r="509" spans="1:16" customFormat="1" x14ac:dyDescent="0.25">
      <c r="A509" s="21">
        <v>3000001048</v>
      </c>
      <c r="B509" s="22">
        <v>45869</v>
      </c>
      <c r="C509" s="20">
        <v>10501823.5</v>
      </c>
      <c r="D509" s="21" t="s">
        <v>347</v>
      </c>
      <c r="E509" s="21">
        <v>97123704</v>
      </c>
      <c r="F509" s="20">
        <v>10501823.5</v>
      </c>
      <c r="G509" s="22">
        <v>45876</v>
      </c>
      <c r="H509" s="21" t="s">
        <v>61</v>
      </c>
      <c r="I509" s="51" t="str">
        <f>IFERROR(IF(VLOOKUP(E509,extracto!C:C,1,FALSE)=E509,"pagado","no pagado"),"no pagado")</f>
        <v>pagado</v>
      </c>
      <c r="J509" s="52" t="str">
        <f t="shared" si="324"/>
        <v>pagado</v>
      </c>
      <c r="K509" s="51" t="str">
        <f t="shared" ca="1" si="325"/>
        <v>excluir</v>
      </c>
      <c r="L509" s="51" t="str">
        <f t="shared" ca="1" si="326"/>
        <v>no semana</v>
      </c>
      <c r="M509" s="51" t="str">
        <f>IFERROR(VLOOKUP(E509,'cheques a conf'!A:D,4,FALSE),"no clearing")</f>
        <v>no clearing</v>
      </c>
      <c r="N509" s="51">
        <f t="shared" si="327"/>
        <v>32</v>
      </c>
      <c r="O509" s="53">
        <f t="shared" si="328"/>
        <v>8</v>
      </c>
      <c r="P509" s="53">
        <f t="shared" si="329"/>
        <v>2025</v>
      </c>
    </row>
    <row r="510" spans="1:16" customFormat="1" x14ac:dyDescent="0.25">
      <c r="A510" s="21">
        <v>3000001049</v>
      </c>
      <c r="B510" s="22">
        <v>45869</v>
      </c>
      <c r="C510" s="20">
        <v>8318980.5999999996</v>
      </c>
      <c r="D510" s="21" t="s">
        <v>197</v>
      </c>
      <c r="E510" s="21">
        <v>97123705</v>
      </c>
      <c r="F510" s="20">
        <v>8318980.5999999996</v>
      </c>
      <c r="G510" s="22">
        <v>45876</v>
      </c>
      <c r="H510" s="21" t="s">
        <v>61</v>
      </c>
      <c r="I510" s="51" t="str">
        <f>IFERROR(IF(VLOOKUP(E510,extracto!C:C,1,FALSE)=E510,"pagado","no pagado"),"no pagado")</f>
        <v>pagado</v>
      </c>
      <c r="J510" s="52" t="str">
        <f t="shared" si="324"/>
        <v>pagado</v>
      </c>
      <c r="K510" s="51" t="str">
        <f t="shared" ca="1" si="325"/>
        <v>excluir</v>
      </c>
      <c r="L510" s="51" t="str">
        <f t="shared" ca="1" si="326"/>
        <v>no semana</v>
      </c>
      <c r="M510" s="51" t="str">
        <f>IFERROR(VLOOKUP(E510,'cheques a conf'!A:D,4,FALSE),"no clearing")</f>
        <v>no clearing</v>
      </c>
      <c r="N510" s="51">
        <f t="shared" si="327"/>
        <v>32</v>
      </c>
      <c r="O510" s="53">
        <f t="shared" si="328"/>
        <v>8</v>
      </c>
      <c r="P510" s="53">
        <f t="shared" si="329"/>
        <v>2025</v>
      </c>
    </row>
    <row r="511" spans="1:16" customFormat="1" x14ac:dyDescent="0.25">
      <c r="A511" s="21">
        <v>3000001050</v>
      </c>
      <c r="B511" s="22">
        <v>45869</v>
      </c>
      <c r="C511" s="20">
        <v>1112544</v>
      </c>
      <c r="D511" s="21" t="s">
        <v>300</v>
      </c>
      <c r="E511" s="21">
        <v>97123706</v>
      </c>
      <c r="F511" s="20">
        <v>1112544</v>
      </c>
      <c r="G511" s="22">
        <v>45876</v>
      </c>
      <c r="H511" s="21" t="s">
        <v>61</v>
      </c>
      <c r="I511" s="51" t="str">
        <f>IFERROR(IF(VLOOKUP(E511,extracto!C:C,1,FALSE)=E511,"pagado","no pagado"),"no pagado")</f>
        <v>pagado</v>
      </c>
      <c r="J511" s="52" t="str">
        <f t="shared" ref="J511:J520" si="330">IF(I511="pagado","pagado",IF(G511&lt;$V$1-30,"fuera de fecha","en periodo de pago"))</f>
        <v>pagado</v>
      </c>
      <c r="K511" s="51" t="str">
        <f t="shared" ref="K511:K520" ca="1" si="331">+IF(B511&gt;$V$1,"excluir",IF(J511="en periodo de pago",IF($V$1&gt;G511,"a pagar","proximo a vencer"),"excluir"))</f>
        <v>excluir</v>
      </c>
      <c r="L511" s="51" t="str">
        <f t="shared" ref="L511:L520" ca="1" si="332">+IF(K511="proximo a vencer",IF($V$1+5&gt;G511,"para la semana","no semana"),"no semana")</f>
        <v>no semana</v>
      </c>
      <c r="M511" s="51" t="str">
        <f>IFERROR(VLOOKUP(E511,'cheques a conf'!A:D,4,FALSE),"no clearing")</f>
        <v>no clearing</v>
      </c>
      <c r="N511" s="51">
        <f t="shared" ref="N511:N520" si="333">+WEEKNUM(G511,2)</f>
        <v>32</v>
      </c>
      <c r="O511" s="53">
        <f t="shared" ref="O511:O520" si="334">+MONTH(G511)</f>
        <v>8</v>
      </c>
      <c r="P511" s="53">
        <f t="shared" ref="P511:P520" si="335">+YEAR(G511)</f>
        <v>2025</v>
      </c>
    </row>
    <row r="512" spans="1:16" customFormat="1" x14ac:dyDescent="0.25">
      <c r="A512" s="21">
        <v>3000001050</v>
      </c>
      <c r="B512" s="22">
        <v>45869</v>
      </c>
      <c r="C512" s="20">
        <v>9387580</v>
      </c>
      <c r="D512" s="21" t="s">
        <v>300</v>
      </c>
      <c r="E512" s="21">
        <v>97123707</v>
      </c>
      <c r="F512" s="20">
        <v>9387580</v>
      </c>
      <c r="G512" s="22">
        <v>45877</v>
      </c>
      <c r="H512" s="21" t="s">
        <v>61</v>
      </c>
      <c r="I512" s="51" t="str">
        <f>IFERROR(IF(VLOOKUP(E512,extracto!C:C,1,FALSE)=E512,"pagado","no pagado"),"no pagado")</f>
        <v>pagado</v>
      </c>
      <c r="J512" s="52" t="str">
        <f t="shared" si="330"/>
        <v>pagado</v>
      </c>
      <c r="K512" s="51" t="str">
        <f t="shared" ca="1" si="331"/>
        <v>excluir</v>
      </c>
      <c r="L512" s="51" t="str">
        <f t="shared" ca="1" si="332"/>
        <v>no semana</v>
      </c>
      <c r="M512" s="51" t="str">
        <f>IFERROR(VLOOKUP(E512,'cheques a conf'!A:D,4,FALSE),"no clearing")</f>
        <v>no clearing</v>
      </c>
      <c r="N512" s="51">
        <f t="shared" si="333"/>
        <v>32</v>
      </c>
      <c r="O512" s="53">
        <f t="shared" si="334"/>
        <v>8</v>
      </c>
      <c r="P512" s="53">
        <f t="shared" si="335"/>
        <v>2025</v>
      </c>
    </row>
    <row r="513" spans="1:16" customFormat="1" x14ac:dyDescent="0.25">
      <c r="A513" s="21">
        <v>3000001051</v>
      </c>
      <c r="B513" s="22">
        <v>45869</v>
      </c>
      <c r="C513" s="20">
        <v>12700600.84</v>
      </c>
      <c r="D513" s="21" t="s">
        <v>303</v>
      </c>
      <c r="E513" s="21">
        <v>97123708</v>
      </c>
      <c r="F513" s="20">
        <v>12700600.84</v>
      </c>
      <c r="G513" s="22">
        <v>45877</v>
      </c>
      <c r="H513" s="21" t="s">
        <v>61</v>
      </c>
      <c r="I513" s="51" t="str">
        <f>IFERROR(IF(VLOOKUP(E513,extracto!C:C,1,FALSE)=E513,"pagado","no pagado"),"no pagado")</f>
        <v>pagado</v>
      </c>
      <c r="J513" s="52" t="str">
        <f t="shared" si="330"/>
        <v>pagado</v>
      </c>
      <c r="K513" s="51" t="str">
        <f t="shared" ca="1" si="331"/>
        <v>excluir</v>
      </c>
      <c r="L513" s="51" t="str">
        <f t="shared" ca="1" si="332"/>
        <v>no semana</v>
      </c>
      <c r="M513" s="51" t="str">
        <f>IFERROR(VLOOKUP(E513,'cheques a conf'!A:D,4,FALSE),"no clearing")</f>
        <v>no clearing</v>
      </c>
      <c r="N513" s="51">
        <f t="shared" si="333"/>
        <v>32</v>
      </c>
      <c r="O513" s="53">
        <f t="shared" si="334"/>
        <v>8</v>
      </c>
      <c r="P513" s="53">
        <f t="shared" si="335"/>
        <v>2025</v>
      </c>
    </row>
    <row r="514" spans="1:16" customFormat="1" x14ac:dyDescent="0.25">
      <c r="A514" s="21">
        <v>3000001052</v>
      </c>
      <c r="B514" s="22">
        <v>45869</v>
      </c>
      <c r="C514" s="20">
        <v>11385065.310000001</v>
      </c>
      <c r="D514" s="21" t="s">
        <v>16</v>
      </c>
      <c r="E514" s="21">
        <v>97123709</v>
      </c>
      <c r="F514" s="20">
        <v>11385065.310000001</v>
      </c>
      <c r="G514" s="22">
        <v>45877</v>
      </c>
      <c r="H514" s="21" t="s">
        <v>61</v>
      </c>
      <c r="I514" s="51" t="str">
        <f>IFERROR(IF(VLOOKUP(E514,extracto!C:C,1,FALSE)=E514,"pagado","no pagado"),"no pagado")</f>
        <v>pagado</v>
      </c>
      <c r="J514" s="52" t="str">
        <f t="shared" si="330"/>
        <v>pagado</v>
      </c>
      <c r="K514" s="51" t="str">
        <f t="shared" ca="1" si="331"/>
        <v>excluir</v>
      </c>
      <c r="L514" s="51" t="str">
        <f t="shared" ca="1" si="332"/>
        <v>no semana</v>
      </c>
      <c r="M514" s="51" t="str">
        <f>IFERROR(VLOOKUP(E514,'cheques a conf'!A:D,4,FALSE),"no clearing")</f>
        <v>no clearing</v>
      </c>
      <c r="N514" s="51">
        <f t="shared" si="333"/>
        <v>32</v>
      </c>
      <c r="O514" s="53">
        <f t="shared" si="334"/>
        <v>8</v>
      </c>
      <c r="P514" s="53">
        <f t="shared" si="335"/>
        <v>2025</v>
      </c>
    </row>
    <row r="515" spans="1:16" customFormat="1" x14ac:dyDescent="0.25">
      <c r="A515" s="21">
        <v>3000001053</v>
      </c>
      <c r="B515" s="22">
        <v>45869</v>
      </c>
      <c r="C515" s="20">
        <v>12252177.49</v>
      </c>
      <c r="D515" s="21" t="s">
        <v>370</v>
      </c>
      <c r="E515" s="21">
        <v>97123710</v>
      </c>
      <c r="F515" s="20">
        <v>12252177.49</v>
      </c>
      <c r="G515" s="22">
        <v>45877</v>
      </c>
      <c r="H515" s="21" t="s">
        <v>61</v>
      </c>
      <c r="I515" s="51" t="str">
        <f>IFERROR(IF(VLOOKUP(E515,extracto!C:C,1,FALSE)=E515,"pagado","no pagado"),"no pagado")</f>
        <v>pagado</v>
      </c>
      <c r="J515" s="52" t="str">
        <f t="shared" si="330"/>
        <v>pagado</v>
      </c>
      <c r="K515" s="51" t="str">
        <f t="shared" ca="1" si="331"/>
        <v>excluir</v>
      </c>
      <c r="L515" s="51" t="str">
        <f t="shared" ca="1" si="332"/>
        <v>no semana</v>
      </c>
      <c r="M515" s="51" t="str">
        <f>IFERROR(VLOOKUP(E515,'cheques a conf'!A:D,4,FALSE),"no clearing")</f>
        <v>no clearing</v>
      </c>
      <c r="N515" s="51">
        <f t="shared" si="333"/>
        <v>32</v>
      </c>
      <c r="O515" s="53">
        <f t="shared" si="334"/>
        <v>8</v>
      </c>
      <c r="P515" s="53">
        <f t="shared" si="335"/>
        <v>2025</v>
      </c>
    </row>
    <row r="516" spans="1:16" customFormat="1" x14ac:dyDescent="0.25">
      <c r="A516" s="21">
        <v>3000001054</v>
      </c>
      <c r="B516" s="22">
        <v>45869</v>
      </c>
      <c r="C516" s="20">
        <v>13417977.24</v>
      </c>
      <c r="D516" s="21" t="s">
        <v>363</v>
      </c>
      <c r="E516" s="21">
        <v>97123711</v>
      </c>
      <c r="F516" s="20">
        <v>13417977.24</v>
      </c>
      <c r="G516" s="22">
        <v>45877</v>
      </c>
      <c r="H516" s="21" t="s">
        <v>61</v>
      </c>
      <c r="I516" s="51" t="str">
        <f>IFERROR(IF(VLOOKUP(E516,extracto!C:C,1,FALSE)=E516,"pagado","no pagado"),"no pagado")</f>
        <v>pagado</v>
      </c>
      <c r="J516" s="52" t="str">
        <f t="shared" si="330"/>
        <v>pagado</v>
      </c>
      <c r="K516" s="51" t="str">
        <f t="shared" ca="1" si="331"/>
        <v>excluir</v>
      </c>
      <c r="L516" s="51" t="str">
        <f t="shared" ca="1" si="332"/>
        <v>no semana</v>
      </c>
      <c r="M516" s="51" t="str">
        <f>IFERROR(VLOOKUP(E516,'cheques a conf'!A:D,4,FALSE),"no clearing")</f>
        <v>no clearing</v>
      </c>
      <c r="N516" s="51">
        <f t="shared" si="333"/>
        <v>32</v>
      </c>
      <c r="O516" s="53">
        <f t="shared" si="334"/>
        <v>8</v>
      </c>
      <c r="P516" s="53">
        <f t="shared" si="335"/>
        <v>2025</v>
      </c>
    </row>
    <row r="517" spans="1:16" customFormat="1" x14ac:dyDescent="0.25">
      <c r="A517" s="21">
        <v>3000001055</v>
      </c>
      <c r="B517" s="22">
        <v>45869</v>
      </c>
      <c r="C517" s="20">
        <v>17991278.920000002</v>
      </c>
      <c r="D517" s="21" t="s">
        <v>359</v>
      </c>
      <c r="E517" s="21">
        <v>97123712</v>
      </c>
      <c r="F517" s="20">
        <v>17991278.920000002</v>
      </c>
      <c r="G517" s="22">
        <v>45877</v>
      </c>
      <c r="H517" s="21" t="s">
        <v>61</v>
      </c>
      <c r="I517" s="51" t="str">
        <f>IFERROR(IF(VLOOKUP(E517,extracto!C:C,1,FALSE)=E517,"pagado","no pagado"),"no pagado")</f>
        <v>pagado</v>
      </c>
      <c r="J517" s="52" t="str">
        <f t="shared" si="330"/>
        <v>pagado</v>
      </c>
      <c r="K517" s="51" t="str">
        <f t="shared" ca="1" si="331"/>
        <v>excluir</v>
      </c>
      <c r="L517" s="51" t="str">
        <f t="shared" ca="1" si="332"/>
        <v>no semana</v>
      </c>
      <c r="M517" s="51" t="str">
        <f>IFERROR(VLOOKUP(E517,'cheques a conf'!A:D,4,FALSE),"no clearing")</f>
        <v>no clearing</v>
      </c>
      <c r="N517" s="51">
        <f t="shared" si="333"/>
        <v>32</v>
      </c>
      <c r="O517" s="53">
        <f t="shared" si="334"/>
        <v>8</v>
      </c>
      <c r="P517" s="53">
        <f t="shared" si="335"/>
        <v>2025</v>
      </c>
    </row>
    <row r="518" spans="1:16" customFormat="1" x14ac:dyDescent="0.25">
      <c r="A518" s="21">
        <v>3000001056</v>
      </c>
      <c r="B518" s="22">
        <v>45869</v>
      </c>
      <c r="C518" s="20">
        <v>11788512.98</v>
      </c>
      <c r="D518" s="21" t="s">
        <v>26</v>
      </c>
      <c r="E518" s="21">
        <v>97123713</v>
      </c>
      <c r="F518" s="20">
        <v>11788512.98</v>
      </c>
      <c r="G518" s="22">
        <v>45877</v>
      </c>
      <c r="H518" s="21" t="s">
        <v>61</v>
      </c>
      <c r="I518" s="51" t="str">
        <f>IFERROR(IF(VLOOKUP(E518,extracto!C:C,1,FALSE)=E518,"pagado","no pagado"),"no pagado")</f>
        <v>pagado</v>
      </c>
      <c r="J518" s="52" t="str">
        <f t="shared" si="330"/>
        <v>pagado</v>
      </c>
      <c r="K518" s="51" t="str">
        <f t="shared" ca="1" si="331"/>
        <v>excluir</v>
      </c>
      <c r="L518" s="51" t="str">
        <f t="shared" ca="1" si="332"/>
        <v>no semana</v>
      </c>
      <c r="M518" s="51" t="str">
        <f>IFERROR(VLOOKUP(E518,'cheques a conf'!A:D,4,FALSE),"no clearing")</f>
        <v>no clearing</v>
      </c>
      <c r="N518" s="51">
        <f t="shared" si="333"/>
        <v>32</v>
      </c>
      <c r="O518" s="53">
        <f t="shared" si="334"/>
        <v>8</v>
      </c>
      <c r="P518" s="53">
        <f t="shared" si="335"/>
        <v>2025</v>
      </c>
    </row>
    <row r="519" spans="1:16" customFormat="1" x14ac:dyDescent="0.25">
      <c r="A519" s="21">
        <v>3000001057</v>
      </c>
      <c r="B519" s="22">
        <v>45869</v>
      </c>
      <c r="C519" s="20">
        <v>11770724.58</v>
      </c>
      <c r="D519" s="21" t="s">
        <v>394</v>
      </c>
      <c r="E519" s="21">
        <v>97123714</v>
      </c>
      <c r="F519" s="20">
        <v>11770724.58</v>
      </c>
      <c r="G519" s="22">
        <v>45877</v>
      </c>
      <c r="H519" s="21" t="s">
        <v>61</v>
      </c>
      <c r="I519" s="51" t="str">
        <f>IFERROR(IF(VLOOKUP(E519,extracto!C:C,1,FALSE)=E519,"pagado","no pagado"),"no pagado")</f>
        <v>pagado</v>
      </c>
      <c r="J519" s="52" t="str">
        <f t="shared" si="330"/>
        <v>pagado</v>
      </c>
      <c r="K519" s="51" t="str">
        <f t="shared" ca="1" si="331"/>
        <v>excluir</v>
      </c>
      <c r="L519" s="51" t="str">
        <f t="shared" ca="1" si="332"/>
        <v>no semana</v>
      </c>
      <c r="M519" s="51" t="str">
        <f>IFERROR(VLOOKUP(E519,'cheques a conf'!A:D,4,FALSE),"no clearing")</f>
        <v>no clearing</v>
      </c>
      <c r="N519" s="51">
        <f t="shared" si="333"/>
        <v>32</v>
      </c>
      <c r="O519" s="53">
        <f t="shared" si="334"/>
        <v>8</v>
      </c>
      <c r="P519" s="53">
        <f t="shared" si="335"/>
        <v>2025</v>
      </c>
    </row>
    <row r="520" spans="1:16" customFormat="1" x14ac:dyDescent="0.25">
      <c r="A520" s="21">
        <v>3000001058</v>
      </c>
      <c r="B520" s="22">
        <v>45869</v>
      </c>
      <c r="C520" s="20">
        <v>16164153.4</v>
      </c>
      <c r="D520" s="21" t="s">
        <v>286</v>
      </c>
      <c r="E520" s="21">
        <v>97123715</v>
      </c>
      <c r="F520" s="20">
        <v>16164153.4</v>
      </c>
      <c r="G520" s="22">
        <v>45877</v>
      </c>
      <c r="H520" s="21" t="s">
        <v>61</v>
      </c>
      <c r="I520" s="51" t="str">
        <f>IFERROR(IF(VLOOKUP(E520,extracto!C:C,1,FALSE)=E520,"pagado","no pagado"),"no pagado")</f>
        <v>pagado</v>
      </c>
      <c r="J520" s="52" t="str">
        <f t="shared" si="330"/>
        <v>pagado</v>
      </c>
      <c r="K520" s="51" t="str">
        <f t="shared" ca="1" si="331"/>
        <v>excluir</v>
      </c>
      <c r="L520" s="51" t="str">
        <f t="shared" ca="1" si="332"/>
        <v>no semana</v>
      </c>
      <c r="M520" s="51" t="str">
        <f>IFERROR(VLOOKUP(E520,'cheques a conf'!A:D,4,FALSE),"no clearing")</f>
        <v>no clearing</v>
      </c>
      <c r="N520" s="51">
        <f t="shared" si="333"/>
        <v>32</v>
      </c>
      <c r="O520" s="53">
        <f t="shared" si="334"/>
        <v>8</v>
      </c>
      <c r="P520" s="53">
        <f t="shared" si="335"/>
        <v>2025</v>
      </c>
    </row>
    <row r="521" spans="1:16" customFormat="1" x14ac:dyDescent="0.25">
      <c r="A521" s="21">
        <v>3000001059</v>
      </c>
      <c r="B521" s="22">
        <v>45869</v>
      </c>
      <c r="C521" s="20">
        <v>19830874.280000001</v>
      </c>
      <c r="D521" s="21" t="s">
        <v>390</v>
      </c>
      <c r="E521" s="21">
        <v>97123716</v>
      </c>
      <c r="F521" s="20">
        <v>19830874.280000001</v>
      </c>
      <c r="G521" s="22">
        <v>45877</v>
      </c>
      <c r="H521" s="21" t="s">
        <v>61</v>
      </c>
      <c r="I521" s="51" t="str">
        <f>IFERROR(IF(VLOOKUP(E521,extracto!C:C,1,FALSE)=E521,"pagado","no pagado"),"no pagado")</f>
        <v>pagado</v>
      </c>
      <c r="J521" s="52" t="str">
        <f t="shared" ref="J521" si="336">IF(I521="pagado","pagado",IF(G521&lt;$V$1-30,"fuera de fecha","en periodo de pago"))</f>
        <v>pagado</v>
      </c>
      <c r="K521" s="51" t="str">
        <f t="shared" ref="K521" ca="1" si="337">+IF(B521&gt;$V$1,"excluir",IF(J521="en periodo de pago",IF($V$1&gt;G521,"a pagar","proximo a vencer"),"excluir"))</f>
        <v>excluir</v>
      </c>
      <c r="L521" s="51" t="str">
        <f t="shared" ref="L521" ca="1" si="338">+IF(K521="proximo a vencer",IF($V$1+5&gt;G521,"para la semana","no semana"),"no semana")</f>
        <v>no semana</v>
      </c>
      <c r="M521" s="51" t="str">
        <f>IFERROR(VLOOKUP(E521,'cheques a conf'!A:D,4,FALSE),"no clearing")</f>
        <v>no clearing</v>
      </c>
      <c r="N521" s="51">
        <f t="shared" ref="N521" si="339">+WEEKNUM(G521,2)</f>
        <v>32</v>
      </c>
      <c r="O521" s="53">
        <f t="shared" ref="O521" si="340">+MONTH(G521)</f>
        <v>8</v>
      </c>
      <c r="P521" s="53">
        <f t="shared" ref="P521" si="341">+YEAR(G521)</f>
        <v>2025</v>
      </c>
    </row>
    <row r="522" spans="1:16" customFormat="1" x14ac:dyDescent="0.25">
      <c r="A522" s="21">
        <v>3000001060</v>
      </c>
      <c r="B522" s="22">
        <v>45869</v>
      </c>
      <c r="C522" s="20">
        <v>26065644</v>
      </c>
      <c r="D522" s="21" t="s">
        <v>350</v>
      </c>
      <c r="E522" s="21">
        <v>97123717</v>
      </c>
      <c r="F522" s="20">
        <v>26065644</v>
      </c>
      <c r="G522" s="22">
        <v>45877</v>
      </c>
      <c r="H522" s="21" t="s">
        <v>61</v>
      </c>
      <c r="I522" s="51" t="str">
        <f>IFERROR(IF(VLOOKUP(E522,extracto!C:C,1,FALSE)=E522,"pagado","no pagado"),"no pagado")</f>
        <v>pagado</v>
      </c>
      <c r="J522" s="52" t="str">
        <f t="shared" ref="J522:J536" si="342">IF(I522="pagado","pagado",IF(G522&lt;$V$1-30,"fuera de fecha","en periodo de pago"))</f>
        <v>pagado</v>
      </c>
      <c r="K522" s="51" t="str">
        <f t="shared" ref="K522:K536" ca="1" si="343">+IF(B522&gt;$V$1,"excluir",IF(J522="en periodo de pago",IF($V$1&gt;G522,"a pagar","proximo a vencer"),"excluir"))</f>
        <v>excluir</v>
      </c>
      <c r="L522" s="51" t="str">
        <f t="shared" ref="L522:L536" ca="1" si="344">+IF(K522="proximo a vencer",IF($V$1+5&gt;G522,"para la semana","no semana"),"no semana")</f>
        <v>no semana</v>
      </c>
      <c r="M522" s="51" t="str">
        <f>IFERROR(VLOOKUP(E522,'cheques a conf'!A:D,4,FALSE),"no clearing")</f>
        <v>no clearing</v>
      </c>
      <c r="N522" s="51">
        <f t="shared" ref="N522:N536" si="345">+WEEKNUM(G522,2)</f>
        <v>32</v>
      </c>
      <c r="O522" s="53">
        <f t="shared" ref="O522:O536" si="346">+MONTH(G522)</f>
        <v>8</v>
      </c>
      <c r="P522" s="53">
        <f t="shared" ref="P522:P536" si="347">+YEAR(G522)</f>
        <v>2025</v>
      </c>
    </row>
    <row r="523" spans="1:16" customFormat="1" x14ac:dyDescent="0.25">
      <c r="A523" s="21">
        <v>3000001061</v>
      </c>
      <c r="B523" s="22">
        <v>45869</v>
      </c>
      <c r="C523" s="20">
        <v>25000000</v>
      </c>
      <c r="D523" s="21" t="s">
        <v>398</v>
      </c>
      <c r="E523" s="21">
        <v>97123718</v>
      </c>
      <c r="F523" s="20">
        <v>25000000</v>
      </c>
      <c r="G523" s="22">
        <v>45876</v>
      </c>
      <c r="H523" s="21" t="s">
        <v>61</v>
      </c>
      <c r="I523" s="51" t="str">
        <f>IFERROR(IF(VLOOKUP(E523,extracto!C:C,1,FALSE)=E523,"pagado","no pagado"),"no pagado")</f>
        <v>pagado</v>
      </c>
      <c r="J523" s="52" t="str">
        <f t="shared" si="342"/>
        <v>pagado</v>
      </c>
      <c r="K523" s="51" t="str">
        <f t="shared" ca="1" si="343"/>
        <v>excluir</v>
      </c>
      <c r="L523" s="51" t="str">
        <f t="shared" ca="1" si="344"/>
        <v>no semana</v>
      </c>
      <c r="M523" s="51" t="str">
        <f>IFERROR(VLOOKUP(E523,'cheques a conf'!A:D,4,FALSE),"no clearing")</f>
        <v>no clearing</v>
      </c>
      <c r="N523" s="51">
        <f t="shared" si="345"/>
        <v>32</v>
      </c>
      <c r="O523" s="53">
        <f t="shared" si="346"/>
        <v>8</v>
      </c>
      <c r="P523" s="53">
        <f t="shared" si="347"/>
        <v>2025</v>
      </c>
    </row>
    <row r="524" spans="1:16" customFormat="1" x14ac:dyDescent="0.25">
      <c r="A524" s="21">
        <v>3000001061</v>
      </c>
      <c r="B524" s="22">
        <v>45869</v>
      </c>
      <c r="C524" s="20">
        <v>26103957.030000001</v>
      </c>
      <c r="D524" s="21" t="s">
        <v>398</v>
      </c>
      <c r="E524" s="21">
        <v>97123719</v>
      </c>
      <c r="F524" s="20">
        <v>26103957.030000001</v>
      </c>
      <c r="G524" s="22">
        <v>45877</v>
      </c>
      <c r="H524" s="21" t="s">
        <v>61</v>
      </c>
      <c r="I524" s="51" t="str">
        <f>IFERROR(IF(VLOOKUP(E524,extracto!C:C,1,FALSE)=E524,"pagado","no pagado"),"no pagado")</f>
        <v>pagado</v>
      </c>
      <c r="J524" s="52" t="str">
        <f t="shared" si="342"/>
        <v>pagado</v>
      </c>
      <c r="K524" s="51" t="str">
        <f t="shared" ca="1" si="343"/>
        <v>excluir</v>
      </c>
      <c r="L524" s="51" t="str">
        <f t="shared" ca="1" si="344"/>
        <v>no semana</v>
      </c>
      <c r="M524" s="51" t="str">
        <f>IFERROR(VLOOKUP(E524,'cheques a conf'!A:D,4,FALSE),"no clearing")</f>
        <v>no clearing</v>
      </c>
      <c r="N524" s="51">
        <f t="shared" si="345"/>
        <v>32</v>
      </c>
      <c r="O524" s="53">
        <f t="shared" si="346"/>
        <v>8</v>
      </c>
      <c r="P524" s="53">
        <f t="shared" si="347"/>
        <v>2025</v>
      </c>
    </row>
    <row r="525" spans="1:16" customFormat="1" x14ac:dyDescent="0.25">
      <c r="A525">
        <v>3000001099</v>
      </c>
      <c r="B525" s="3">
        <v>45877</v>
      </c>
      <c r="C525" s="9">
        <v>1384844.74</v>
      </c>
      <c r="D525" t="s">
        <v>371</v>
      </c>
      <c r="E525">
        <v>97123720</v>
      </c>
      <c r="F525" s="9">
        <v>1384844.74</v>
      </c>
      <c r="G525" s="3">
        <v>45882</v>
      </c>
      <c r="H525" s="21" t="s">
        <v>61</v>
      </c>
      <c r="I525" s="51" t="str">
        <f>IFERROR(IF(VLOOKUP(E525,extracto!C:C,1,FALSE)=E525,"pagado","no pagado"),"no pagado")</f>
        <v>pagado</v>
      </c>
      <c r="J525" s="52" t="str">
        <f t="shared" si="342"/>
        <v>pagado</v>
      </c>
      <c r="K525" s="51" t="str">
        <f t="shared" ca="1" si="343"/>
        <v>excluir</v>
      </c>
      <c r="L525" s="51" t="str">
        <f t="shared" ca="1" si="344"/>
        <v>no semana</v>
      </c>
      <c r="M525" s="51" t="str">
        <f>IFERROR(VLOOKUP(E525,'cheques a conf'!A:D,4,FALSE),"no clearing")</f>
        <v>no clearing</v>
      </c>
      <c r="N525" s="51">
        <f t="shared" si="345"/>
        <v>33</v>
      </c>
      <c r="O525" s="53">
        <f t="shared" si="346"/>
        <v>8</v>
      </c>
      <c r="P525" s="53">
        <f t="shared" si="347"/>
        <v>2025</v>
      </c>
    </row>
    <row r="526" spans="1:16" customFormat="1" x14ac:dyDescent="0.25">
      <c r="A526">
        <v>3000001106</v>
      </c>
      <c r="B526" s="3">
        <v>45880</v>
      </c>
      <c r="C526" s="9">
        <v>4231185.1500000004</v>
      </c>
      <c r="D526" t="s">
        <v>344</v>
      </c>
      <c r="E526">
        <v>97123722</v>
      </c>
      <c r="F526" s="9">
        <v>4231185.1500000004</v>
      </c>
      <c r="G526" s="3">
        <v>45883</v>
      </c>
      <c r="H526" s="21" t="s">
        <v>61</v>
      </c>
      <c r="I526" s="51" t="str">
        <f>IFERROR(IF(VLOOKUP(E526,extracto!C:C,1,FALSE)=E526,"pagado","no pagado"),"no pagado")</f>
        <v>pagado</v>
      </c>
      <c r="J526" s="52" t="str">
        <f t="shared" si="342"/>
        <v>pagado</v>
      </c>
      <c r="K526" s="51" t="str">
        <f t="shared" ca="1" si="343"/>
        <v>excluir</v>
      </c>
      <c r="L526" s="51" t="str">
        <f t="shared" ca="1" si="344"/>
        <v>no semana</v>
      </c>
      <c r="M526" s="51" t="str">
        <f>IFERROR(VLOOKUP(E526,'cheques a conf'!A:D,4,FALSE),"no clearing")</f>
        <v>no clearing</v>
      </c>
      <c r="N526" s="51">
        <f t="shared" si="345"/>
        <v>33</v>
      </c>
      <c r="O526" s="53">
        <f t="shared" si="346"/>
        <v>8</v>
      </c>
      <c r="P526" s="53">
        <f t="shared" si="347"/>
        <v>2025</v>
      </c>
    </row>
    <row r="527" spans="1:16" customFormat="1" x14ac:dyDescent="0.25">
      <c r="A527">
        <v>3000001106</v>
      </c>
      <c r="B527" s="3">
        <v>45880</v>
      </c>
      <c r="C527" s="9">
        <v>16882817.82</v>
      </c>
      <c r="D527" t="s">
        <v>344</v>
      </c>
      <c r="E527">
        <v>97123723</v>
      </c>
      <c r="F527" s="9">
        <v>16882817.82</v>
      </c>
      <c r="G527" s="3">
        <v>45887</v>
      </c>
      <c r="H527" s="21" t="s">
        <v>61</v>
      </c>
      <c r="I527" s="51" t="str">
        <f>IFERROR(IF(VLOOKUP(E527,extracto!C:C,1,FALSE)=E527,"pagado","no pagado"),"no pagado")</f>
        <v>pagado</v>
      </c>
      <c r="J527" s="52" t="str">
        <f t="shared" si="342"/>
        <v>pagado</v>
      </c>
      <c r="K527" s="51" t="str">
        <f t="shared" ca="1" si="343"/>
        <v>excluir</v>
      </c>
      <c r="L527" s="51" t="str">
        <f t="shared" ca="1" si="344"/>
        <v>no semana</v>
      </c>
      <c r="M527" s="51" t="str">
        <f>IFERROR(VLOOKUP(E527,'cheques a conf'!A:D,4,FALSE),"no clearing")</f>
        <v>no clearing</v>
      </c>
      <c r="N527" s="51">
        <f t="shared" si="345"/>
        <v>34</v>
      </c>
      <c r="O527" s="53">
        <f t="shared" si="346"/>
        <v>8</v>
      </c>
      <c r="P527" s="53">
        <f t="shared" si="347"/>
        <v>2025</v>
      </c>
    </row>
    <row r="528" spans="1:16" customFormat="1" x14ac:dyDescent="0.25">
      <c r="A528">
        <v>3000001109</v>
      </c>
      <c r="B528" s="3">
        <v>45880</v>
      </c>
      <c r="C528" s="9">
        <v>20000000</v>
      </c>
      <c r="D528" t="s">
        <v>29</v>
      </c>
      <c r="E528">
        <v>97123726</v>
      </c>
      <c r="F528" s="9">
        <v>20000000</v>
      </c>
      <c r="G528" s="3">
        <v>45883</v>
      </c>
      <c r="H528" s="21" t="s">
        <v>61</v>
      </c>
      <c r="I528" s="51" t="str">
        <f>IFERROR(IF(VLOOKUP(E528,extracto!C:C,1,FALSE)=E528,"pagado","no pagado"),"no pagado")</f>
        <v>pagado</v>
      </c>
      <c r="J528" s="52" t="str">
        <f t="shared" si="342"/>
        <v>pagado</v>
      </c>
      <c r="K528" s="51" t="str">
        <f t="shared" ca="1" si="343"/>
        <v>excluir</v>
      </c>
      <c r="L528" s="51" t="str">
        <f t="shared" ca="1" si="344"/>
        <v>no semana</v>
      </c>
      <c r="M528" s="51" t="str">
        <f>IFERROR(VLOOKUP(E528,'cheques a conf'!A:D,4,FALSE),"no clearing")</f>
        <v>no clearing</v>
      </c>
      <c r="N528" s="51">
        <f t="shared" si="345"/>
        <v>33</v>
      </c>
      <c r="O528" s="53">
        <f t="shared" si="346"/>
        <v>8</v>
      </c>
      <c r="P528" s="53">
        <f t="shared" si="347"/>
        <v>2025</v>
      </c>
    </row>
    <row r="529" spans="1:16" customFormat="1" x14ac:dyDescent="0.25">
      <c r="A529">
        <v>3000001109</v>
      </c>
      <c r="B529" s="3">
        <v>45880</v>
      </c>
      <c r="C529" s="9">
        <v>16755093.4</v>
      </c>
      <c r="D529" t="s">
        <v>29</v>
      </c>
      <c r="E529">
        <v>97123727</v>
      </c>
      <c r="F529" s="9">
        <v>16755093.4</v>
      </c>
      <c r="G529" s="3">
        <v>45887</v>
      </c>
      <c r="H529" s="21" t="s">
        <v>61</v>
      </c>
      <c r="I529" s="51" t="str">
        <f>IFERROR(IF(VLOOKUP(E529,extracto!C:C,1,FALSE)=E529,"pagado","no pagado"),"no pagado")</f>
        <v>pagado</v>
      </c>
      <c r="J529" s="52" t="str">
        <f t="shared" si="342"/>
        <v>pagado</v>
      </c>
      <c r="K529" s="51" t="str">
        <f t="shared" ca="1" si="343"/>
        <v>excluir</v>
      </c>
      <c r="L529" s="51" t="str">
        <f t="shared" ca="1" si="344"/>
        <v>no semana</v>
      </c>
      <c r="M529" s="51" t="str">
        <f>IFERROR(VLOOKUP(E529,'cheques a conf'!A:D,4,FALSE),"no clearing")</f>
        <v>no clearing</v>
      </c>
      <c r="N529" s="51">
        <f t="shared" si="345"/>
        <v>34</v>
      </c>
      <c r="O529" s="53">
        <f t="shared" si="346"/>
        <v>8</v>
      </c>
      <c r="P529" s="53">
        <f t="shared" si="347"/>
        <v>2025</v>
      </c>
    </row>
    <row r="530" spans="1:16" customFormat="1" x14ac:dyDescent="0.25">
      <c r="A530">
        <v>3000001110</v>
      </c>
      <c r="B530" s="3">
        <v>45880</v>
      </c>
      <c r="C530" s="9">
        <v>10000000</v>
      </c>
      <c r="D530" t="s">
        <v>384</v>
      </c>
      <c r="E530">
        <v>97123728</v>
      </c>
      <c r="F530" s="9">
        <v>10000000</v>
      </c>
      <c r="G530" s="3">
        <v>45883</v>
      </c>
      <c r="H530" s="21" t="s">
        <v>61</v>
      </c>
      <c r="I530" s="51" t="str">
        <f>IFERROR(IF(VLOOKUP(E530,extracto!C:C,1,FALSE)=E530,"pagado","no pagado"),"no pagado")</f>
        <v>pagado</v>
      </c>
      <c r="J530" s="52" t="str">
        <f t="shared" si="342"/>
        <v>pagado</v>
      </c>
      <c r="K530" s="51" t="str">
        <f t="shared" ca="1" si="343"/>
        <v>excluir</v>
      </c>
      <c r="L530" s="51" t="str">
        <f t="shared" ca="1" si="344"/>
        <v>no semana</v>
      </c>
      <c r="M530" s="51" t="str">
        <f>IFERROR(VLOOKUP(E530,'cheques a conf'!A:D,4,FALSE),"no clearing")</f>
        <v>no clearing</v>
      </c>
      <c r="N530" s="51">
        <f t="shared" si="345"/>
        <v>33</v>
      </c>
      <c r="O530" s="53">
        <f t="shared" si="346"/>
        <v>8</v>
      </c>
      <c r="P530" s="53">
        <f t="shared" si="347"/>
        <v>2025</v>
      </c>
    </row>
    <row r="531" spans="1:16" customFormat="1" x14ac:dyDescent="0.25">
      <c r="A531">
        <v>3000001110</v>
      </c>
      <c r="B531" s="3">
        <v>45880</v>
      </c>
      <c r="C531" s="9">
        <v>10846843</v>
      </c>
      <c r="D531" t="s">
        <v>384</v>
      </c>
      <c r="E531">
        <v>97123729</v>
      </c>
      <c r="F531" s="9">
        <v>10846843</v>
      </c>
      <c r="G531" s="3">
        <v>45887</v>
      </c>
      <c r="H531" s="21" t="s">
        <v>61</v>
      </c>
      <c r="I531" s="51" t="str">
        <f>IFERROR(IF(VLOOKUP(E531,extracto!C:C,1,FALSE)=E531,"pagado","no pagado"),"no pagado")</f>
        <v>pagado</v>
      </c>
      <c r="J531" s="52" t="str">
        <f t="shared" si="342"/>
        <v>pagado</v>
      </c>
      <c r="K531" s="51" t="str">
        <f t="shared" ca="1" si="343"/>
        <v>excluir</v>
      </c>
      <c r="L531" s="51" t="str">
        <f t="shared" ca="1" si="344"/>
        <v>no semana</v>
      </c>
      <c r="M531" s="51" t="str">
        <f>IFERROR(VLOOKUP(E531,'cheques a conf'!A:D,4,FALSE),"no clearing")</f>
        <v>no clearing</v>
      </c>
      <c r="N531" s="51">
        <f t="shared" si="345"/>
        <v>34</v>
      </c>
      <c r="O531" s="53">
        <f t="shared" si="346"/>
        <v>8</v>
      </c>
      <c r="P531" s="53">
        <f t="shared" si="347"/>
        <v>2025</v>
      </c>
    </row>
    <row r="532" spans="1:16" customFormat="1" x14ac:dyDescent="0.25">
      <c r="A532">
        <v>3000001112</v>
      </c>
      <c r="B532" s="3">
        <v>45880</v>
      </c>
      <c r="C532" s="9">
        <v>10000000</v>
      </c>
      <c r="D532" t="s">
        <v>338</v>
      </c>
      <c r="E532">
        <v>97123731</v>
      </c>
      <c r="F532" s="9">
        <v>10000000</v>
      </c>
      <c r="G532" s="3">
        <v>45883</v>
      </c>
      <c r="H532" s="21" t="s">
        <v>61</v>
      </c>
      <c r="I532" s="51" t="str">
        <f>IFERROR(IF(VLOOKUP(E532,extracto!C:C,1,FALSE)=E532,"pagado","no pagado"),"no pagado")</f>
        <v>pagado</v>
      </c>
      <c r="J532" s="52" t="str">
        <f t="shared" si="342"/>
        <v>pagado</v>
      </c>
      <c r="K532" s="51" t="str">
        <f t="shared" ca="1" si="343"/>
        <v>excluir</v>
      </c>
      <c r="L532" s="51" t="str">
        <f t="shared" ca="1" si="344"/>
        <v>no semana</v>
      </c>
      <c r="M532" s="51" t="str">
        <f>IFERROR(VLOOKUP(E532,'cheques a conf'!A:D,4,FALSE),"no clearing")</f>
        <v>no clearing</v>
      </c>
      <c r="N532" s="51">
        <f t="shared" si="345"/>
        <v>33</v>
      </c>
      <c r="O532" s="53">
        <f t="shared" si="346"/>
        <v>8</v>
      </c>
      <c r="P532" s="53">
        <f t="shared" si="347"/>
        <v>2025</v>
      </c>
    </row>
    <row r="533" spans="1:16" customFormat="1" x14ac:dyDescent="0.25">
      <c r="A533">
        <v>3000001112</v>
      </c>
      <c r="B533" s="3">
        <v>45880</v>
      </c>
      <c r="C533" s="9">
        <v>5749284.8200000003</v>
      </c>
      <c r="D533" t="s">
        <v>338</v>
      </c>
      <c r="E533">
        <v>97123732</v>
      </c>
      <c r="F533" s="9">
        <v>5749284.8200000003</v>
      </c>
      <c r="G533" s="3">
        <v>45887</v>
      </c>
      <c r="H533" s="21" t="s">
        <v>61</v>
      </c>
      <c r="I533" s="51" t="str">
        <f>IFERROR(IF(VLOOKUP(E533,extracto!C:C,1,FALSE)=E533,"pagado","no pagado"),"no pagado")</f>
        <v>pagado</v>
      </c>
      <c r="J533" s="52" t="str">
        <f t="shared" si="342"/>
        <v>pagado</v>
      </c>
      <c r="K533" s="51" t="str">
        <f t="shared" ca="1" si="343"/>
        <v>excluir</v>
      </c>
      <c r="L533" s="51" t="str">
        <f t="shared" ca="1" si="344"/>
        <v>no semana</v>
      </c>
      <c r="M533" s="51" t="str">
        <f>IFERROR(VLOOKUP(E533,'cheques a conf'!A:D,4,FALSE),"no clearing")</f>
        <v>no clearing</v>
      </c>
      <c r="N533" s="51">
        <f t="shared" si="345"/>
        <v>34</v>
      </c>
      <c r="O533" s="53">
        <f t="shared" si="346"/>
        <v>8</v>
      </c>
      <c r="P533" s="53">
        <f t="shared" si="347"/>
        <v>2025</v>
      </c>
    </row>
    <row r="534" spans="1:16" customFormat="1" x14ac:dyDescent="0.25">
      <c r="A534">
        <v>3000001113</v>
      </c>
      <c r="B534" s="3">
        <v>45880</v>
      </c>
      <c r="C534" s="9">
        <v>20000000</v>
      </c>
      <c r="D534" t="s">
        <v>363</v>
      </c>
      <c r="E534">
        <v>97123733</v>
      </c>
      <c r="F534" s="9">
        <v>20000000</v>
      </c>
      <c r="G534" s="3">
        <v>45883</v>
      </c>
      <c r="H534" s="21" t="s">
        <v>61</v>
      </c>
      <c r="I534" s="51" t="str">
        <f>IFERROR(IF(VLOOKUP(E534,extracto!C:C,1,FALSE)=E534,"pagado","no pagado"),"no pagado")</f>
        <v>pagado</v>
      </c>
      <c r="J534" s="52" t="str">
        <f t="shared" si="342"/>
        <v>pagado</v>
      </c>
      <c r="K534" s="51" t="str">
        <f t="shared" ca="1" si="343"/>
        <v>excluir</v>
      </c>
      <c r="L534" s="51" t="str">
        <f t="shared" ca="1" si="344"/>
        <v>no semana</v>
      </c>
      <c r="M534" s="51" t="str">
        <f>IFERROR(VLOOKUP(E534,'cheques a conf'!A:D,4,FALSE),"no clearing")</f>
        <v>no clearing</v>
      </c>
      <c r="N534" s="51">
        <f t="shared" si="345"/>
        <v>33</v>
      </c>
      <c r="O534" s="53">
        <f t="shared" si="346"/>
        <v>8</v>
      </c>
      <c r="P534" s="53">
        <f t="shared" si="347"/>
        <v>2025</v>
      </c>
    </row>
    <row r="535" spans="1:16" customFormat="1" x14ac:dyDescent="0.25">
      <c r="A535">
        <v>3000001113</v>
      </c>
      <c r="B535" s="3">
        <v>45880</v>
      </c>
      <c r="C535" s="9">
        <v>14839987.42</v>
      </c>
      <c r="D535" t="s">
        <v>363</v>
      </c>
      <c r="E535">
        <v>97123734</v>
      </c>
      <c r="F535" s="9">
        <v>14839987.42</v>
      </c>
      <c r="G535" s="3">
        <v>45887</v>
      </c>
      <c r="H535" s="21" t="s">
        <v>61</v>
      </c>
      <c r="I535" s="51" t="str">
        <f>IFERROR(IF(VLOOKUP(E535,extracto!C:C,1,FALSE)=E535,"pagado","no pagado"),"no pagado")</f>
        <v>pagado</v>
      </c>
      <c r="J535" s="52" t="str">
        <f t="shared" si="342"/>
        <v>pagado</v>
      </c>
      <c r="K535" s="51" t="str">
        <f t="shared" ca="1" si="343"/>
        <v>excluir</v>
      </c>
      <c r="L535" s="51" t="str">
        <f t="shared" ca="1" si="344"/>
        <v>no semana</v>
      </c>
      <c r="M535" s="51" t="str">
        <f>IFERROR(VLOOKUP(E535,'cheques a conf'!A:D,4,FALSE),"no clearing")</f>
        <v>no clearing</v>
      </c>
      <c r="N535" s="51">
        <f t="shared" si="345"/>
        <v>34</v>
      </c>
      <c r="O535" s="53">
        <f t="shared" si="346"/>
        <v>8</v>
      </c>
      <c r="P535" s="53">
        <f t="shared" si="347"/>
        <v>2025</v>
      </c>
    </row>
    <row r="536" spans="1:16" customFormat="1" x14ac:dyDescent="0.25">
      <c r="A536">
        <v>3000001114</v>
      </c>
      <c r="B536" s="3">
        <v>45880</v>
      </c>
      <c r="C536" s="9">
        <v>20000000</v>
      </c>
      <c r="D536" t="s">
        <v>294</v>
      </c>
      <c r="E536">
        <v>97123735</v>
      </c>
      <c r="F536" s="9">
        <v>20000000</v>
      </c>
      <c r="G536" s="3">
        <v>45883</v>
      </c>
      <c r="H536" s="21" t="s">
        <v>61</v>
      </c>
      <c r="I536" s="51" t="str">
        <f>IFERROR(IF(VLOOKUP(E536,extracto!C:C,1,FALSE)=E536,"pagado","no pagado"),"no pagado")</f>
        <v>pagado</v>
      </c>
      <c r="J536" s="52" t="str">
        <f t="shared" si="342"/>
        <v>pagado</v>
      </c>
      <c r="K536" s="51" t="str">
        <f t="shared" ca="1" si="343"/>
        <v>excluir</v>
      </c>
      <c r="L536" s="51" t="str">
        <f t="shared" ca="1" si="344"/>
        <v>no semana</v>
      </c>
      <c r="M536" s="51" t="str">
        <f>IFERROR(VLOOKUP(E536,'cheques a conf'!A:D,4,FALSE),"no clearing")</f>
        <v>no clearing</v>
      </c>
      <c r="N536" s="51">
        <f t="shared" si="345"/>
        <v>33</v>
      </c>
      <c r="O536" s="53">
        <f t="shared" si="346"/>
        <v>8</v>
      </c>
      <c r="P536" s="53">
        <f t="shared" si="347"/>
        <v>2025</v>
      </c>
    </row>
    <row r="537" spans="1:16" customFormat="1" x14ac:dyDescent="0.25">
      <c r="A537">
        <v>3000001114</v>
      </c>
      <c r="B537" s="3">
        <v>45880</v>
      </c>
      <c r="C537" s="9">
        <v>13050449.43</v>
      </c>
      <c r="D537" t="s">
        <v>294</v>
      </c>
      <c r="E537">
        <v>97123736</v>
      </c>
      <c r="F537" s="9">
        <v>13050449.43</v>
      </c>
      <c r="G537" s="3">
        <v>45887</v>
      </c>
      <c r="H537" s="21" t="s">
        <v>61</v>
      </c>
      <c r="I537" s="51" t="str">
        <f>IFERROR(IF(VLOOKUP(E537,extracto!C:C,1,FALSE)=E537,"pagado","no pagado"),"no pagado")</f>
        <v>pagado</v>
      </c>
      <c r="J537" s="52" t="str">
        <f t="shared" ref="J537:J559" si="348">IF(I537="pagado","pagado",IF(G537&lt;$V$1-30,"fuera de fecha","en periodo de pago"))</f>
        <v>pagado</v>
      </c>
      <c r="K537" s="51" t="str">
        <f t="shared" ref="K537:K559" ca="1" si="349">+IF(B537&gt;$V$1,"excluir",IF(J537="en periodo de pago",IF($V$1&gt;G537,"a pagar","proximo a vencer"),"excluir"))</f>
        <v>excluir</v>
      </c>
      <c r="L537" s="51" t="str">
        <f t="shared" ref="L537:L559" ca="1" si="350">+IF(K537="proximo a vencer",IF($V$1+5&gt;G537,"para la semana","no semana"),"no semana")</f>
        <v>no semana</v>
      </c>
      <c r="M537" s="51" t="str">
        <f>IFERROR(VLOOKUP(E537,'cheques a conf'!A:D,4,FALSE),"no clearing")</f>
        <v>no clearing</v>
      </c>
      <c r="N537" s="51">
        <f t="shared" ref="N537:N559" si="351">+WEEKNUM(G537,2)</f>
        <v>34</v>
      </c>
      <c r="O537" s="53">
        <f t="shared" ref="O537:O559" si="352">+MONTH(G537)</f>
        <v>8</v>
      </c>
      <c r="P537" s="53">
        <f t="shared" ref="P537:P559" si="353">+YEAR(G537)</f>
        <v>2025</v>
      </c>
    </row>
    <row r="538" spans="1:16" customFormat="1" x14ac:dyDescent="0.25">
      <c r="A538">
        <v>3000001105</v>
      </c>
      <c r="B538" s="3">
        <v>45880</v>
      </c>
      <c r="C538" s="9">
        <v>3155226.27</v>
      </c>
      <c r="D538" t="s">
        <v>66</v>
      </c>
      <c r="E538">
        <v>97123721</v>
      </c>
      <c r="F538" s="9">
        <v>3155226.27</v>
      </c>
      <c r="G538" s="3">
        <v>45883</v>
      </c>
      <c r="H538" s="21" t="s">
        <v>61</v>
      </c>
      <c r="I538" s="51" t="str">
        <f>IFERROR(IF(VLOOKUP(E538,extracto!C:C,1,FALSE)=E538,"pagado","no pagado"),"no pagado")</f>
        <v>pagado</v>
      </c>
      <c r="J538" s="52" t="str">
        <f t="shared" si="348"/>
        <v>pagado</v>
      </c>
      <c r="K538" s="51" t="str">
        <f t="shared" ca="1" si="349"/>
        <v>excluir</v>
      </c>
      <c r="L538" s="51" t="str">
        <f t="shared" ca="1" si="350"/>
        <v>no semana</v>
      </c>
      <c r="M538" s="51" t="str">
        <f>IFERROR(VLOOKUP(E538,'cheques a conf'!A:D,4,FALSE),"no clearing")</f>
        <v>no clearing</v>
      </c>
      <c r="N538" s="51">
        <f t="shared" si="351"/>
        <v>33</v>
      </c>
      <c r="O538" s="53">
        <f t="shared" si="352"/>
        <v>8</v>
      </c>
      <c r="P538" s="53">
        <f t="shared" si="353"/>
        <v>2025</v>
      </c>
    </row>
    <row r="539" spans="1:16" customFormat="1" x14ac:dyDescent="0.25">
      <c r="A539">
        <v>3000001107</v>
      </c>
      <c r="B539" s="3">
        <v>45880</v>
      </c>
      <c r="C539" s="9">
        <v>9877000</v>
      </c>
      <c r="D539" t="s">
        <v>353</v>
      </c>
      <c r="E539">
        <v>97123724</v>
      </c>
      <c r="F539" s="9">
        <v>9877000</v>
      </c>
      <c r="G539" s="3">
        <v>45883</v>
      </c>
      <c r="H539" s="21" t="s">
        <v>61</v>
      </c>
      <c r="I539" s="51" t="str">
        <f>IFERROR(IF(VLOOKUP(E539,extracto!C:C,1,FALSE)=E539,"pagado","no pagado"),"no pagado")</f>
        <v>pagado</v>
      </c>
      <c r="J539" s="52" t="str">
        <f t="shared" si="348"/>
        <v>pagado</v>
      </c>
      <c r="K539" s="51" t="str">
        <f t="shared" ca="1" si="349"/>
        <v>excluir</v>
      </c>
      <c r="L539" s="51" t="str">
        <f t="shared" ca="1" si="350"/>
        <v>no semana</v>
      </c>
      <c r="M539" s="51" t="str">
        <f>IFERROR(VLOOKUP(E539,'cheques a conf'!A:D,4,FALSE),"no clearing")</f>
        <v>no clearing</v>
      </c>
      <c r="N539" s="51">
        <f t="shared" si="351"/>
        <v>33</v>
      </c>
      <c r="O539" s="53">
        <f t="shared" si="352"/>
        <v>8</v>
      </c>
      <c r="P539" s="53">
        <f t="shared" si="353"/>
        <v>2025</v>
      </c>
    </row>
    <row r="540" spans="1:16" customFormat="1" x14ac:dyDescent="0.25">
      <c r="A540">
        <v>3000001108</v>
      </c>
      <c r="B540" s="3">
        <v>45880</v>
      </c>
      <c r="C540" s="9">
        <v>13912949.449999999</v>
      </c>
      <c r="D540" t="s">
        <v>359</v>
      </c>
      <c r="E540">
        <v>97123725</v>
      </c>
      <c r="F540" s="9">
        <v>13912949.449999999</v>
      </c>
      <c r="G540" s="3">
        <v>45883</v>
      </c>
      <c r="H540" s="21" t="s">
        <v>61</v>
      </c>
      <c r="I540" s="51" t="str">
        <f>IFERROR(IF(VLOOKUP(E540,extracto!C:C,1,FALSE)=E540,"pagado","no pagado"),"no pagado")</f>
        <v>pagado</v>
      </c>
      <c r="J540" s="52" t="str">
        <f t="shared" si="348"/>
        <v>pagado</v>
      </c>
      <c r="K540" s="51" t="str">
        <f t="shared" ca="1" si="349"/>
        <v>excluir</v>
      </c>
      <c r="L540" s="51" t="str">
        <f t="shared" ca="1" si="350"/>
        <v>no semana</v>
      </c>
      <c r="M540" s="51" t="str">
        <f>IFERROR(VLOOKUP(E540,'cheques a conf'!A:D,4,FALSE),"no clearing")</f>
        <v>no clearing</v>
      </c>
      <c r="N540" s="51">
        <f t="shared" si="351"/>
        <v>33</v>
      </c>
      <c r="O540" s="53">
        <f t="shared" si="352"/>
        <v>8</v>
      </c>
      <c r="P540" s="53">
        <f t="shared" si="353"/>
        <v>2025</v>
      </c>
    </row>
    <row r="541" spans="1:16" customFormat="1" x14ac:dyDescent="0.25">
      <c r="A541">
        <v>3000001111</v>
      </c>
      <c r="B541" s="3">
        <v>45880</v>
      </c>
      <c r="C541" s="9">
        <v>10333116.41</v>
      </c>
      <c r="D541" t="s">
        <v>393</v>
      </c>
      <c r="E541">
        <v>97123730</v>
      </c>
      <c r="F541" s="9">
        <v>10333116.41</v>
      </c>
      <c r="G541" s="3">
        <v>45883</v>
      </c>
      <c r="H541" s="21" t="s">
        <v>61</v>
      </c>
      <c r="I541" s="51" t="str">
        <f>IFERROR(IF(VLOOKUP(E541,extracto!C:C,1,FALSE)=E541,"pagado","no pagado"),"no pagado")</f>
        <v>pagado</v>
      </c>
      <c r="J541" s="52" t="str">
        <f t="shared" si="348"/>
        <v>pagado</v>
      </c>
      <c r="K541" s="51" t="str">
        <f t="shared" ca="1" si="349"/>
        <v>excluir</v>
      </c>
      <c r="L541" s="51" t="str">
        <f t="shared" ca="1" si="350"/>
        <v>no semana</v>
      </c>
      <c r="M541" s="51" t="str">
        <f>IFERROR(VLOOKUP(E541,'cheques a conf'!A:D,4,FALSE),"no clearing")</f>
        <v>no clearing</v>
      </c>
      <c r="N541" s="51">
        <f t="shared" si="351"/>
        <v>33</v>
      </c>
      <c r="O541" s="53">
        <f t="shared" si="352"/>
        <v>8</v>
      </c>
      <c r="P541" s="53">
        <f t="shared" si="353"/>
        <v>2025</v>
      </c>
    </row>
    <row r="542" spans="1:16" customFormat="1" x14ac:dyDescent="0.25">
      <c r="A542">
        <v>3000001115</v>
      </c>
      <c r="B542" s="3">
        <v>45880</v>
      </c>
      <c r="C542" s="9">
        <v>14951104.9</v>
      </c>
      <c r="D542" t="s">
        <v>395</v>
      </c>
      <c r="E542">
        <v>97123737</v>
      </c>
      <c r="F542" s="9">
        <v>14951104.9</v>
      </c>
      <c r="G542" s="3">
        <v>45883</v>
      </c>
      <c r="H542" s="21" t="s">
        <v>61</v>
      </c>
      <c r="I542" s="51" t="str">
        <f>IFERROR(IF(VLOOKUP(E542,extracto!C:C,1,FALSE)=E542,"pagado","no pagado"),"no pagado")</f>
        <v>pagado</v>
      </c>
      <c r="J542" s="52" t="str">
        <f t="shared" si="348"/>
        <v>pagado</v>
      </c>
      <c r="K542" s="51" t="str">
        <f t="shared" ca="1" si="349"/>
        <v>excluir</v>
      </c>
      <c r="L542" s="51" t="str">
        <f t="shared" ca="1" si="350"/>
        <v>no semana</v>
      </c>
      <c r="M542" s="51" t="str">
        <f>IFERROR(VLOOKUP(E542,'cheques a conf'!A:D,4,FALSE),"no clearing")</f>
        <v>no clearing</v>
      </c>
      <c r="N542" s="51">
        <f t="shared" si="351"/>
        <v>33</v>
      </c>
      <c r="O542" s="53">
        <f t="shared" si="352"/>
        <v>8</v>
      </c>
      <c r="P542" s="53">
        <f t="shared" si="353"/>
        <v>2025</v>
      </c>
    </row>
    <row r="543" spans="1:16" customFormat="1" x14ac:dyDescent="0.25">
      <c r="A543">
        <v>3000001116</v>
      </c>
      <c r="B543" s="3">
        <v>45880</v>
      </c>
      <c r="C543" s="9">
        <v>12543082.6</v>
      </c>
      <c r="D543" t="s">
        <v>297</v>
      </c>
      <c r="E543">
        <v>97123738</v>
      </c>
      <c r="F543" s="9">
        <v>12543082.6</v>
      </c>
      <c r="G543" s="3">
        <v>45883</v>
      </c>
      <c r="H543" s="21" t="s">
        <v>61</v>
      </c>
      <c r="I543" s="51" t="str">
        <f>IFERROR(IF(VLOOKUP(E543,extracto!C:C,1,FALSE)=E543,"pagado","no pagado"),"no pagado")</f>
        <v>pagado</v>
      </c>
      <c r="J543" s="52" t="str">
        <f t="shared" si="348"/>
        <v>pagado</v>
      </c>
      <c r="K543" s="51" t="str">
        <f t="shared" ca="1" si="349"/>
        <v>excluir</v>
      </c>
      <c r="L543" s="51" t="str">
        <f t="shared" ca="1" si="350"/>
        <v>no semana</v>
      </c>
      <c r="M543" s="51" t="str">
        <f>IFERROR(VLOOKUP(E543,'cheques a conf'!A:D,4,FALSE),"no clearing")</f>
        <v>no clearing</v>
      </c>
      <c r="N543" s="51">
        <f t="shared" si="351"/>
        <v>33</v>
      </c>
      <c r="O543" s="53">
        <f t="shared" si="352"/>
        <v>8</v>
      </c>
      <c r="P543" s="53">
        <f t="shared" si="353"/>
        <v>2025</v>
      </c>
    </row>
    <row r="544" spans="1:16" customFormat="1" x14ac:dyDescent="0.25">
      <c r="A544">
        <v>3000001117</v>
      </c>
      <c r="B544" s="3">
        <v>45880</v>
      </c>
      <c r="C544" s="9">
        <v>8718590.7699999996</v>
      </c>
      <c r="D544" t="s">
        <v>385</v>
      </c>
      <c r="E544">
        <v>97123739</v>
      </c>
      <c r="F544" s="9">
        <v>8718590.7699999996</v>
      </c>
      <c r="G544" s="3">
        <v>45883</v>
      </c>
      <c r="H544" s="21" t="s">
        <v>61</v>
      </c>
      <c r="I544" s="51" t="str">
        <f>IFERROR(IF(VLOOKUP(E544,extracto!C:C,1,FALSE)=E544,"pagado","no pagado"),"no pagado")</f>
        <v>pagado</v>
      </c>
      <c r="J544" s="52" t="str">
        <f t="shared" si="348"/>
        <v>pagado</v>
      </c>
      <c r="K544" s="51" t="str">
        <f t="shared" ca="1" si="349"/>
        <v>excluir</v>
      </c>
      <c r="L544" s="51" t="str">
        <f t="shared" ca="1" si="350"/>
        <v>no semana</v>
      </c>
      <c r="M544" s="51" t="str">
        <f>IFERROR(VLOOKUP(E544,'cheques a conf'!A:D,4,FALSE),"no clearing")</f>
        <v>no clearing</v>
      </c>
      <c r="N544" s="51">
        <f t="shared" si="351"/>
        <v>33</v>
      </c>
      <c r="O544" s="53">
        <f t="shared" si="352"/>
        <v>8</v>
      </c>
      <c r="P544" s="53">
        <f t="shared" si="353"/>
        <v>2025</v>
      </c>
    </row>
    <row r="545" spans="1:16" customFormat="1" x14ac:dyDescent="0.25">
      <c r="A545">
        <v>3000001118</v>
      </c>
      <c r="B545" s="3">
        <v>45880</v>
      </c>
      <c r="C545" s="9">
        <v>3162384.97</v>
      </c>
      <c r="D545" t="s">
        <v>372</v>
      </c>
      <c r="E545">
        <v>97123740</v>
      </c>
      <c r="F545" s="9">
        <v>3162384.97</v>
      </c>
      <c r="G545" s="3">
        <v>45883</v>
      </c>
      <c r="H545" s="21" t="s">
        <v>61</v>
      </c>
      <c r="I545" s="51" t="str">
        <f>IFERROR(IF(VLOOKUP(E545,extracto!C:C,1,FALSE)=E545,"pagado","no pagado"),"no pagado")</f>
        <v>pagado</v>
      </c>
      <c r="J545" s="52" t="str">
        <f t="shared" si="348"/>
        <v>pagado</v>
      </c>
      <c r="K545" s="51" t="str">
        <f t="shared" ca="1" si="349"/>
        <v>excluir</v>
      </c>
      <c r="L545" s="51" t="str">
        <f t="shared" ca="1" si="350"/>
        <v>no semana</v>
      </c>
      <c r="M545" s="51" t="str">
        <f>IFERROR(VLOOKUP(E545,'cheques a conf'!A:D,4,FALSE),"no clearing")</f>
        <v>no clearing</v>
      </c>
      <c r="N545" s="51">
        <f t="shared" si="351"/>
        <v>33</v>
      </c>
      <c r="O545" s="53">
        <f t="shared" si="352"/>
        <v>8</v>
      </c>
      <c r="P545" s="53">
        <f t="shared" si="353"/>
        <v>2025</v>
      </c>
    </row>
    <row r="546" spans="1:16" customFormat="1" x14ac:dyDescent="0.25">
      <c r="A546">
        <v>3000001119</v>
      </c>
      <c r="B546" s="3">
        <v>45880</v>
      </c>
      <c r="C546" s="9">
        <v>3134290.72</v>
      </c>
      <c r="D546" t="s">
        <v>337</v>
      </c>
      <c r="E546">
        <v>97123741</v>
      </c>
      <c r="F546" s="9">
        <v>3134290.72</v>
      </c>
      <c r="G546" s="3">
        <v>45883</v>
      </c>
      <c r="H546" s="21" t="s">
        <v>61</v>
      </c>
      <c r="I546" s="51" t="str">
        <f>IFERROR(IF(VLOOKUP(E546,extracto!C:C,1,FALSE)=E546,"pagado","no pagado"),"no pagado")</f>
        <v>pagado</v>
      </c>
      <c r="J546" s="52" t="str">
        <f t="shared" si="348"/>
        <v>pagado</v>
      </c>
      <c r="K546" s="51" t="str">
        <f t="shared" ca="1" si="349"/>
        <v>excluir</v>
      </c>
      <c r="L546" s="51" t="str">
        <f t="shared" ca="1" si="350"/>
        <v>no semana</v>
      </c>
      <c r="M546" s="51" t="str">
        <f>IFERROR(VLOOKUP(E546,'cheques a conf'!A:D,4,FALSE),"no clearing")</f>
        <v>no clearing</v>
      </c>
      <c r="N546" s="51">
        <f t="shared" si="351"/>
        <v>33</v>
      </c>
      <c r="O546" s="53">
        <f t="shared" si="352"/>
        <v>8</v>
      </c>
      <c r="P546" s="53">
        <f t="shared" si="353"/>
        <v>2025</v>
      </c>
    </row>
    <row r="547" spans="1:16" customFormat="1" x14ac:dyDescent="0.25">
      <c r="A547">
        <v>3000001129</v>
      </c>
      <c r="B547" s="3">
        <v>45881</v>
      </c>
      <c r="C547" s="9">
        <v>7161955.1500000004</v>
      </c>
      <c r="D547" t="s">
        <v>26</v>
      </c>
      <c r="E547">
        <v>97123742</v>
      </c>
      <c r="F547" s="9">
        <v>7161955.1500000004</v>
      </c>
      <c r="G547" s="3">
        <v>45883</v>
      </c>
      <c r="H547" s="21" t="s">
        <v>61</v>
      </c>
      <c r="I547" s="51" t="str">
        <f>IFERROR(IF(VLOOKUP(E547,extracto!C:C,1,FALSE)=E547,"pagado","no pagado"),"no pagado")</f>
        <v>pagado</v>
      </c>
      <c r="J547" s="52" t="str">
        <f t="shared" si="348"/>
        <v>pagado</v>
      </c>
      <c r="K547" s="51" t="str">
        <f t="shared" ca="1" si="349"/>
        <v>excluir</v>
      </c>
      <c r="L547" s="51" t="str">
        <f t="shared" ca="1" si="350"/>
        <v>no semana</v>
      </c>
      <c r="M547" s="51" t="str">
        <f>IFERROR(VLOOKUP(E547,'cheques a conf'!A:D,4,FALSE),"no clearing")</f>
        <v>no clearing</v>
      </c>
      <c r="N547" s="51">
        <f t="shared" si="351"/>
        <v>33</v>
      </c>
      <c r="O547" s="53">
        <f t="shared" si="352"/>
        <v>8</v>
      </c>
      <c r="P547" s="53">
        <f t="shared" si="353"/>
        <v>2025</v>
      </c>
    </row>
    <row r="548" spans="1:16" customFormat="1" x14ac:dyDescent="0.25">
      <c r="A548">
        <v>3000001130</v>
      </c>
      <c r="B548" s="3">
        <v>45881</v>
      </c>
      <c r="C548" s="9">
        <v>5967264.0999999996</v>
      </c>
      <c r="D548" t="s">
        <v>302</v>
      </c>
      <c r="E548">
        <v>97123743</v>
      </c>
      <c r="F548" s="9">
        <v>5967264.0999999996</v>
      </c>
      <c r="G548" s="3">
        <v>45883</v>
      </c>
      <c r="H548" s="21" t="s">
        <v>61</v>
      </c>
      <c r="I548" s="51" t="str">
        <f>IFERROR(IF(VLOOKUP(E548,extracto!C:C,1,FALSE)=E548,"pagado","no pagado"),"no pagado")</f>
        <v>pagado</v>
      </c>
      <c r="J548" s="52" t="str">
        <f t="shared" si="348"/>
        <v>pagado</v>
      </c>
      <c r="K548" s="51" t="str">
        <f t="shared" ca="1" si="349"/>
        <v>excluir</v>
      </c>
      <c r="L548" s="51" t="str">
        <f t="shared" ca="1" si="350"/>
        <v>no semana</v>
      </c>
      <c r="M548" s="51" t="str">
        <f>IFERROR(VLOOKUP(E548,'cheques a conf'!A:D,4,FALSE),"no clearing")</f>
        <v>no clearing</v>
      </c>
      <c r="N548" s="51">
        <f t="shared" si="351"/>
        <v>33</v>
      </c>
      <c r="O548" s="53">
        <f t="shared" si="352"/>
        <v>8</v>
      </c>
      <c r="P548" s="53">
        <f t="shared" si="353"/>
        <v>2025</v>
      </c>
    </row>
    <row r="549" spans="1:16" customFormat="1" x14ac:dyDescent="0.25">
      <c r="A549">
        <v>3000001131</v>
      </c>
      <c r="B549" s="3">
        <v>45881</v>
      </c>
      <c r="C549" s="9">
        <v>12624451.779999999</v>
      </c>
      <c r="D549" t="s">
        <v>370</v>
      </c>
      <c r="E549">
        <v>97123744</v>
      </c>
      <c r="F549" s="9">
        <v>12624451.779999999</v>
      </c>
      <c r="G549" s="3">
        <v>45883</v>
      </c>
      <c r="H549" s="21" t="s">
        <v>61</v>
      </c>
      <c r="I549" s="51" t="str">
        <f>IFERROR(IF(VLOOKUP(E549,extracto!C:C,1,FALSE)=E549,"pagado","no pagado"),"no pagado")</f>
        <v>pagado</v>
      </c>
      <c r="J549" s="52" t="str">
        <f t="shared" si="348"/>
        <v>pagado</v>
      </c>
      <c r="K549" s="51" t="str">
        <f t="shared" ca="1" si="349"/>
        <v>excluir</v>
      </c>
      <c r="L549" s="51" t="str">
        <f t="shared" ca="1" si="350"/>
        <v>no semana</v>
      </c>
      <c r="M549" s="51" t="str">
        <f>IFERROR(VLOOKUP(E549,'cheques a conf'!A:D,4,FALSE),"no clearing")</f>
        <v>no clearing</v>
      </c>
      <c r="N549" s="51">
        <f t="shared" si="351"/>
        <v>33</v>
      </c>
      <c r="O549" s="53">
        <f t="shared" si="352"/>
        <v>8</v>
      </c>
      <c r="P549" s="53">
        <f t="shared" si="353"/>
        <v>2025</v>
      </c>
    </row>
    <row r="550" spans="1:16" customFormat="1" x14ac:dyDescent="0.25">
      <c r="A550">
        <v>3000001145</v>
      </c>
      <c r="B550" s="3">
        <v>45883</v>
      </c>
      <c r="C550" s="9">
        <v>42242070</v>
      </c>
      <c r="D550" t="s">
        <v>22</v>
      </c>
      <c r="E550">
        <v>97121392</v>
      </c>
      <c r="F550" s="9">
        <v>42242070</v>
      </c>
      <c r="G550" s="3">
        <v>45883</v>
      </c>
      <c r="H550" s="21" t="s">
        <v>61</v>
      </c>
      <c r="I550" s="51" t="str">
        <f>IFERROR(IF(VLOOKUP(E550,extracto!C:C,1,FALSE)=E550,"pagado","no pagado"),"no pagado")</f>
        <v>pagado</v>
      </c>
      <c r="J550" s="52" t="str">
        <f t="shared" si="348"/>
        <v>pagado</v>
      </c>
      <c r="K550" s="51" t="str">
        <f t="shared" ca="1" si="349"/>
        <v>excluir</v>
      </c>
      <c r="L550" s="51" t="str">
        <f t="shared" ca="1" si="350"/>
        <v>no semana</v>
      </c>
      <c r="M550" s="51" t="str">
        <f>IFERROR(VLOOKUP(E550,'cheques a conf'!A:D,4,FALSE),"no clearing")</f>
        <v>no clearing</v>
      </c>
      <c r="N550" s="51">
        <f t="shared" si="351"/>
        <v>33</v>
      </c>
      <c r="O550" s="53">
        <f t="shared" si="352"/>
        <v>8</v>
      </c>
      <c r="P550" s="53">
        <f t="shared" si="353"/>
        <v>2025</v>
      </c>
    </row>
    <row r="551" spans="1:16" customFormat="1" x14ac:dyDescent="0.25">
      <c r="A551" s="21">
        <v>3000001153</v>
      </c>
      <c r="B551" s="22">
        <v>45887</v>
      </c>
      <c r="C551" s="20">
        <v>639115.56999999995</v>
      </c>
      <c r="D551" s="21" t="s">
        <v>406</v>
      </c>
      <c r="E551" s="21">
        <v>97123745</v>
      </c>
      <c r="F551" s="20">
        <v>639115.56999999995</v>
      </c>
      <c r="G551" s="22">
        <v>45890</v>
      </c>
      <c r="H551" s="21" t="s">
        <v>61</v>
      </c>
      <c r="I551" s="51" t="str">
        <f>IFERROR(IF(VLOOKUP(E551,extracto!C:C,1,FALSE)=E551,"pagado","no pagado"),"no pagado")</f>
        <v>pagado</v>
      </c>
      <c r="J551" s="52" t="str">
        <f t="shared" si="348"/>
        <v>pagado</v>
      </c>
      <c r="K551" s="51" t="str">
        <f t="shared" ca="1" si="349"/>
        <v>excluir</v>
      </c>
      <c r="L551" s="51" t="str">
        <f t="shared" ca="1" si="350"/>
        <v>no semana</v>
      </c>
      <c r="M551" s="51" t="str">
        <f>IFERROR(VLOOKUP(E551,'cheques a conf'!A:D,4,FALSE),"no clearing")</f>
        <v>no clearing</v>
      </c>
      <c r="N551" s="51">
        <f t="shared" si="351"/>
        <v>34</v>
      </c>
      <c r="O551" s="53">
        <f t="shared" si="352"/>
        <v>8</v>
      </c>
      <c r="P551" s="53">
        <f t="shared" si="353"/>
        <v>2025</v>
      </c>
    </row>
    <row r="552" spans="1:16" customFormat="1" x14ac:dyDescent="0.25">
      <c r="A552" s="21">
        <v>3000001154</v>
      </c>
      <c r="B552" s="22">
        <v>45887</v>
      </c>
      <c r="C552" s="20">
        <v>8307421.4000000004</v>
      </c>
      <c r="D552" s="21" t="s">
        <v>284</v>
      </c>
      <c r="E552" s="21">
        <v>97123746</v>
      </c>
      <c r="F552" s="20">
        <v>8307421.4000000004</v>
      </c>
      <c r="G552" s="22">
        <v>45890</v>
      </c>
      <c r="H552" s="21" t="s">
        <v>61</v>
      </c>
      <c r="I552" s="51" t="str">
        <f>IFERROR(IF(VLOOKUP(E552,extracto!C:C,1,FALSE)=E552,"pagado","no pagado"),"no pagado")</f>
        <v>pagado</v>
      </c>
      <c r="J552" s="52" t="str">
        <f t="shared" si="348"/>
        <v>pagado</v>
      </c>
      <c r="K552" s="51" t="str">
        <f t="shared" ca="1" si="349"/>
        <v>excluir</v>
      </c>
      <c r="L552" s="51" t="str">
        <f t="shared" ca="1" si="350"/>
        <v>no semana</v>
      </c>
      <c r="M552" s="51" t="str">
        <f>IFERROR(VLOOKUP(E552,'cheques a conf'!A:D,4,FALSE),"no clearing")</f>
        <v>no clearing</v>
      </c>
      <c r="N552" s="51">
        <f t="shared" si="351"/>
        <v>34</v>
      </c>
      <c r="O552" s="53">
        <f t="shared" si="352"/>
        <v>8</v>
      </c>
      <c r="P552" s="53">
        <f t="shared" si="353"/>
        <v>2025</v>
      </c>
    </row>
    <row r="553" spans="1:16" customFormat="1" x14ac:dyDescent="0.25">
      <c r="A553" s="21">
        <v>3000001155</v>
      </c>
      <c r="B553" s="22">
        <v>45887</v>
      </c>
      <c r="C553" s="20">
        <v>23055528.399999999</v>
      </c>
      <c r="D553" s="21" t="s">
        <v>407</v>
      </c>
      <c r="E553" s="21">
        <v>97123747</v>
      </c>
      <c r="F553" s="20">
        <v>23055528.399999999</v>
      </c>
      <c r="G553" s="22">
        <v>45891</v>
      </c>
      <c r="H553" s="21" t="s">
        <v>61</v>
      </c>
      <c r="I553" s="51" t="str">
        <f>IFERROR(IF(VLOOKUP(E553,extracto!C:C,1,FALSE)=E553,"pagado","no pagado"),"no pagado")</f>
        <v>pagado</v>
      </c>
      <c r="J553" s="52" t="str">
        <f t="shared" si="348"/>
        <v>pagado</v>
      </c>
      <c r="K553" s="51" t="str">
        <f t="shared" ca="1" si="349"/>
        <v>excluir</v>
      </c>
      <c r="L553" s="51" t="str">
        <f t="shared" ca="1" si="350"/>
        <v>no semana</v>
      </c>
      <c r="M553" s="51" t="str">
        <f>IFERROR(VLOOKUP(E553,'cheques a conf'!A:D,4,FALSE),"no clearing")</f>
        <v>no clearing</v>
      </c>
      <c r="N553" s="51">
        <f t="shared" si="351"/>
        <v>34</v>
      </c>
      <c r="O553" s="53">
        <f t="shared" si="352"/>
        <v>8</v>
      </c>
      <c r="P553" s="53">
        <f t="shared" si="353"/>
        <v>2025</v>
      </c>
    </row>
    <row r="554" spans="1:16" customFormat="1" x14ac:dyDescent="0.25">
      <c r="A554" s="21">
        <v>3000001156</v>
      </c>
      <c r="B554" s="22">
        <v>45887</v>
      </c>
      <c r="C554" s="20">
        <v>26400016.699999999</v>
      </c>
      <c r="D554" s="21" t="s">
        <v>360</v>
      </c>
      <c r="E554" s="21">
        <v>97123748</v>
      </c>
      <c r="F554" s="20">
        <v>26400016.699999999</v>
      </c>
      <c r="G554" s="22">
        <v>45891</v>
      </c>
      <c r="H554" s="21" t="s">
        <v>61</v>
      </c>
      <c r="I554" s="51" t="str">
        <f>IFERROR(IF(VLOOKUP(E554,extracto!C:C,1,FALSE)=E554,"pagado","no pagado"),"no pagado")</f>
        <v>pagado</v>
      </c>
      <c r="J554" s="52" t="str">
        <f t="shared" si="348"/>
        <v>pagado</v>
      </c>
      <c r="K554" s="51" t="str">
        <f t="shared" ca="1" si="349"/>
        <v>excluir</v>
      </c>
      <c r="L554" s="51" t="str">
        <f t="shared" ca="1" si="350"/>
        <v>no semana</v>
      </c>
      <c r="M554" s="51" t="str">
        <f>IFERROR(VLOOKUP(E554,'cheques a conf'!A:D,4,FALSE),"no clearing")</f>
        <v>no clearing</v>
      </c>
      <c r="N554" s="51">
        <f t="shared" si="351"/>
        <v>34</v>
      </c>
      <c r="O554" s="53">
        <f t="shared" si="352"/>
        <v>8</v>
      </c>
      <c r="P554" s="53">
        <f t="shared" si="353"/>
        <v>2025</v>
      </c>
    </row>
    <row r="555" spans="1:16" customFormat="1" x14ac:dyDescent="0.25">
      <c r="A555" s="21">
        <v>3000001157</v>
      </c>
      <c r="B555" s="22">
        <v>45887</v>
      </c>
      <c r="C555" s="20">
        <v>29841120.579999998</v>
      </c>
      <c r="D555" s="21" t="s">
        <v>346</v>
      </c>
      <c r="E555" s="21">
        <v>97123749</v>
      </c>
      <c r="F555" s="20">
        <v>29841120.579999998</v>
      </c>
      <c r="G555" s="22">
        <v>45891</v>
      </c>
      <c r="H555" s="21" t="s">
        <v>61</v>
      </c>
      <c r="I555" s="51" t="str">
        <f>IFERROR(IF(VLOOKUP(E555,extracto!C:C,1,FALSE)=E555,"pagado","no pagado"),"no pagado")</f>
        <v>pagado</v>
      </c>
      <c r="J555" s="52" t="str">
        <f t="shared" si="348"/>
        <v>pagado</v>
      </c>
      <c r="K555" s="51" t="str">
        <f t="shared" ca="1" si="349"/>
        <v>excluir</v>
      </c>
      <c r="L555" s="51" t="str">
        <f t="shared" ca="1" si="350"/>
        <v>no semana</v>
      </c>
      <c r="M555" s="51" t="str">
        <f>IFERROR(VLOOKUP(E555,'cheques a conf'!A:D,4,FALSE),"no clearing")</f>
        <v>no clearing</v>
      </c>
      <c r="N555" s="51">
        <f t="shared" si="351"/>
        <v>34</v>
      </c>
      <c r="O555" s="53">
        <f t="shared" si="352"/>
        <v>8</v>
      </c>
      <c r="P555" s="53">
        <f t="shared" si="353"/>
        <v>2025</v>
      </c>
    </row>
    <row r="556" spans="1:16" customFormat="1" x14ac:dyDescent="0.25">
      <c r="A556" s="21">
        <v>3000001183</v>
      </c>
      <c r="B556" s="22">
        <v>45894</v>
      </c>
      <c r="C556" s="20">
        <v>6248880</v>
      </c>
      <c r="D556" s="21" t="s">
        <v>56</v>
      </c>
      <c r="E556" s="21">
        <v>97123750</v>
      </c>
      <c r="F556" s="20">
        <v>6248880</v>
      </c>
      <c r="G556" s="22">
        <v>45897</v>
      </c>
      <c r="H556" s="21" t="s">
        <v>61</v>
      </c>
      <c r="I556" s="51" t="str">
        <f>IFERROR(IF(VLOOKUP(E556,extracto!C:C,1,FALSE)=E556,"pagado","no pagado"),"no pagado")</f>
        <v>pagado</v>
      </c>
      <c r="J556" s="52" t="str">
        <f t="shared" si="348"/>
        <v>pagado</v>
      </c>
      <c r="K556" s="51" t="str">
        <f t="shared" ca="1" si="349"/>
        <v>excluir</v>
      </c>
      <c r="L556" s="51" t="str">
        <f t="shared" ca="1" si="350"/>
        <v>no semana</v>
      </c>
      <c r="M556" s="51" t="str">
        <f>IFERROR(VLOOKUP(E556,'cheques a conf'!A:D,4,FALSE),"no clearing")</f>
        <v>no clearing</v>
      </c>
      <c r="N556" s="51">
        <f t="shared" si="351"/>
        <v>35</v>
      </c>
      <c r="O556" s="53">
        <f t="shared" si="352"/>
        <v>8</v>
      </c>
      <c r="P556" s="53">
        <f t="shared" si="353"/>
        <v>2025</v>
      </c>
    </row>
    <row r="557" spans="1:16" customFormat="1" x14ac:dyDescent="0.25">
      <c r="A557" s="21">
        <v>3000001184</v>
      </c>
      <c r="B557" s="22">
        <v>45894</v>
      </c>
      <c r="C557" s="20">
        <v>4228895.4000000004</v>
      </c>
      <c r="D557" s="21" t="s">
        <v>408</v>
      </c>
      <c r="E557" s="21">
        <v>97123751</v>
      </c>
      <c r="F557" s="20">
        <v>4228895.4000000004</v>
      </c>
      <c r="G557" s="22">
        <v>45897</v>
      </c>
      <c r="H557" s="21" t="s">
        <v>61</v>
      </c>
      <c r="I557" s="51" t="str">
        <f>IFERROR(IF(VLOOKUP(E557,extracto!C:C,1,FALSE)=E557,"pagado","no pagado"),"no pagado")</f>
        <v>pagado</v>
      </c>
      <c r="J557" s="52" t="str">
        <f t="shared" si="348"/>
        <v>pagado</v>
      </c>
      <c r="K557" s="51" t="str">
        <f t="shared" ca="1" si="349"/>
        <v>excluir</v>
      </c>
      <c r="L557" s="51" t="str">
        <f t="shared" ca="1" si="350"/>
        <v>no semana</v>
      </c>
      <c r="M557" s="51" t="str">
        <f>IFERROR(VLOOKUP(E557,'cheques a conf'!A:D,4,FALSE),"no clearing")</f>
        <v>no clearing</v>
      </c>
      <c r="N557" s="51">
        <f t="shared" si="351"/>
        <v>35</v>
      </c>
      <c r="O557" s="53">
        <f t="shared" si="352"/>
        <v>8</v>
      </c>
      <c r="P557" s="53">
        <f t="shared" si="353"/>
        <v>2025</v>
      </c>
    </row>
    <row r="558" spans="1:16" customFormat="1" x14ac:dyDescent="0.25">
      <c r="A558" s="21">
        <v>3000001185</v>
      </c>
      <c r="B558" s="22">
        <v>45894</v>
      </c>
      <c r="C558" s="20">
        <v>10179240.5</v>
      </c>
      <c r="D558" s="21" t="s">
        <v>287</v>
      </c>
      <c r="E558" s="21">
        <v>97123752</v>
      </c>
      <c r="F558" s="20">
        <v>10179240.5</v>
      </c>
      <c r="G558" s="22">
        <v>45897</v>
      </c>
      <c r="H558" s="21" t="s">
        <v>61</v>
      </c>
      <c r="I558" s="51" t="str">
        <f>IFERROR(IF(VLOOKUP(E558,extracto!C:C,1,FALSE)=E558,"pagado","no pagado"),"no pagado")</f>
        <v>pagado</v>
      </c>
      <c r="J558" s="52" t="str">
        <f t="shared" si="348"/>
        <v>pagado</v>
      </c>
      <c r="K558" s="51" t="str">
        <f t="shared" ca="1" si="349"/>
        <v>excluir</v>
      </c>
      <c r="L558" s="51" t="str">
        <f t="shared" ca="1" si="350"/>
        <v>no semana</v>
      </c>
      <c r="M558" s="51" t="str">
        <f>IFERROR(VLOOKUP(E558,'cheques a conf'!A:D,4,FALSE),"no clearing")</f>
        <v>no clearing</v>
      </c>
      <c r="N558" s="51">
        <f t="shared" si="351"/>
        <v>35</v>
      </c>
      <c r="O558" s="53">
        <f t="shared" si="352"/>
        <v>8</v>
      </c>
      <c r="P558" s="53">
        <f t="shared" si="353"/>
        <v>2025</v>
      </c>
    </row>
    <row r="559" spans="1:16" customFormat="1" x14ac:dyDescent="0.25">
      <c r="A559" s="21">
        <v>3000001186</v>
      </c>
      <c r="B559" s="22">
        <v>45894</v>
      </c>
      <c r="C559" s="20">
        <v>10000000</v>
      </c>
      <c r="D559" s="21" t="s">
        <v>350</v>
      </c>
      <c r="E559" s="21">
        <v>97123753</v>
      </c>
      <c r="F559" s="20">
        <v>10000000</v>
      </c>
      <c r="G559" s="22">
        <v>45897</v>
      </c>
      <c r="H559" s="21" t="s">
        <v>61</v>
      </c>
      <c r="I559" s="51" t="str">
        <f>IFERROR(IF(VLOOKUP(E559,extracto!C:C,1,FALSE)=E559,"pagado","no pagado"),"no pagado")</f>
        <v>pagado</v>
      </c>
      <c r="J559" s="52" t="str">
        <f t="shared" si="348"/>
        <v>pagado</v>
      </c>
      <c r="K559" s="51" t="str">
        <f t="shared" ca="1" si="349"/>
        <v>excluir</v>
      </c>
      <c r="L559" s="51" t="str">
        <f t="shared" ca="1" si="350"/>
        <v>no semana</v>
      </c>
      <c r="M559" s="51" t="str">
        <f>IFERROR(VLOOKUP(E559,'cheques a conf'!A:D,4,FALSE),"no clearing")</f>
        <v>no clearing</v>
      </c>
      <c r="N559" s="51">
        <f t="shared" si="351"/>
        <v>35</v>
      </c>
      <c r="O559" s="53">
        <f t="shared" si="352"/>
        <v>8</v>
      </c>
      <c r="P559" s="53">
        <f t="shared" si="353"/>
        <v>2025</v>
      </c>
    </row>
    <row r="560" spans="1:16" customFormat="1" x14ac:dyDescent="0.25">
      <c r="A560" s="21">
        <v>3000001186</v>
      </c>
      <c r="B560" s="22">
        <v>45894</v>
      </c>
      <c r="C560" s="20">
        <v>10227333.5</v>
      </c>
      <c r="D560" s="21" t="s">
        <v>350</v>
      </c>
      <c r="E560" s="21">
        <v>97123754</v>
      </c>
      <c r="F560" s="20">
        <v>10227333.5</v>
      </c>
      <c r="G560" s="22">
        <v>45898</v>
      </c>
      <c r="H560" s="21" t="s">
        <v>61</v>
      </c>
      <c r="I560" s="51" t="str">
        <f>IFERROR(IF(VLOOKUP(E560,extracto!C:C,1,FALSE)=E560,"pagado","no pagado"),"no pagado")</f>
        <v>pagado</v>
      </c>
      <c r="J560" s="52" t="str">
        <f t="shared" ref="J560" si="354">IF(I560="pagado","pagado",IF(G560&lt;$V$1-30,"fuera de fecha","en periodo de pago"))</f>
        <v>pagado</v>
      </c>
      <c r="K560" s="51" t="str">
        <f t="shared" ref="K560" ca="1" si="355">+IF(B560&gt;$V$1,"excluir",IF(J560="en periodo de pago",IF($V$1&gt;G560,"a pagar","proximo a vencer"),"excluir"))</f>
        <v>excluir</v>
      </c>
      <c r="L560" s="51" t="str">
        <f t="shared" ref="L560" ca="1" si="356">+IF(K560="proximo a vencer",IF($V$1+5&gt;G560,"para la semana","no semana"),"no semana")</f>
        <v>no semana</v>
      </c>
      <c r="M560" s="51" t="str">
        <f>IFERROR(VLOOKUP(E560,'cheques a conf'!A:D,4,FALSE),"no clearing")</f>
        <v>no clearing</v>
      </c>
      <c r="N560" s="51">
        <f t="shared" ref="N560" si="357">+WEEKNUM(G560,2)</f>
        <v>35</v>
      </c>
      <c r="O560" s="53">
        <f t="shared" ref="O560" si="358">+MONTH(G560)</f>
        <v>8</v>
      </c>
      <c r="P560" s="53">
        <f t="shared" ref="P560" si="359">+YEAR(G560)</f>
        <v>2025</v>
      </c>
    </row>
    <row r="561" spans="1:16" customFormat="1" x14ac:dyDescent="0.25">
      <c r="A561" s="21">
        <v>3000001187</v>
      </c>
      <c r="B561" s="22">
        <v>45894</v>
      </c>
      <c r="C561" s="20">
        <v>9704032.1999999993</v>
      </c>
      <c r="D561" s="21" t="s">
        <v>300</v>
      </c>
      <c r="E561" s="21">
        <v>97123755</v>
      </c>
      <c r="F561" s="20">
        <v>9704032.1999999993</v>
      </c>
      <c r="G561" s="22">
        <v>45897</v>
      </c>
      <c r="H561" s="21" t="s">
        <v>61</v>
      </c>
      <c r="I561" s="51" t="str">
        <f>IFERROR(IF(VLOOKUP(E561,extracto!C:C,1,FALSE)=E561,"pagado","no pagado"),"no pagado")</f>
        <v>pagado</v>
      </c>
      <c r="J561" s="52" t="str">
        <f t="shared" ref="J561:J576" si="360">IF(I561="pagado","pagado",IF(G561&lt;$V$1-30,"fuera de fecha","en periodo de pago"))</f>
        <v>pagado</v>
      </c>
      <c r="K561" s="51" t="str">
        <f t="shared" ref="K561:K576" ca="1" si="361">+IF(B561&gt;$V$1,"excluir",IF(J561="en periodo de pago",IF($V$1&gt;G561,"a pagar","proximo a vencer"),"excluir"))</f>
        <v>excluir</v>
      </c>
      <c r="L561" s="51" t="str">
        <f t="shared" ref="L561:L576" ca="1" si="362">+IF(K561="proximo a vencer",IF($V$1+5&gt;G561,"para la semana","no semana"),"no semana")</f>
        <v>no semana</v>
      </c>
      <c r="M561" s="51" t="str">
        <f>IFERROR(VLOOKUP(E561,'cheques a conf'!A:D,4,FALSE),"no clearing")</f>
        <v>no clearing</v>
      </c>
      <c r="N561" s="51">
        <f t="shared" ref="N561:N576" si="363">+WEEKNUM(G561,2)</f>
        <v>35</v>
      </c>
      <c r="O561" s="53">
        <f t="shared" ref="O561:O576" si="364">+MONTH(G561)</f>
        <v>8</v>
      </c>
      <c r="P561" s="53">
        <f t="shared" ref="P561:P576" si="365">+YEAR(G561)</f>
        <v>2025</v>
      </c>
    </row>
    <row r="562" spans="1:16" customFormat="1" x14ac:dyDescent="0.25">
      <c r="A562" s="21">
        <v>3000001188</v>
      </c>
      <c r="B562" s="22">
        <v>45894</v>
      </c>
      <c r="C562" s="20">
        <v>5077040.5</v>
      </c>
      <c r="D562" s="21" t="s">
        <v>365</v>
      </c>
      <c r="E562" s="21">
        <v>97123756</v>
      </c>
      <c r="F562" s="20">
        <v>5077040.5</v>
      </c>
      <c r="G562" s="22">
        <v>45897</v>
      </c>
      <c r="H562" s="21" t="s">
        <v>61</v>
      </c>
      <c r="I562" s="51" t="str">
        <f>IFERROR(IF(VLOOKUP(E562,extracto!C:C,1,FALSE)=E562,"pagado","no pagado"),"no pagado")</f>
        <v>pagado</v>
      </c>
      <c r="J562" s="52" t="str">
        <f t="shared" si="360"/>
        <v>pagado</v>
      </c>
      <c r="K562" s="51" t="str">
        <f t="shared" ca="1" si="361"/>
        <v>excluir</v>
      </c>
      <c r="L562" s="51" t="str">
        <f t="shared" ca="1" si="362"/>
        <v>no semana</v>
      </c>
      <c r="M562" s="51" t="str">
        <f>IFERROR(VLOOKUP(E562,'cheques a conf'!A:D,4,FALSE),"no clearing")</f>
        <v>no clearing</v>
      </c>
      <c r="N562" s="51">
        <f t="shared" si="363"/>
        <v>35</v>
      </c>
      <c r="O562" s="53">
        <f t="shared" si="364"/>
        <v>8</v>
      </c>
      <c r="P562" s="53">
        <f t="shared" si="365"/>
        <v>2025</v>
      </c>
    </row>
    <row r="563" spans="1:16" customFormat="1" x14ac:dyDescent="0.25">
      <c r="A563" s="21">
        <v>3000001189</v>
      </c>
      <c r="B563" s="22">
        <v>45894</v>
      </c>
      <c r="C563" s="20">
        <v>6488249</v>
      </c>
      <c r="D563" s="21" t="s">
        <v>286</v>
      </c>
      <c r="E563" s="21">
        <v>97123757</v>
      </c>
      <c r="F563" s="20">
        <v>6488249</v>
      </c>
      <c r="G563" s="22">
        <v>45897</v>
      </c>
      <c r="H563" s="21" t="s">
        <v>61</v>
      </c>
      <c r="I563" s="51" t="str">
        <f>IFERROR(IF(VLOOKUP(E563,extracto!C:C,1,FALSE)=E563,"pagado","no pagado"),"no pagado")</f>
        <v>pagado</v>
      </c>
      <c r="J563" s="52" t="str">
        <f t="shared" si="360"/>
        <v>pagado</v>
      </c>
      <c r="K563" s="51" t="str">
        <f t="shared" ca="1" si="361"/>
        <v>excluir</v>
      </c>
      <c r="L563" s="51" t="str">
        <f t="shared" ca="1" si="362"/>
        <v>no semana</v>
      </c>
      <c r="M563" s="51" t="str">
        <f>IFERROR(VLOOKUP(E563,'cheques a conf'!A:D,4,FALSE),"no clearing")</f>
        <v>no clearing</v>
      </c>
      <c r="N563" s="51">
        <f t="shared" si="363"/>
        <v>35</v>
      </c>
      <c r="O563" s="53">
        <f t="shared" si="364"/>
        <v>8</v>
      </c>
      <c r="P563" s="53">
        <f t="shared" si="365"/>
        <v>2025</v>
      </c>
    </row>
    <row r="564" spans="1:16" customFormat="1" x14ac:dyDescent="0.25">
      <c r="A564" s="21">
        <v>3000001190</v>
      </c>
      <c r="B564" s="22">
        <v>45894</v>
      </c>
      <c r="C564" s="20">
        <v>7727813.4000000004</v>
      </c>
      <c r="D564" s="21" t="s">
        <v>366</v>
      </c>
      <c r="E564" s="21">
        <v>97123758</v>
      </c>
      <c r="F564" s="20">
        <v>7727813.4000000004</v>
      </c>
      <c r="G564" s="22">
        <v>45897</v>
      </c>
      <c r="H564" s="21" t="s">
        <v>61</v>
      </c>
      <c r="I564" s="51" t="str">
        <f>IFERROR(IF(VLOOKUP(E564,extracto!C:C,1,FALSE)=E564,"pagado","no pagado"),"no pagado")</f>
        <v>pagado</v>
      </c>
      <c r="J564" s="52" t="str">
        <f t="shared" si="360"/>
        <v>pagado</v>
      </c>
      <c r="K564" s="51" t="str">
        <f t="shared" ca="1" si="361"/>
        <v>excluir</v>
      </c>
      <c r="L564" s="51" t="str">
        <f t="shared" ca="1" si="362"/>
        <v>no semana</v>
      </c>
      <c r="M564" s="51" t="str">
        <f>IFERROR(VLOOKUP(E564,'cheques a conf'!A:D,4,FALSE),"no clearing")</f>
        <v>no clearing</v>
      </c>
      <c r="N564" s="51">
        <f t="shared" si="363"/>
        <v>35</v>
      </c>
      <c r="O564" s="53">
        <f t="shared" si="364"/>
        <v>8</v>
      </c>
      <c r="P564" s="53">
        <f t="shared" si="365"/>
        <v>2025</v>
      </c>
    </row>
    <row r="565" spans="1:16" customFormat="1" x14ac:dyDescent="0.25">
      <c r="A565" s="21">
        <v>3000001191</v>
      </c>
      <c r="B565" s="22">
        <v>45894</v>
      </c>
      <c r="C565" s="20">
        <v>8990948.1500000004</v>
      </c>
      <c r="D565" s="21" t="s">
        <v>347</v>
      </c>
      <c r="E565" s="21">
        <v>97123759</v>
      </c>
      <c r="F565" s="20">
        <v>8990948.1500000004</v>
      </c>
      <c r="G565" s="22">
        <v>45897</v>
      </c>
      <c r="H565" s="21" t="s">
        <v>61</v>
      </c>
      <c r="I565" s="51" t="str">
        <f>IFERROR(IF(VLOOKUP(E565,extracto!C:C,1,FALSE)=E565,"pagado","no pagado"),"no pagado")</f>
        <v>pagado</v>
      </c>
      <c r="J565" s="52" t="str">
        <f t="shared" si="360"/>
        <v>pagado</v>
      </c>
      <c r="K565" s="51" t="str">
        <f t="shared" ca="1" si="361"/>
        <v>excluir</v>
      </c>
      <c r="L565" s="51" t="str">
        <f t="shared" ca="1" si="362"/>
        <v>no semana</v>
      </c>
      <c r="M565" s="51" t="str">
        <f>IFERROR(VLOOKUP(E565,'cheques a conf'!A:D,4,FALSE),"no clearing")</f>
        <v>no clearing</v>
      </c>
      <c r="N565" s="51">
        <f t="shared" si="363"/>
        <v>35</v>
      </c>
      <c r="O565" s="53">
        <f t="shared" si="364"/>
        <v>8</v>
      </c>
      <c r="P565" s="53">
        <f t="shared" si="365"/>
        <v>2025</v>
      </c>
    </row>
    <row r="566" spans="1:16" customFormat="1" x14ac:dyDescent="0.25">
      <c r="A566" s="21">
        <v>3000001192</v>
      </c>
      <c r="B566" s="22">
        <v>45894</v>
      </c>
      <c r="C566" s="20">
        <v>7000000</v>
      </c>
      <c r="D566" s="21" t="s">
        <v>292</v>
      </c>
      <c r="E566" s="21">
        <v>97123760</v>
      </c>
      <c r="F566" s="20">
        <v>7000000</v>
      </c>
      <c r="G566" s="22">
        <v>45897</v>
      </c>
      <c r="H566" s="21" t="s">
        <v>61</v>
      </c>
      <c r="I566" s="51" t="str">
        <f>IFERROR(IF(VLOOKUP(E566,extracto!C:C,1,FALSE)=E566,"pagado","no pagado"),"no pagado")</f>
        <v>pagado</v>
      </c>
      <c r="J566" s="52" t="str">
        <f t="shared" si="360"/>
        <v>pagado</v>
      </c>
      <c r="K566" s="51" t="str">
        <f t="shared" ca="1" si="361"/>
        <v>excluir</v>
      </c>
      <c r="L566" s="51" t="str">
        <f t="shared" ca="1" si="362"/>
        <v>no semana</v>
      </c>
      <c r="M566" s="51" t="str">
        <f>IFERROR(VLOOKUP(E566,'cheques a conf'!A:D,4,FALSE),"no clearing")</f>
        <v>no clearing</v>
      </c>
      <c r="N566" s="51">
        <f t="shared" si="363"/>
        <v>35</v>
      </c>
      <c r="O566" s="53">
        <f t="shared" si="364"/>
        <v>8</v>
      </c>
      <c r="P566" s="53">
        <f t="shared" si="365"/>
        <v>2025</v>
      </c>
    </row>
    <row r="567" spans="1:16" customFormat="1" x14ac:dyDescent="0.25">
      <c r="A567" s="21">
        <v>3000001192</v>
      </c>
      <c r="B567" s="22">
        <v>45894</v>
      </c>
      <c r="C567" s="20">
        <v>7369480</v>
      </c>
      <c r="D567" s="21" t="s">
        <v>292</v>
      </c>
      <c r="E567" s="21">
        <v>97123761</v>
      </c>
      <c r="F567" s="20">
        <v>7369480</v>
      </c>
      <c r="G567" s="22">
        <v>45898</v>
      </c>
      <c r="H567" s="21" t="s">
        <v>61</v>
      </c>
      <c r="I567" s="51" t="str">
        <f>IFERROR(IF(VLOOKUP(E567,extracto!C:C,1,FALSE)=E567,"pagado","no pagado"),"no pagado")</f>
        <v>pagado</v>
      </c>
      <c r="J567" s="52" t="str">
        <f t="shared" si="360"/>
        <v>pagado</v>
      </c>
      <c r="K567" s="51" t="str">
        <f t="shared" ca="1" si="361"/>
        <v>excluir</v>
      </c>
      <c r="L567" s="51" t="str">
        <f t="shared" ca="1" si="362"/>
        <v>no semana</v>
      </c>
      <c r="M567" s="51" t="str">
        <f>IFERROR(VLOOKUP(E567,'cheques a conf'!A:D,4,FALSE),"no clearing")</f>
        <v>no clearing</v>
      </c>
      <c r="N567" s="51">
        <f t="shared" si="363"/>
        <v>35</v>
      </c>
      <c r="O567" s="53">
        <f t="shared" si="364"/>
        <v>8</v>
      </c>
      <c r="P567" s="53">
        <f t="shared" si="365"/>
        <v>2025</v>
      </c>
    </row>
    <row r="568" spans="1:16" customFormat="1" x14ac:dyDescent="0.25">
      <c r="A568" s="21">
        <v>3000001193</v>
      </c>
      <c r="B568" s="22">
        <v>45894</v>
      </c>
      <c r="C568" s="20">
        <v>19182308.780000001</v>
      </c>
      <c r="D568" s="21" t="s">
        <v>360</v>
      </c>
      <c r="E568" s="21">
        <v>97123762</v>
      </c>
      <c r="F568" s="20">
        <v>19182308.780000001</v>
      </c>
      <c r="G568" s="22">
        <v>45897</v>
      </c>
      <c r="H568" s="21" t="s">
        <v>61</v>
      </c>
      <c r="I568" s="51" t="str">
        <f>IFERROR(IF(VLOOKUP(E568,extracto!C:C,1,FALSE)=E568,"pagado","no pagado"),"no pagado")</f>
        <v>pagado</v>
      </c>
      <c r="J568" s="52" t="str">
        <f t="shared" si="360"/>
        <v>pagado</v>
      </c>
      <c r="K568" s="51" t="str">
        <f t="shared" ca="1" si="361"/>
        <v>excluir</v>
      </c>
      <c r="L568" s="51" t="str">
        <f t="shared" ca="1" si="362"/>
        <v>no semana</v>
      </c>
      <c r="M568" s="51" t="str">
        <f>IFERROR(VLOOKUP(E568,'cheques a conf'!A:D,4,FALSE),"no clearing")</f>
        <v>no clearing</v>
      </c>
      <c r="N568" s="51">
        <f t="shared" si="363"/>
        <v>35</v>
      </c>
      <c r="O568" s="53">
        <f t="shared" si="364"/>
        <v>8</v>
      </c>
      <c r="P568" s="53">
        <f t="shared" si="365"/>
        <v>2025</v>
      </c>
    </row>
    <row r="569" spans="1:16" customFormat="1" x14ac:dyDescent="0.25">
      <c r="A569" s="21">
        <v>3000001193</v>
      </c>
      <c r="B569" s="22">
        <v>45894</v>
      </c>
      <c r="C569" s="20">
        <v>4682956.72</v>
      </c>
      <c r="D569" s="21" t="s">
        <v>360</v>
      </c>
      <c r="E569" s="21">
        <v>97123763</v>
      </c>
      <c r="F569" s="20">
        <v>4682956.72</v>
      </c>
      <c r="G569" s="22">
        <v>45898</v>
      </c>
      <c r="H569" s="21" t="s">
        <v>61</v>
      </c>
      <c r="I569" s="51" t="str">
        <f>IFERROR(IF(VLOOKUP(E569,extracto!C:C,1,FALSE)=E569,"pagado","no pagado"),"no pagado")</f>
        <v>pagado</v>
      </c>
      <c r="J569" s="52" t="str">
        <f t="shared" si="360"/>
        <v>pagado</v>
      </c>
      <c r="K569" s="51" t="str">
        <f t="shared" ca="1" si="361"/>
        <v>excluir</v>
      </c>
      <c r="L569" s="51" t="str">
        <f t="shared" ca="1" si="362"/>
        <v>no semana</v>
      </c>
      <c r="M569" s="51" t="str">
        <f>IFERROR(VLOOKUP(E569,'cheques a conf'!A:D,4,FALSE),"no clearing")</f>
        <v>no clearing</v>
      </c>
      <c r="N569" s="51">
        <f t="shared" si="363"/>
        <v>35</v>
      </c>
      <c r="O569" s="53">
        <f t="shared" si="364"/>
        <v>8</v>
      </c>
      <c r="P569" s="53">
        <f t="shared" si="365"/>
        <v>2025</v>
      </c>
    </row>
    <row r="570" spans="1:16" customFormat="1" x14ac:dyDescent="0.25">
      <c r="A570" s="21">
        <v>3000001209</v>
      </c>
      <c r="B570" s="22">
        <v>45895</v>
      </c>
      <c r="C570" s="20">
        <v>663404.86</v>
      </c>
      <c r="D570" s="21" t="s">
        <v>409</v>
      </c>
      <c r="E570" s="21">
        <v>97123764</v>
      </c>
      <c r="F570" s="20">
        <v>663404.86</v>
      </c>
      <c r="G570" s="22">
        <v>45898</v>
      </c>
      <c r="H570" s="21" t="s">
        <v>61</v>
      </c>
      <c r="I570" s="51" t="str">
        <f>IFERROR(IF(VLOOKUP(E570,extracto!C:C,1,FALSE)=E570,"pagado","no pagado"),"no pagado")</f>
        <v>pagado</v>
      </c>
      <c r="J570" s="52" t="str">
        <f t="shared" si="360"/>
        <v>pagado</v>
      </c>
      <c r="K570" s="51" t="str">
        <f t="shared" ca="1" si="361"/>
        <v>excluir</v>
      </c>
      <c r="L570" s="51" t="str">
        <f t="shared" ca="1" si="362"/>
        <v>no semana</v>
      </c>
      <c r="M570" s="51" t="str">
        <f>IFERROR(VLOOKUP(E570,'cheques a conf'!A:D,4,FALSE),"no clearing")</f>
        <v>no clearing</v>
      </c>
      <c r="N570" s="51">
        <f t="shared" si="363"/>
        <v>35</v>
      </c>
      <c r="O570" s="53">
        <f t="shared" si="364"/>
        <v>8</v>
      </c>
      <c r="P570" s="53">
        <f t="shared" si="365"/>
        <v>2025</v>
      </c>
    </row>
    <row r="571" spans="1:16" customFormat="1" x14ac:dyDescent="0.25">
      <c r="A571" s="21">
        <v>3000001210</v>
      </c>
      <c r="B571" s="22">
        <v>45895</v>
      </c>
      <c r="C571" s="20">
        <v>10000000</v>
      </c>
      <c r="D571" s="21" t="s">
        <v>338</v>
      </c>
      <c r="E571" s="21">
        <v>97123765</v>
      </c>
      <c r="F571" s="20">
        <v>10000000</v>
      </c>
      <c r="G571" s="22">
        <v>45898</v>
      </c>
      <c r="H571" s="21" t="s">
        <v>61</v>
      </c>
      <c r="I571" s="51" t="str">
        <f>IFERROR(IF(VLOOKUP(E571,extracto!C:C,1,FALSE)=E571,"pagado","no pagado"),"no pagado")</f>
        <v>pagado</v>
      </c>
      <c r="J571" s="52" t="str">
        <f t="shared" si="360"/>
        <v>pagado</v>
      </c>
      <c r="K571" s="51" t="str">
        <f t="shared" ca="1" si="361"/>
        <v>excluir</v>
      </c>
      <c r="L571" s="51" t="str">
        <f t="shared" ca="1" si="362"/>
        <v>no semana</v>
      </c>
      <c r="M571" s="51" t="str">
        <f>IFERROR(VLOOKUP(E571,'cheques a conf'!A:D,4,FALSE),"no clearing")</f>
        <v>no clearing</v>
      </c>
      <c r="N571" s="51">
        <f t="shared" si="363"/>
        <v>35</v>
      </c>
      <c r="O571" s="53">
        <f t="shared" si="364"/>
        <v>8</v>
      </c>
      <c r="P571" s="53">
        <f t="shared" si="365"/>
        <v>2025</v>
      </c>
    </row>
    <row r="572" spans="1:16" customFormat="1" x14ac:dyDescent="0.25">
      <c r="A572" s="21">
        <v>3000001210</v>
      </c>
      <c r="B572" s="22">
        <v>45895</v>
      </c>
      <c r="C572" s="20">
        <v>8445918.4499999993</v>
      </c>
      <c r="D572" s="21" t="s">
        <v>338</v>
      </c>
      <c r="E572" s="21">
        <v>97123766</v>
      </c>
      <c r="F572" s="20">
        <v>8445918.4499999993</v>
      </c>
      <c r="G572" s="22">
        <v>45901</v>
      </c>
      <c r="H572" s="21" t="s">
        <v>61</v>
      </c>
      <c r="I572" s="51" t="str">
        <f>IFERROR(IF(VLOOKUP(E572,extracto!C:C,1,FALSE)=E572,"pagado","no pagado"),"no pagado")</f>
        <v>pagado</v>
      </c>
      <c r="J572" s="52" t="str">
        <f t="shared" si="360"/>
        <v>pagado</v>
      </c>
      <c r="K572" s="51" t="str">
        <f t="shared" ca="1" si="361"/>
        <v>excluir</v>
      </c>
      <c r="L572" s="51" t="str">
        <f t="shared" ca="1" si="362"/>
        <v>no semana</v>
      </c>
      <c r="M572" s="51" t="str">
        <f>IFERROR(VLOOKUP(E572,'cheques a conf'!A:D,4,FALSE),"no clearing")</f>
        <v>no clearing</v>
      </c>
      <c r="N572" s="51">
        <f t="shared" si="363"/>
        <v>36</v>
      </c>
      <c r="O572" s="53">
        <f t="shared" si="364"/>
        <v>9</v>
      </c>
      <c r="P572" s="53">
        <f t="shared" si="365"/>
        <v>2025</v>
      </c>
    </row>
    <row r="573" spans="1:16" customFormat="1" x14ac:dyDescent="0.25">
      <c r="A573" s="21">
        <v>3000001211</v>
      </c>
      <c r="B573" s="22">
        <v>45895</v>
      </c>
      <c r="C573" s="20">
        <v>6692757.1799999997</v>
      </c>
      <c r="D573" s="21" t="s">
        <v>410</v>
      </c>
      <c r="E573" s="21">
        <v>97123767</v>
      </c>
      <c r="F573" s="20">
        <v>6692757.1799999997</v>
      </c>
      <c r="G573" s="22">
        <v>45898</v>
      </c>
      <c r="H573" s="21" t="s">
        <v>61</v>
      </c>
      <c r="I573" s="51" t="str">
        <f>IFERROR(IF(VLOOKUP(E573,extracto!C:C,1,FALSE)=E573,"pagado","no pagado"),"no pagado")</f>
        <v>pagado</v>
      </c>
      <c r="J573" s="52" t="str">
        <f t="shared" si="360"/>
        <v>pagado</v>
      </c>
      <c r="K573" s="51" t="str">
        <f t="shared" ca="1" si="361"/>
        <v>excluir</v>
      </c>
      <c r="L573" s="51" t="str">
        <f t="shared" ca="1" si="362"/>
        <v>no semana</v>
      </c>
      <c r="M573" s="51" t="str">
        <f>IFERROR(VLOOKUP(E573,'cheques a conf'!A:D,4,FALSE),"no clearing")</f>
        <v>no clearing</v>
      </c>
      <c r="N573" s="51">
        <f t="shared" si="363"/>
        <v>35</v>
      </c>
      <c r="O573" s="53">
        <f t="shared" si="364"/>
        <v>8</v>
      </c>
      <c r="P573" s="53">
        <f t="shared" si="365"/>
        <v>2025</v>
      </c>
    </row>
    <row r="574" spans="1:16" customFormat="1" x14ac:dyDescent="0.25">
      <c r="A574" s="21">
        <v>3000001212</v>
      </c>
      <c r="B574" s="22">
        <v>45895</v>
      </c>
      <c r="C574" s="20">
        <v>5089778.87</v>
      </c>
      <c r="D574" s="21" t="s">
        <v>340</v>
      </c>
      <c r="E574" s="21">
        <v>97123768</v>
      </c>
      <c r="F574" s="20">
        <v>5089778.87</v>
      </c>
      <c r="G574" s="22">
        <v>45898</v>
      </c>
      <c r="H574" s="21" t="s">
        <v>61</v>
      </c>
      <c r="I574" s="51" t="str">
        <f>IFERROR(IF(VLOOKUP(E574,extracto!C:C,1,FALSE)=E574,"pagado","no pagado"),"no pagado")</f>
        <v>pagado</v>
      </c>
      <c r="J574" s="52" t="str">
        <f t="shared" si="360"/>
        <v>pagado</v>
      </c>
      <c r="K574" s="51" t="str">
        <f t="shared" ca="1" si="361"/>
        <v>excluir</v>
      </c>
      <c r="L574" s="51" t="str">
        <f t="shared" ca="1" si="362"/>
        <v>no semana</v>
      </c>
      <c r="M574" s="51" t="str">
        <f>IFERROR(VLOOKUP(E574,'cheques a conf'!A:D,4,FALSE),"no clearing")</f>
        <v>no clearing</v>
      </c>
      <c r="N574" s="51">
        <f t="shared" si="363"/>
        <v>35</v>
      </c>
      <c r="O574" s="53">
        <f t="shared" si="364"/>
        <v>8</v>
      </c>
      <c r="P574" s="53">
        <f t="shared" si="365"/>
        <v>2025</v>
      </c>
    </row>
    <row r="575" spans="1:16" customFormat="1" x14ac:dyDescent="0.25">
      <c r="A575" s="21">
        <v>3000001213</v>
      </c>
      <c r="B575" s="22">
        <v>45895</v>
      </c>
      <c r="C575" s="20">
        <v>3451556.16</v>
      </c>
      <c r="D575" s="21" t="s">
        <v>337</v>
      </c>
      <c r="E575" s="21">
        <v>97123769</v>
      </c>
      <c r="F575" s="20">
        <v>3451556.16</v>
      </c>
      <c r="G575" s="22">
        <v>45898</v>
      </c>
      <c r="H575" s="21" t="s">
        <v>61</v>
      </c>
      <c r="I575" s="51" t="str">
        <f>IFERROR(IF(VLOOKUP(E575,extracto!C:C,1,FALSE)=E575,"pagado","no pagado"),"no pagado")</f>
        <v>pagado</v>
      </c>
      <c r="J575" s="52" t="str">
        <f t="shared" si="360"/>
        <v>pagado</v>
      </c>
      <c r="K575" s="51" t="str">
        <f t="shared" ca="1" si="361"/>
        <v>excluir</v>
      </c>
      <c r="L575" s="51" t="str">
        <f t="shared" ca="1" si="362"/>
        <v>no semana</v>
      </c>
      <c r="M575" s="51" t="str">
        <f>IFERROR(VLOOKUP(E575,'cheques a conf'!A:D,4,FALSE),"no clearing")</f>
        <v>no clearing</v>
      </c>
      <c r="N575" s="51">
        <f t="shared" si="363"/>
        <v>35</v>
      </c>
      <c r="O575" s="53">
        <f t="shared" si="364"/>
        <v>8</v>
      </c>
      <c r="P575" s="53">
        <f t="shared" si="365"/>
        <v>2025</v>
      </c>
    </row>
    <row r="576" spans="1:16" customFormat="1" x14ac:dyDescent="0.25">
      <c r="A576" s="21">
        <v>3000001214</v>
      </c>
      <c r="B576" s="22">
        <v>45895</v>
      </c>
      <c r="C576" s="20">
        <v>8149532.3700000001</v>
      </c>
      <c r="D576" s="21" t="s">
        <v>411</v>
      </c>
      <c r="E576" s="21">
        <v>97123770</v>
      </c>
      <c r="F576" s="20">
        <v>8149532.3700000001</v>
      </c>
      <c r="G576" s="22">
        <v>45898</v>
      </c>
      <c r="H576" s="21" t="s">
        <v>61</v>
      </c>
      <c r="I576" s="51" t="str">
        <f>IFERROR(IF(VLOOKUP(E576,extracto!C:C,1,FALSE)=E576,"pagado","no pagado"),"no pagado")</f>
        <v>pagado</v>
      </c>
      <c r="J576" s="52" t="str">
        <f t="shared" si="360"/>
        <v>pagado</v>
      </c>
      <c r="K576" s="51" t="str">
        <f t="shared" ca="1" si="361"/>
        <v>excluir</v>
      </c>
      <c r="L576" s="51" t="str">
        <f t="shared" ca="1" si="362"/>
        <v>no semana</v>
      </c>
      <c r="M576" s="51" t="str">
        <f>IFERROR(VLOOKUP(E576,'cheques a conf'!A:D,4,FALSE),"no clearing")</f>
        <v>no clearing</v>
      </c>
      <c r="N576" s="51">
        <f t="shared" si="363"/>
        <v>35</v>
      </c>
      <c r="O576" s="53">
        <f t="shared" si="364"/>
        <v>8</v>
      </c>
      <c r="P576" s="53">
        <f t="shared" si="365"/>
        <v>2025</v>
      </c>
    </row>
    <row r="577" spans="1:16" customFormat="1" x14ac:dyDescent="0.25">
      <c r="A577" s="21">
        <v>3000001215</v>
      </c>
      <c r="B577" s="22">
        <v>45895</v>
      </c>
      <c r="C577" s="20">
        <v>7714014.5899999999</v>
      </c>
      <c r="D577" s="21" t="s">
        <v>394</v>
      </c>
      <c r="E577" s="21">
        <v>97123771</v>
      </c>
      <c r="F577" s="20">
        <v>7714014.5899999999</v>
      </c>
      <c r="G577" s="22">
        <v>45898</v>
      </c>
      <c r="H577" s="21" t="s">
        <v>61</v>
      </c>
      <c r="I577" s="51" t="str">
        <f>IFERROR(IF(VLOOKUP(E577,extracto!C:C,1,FALSE)=E577,"pagado","no pagado"),"no pagado")</f>
        <v>pagado</v>
      </c>
      <c r="J577" s="52" t="str">
        <f t="shared" ref="J577:J578" si="366">IF(I577="pagado","pagado",IF(G577&lt;$V$1-30,"fuera de fecha","en periodo de pago"))</f>
        <v>pagado</v>
      </c>
      <c r="K577" s="51" t="str">
        <f t="shared" ref="K577:K578" ca="1" si="367">+IF(B577&gt;$V$1,"excluir",IF(J577="en periodo de pago",IF($V$1&gt;G577,"a pagar","proximo a vencer"),"excluir"))</f>
        <v>excluir</v>
      </c>
      <c r="L577" s="51" t="str">
        <f t="shared" ref="L577:L578" ca="1" si="368">+IF(K577="proximo a vencer",IF($V$1+5&gt;G577,"para la semana","no semana"),"no semana")</f>
        <v>no semana</v>
      </c>
      <c r="M577" s="51" t="str">
        <f>IFERROR(VLOOKUP(E577,'cheques a conf'!A:D,4,FALSE),"no clearing")</f>
        <v>no clearing</v>
      </c>
      <c r="N577" s="51">
        <f t="shared" ref="N577:N578" si="369">+WEEKNUM(G577,2)</f>
        <v>35</v>
      </c>
      <c r="O577" s="53">
        <f t="shared" ref="O577:O578" si="370">+MONTH(G577)</f>
        <v>8</v>
      </c>
      <c r="P577" s="53">
        <f t="shared" ref="P577:P578" si="371">+YEAR(G577)</f>
        <v>2025</v>
      </c>
    </row>
    <row r="578" spans="1:16" customFormat="1" x14ac:dyDescent="0.25">
      <c r="A578" s="21">
        <v>3000001216</v>
      </c>
      <c r="B578" s="22">
        <v>45895</v>
      </c>
      <c r="C578" s="20">
        <v>3704696.71</v>
      </c>
      <c r="D578" s="21" t="s">
        <v>370</v>
      </c>
      <c r="E578" s="21">
        <v>97123772</v>
      </c>
      <c r="F578" s="20">
        <v>3704696.71</v>
      </c>
      <c r="G578" s="22">
        <v>45898</v>
      </c>
      <c r="H578" s="21" t="s">
        <v>61</v>
      </c>
      <c r="I578" s="51" t="str">
        <f>IFERROR(IF(VLOOKUP(E578,extracto!C:C,1,FALSE)=E578,"pagado","no pagado"),"no pagado")</f>
        <v>pagado</v>
      </c>
      <c r="J578" s="52" t="str">
        <f t="shared" si="366"/>
        <v>pagado</v>
      </c>
      <c r="K578" s="51" t="str">
        <f t="shared" ca="1" si="367"/>
        <v>excluir</v>
      </c>
      <c r="L578" s="51" t="str">
        <f t="shared" ca="1" si="368"/>
        <v>no semana</v>
      </c>
      <c r="M578" s="51" t="str">
        <f>IFERROR(VLOOKUP(E578,'cheques a conf'!A:D,4,FALSE),"no clearing")</f>
        <v>no clearing</v>
      </c>
      <c r="N578" s="51">
        <f t="shared" si="369"/>
        <v>35</v>
      </c>
      <c r="O578" s="53">
        <f t="shared" si="370"/>
        <v>8</v>
      </c>
      <c r="P578" s="53">
        <f t="shared" si="371"/>
        <v>2025</v>
      </c>
    </row>
    <row r="579" spans="1:16" customFormat="1" x14ac:dyDescent="0.25">
      <c r="A579" s="21">
        <v>3000001217</v>
      </c>
      <c r="B579" s="22">
        <v>45895</v>
      </c>
      <c r="C579" s="20">
        <v>5854299.6600000001</v>
      </c>
      <c r="D579" s="21" t="s">
        <v>301</v>
      </c>
      <c r="E579" s="21">
        <v>97123773</v>
      </c>
      <c r="F579" s="20">
        <v>5854299.6600000001</v>
      </c>
      <c r="G579" s="22">
        <v>45898</v>
      </c>
      <c r="H579" s="21" t="s">
        <v>61</v>
      </c>
      <c r="I579" s="51" t="str">
        <f>IFERROR(IF(VLOOKUP(E579,extracto!C:C,1,FALSE)=E579,"pagado","no pagado"),"no pagado")</f>
        <v>pagado</v>
      </c>
      <c r="J579" s="52" t="str">
        <f t="shared" ref="J579" si="372">IF(I579="pagado","pagado",IF(G579&lt;$V$1-30,"fuera de fecha","en periodo de pago"))</f>
        <v>pagado</v>
      </c>
      <c r="K579" s="51" t="str">
        <f t="shared" ref="K579" ca="1" si="373">+IF(B579&gt;$V$1,"excluir",IF(J579="en periodo de pago",IF($V$1&gt;G579,"a pagar","proximo a vencer"),"excluir"))</f>
        <v>excluir</v>
      </c>
      <c r="L579" s="51" t="str">
        <f t="shared" ref="L579" ca="1" si="374">+IF(K579="proximo a vencer",IF($V$1+5&gt;G579,"para la semana","no semana"),"no semana")</f>
        <v>no semana</v>
      </c>
      <c r="M579" s="51" t="str">
        <f>IFERROR(VLOOKUP(E579,'cheques a conf'!A:D,4,FALSE),"no clearing")</f>
        <v>no clearing</v>
      </c>
      <c r="N579" s="51">
        <f t="shared" ref="N579" si="375">+WEEKNUM(G579,2)</f>
        <v>35</v>
      </c>
      <c r="O579" s="53">
        <f t="shared" ref="O579" si="376">+MONTH(G579)</f>
        <v>8</v>
      </c>
      <c r="P579" s="53">
        <f t="shared" ref="P579" si="377">+YEAR(G579)</f>
        <v>2025</v>
      </c>
    </row>
    <row r="580" spans="1:16" customFormat="1" x14ac:dyDescent="0.25">
      <c r="A580" s="21">
        <v>3000001218</v>
      </c>
      <c r="B580" s="22">
        <v>45895</v>
      </c>
      <c r="C580" s="20">
        <v>8000000</v>
      </c>
      <c r="D580" s="21" t="s">
        <v>359</v>
      </c>
      <c r="E580" s="21">
        <v>97123774</v>
      </c>
      <c r="F580" s="20">
        <v>8000000</v>
      </c>
      <c r="G580" s="22">
        <v>45898</v>
      </c>
      <c r="H580" s="21" t="s">
        <v>61</v>
      </c>
      <c r="I580" s="51" t="str">
        <f>IFERROR(IF(VLOOKUP(E580,extracto!C:C,1,FALSE)=E580,"pagado","no pagado"),"no pagado")</f>
        <v>pagado</v>
      </c>
      <c r="J580" s="52" t="str">
        <f t="shared" ref="J580:J604" si="378">IF(I580="pagado","pagado",IF(G580&lt;$V$1-30,"fuera de fecha","en periodo de pago"))</f>
        <v>pagado</v>
      </c>
      <c r="K580" s="51" t="str">
        <f t="shared" ref="K580:K604" ca="1" si="379">+IF(B580&gt;$V$1,"excluir",IF(J580="en periodo de pago",IF($V$1&gt;G580,"a pagar","proximo a vencer"),"excluir"))</f>
        <v>excluir</v>
      </c>
      <c r="L580" s="51" t="str">
        <f t="shared" ref="L580:L604" ca="1" si="380">+IF(K580="proximo a vencer",IF($V$1+5&gt;G580,"para la semana","no semana"),"no semana")</f>
        <v>no semana</v>
      </c>
      <c r="M580" s="51" t="str">
        <f>IFERROR(VLOOKUP(E580,'cheques a conf'!A:D,4,FALSE),"no clearing")</f>
        <v>no clearing</v>
      </c>
      <c r="N580" s="51">
        <f t="shared" ref="N580:N604" si="381">+WEEKNUM(G580,2)</f>
        <v>35</v>
      </c>
      <c r="O580" s="53">
        <f t="shared" ref="O580:O604" si="382">+MONTH(G580)</f>
        <v>8</v>
      </c>
      <c r="P580" s="53">
        <f t="shared" ref="P580:P604" si="383">+YEAR(G580)</f>
        <v>2025</v>
      </c>
    </row>
    <row r="581" spans="1:16" customFormat="1" x14ac:dyDescent="0.25">
      <c r="A581" s="21">
        <v>3000001218</v>
      </c>
      <c r="B581" s="22">
        <v>45895</v>
      </c>
      <c r="C581" s="20">
        <v>7346163.8499999996</v>
      </c>
      <c r="D581" s="21" t="s">
        <v>359</v>
      </c>
      <c r="E581" s="21">
        <v>97123775</v>
      </c>
      <c r="F581" s="20">
        <v>7346163.8499999996</v>
      </c>
      <c r="G581" s="22">
        <v>45901</v>
      </c>
      <c r="H581" s="21" t="s">
        <v>61</v>
      </c>
      <c r="I581" s="51" t="str">
        <f>IFERROR(IF(VLOOKUP(E581,extracto!C:C,1,FALSE)=E581,"pagado","no pagado"),"no pagado")</f>
        <v>pagado</v>
      </c>
      <c r="J581" s="52" t="str">
        <f t="shared" si="378"/>
        <v>pagado</v>
      </c>
      <c r="K581" s="51" t="str">
        <f t="shared" ca="1" si="379"/>
        <v>excluir</v>
      </c>
      <c r="L581" s="51" t="str">
        <f t="shared" ca="1" si="380"/>
        <v>no semana</v>
      </c>
      <c r="M581" s="51" t="str">
        <f>IFERROR(VLOOKUP(E581,'cheques a conf'!A:D,4,FALSE),"no clearing")</f>
        <v>no clearing</v>
      </c>
      <c r="N581" s="51">
        <f t="shared" si="381"/>
        <v>36</v>
      </c>
      <c r="O581" s="53">
        <f t="shared" si="382"/>
        <v>9</v>
      </c>
      <c r="P581" s="53">
        <f t="shared" si="383"/>
        <v>2025</v>
      </c>
    </row>
    <row r="582" spans="1:16" customFormat="1" x14ac:dyDescent="0.25">
      <c r="A582" s="21">
        <v>3000001219</v>
      </c>
      <c r="B582" s="22">
        <v>45895</v>
      </c>
      <c r="C582" s="20">
        <v>3681508.21</v>
      </c>
      <c r="D582" s="21" t="s">
        <v>26</v>
      </c>
      <c r="E582" s="21">
        <v>97123776</v>
      </c>
      <c r="F582" s="20">
        <v>3681508.21</v>
      </c>
      <c r="G582" s="22">
        <v>45898</v>
      </c>
      <c r="H582" s="21" t="s">
        <v>61</v>
      </c>
      <c r="I582" s="51" t="str">
        <f>IFERROR(IF(VLOOKUP(E582,extracto!C:C,1,FALSE)=E582,"pagado","no pagado"),"no pagado")</f>
        <v>pagado</v>
      </c>
      <c r="J582" s="52" t="str">
        <f t="shared" si="378"/>
        <v>pagado</v>
      </c>
      <c r="K582" s="51" t="str">
        <f t="shared" ca="1" si="379"/>
        <v>excluir</v>
      </c>
      <c r="L582" s="51" t="str">
        <f t="shared" ca="1" si="380"/>
        <v>no semana</v>
      </c>
      <c r="M582" s="51" t="str">
        <f>IFERROR(VLOOKUP(E582,'cheques a conf'!A:D,4,FALSE),"no clearing")</f>
        <v>no clearing</v>
      </c>
      <c r="N582" s="51">
        <f t="shared" si="381"/>
        <v>35</v>
      </c>
      <c r="O582" s="53">
        <f t="shared" si="382"/>
        <v>8</v>
      </c>
      <c r="P582" s="53">
        <f t="shared" si="383"/>
        <v>2025</v>
      </c>
    </row>
    <row r="583" spans="1:16" customFormat="1" x14ac:dyDescent="0.25">
      <c r="A583" s="21">
        <v>3000001220</v>
      </c>
      <c r="B583" s="22">
        <v>45895</v>
      </c>
      <c r="C583" s="20">
        <v>6000000</v>
      </c>
      <c r="D583" s="21" t="s">
        <v>363</v>
      </c>
      <c r="E583" s="21">
        <v>97123777</v>
      </c>
      <c r="F583" s="20">
        <v>6000000</v>
      </c>
      <c r="G583" s="22">
        <v>45898</v>
      </c>
      <c r="H583" s="21" t="s">
        <v>61</v>
      </c>
      <c r="I583" s="51" t="str">
        <f>IFERROR(IF(VLOOKUP(E583,extracto!C:C,1,FALSE)=E583,"pagado","no pagado"),"no pagado")</f>
        <v>pagado</v>
      </c>
      <c r="J583" s="52" t="str">
        <f t="shared" si="378"/>
        <v>pagado</v>
      </c>
      <c r="K583" s="51" t="str">
        <f t="shared" ca="1" si="379"/>
        <v>excluir</v>
      </c>
      <c r="L583" s="51" t="str">
        <f t="shared" ca="1" si="380"/>
        <v>no semana</v>
      </c>
      <c r="M583" s="51" t="str">
        <f>IFERROR(VLOOKUP(E583,'cheques a conf'!A:D,4,FALSE),"no clearing")</f>
        <v>no clearing</v>
      </c>
      <c r="N583" s="51">
        <f t="shared" si="381"/>
        <v>35</v>
      </c>
      <c r="O583" s="53">
        <f t="shared" si="382"/>
        <v>8</v>
      </c>
      <c r="P583" s="53">
        <f t="shared" si="383"/>
        <v>2025</v>
      </c>
    </row>
    <row r="584" spans="1:16" customFormat="1" x14ac:dyDescent="0.25">
      <c r="A584" s="21">
        <v>3000001220</v>
      </c>
      <c r="B584" s="22">
        <v>45895</v>
      </c>
      <c r="C584" s="20">
        <v>6161944.6900000004</v>
      </c>
      <c r="D584" s="21" t="s">
        <v>363</v>
      </c>
      <c r="E584" s="21">
        <v>97123778</v>
      </c>
      <c r="F584" s="20">
        <v>6161944.6900000004</v>
      </c>
      <c r="G584" s="22">
        <v>45901</v>
      </c>
      <c r="H584" s="21" t="s">
        <v>61</v>
      </c>
      <c r="I584" s="51" t="str">
        <f>IFERROR(IF(VLOOKUP(E584,extracto!C:C,1,FALSE)=E584,"pagado","no pagado"),"no pagado")</f>
        <v>pagado</v>
      </c>
      <c r="J584" s="52" t="str">
        <f t="shared" si="378"/>
        <v>pagado</v>
      </c>
      <c r="K584" s="51" t="str">
        <f t="shared" ca="1" si="379"/>
        <v>excluir</v>
      </c>
      <c r="L584" s="51" t="str">
        <f t="shared" ca="1" si="380"/>
        <v>no semana</v>
      </c>
      <c r="M584" s="51" t="str">
        <f>IFERROR(VLOOKUP(E584,'cheques a conf'!A:D,4,FALSE),"no clearing")</f>
        <v>no clearing</v>
      </c>
      <c r="N584" s="51">
        <f t="shared" si="381"/>
        <v>36</v>
      </c>
      <c r="O584" s="53">
        <f t="shared" si="382"/>
        <v>9</v>
      </c>
      <c r="P584" s="53">
        <f t="shared" si="383"/>
        <v>2025</v>
      </c>
    </row>
    <row r="585" spans="1:16" customFormat="1" x14ac:dyDescent="0.25">
      <c r="A585" s="21">
        <v>3000001228</v>
      </c>
      <c r="B585" s="22">
        <v>45901</v>
      </c>
      <c r="C585" s="20">
        <v>137166528.97999999</v>
      </c>
      <c r="D585" s="21" t="s">
        <v>412</v>
      </c>
      <c r="E585" s="21">
        <v>97123779</v>
      </c>
      <c r="F585" s="20">
        <v>137166528.97999999</v>
      </c>
      <c r="G585" s="22">
        <v>46203</v>
      </c>
      <c r="H585" s="21" t="s">
        <v>61</v>
      </c>
      <c r="I585" s="51" t="str">
        <f>IFERROR(IF(VLOOKUP(E585,extracto!C:C,1,FALSE)=E585,"pagado","no pagado"),"no pagado")</f>
        <v>pagado</v>
      </c>
      <c r="J585" s="52" t="str">
        <f t="shared" si="378"/>
        <v>pagado</v>
      </c>
      <c r="K585" s="51" t="str">
        <f t="shared" ca="1" si="379"/>
        <v>excluir</v>
      </c>
      <c r="L585" s="51" t="str">
        <f t="shared" ca="1" si="380"/>
        <v>no semana</v>
      </c>
      <c r="M585" s="51" t="str">
        <f>IFERROR(VLOOKUP(E585,'cheques a conf'!A:D,4,FALSE),"no clearing")</f>
        <v>no clearing</v>
      </c>
      <c r="N585" s="51">
        <f t="shared" si="381"/>
        <v>27</v>
      </c>
      <c r="O585" s="53">
        <f t="shared" si="382"/>
        <v>6</v>
      </c>
      <c r="P585" s="53">
        <f t="shared" si="383"/>
        <v>2026</v>
      </c>
    </row>
    <row r="586" spans="1:16" customFormat="1" x14ac:dyDescent="0.25">
      <c r="A586" s="21">
        <v>3000001229</v>
      </c>
      <c r="B586" s="22">
        <v>45901</v>
      </c>
      <c r="C586" s="20">
        <v>3425596.96</v>
      </c>
      <c r="D586" s="21" t="s">
        <v>354</v>
      </c>
      <c r="E586" s="21">
        <v>97123780</v>
      </c>
      <c r="F586" s="20">
        <v>3425596.96</v>
      </c>
      <c r="G586" s="22">
        <v>45904</v>
      </c>
      <c r="H586" s="21" t="s">
        <v>61</v>
      </c>
      <c r="I586" s="51" t="str">
        <f>IFERROR(IF(VLOOKUP(E586,extracto!C:C,1,FALSE)=E586,"pagado","no pagado"),"no pagado")</f>
        <v>pagado</v>
      </c>
      <c r="J586" s="52" t="str">
        <f t="shared" si="378"/>
        <v>pagado</v>
      </c>
      <c r="K586" s="51" t="str">
        <f t="shared" ca="1" si="379"/>
        <v>excluir</v>
      </c>
      <c r="L586" s="51" t="str">
        <f t="shared" ca="1" si="380"/>
        <v>no semana</v>
      </c>
      <c r="M586" s="51" t="str">
        <f>IFERROR(VLOOKUP(E586,'cheques a conf'!A:D,4,FALSE),"no clearing")</f>
        <v>no clearing</v>
      </c>
      <c r="N586" s="51">
        <f t="shared" si="381"/>
        <v>36</v>
      </c>
      <c r="O586" s="53">
        <f t="shared" si="382"/>
        <v>9</v>
      </c>
      <c r="P586" s="53">
        <f t="shared" si="383"/>
        <v>2025</v>
      </c>
    </row>
    <row r="587" spans="1:16" customFormat="1" x14ac:dyDescent="0.25">
      <c r="A587" s="21">
        <v>3000001230</v>
      </c>
      <c r="B587" s="22">
        <v>45901</v>
      </c>
      <c r="C587" s="20">
        <v>10059837.68</v>
      </c>
      <c r="D587" s="21" t="s">
        <v>302</v>
      </c>
      <c r="E587" s="21">
        <v>97123781</v>
      </c>
      <c r="F587" s="20">
        <v>10059837.68</v>
      </c>
      <c r="G587" s="22">
        <v>45904</v>
      </c>
      <c r="H587" s="21" t="s">
        <v>61</v>
      </c>
      <c r="I587" s="51" t="str">
        <f>IFERROR(IF(VLOOKUP(E587,extracto!C:C,1,FALSE)=E587,"pagado","no pagado"),"no pagado")</f>
        <v>pagado</v>
      </c>
      <c r="J587" s="52" t="str">
        <f t="shared" si="378"/>
        <v>pagado</v>
      </c>
      <c r="K587" s="51" t="str">
        <f t="shared" ca="1" si="379"/>
        <v>excluir</v>
      </c>
      <c r="L587" s="51" t="str">
        <f t="shared" ca="1" si="380"/>
        <v>no semana</v>
      </c>
      <c r="M587" s="51" t="str">
        <f>IFERROR(VLOOKUP(E587,'cheques a conf'!A:D,4,FALSE),"no clearing")</f>
        <v>no clearing</v>
      </c>
      <c r="N587" s="51">
        <f t="shared" si="381"/>
        <v>36</v>
      </c>
      <c r="O587" s="53">
        <f t="shared" si="382"/>
        <v>9</v>
      </c>
      <c r="P587" s="53">
        <f t="shared" si="383"/>
        <v>2025</v>
      </c>
    </row>
    <row r="588" spans="1:16" customFormat="1" x14ac:dyDescent="0.25">
      <c r="A588" s="21">
        <v>3000001231</v>
      </c>
      <c r="B588" s="22">
        <v>45901</v>
      </c>
      <c r="C588" s="20">
        <v>6643251.2000000002</v>
      </c>
      <c r="D588" s="21" t="s">
        <v>284</v>
      </c>
      <c r="E588" s="21">
        <v>97123782</v>
      </c>
      <c r="F588" s="20">
        <v>6643251.2000000002</v>
      </c>
      <c r="G588" s="22">
        <v>45903</v>
      </c>
      <c r="H588" s="21" t="s">
        <v>61</v>
      </c>
      <c r="I588" s="51" t="str">
        <f>IFERROR(IF(VLOOKUP(E588,extracto!C:C,1,FALSE)=E588,"pagado","no pagado"),"no pagado")</f>
        <v>pagado</v>
      </c>
      <c r="J588" s="52" t="str">
        <f t="shared" si="378"/>
        <v>pagado</v>
      </c>
      <c r="K588" s="51" t="str">
        <f t="shared" ca="1" si="379"/>
        <v>excluir</v>
      </c>
      <c r="L588" s="51" t="str">
        <f t="shared" ca="1" si="380"/>
        <v>no semana</v>
      </c>
      <c r="M588" s="51" t="str">
        <f>IFERROR(VLOOKUP(E588,'cheques a conf'!A:D,4,FALSE),"no clearing")</f>
        <v>no clearing</v>
      </c>
      <c r="N588" s="51">
        <f t="shared" si="381"/>
        <v>36</v>
      </c>
      <c r="O588" s="53">
        <f t="shared" si="382"/>
        <v>9</v>
      </c>
      <c r="P588" s="53">
        <f t="shared" si="383"/>
        <v>2025</v>
      </c>
    </row>
    <row r="589" spans="1:16" customFormat="1" x14ac:dyDescent="0.25">
      <c r="A589" s="21">
        <v>3000001232</v>
      </c>
      <c r="B589" s="22">
        <v>45901</v>
      </c>
      <c r="C589" s="20">
        <v>6548925.3300000001</v>
      </c>
      <c r="D589" s="21" t="s">
        <v>290</v>
      </c>
      <c r="E589" s="21">
        <v>97123783</v>
      </c>
      <c r="F589" s="20">
        <v>6548925.3300000001</v>
      </c>
      <c r="G589" s="22">
        <v>45903</v>
      </c>
      <c r="H589" s="21" t="s">
        <v>61</v>
      </c>
      <c r="I589" s="51" t="str">
        <f>IFERROR(IF(VLOOKUP(E589,extracto!C:C,1,FALSE)=E589,"pagado","no pagado"),"no pagado")</f>
        <v>pagado</v>
      </c>
      <c r="J589" s="52" t="str">
        <f t="shared" si="378"/>
        <v>pagado</v>
      </c>
      <c r="K589" s="51" t="str">
        <f t="shared" ca="1" si="379"/>
        <v>excluir</v>
      </c>
      <c r="L589" s="51" t="str">
        <f t="shared" ca="1" si="380"/>
        <v>no semana</v>
      </c>
      <c r="M589" s="51" t="str">
        <f>IFERROR(VLOOKUP(E589,'cheques a conf'!A:D,4,FALSE),"no clearing")</f>
        <v>no clearing</v>
      </c>
      <c r="N589" s="51">
        <f t="shared" si="381"/>
        <v>36</v>
      </c>
      <c r="O589" s="53">
        <f t="shared" si="382"/>
        <v>9</v>
      </c>
      <c r="P589" s="53">
        <f t="shared" si="383"/>
        <v>2025</v>
      </c>
    </row>
    <row r="590" spans="1:16" customFormat="1" x14ac:dyDescent="0.25">
      <c r="A590" s="21">
        <v>3000001233</v>
      </c>
      <c r="B590" s="22">
        <v>45901</v>
      </c>
      <c r="C590" s="20">
        <v>10251293.4</v>
      </c>
      <c r="D590" s="21" t="s">
        <v>138</v>
      </c>
      <c r="E590" s="21">
        <v>97123784</v>
      </c>
      <c r="F590" s="20">
        <v>10251293.4</v>
      </c>
      <c r="G590" s="22">
        <v>45904</v>
      </c>
      <c r="H590" s="21" t="s">
        <v>61</v>
      </c>
      <c r="I590" s="51" t="str">
        <f>IFERROR(IF(VLOOKUP(E590,extracto!C:C,1,FALSE)=E590,"pagado","no pagado"),"no pagado")</f>
        <v>pagado</v>
      </c>
      <c r="J590" s="52" t="str">
        <f t="shared" si="378"/>
        <v>pagado</v>
      </c>
      <c r="K590" s="51" t="str">
        <f t="shared" ca="1" si="379"/>
        <v>excluir</v>
      </c>
      <c r="L590" s="51" t="str">
        <f t="shared" ca="1" si="380"/>
        <v>no semana</v>
      </c>
      <c r="M590" s="51" t="str">
        <f>IFERROR(VLOOKUP(E590,'cheques a conf'!A:D,4,FALSE),"no clearing")</f>
        <v>no clearing</v>
      </c>
      <c r="N590" s="51">
        <f t="shared" si="381"/>
        <v>36</v>
      </c>
      <c r="O590" s="53">
        <f t="shared" si="382"/>
        <v>9</v>
      </c>
      <c r="P590" s="53">
        <f t="shared" si="383"/>
        <v>2025</v>
      </c>
    </row>
    <row r="591" spans="1:16" customFormat="1" x14ac:dyDescent="0.25">
      <c r="A591" s="21">
        <v>3000001234</v>
      </c>
      <c r="B591" s="22">
        <v>45901</v>
      </c>
      <c r="C591" s="20">
        <v>10184590.890000001</v>
      </c>
      <c r="D591" s="21" t="s">
        <v>16</v>
      </c>
      <c r="E591" s="21">
        <v>97123785</v>
      </c>
      <c r="F591" s="20">
        <v>10184590.890000001</v>
      </c>
      <c r="G591" s="22">
        <v>45904</v>
      </c>
      <c r="H591" s="21" t="s">
        <v>61</v>
      </c>
      <c r="I591" s="51" t="str">
        <f>IFERROR(IF(VLOOKUP(E591,extracto!C:C,1,FALSE)=E591,"pagado","no pagado"),"no pagado")</f>
        <v>pagado</v>
      </c>
      <c r="J591" s="52" t="str">
        <f t="shared" si="378"/>
        <v>pagado</v>
      </c>
      <c r="K591" s="51" t="str">
        <f t="shared" ca="1" si="379"/>
        <v>excluir</v>
      </c>
      <c r="L591" s="51" t="str">
        <f t="shared" ca="1" si="380"/>
        <v>no semana</v>
      </c>
      <c r="M591" s="51" t="str">
        <f>IFERROR(VLOOKUP(E591,'cheques a conf'!A:D,4,FALSE),"no clearing")</f>
        <v>no clearing</v>
      </c>
      <c r="N591" s="51">
        <f t="shared" si="381"/>
        <v>36</v>
      </c>
      <c r="O591" s="53">
        <f t="shared" si="382"/>
        <v>9</v>
      </c>
      <c r="P591" s="53">
        <f t="shared" si="383"/>
        <v>2025</v>
      </c>
    </row>
    <row r="592" spans="1:16" customFormat="1" x14ac:dyDescent="0.25">
      <c r="A592" s="21">
        <v>3000001235</v>
      </c>
      <c r="B592" s="22">
        <v>45901</v>
      </c>
      <c r="C592" s="20">
        <v>5690184.7300000004</v>
      </c>
      <c r="D592" s="21" t="s">
        <v>384</v>
      </c>
      <c r="E592" s="21">
        <v>97123786</v>
      </c>
      <c r="F592" s="20">
        <v>5690184.7300000004</v>
      </c>
      <c r="G592" s="22">
        <v>45904</v>
      </c>
      <c r="H592" s="21" t="s">
        <v>61</v>
      </c>
      <c r="I592" s="51" t="str">
        <f>IFERROR(IF(VLOOKUP(E592,extracto!C:C,1,FALSE)=E592,"pagado","no pagado"),"no pagado")</f>
        <v>pagado</v>
      </c>
      <c r="J592" s="52" t="str">
        <f t="shared" si="378"/>
        <v>pagado</v>
      </c>
      <c r="K592" s="51" t="str">
        <f t="shared" ca="1" si="379"/>
        <v>excluir</v>
      </c>
      <c r="L592" s="51" t="str">
        <f t="shared" ca="1" si="380"/>
        <v>no semana</v>
      </c>
      <c r="M592" s="51" t="str">
        <f>IFERROR(VLOOKUP(E592,'cheques a conf'!A:D,4,FALSE),"no clearing")</f>
        <v>no clearing</v>
      </c>
      <c r="N592" s="51">
        <f t="shared" si="381"/>
        <v>36</v>
      </c>
      <c r="O592" s="53">
        <f t="shared" si="382"/>
        <v>9</v>
      </c>
      <c r="P592" s="53">
        <f t="shared" si="383"/>
        <v>2025</v>
      </c>
    </row>
    <row r="593" spans="1:16" customFormat="1" x14ac:dyDescent="0.25">
      <c r="A593" s="21">
        <v>3000001236</v>
      </c>
      <c r="B593" s="22">
        <v>45901</v>
      </c>
      <c r="C593" s="20">
        <v>13077940.449999999</v>
      </c>
      <c r="D593" s="21" t="s">
        <v>350</v>
      </c>
      <c r="E593" s="21">
        <v>97123787</v>
      </c>
      <c r="F593" s="20">
        <v>13077940.449999999</v>
      </c>
      <c r="G593" s="22">
        <v>45904</v>
      </c>
      <c r="H593" s="21" t="s">
        <v>61</v>
      </c>
      <c r="I593" s="51" t="str">
        <f>IFERROR(IF(VLOOKUP(E593,extracto!C:C,1,FALSE)=E593,"pagado","no pagado"),"no pagado")</f>
        <v>pagado</v>
      </c>
      <c r="J593" s="52" t="str">
        <f t="shared" si="378"/>
        <v>pagado</v>
      </c>
      <c r="K593" s="51" t="str">
        <f t="shared" ca="1" si="379"/>
        <v>excluir</v>
      </c>
      <c r="L593" s="51" t="str">
        <f t="shared" ca="1" si="380"/>
        <v>no semana</v>
      </c>
      <c r="M593" s="51" t="str">
        <f>IFERROR(VLOOKUP(E593,'cheques a conf'!A:D,4,FALSE),"no clearing")</f>
        <v>no clearing</v>
      </c>
      <c r="N593" s="51">
        <f t="shared" si="381"/>
        <v>36</v>
      </c>
      <c r="O593" s="53">
        <f t="shared" si="382"/>
        <v>9</v>
      </c>
      <c r="P593" s="53">
        <f t="shared" si="383"/>
        <v>2025</v>
      </c>
    </row>
    <row r="594" spans="1:16" customFormat="1" x14ac:dyDescent="0.25">
      <c r="A594" s="21">
        <v>3000001247</v>
      </c>
      <c r="B594" s="22">
        <v>45903</v>
      </c>
      <c r="C594" s="20">
        <v>22108198.100000001</v>
      </c>
      <c r="D594" s="21" t="s">
        <v>385</v>
      </c>
      <c r="E594" s="21">
        <v>97123788</v>
      </c>
      <c r="F594" s="20">
        <v>22108198.100000001</v>
      </c>
      <c r="G594" s="22">
        <v>45908</v>
      </c>
      <c r="H594" s="21" t="s">
        <v>61</v>
      </c>
      <c r="I594" s="51" t="str">
        <f>IFERROR(IF(VLOOKUP(E594,extracto!C:C,1,FALSE)=E594,"pagado","no pagado"),"no pagado")</f>
        <v>pagado</v>
      </c>
      <c r="J594" s="52" t="str">
        <f t="shared" si="378"/>
        <v>pagado</v>
      </c>
      <c r="K594" s="51" t="str">
        <f t="shared" ca="1" si="379"/>
        <v>excluir</v>
      </c>
      <c r="L594" s="51" t="str">
        <f t="shared" ca="1" si="380"/>
        <v>no semana</v>
      </c>
      <c r="M594" s="51" t="str">
        <f>IFERROR(VLOOKUP(E594,'cheques a conf'!A:D,4,FALSE),"no clearing")</f>
        <v>no clearing</v>
      </c>
      <c r="N594" s="51">
        <f t="shared" si="381"/>
        <v>37</v>
      </c>
      <c r="O594" s="53">
        <f t="shared" si="382"/>
        <v>9</v>
      </c>
      <c r="P594" s="53">
        <f t="shared" si="383"/>
        <v>2025</v>
      </c>
    </row>
    <row r="595" spans="1:16" customFormat="1" x14ac:dyDescent="0.25">
      <c r="A595" s="21">
        <v>3000001248</v>
      </c>
      <c r="B595" s="22">
        <v>45903</v>
      </c>
      <c r="C595" s="20">
        <v>17019039.010000002</v>
      </c>
      <c r="D595" s="21" t="s">
        <v>413</v>
      </c>
      <c r="E595" s="21">
        <v>97123789</v>
      </c>
      <c r="F595" s="20">
        <v>17019039.010000002</v>
      </c>
      <c r="G595" s="22">
        <v>45908</v>
      </c>
      <c r="H595" s="21" t="s">
        <v>61</v>
      </c>
      <c r="I595" s="51" t="str">
        <f>IFERROR(IF(VLOOKUP(E595,extracto!C:C,1,FALSE)=E595,"pagado","no pagado"),"no pagado")</f>
        <v>pagado</v>
      </c>
      <c r="J595" s="52" t="str">
        <f t="shared" si="378"/>
        <v>pagado</v>
      </c>
      <c r="K595" s="51" t="str">
        <f t="shared" ca="1" si="379"/>
        <v>excluir</v>
      </c>
      <c r="L595" s="51" t="str">
        <f t="shared" ca="1" si="380"/>
        <v>no semana</v>
      </c>
      <c r="M595" s="51" t="str">
        <f>IFERROR(VLOOKUP(E595,'cheques a conf'!A:D,4,FALSE),"no clearing")</f>
        <v>no clearing</v>
      </c>
      <c r="N595" s="51">
        <f t="shared" si="381"/>
        <v>37</v>
      </c>
      <c r="O595" s="53">
        <f t="shared" si="382"/>
        <v>9</v>
      </c>
      <c r="P595" s="53">
        <f t="shared" si="383"/>
        <v>2025</v>
      </c>
    </row>
    <row r="596" spans="1:16" customFormat="1" x14ac:dyDescent="0.25">
      <c r="A596" s="21">
        <v>3000001258</v>
      </c>
      <c r="B596" s="22">
        <v>45908</v>
      </c>
      <c r="C596" s="20">
        <v>6127663.4800000004</v>
      </c>
      <c r="D596" s="21" t="s">
        <v>344</v>
      </c>
      <c r="E596" s="21">
        <v>97123790</v>
      </c>
      <c r="F596" s="20">
        <v>6127663.4800000004</v>
      </c>
      <c r="G596" s="22">
        <v>45911</v>
      </c>
      <c r="H596" s="21" t="s">
        <v>61</v>
      </c>
      <c r="I596" s="51" t="str">
        <f>IFERROR(IF(VLOOKUP(E596,extracto!C:C,1,FALSE)=E596,"pagado","no pagado"),"no pagado")</f>
        <v>pagado</v>
      </c>
      <c r="J596" s="52" t="str">
        <f t="shared" si="378"/>
        <v>pagado</v>
      </c>
      <c r="K596" s="51" t="str">
        <f t="shared" ca="1" si="379"/>
        <v>excluir</v>
      </c>
      <c r="L596" s="51" t="str">
        <f t="shared" ca="1" si="380"/>
        <v>no semana</v>
      </c>
      <c r="M596" s="51" t="str">
        <f>IFERROR(VLOOKUP(E596,'cheques a conf'!A:D,4,FALSE),"no clearing")</f>
        <v>no clearing</v>
      </c>
      <c r="N596" s="51">
        <f t="shared" si="381"/>
        <v>37</v>
      </c>
      <c r="O596" s="53">
        <f t="shared" si="382"/>
        <v>9</v>
      </c>
      <c r="P596" s="53">
        <f t="shared" si="383"/>
        <v>2025</v>
      </c>
    </row>
    <row r="597" spans="1:16" customFormat="1" x14ac:dyDescent="0.25">
      <c r="A597" s="21">
        <v>3000001258</v>
      </c>
      <c r="B597" s="22">
        <v>45908</v>
      </c>
      <c r="C597" s="20">
        <v>4160581.71</v>
      </c>
      <c r="D597" s="21" t="s">
        <v>344</v>
      </c>
      <c r="E597" s="21">
        <v>97123791</v>
      </c>
      <c r="F597" s="20">
        <v>4160581.71</v>
      </c>
      <c r="G597" s="22">
        <v>45912</v>
      </c>
      <c r="H597" s="21" t="s">
        <v>61</v>
      </c>
      <c r="I597" s="51" t="str">
        <f>IFERROR(IF(VLOOKUP(E597,extracto!C:C,1,FALSE)=E597,"pagado","no pagado"),"no pagado")</f>
        <v>pagado</v>
      </c>
      <c r="J597" s="52" t="str">
        <f t="shared" si="378"/>
        <v>pagado</v>
      </c>
      <c r="K597" s="51" t="str">
        <f t="shared" ca="1" si="379"/>
        <v>excluir</v>
      </c>
      <c r="L597" s="51" t="str">
        <f t="shared" ca="1" si="380"/>
        <v>no semana</v>
      </c>
      <c r="M597" s="51" t="str">
        <f>IFERROR(VLOOKUP(E597,'cheques a conf'!A:D,4,FALSE),"no clearing")</f>
        <v>no clearing</v>
      </c>
      <c r="N597" s="51">
        <f t="shared" si="381"/>
        <v>37</v>
      </c>
      <c r="O597" s="53">
        <f t="shared" si="382"/>
        <v>9</v>
      </c>
      <c r="P597" s="53">
        <f t="shared" si="383"/>
        <v>2025</v>
      </c>
    </row>
    <row r="598" spans="1:16" customFormat="1" x14ac:dyDescent="0.25">
      <c r="A598" s="21">
        <v>3000001259</v>
      </c>
      <c r="B598" s="22">
        <v>45908</v>
      </c>
      <c r="C598" s="20">
        <v>6477491.4800000004</v>
      </c>
      <c r="D598" s="21" t="s">
        <v>397</v>
      </c>
      <c r="E598" s="21">
        <v>97123792</v>
      </c>
      <c r="F598" s="20">
        <v>6477491.4800000004</v>
      </c>
      <c r="G598" s="22">
        <v>45911</v>
      </c>
      <c r="H598" s="21" t="s">
        <v>61</v>
      </c>
      <c r="I598" s="51" t="str">
        <f>IFERROR(IF(VLOOKUP(E598,extracto!C:C,1,FALSE)=E598,"pagado","no pagado"),"no pagado")</f>
        <v>pagado</v>
      </c>
      <c r="J598" s="52" t="str">
        <f t="shared" si="378"/>
        <v>pagado</v>
      </c>
      <c r="K598" s="51" t="str">
        <f t="shared" ca="1" si="379"/>
        <v>excluir</v>
      </c>
      <c r="L598" s="51" t="str">
        <f t="shared" ca="1" si="380"/>
        <v>no semana</v>
      </c>
      <c r="M598" s="51" t="str">
        <f>IFERROR(VLOOKUP(E598,'cheques a conf'!A:D,4,FALSE),"no clearing")</f>
        <v>no clearing</v>
      </c>
      <c r="N598" s="51">
        <f t="shared" si="381"/>
        <v>37</v>
      </c>
      <c r="O598" s="53">
        <f t="shared" si="382"/>
        <v>9</v>
      </c>
      <c r="P598" s="53">
        <f t="shared" si="383"/>
        <v>2025</v>
      </c>
    </row>
    <row r="599" spans="1:16" customFormat="1" x14ac:dyDescent="0.25">
      <c r="A599" s="21">
        <v>3000001260</v>
      </c>
      <c r="B599" s="22">
        <v>45908</v>
      </c>
      <c r="C599" s="20">
        <v>15000000</v>
      </c>
      <c r="D599" s="21" t="s">
        <v>365</v>
      </c>
      <c r="E599" s="21">
        <v>97123793</v>
      </c>
      <c r="F599" s="20">
        <v>15000000</v>
      </c>
      <c r="G599" s="22">
        <v>45911</v>
      </c>
      <c r="H599" s="21" t="s">
        <v>61</v>
      </c>
      <c r="I599" s="51" t="str">
        <f>IFERROR(IF(VLOOKUP(E599,extracto!C:C,1,FALSE)=E599,"pagado","no pagado"),"no pagado")</f>
        <v>pagado</v>
      </c>
      <c r="J599" s="52" t="str">
        <f t="shared" si="378"/>
        <v>pagado</v>
      </c>
      <c r="K599" s="51" t="str">
        <f t="shared" ca="1" si="379"/>
        <v>excluir</v>
      </c>
      <c r="L599" s="51" t="str">
        <f t="shared" ca="1" si="380"/>
        <v>no semana</v>
      </c>
      <c r="M599" s="51" t="str">
        <f>IFERROR(VLOOKUP(E599,'cheques a conf'!A:D,4,FALSE),"no clearing")</f>
        <v>no clearing</v>
      </c>
      <c r="N599" s="51">
        <f t="shared" si="381"/>
        <v>37</v>
      </c>
      <c r="O599" s="53">
        <f t="shared" si="382"/>
        <v>9</v>
      </c>
      <c r="P599" s="53">
        <f t="shared" si="383"/>
        <v>2025</v>
      </c>
    </row>
    <row r="600" spans="1:16" customFormat="1" x14ac:dyDescent="0.25">
      <c r="A600" s="21">
        <v>3000001260</v>
      </c>
      <c r="B600" s="22">
        <v>45908</v>
      </c>
      <c r="C600" s="20">
        <v>15094979.35</v>
      </c>
      <c r="D600" s="21" t="s">
        <v>365</v>
      </c>
      <c r="E600" s="21">
        <v>97123794</v>
      </c>
      <c r="F600" s="20">
        <v>15094979.35</v>
      </c>
      <c r="G600" s="22">
        <v>45912</v>
      </c>
      <c r="H600" s="21" t="s">
        <v>61</v>
      </c>
      <c r="I600" s="51" t="str">
        <f>IFERROR(IF(VLOOKUP(E600,extracto!C:C,1,FALSE)=E600,"pagado","no pagado"),"no pagado")</f>
        <v>pagado</v>
      </c>
      <c r="J600" s="52" t="str">
        <f t="shared" si="378"/>
        <v>pagado</v>
      </c>
      <c r="K600" s="51" t="str">
        <f t="shared" ca="1" si="379"/>
        <v>excluir</v>
      </c>
      <c r="L600" s="51" t="str">
        <f t="shared" ca="1" si="380"/>
        <v>no semana</v>
      </c>
      <c r="M600" s="51" t="str">
        <f>IFERROR(VLOOKUP(E600,'cheques a conf'!A:D,4,FALSE),"no clearing")</f>
        <v>no clearing</v>
      </c>
      <c r="N600" s="51">
        <f t="shared" si="381"/>
        <v>37</v>
      </c>
      <c r="O600" s="53">
        <f t="shared" si="382"/>
        <v>9</v>
      </c>
      <c r="P600" s="53">
        <f t="shared" si="383"/>
        <v>2025</v>
      </c>
    </row>
    <row r="601" spans="1:16" customFormat="1" x14ac:dyDescent="0.25">
      <c r="A601" s="21">
        <v>3000001261</v>
      </c>
      <c r="B601" s="22">
        <v>45908</v>
      </c>
      <c r="C601" s="20">
        <v>8829882.0700000003</v>
      </c>
      <c r="D601" s="21" t="s">
        <v>400</v>
      </c>
      <c r="E601" s="21">
        <v>97123795</v>
      </c>
      <c r="F601" s="20">
        <v>8829882.0700000003</v>
      </c>
      <c r="G601" s="22">
        <v>45911</v>
      </c>
      <c r="H601" s="21" t="s">
        <v>61</v>
      </c>
      <c r="I601" s="51" t="str">
        <f>IFERROR(IF(VLOOKUP(E601,extracto!C:C,1,FALSE)=E601,"pagado","no pagado"),"no pagado")</f>
        <v>pagado</v>
      </c>
      <c r="J601" s="52" t="str">
        <f t="shared" si="378"/>
        <v>pagado</v>
      </c>
      <c r="K601" s="51" t="str">
        <f t="shared" ca="1" si="379"/>
        <v>excluir</v>
      </c>
      <c r="L601" s="51" t="str">
        <f t="shared" ca="1" si="380"/>
        <v>no semana</v>
      </c>
      <c r="M601" s="51" t="str">
        <f>IFERROR(VLOOKUP(E601,'cheques a conf'!A:D,4,FALSE),"no clearing")</f>
        <v>no clearing</v>
      </c>
      <c r="N601" s="51">
        <f t="shared" si="381"/>
        <v>37</v>
      </c>
      <c r="O601" s="53">
        <f t="shared" si="382"/>
        <v>9</v>
      </c>
      <c r="P601" s="53">
        <f t="shared" si="383"/>
        <v>2025</v>
      </c>
    </row>
    <row r="602" spans="1:16" customFormat="1" x14ac:dyDescent="0.25">
      <c r="A602" s="21">
        <v>3000001262</v>
      </c>
      <c r="B602" s="22">
        <v>45908</v>
      </c>
      <c r="C602" s="20">
        <v>14974425.539999999</v>
      </c>
      <c r="D602" s="21" t="s">
        <v>346</v>
      </c>
      <c r="E602" s="21">
        <v>97123796</v>
      </c>
      <c r="F602" s="20">
        <v>14974425.539999999</v>
      </c>
      <c r="G602" s="22">
        <v>45911</v>
      </c>
      <c r="H602" s="21" t="s">
        <v>61</v>
      </c>
      <c r="I602" s="51" t="str">
        <f>IFERROR(IF(VLOOKUP(E602,extracto!C:C,1,FALSE)=E602,"pagado","no pagado"),"no pagado")</f>
        <v>pagado</v>
      </c>
      <c r="J602" s="52" t="str">
        <f t="shared" si="378"/>
        <v>pagado</v>
      </c>
      <c r="K602" s="51" t="str">
        <f t="shared" ca="1" si="379"/>
        <v>excluir</v>
      </c>
      <c r="L602" s="51" t="str">
        <f t="shared" ca="1" si="380"/>
        <v>no semana</v>
      </c>
      <c r="M602" s="51" t="str">
        <f>IFERROR(VLOOKUP(E602,'cheques a conf'!A:D,4,FALSE),"no clearing")</f>
        <v>no clearing</v>
      </c>
      <c r="N602" s="51">
        <f t="shared" si="381"/>
        <v>37</v>
      </c>
      <c r="O602" s="53">
        <f t="shared" si="382"/>
        <v>9</v>
      </c>
      <c r="P602" s="53">
        <f t="shared" si="383"/>
        <v>2025</v>
      </c>
    </row>
    <row r="603" spans="1:16" customFormat="1" x14ac:dyDescent="0.25">
      <c r="A603" s="21">
        <v>3000001263</v>
      </c>
      <c r="B603" s="22">
        <v>45908</v>
      </c>
      <c r="C603" s="20">
        <v>15544704.49</v>
      </c>
      <c r="D603" s="21" t="s">
        <v>338</v>
      </c>
      <c r="E603" s="21">
        <v>97123797</v>
      </c>
      <c r="F603" s="20">
        <v>15544704.49</v>
      </c>
      <c r="G603" s="22">
        <v>45911</v>
      </c>
      <c r="H603" s="21" t="s">
        <v>61</v>
      </c>
      <c r="I603" s="51" t="str">
        <f>IFERROR(IF(VLOOKUP(E603,extracto!C:C,1,FALSE)=E603,"pagado","no pagado"),"no pagado")</f>
        <v>pagado</v>
      </c>
      <c r="J603" s="52" t="str">
        <f t="shared" si="378"/>
        <v>pagado</v>
      </c>
      <c r="K603" s="51" t="str">
        <f t="shared" ca="1" si="379"/>
        <v>excluir</v>
      </c>
      <c r="L603" s="51" t="str">
        <f t="shared" ca="1" si="380"/>
        <v>no semana</v>
      </c>
      <c r="M603" s="51" t="str">
        <f>IFERROR(VLOOKUP(E603,'cheques a conf'!A:D,4,FALSE),"no clearing")</f>
        <v>no clearing</v>
      </c>
      <c r="N603" s="51">
        <f t="shared" si="381"/>
        <v>37</v>
      </c>
      <c r="O603" s="53">
        <f t="shared" si="382"/>
        <v>9</v>
      </c>
      <c r="P603" s="53">
        <f t="shared" si="383"/>
        <v>2025</v>
      </c>
    </row>
    <row r="604" spans="1:16" customFormat="1" x14ac:dyDescent="0.25">
      <c r="A604" s="21">
        <v>3000001305</v>
      </c>
      <c r="B604" s="22">
        <v>45916</v>
      </c>
      <c r="C604" s="20">
        <v>711054.54</v>
      </c>
      <c r="D604" s="21" t="s">
        <v>358</v>
      </c>
      <c r="E604" s="21">
        <v>97123798</v>
      </c>
      <c r="F604" s="20">
        <v>711054.54</v>
      </c>
      <c r="G604" s="22">
        <v>45919</v>
      </c>
      <c r="H604" s="21" t="s">
        <v>61</v>
      </c>
      <c r="I604" s="51" t="str">
        <f>IFERROR(IF(VLOOKUP(E604,extracto!C:C,1,FALSE)=E604,"pagado","no pagado"),"no pagado")</f>
        <v>pagado</v>
      </c>
      <c r="J604" s="52" t="str">
        <f t="shared" si="378"/>
        <v>pagado</v>
      </c>
      <c r="K604" s="51" t="str">
        <f t="shared" ca="1" si="379"/>
        <v>excluir</v>
      </c>
      <c r="L604" s="51" t="str">
        <f t="shared" ca="1" si="380"/>
        <v>no semana</v>
      </c>
      <c r="M604" s="51" t="str">
        <f>IFERROR(VLOOKUP(E604,'cheques a conf'!A:D,4,FALSE),"no clearing")</f>
        <v>no clearing</v>
      </c>
      <c r="N604" s="51">
        <f t="shared" si="381"/>
        <v>38</v>
      </c>
      <c r="O604" s="53">
        <f t="shared" si="382"/>
        <v>9</v>
      </c>
      <c r="P604" s="53">
        <f t="shared" si="383"/>
        <v>2025</v>
      </c>
    </row>
    <row r="605" spans="1:16" customFormat="1" x14ac:dyDescent="0.25">
      <c r="A605" s="21">
        <v>3000001306</v>
      </c>
      <c r="B605" s="22">
        <v>45916</v>
      </c>
      <c r="C605" s="20">
        <v>10000000</v>
      </c>
      <c r="D605" s="21" t="s">
        <v>346</v>
      </c>
      <c r="E605" s="21">
        <v>97123799</v>
      </c>
      <c r="F605" s="20">
        <v>10000000</v>
      </c>
      <c r="G605" s="22">
        <v>45923</v>
      </c>
      <c r="H605" s="21" t="s">
        <v>61</v>
      </c>
      <c r="I605" s="51" t="str">
        <f>IFERROR(IF(VLOOKUP(E605,extracto!C:C,1,FALSE)=E605,"pagado","no pagado"),"no pagado")</f>
        <v>pagado</v>
      </c>
      <c r="J605" s="52" t="str">
        <f t="shared" ref="J605:J667" si="384">IF(I605="pagado","pagado",IF(G605&lt;$V$1-30,"fuera de fecha","en periodo de pago"))</f>
        <v>pagado</v>
      </c>
      <c r="K605" s="51" t="str">
        <f t="shared" ref="K605:K667" ca="1" si="385">+IF(B605&gt;$V$1,"excluir",IF(J605="en periodo de pago",IF($V$1&gt;G605,"a pagar","proximo a vencer"),"excluir"))</f>
        <v>excluir</v>
      </c>
      <c r="L605" s="51" t="str">
        <f t="shared" ref="L605:L667" ca="1" si="386">+IF(K605="proximo a vencer",IF($V$1+5&gt;G605,"para la semana","no semana"),"no semana")</f>
        <v>no semana</v>
      </c>
      <c r="M605" s="51" t="str">
        <f>IFERROR(VLOOKUP(E605,'cheques a conf'!A:D,4,FALSE),"no clearing")</f>
        <v>no clearing</v>
      </c>
      <c r="N605" s="51">
        <f t="shared" ref="N605:N667" si="387">+WEEKNUM(G605,2)</f>
        <v>39</v>
      </c>
      <c r="O605" s="53">
        <f t="shared" ref="O605:O667" si="388">+MONTH(G605)</f>
        <v>9</v>
      </c>
      <c r="P605" s="53">
        <f t="shared" ref="P605:P667" si="389">+YEAR(G605)</f>
        <v>2025</v>
      </c>
    </row>
    <row r="606" spans="1:16" customFormat="1" x14ac:dyDescent="0.25">
      <c r="A606" s="21">
        <v>3000001306</v>
      </c>
      <c r="B606" s="22">
        <v>45916</v>
      </c>
      <c r="C606" s="20">
        <v>7679122.0599999996</v>
      </c>
      <c r="D606" s="21" t="s">
        <v>346</v>
      </c>
      <c r="E606" s="21">
        <v>97123800</v>
      </c>
      <c r="F606" s="20">
        <v>7679122.0599999996</v>
      </c>
      <c r="G606" s="22">
        <v>45924</v>
      </c>
      <c r="H606" s="21" t="s">
        <v>61</v>
      </c>
      <c r="I606" s="51" t="str">
        <f>IFERROR(IF(VLOOKUP(E606,extracto!C:C,1,FALSE)=E606,"pagado","no pagado"),"no pagado")</f>
        <v>pagado</v>
      </c>
      <c r="J606" s="52" t="str">
        <f t="shared" si="384"/>
        <v>pagado</v>
      </c>
      <c r="K606" s="51" t="str">
        <f t="shared" ca="1" si="385"/>
        <v>excluir</v>
      </c>
      <c r="L606" s="51" t="str">
        <f t="shared" ca="1" si="386"/>
        <v>no semana</v>
      </c>
      <c r="M606" s="51" t="str">
        <f>IFERROR(VLOOKUP(E606,'cheques a conf'!A:D,4,FALSE),"no clearing")</f>
        <v>no clearing</v>
      </c>
      <c r="N606" s="51">
        <f t="shared" si="387"/>
        <v>39</v>
      </c>
      <c r="O606" s="53">
        <f t="shared" si="388"/>
        <v>9</v>
      </c>
      <c r="P606" s="53">
        <f t="shared" si="389"/>
        <v>2025</v>
      </c>
    </row>
    <row r="607" spans="1:16" customFormat="1" x14ac:dyDescent="0.25">
      <c r="A607" s="21">
        <v>3000001307</v>
      </c>
      <c r="B607" s="22">
        <v>45916</v>
      </c>
      <c r="C607" s="20">
        <v>10000000</v>
      </c>
      <c r="D607" s="21" t="s">
        <v>284</v>
      </c>
      <c r="E607" s="21">
        <v>97123801</v>
      </c>
      <c r="F607" s="20">
        <v>10000000</v>
      </c>
      <c r="G607" s="22">
        <v>45923</v>
      </c>
      <c r="H607" s="21" t="s">
        <v>61</v>
      </c>
      <c r="I607" s="51" t="str">
        <f>IFERROR(IF(VLOOKUP(E607,extracto!C:C,1,FALSE)=E607,"pagado","no pagado"),"no pagado")</f>
        <v>pagado</v>
      </c>
      <c r="J607" s="52" t="str">
        <f t="shared" si="384"/>
        <v>pagado</v>
      </c>
      <c r="K607" s="51" t="str">
        <f t="shared" ca="1" si="385"/>
        <v>excluir</v>
      </c>
      <c r="L607" s="51" t="str">
        <f t="shared" ca="1" si="386"/>
        <v>no semana</v>
      </c>
      <c r="M607" s="51" t="str">
        <f>IFERROR(VLOOKUP(E607,'cheques a conf'!A:D,4,FALSE),"no clearing")</f>
        <v>no clearing</v>
      </c>
      <c r="N607" s="51">
        <f t="shared" si="387"/>
        <v>39</v>
      </c>
      <c r="O607" s="53">
        <f t="shared" si="388"/>
        <v>9</v>
      </c>
      <c r="P607" s="53">
        <f t="shared" si="389"/>
        <v>2025</v>
      </c>
    </row>
    <row r="608" spans="1:16" customFormat="1" x14ac:dyDescent="0.25">
      <c r="A608" s="21">
        <v>3000001307</v>
      </c>
      <c r="B608" s="22">
        <v>45916</v>
      </c>
      <c r="C608" s="20">
        <v>10704157.6</v>
      </c>
      <c r="D608" s="21" t="s">
        <v>284</v>
      </c>
      <c r="E608" s="21">
        <v>97123802</v>
      </c>
      <c r="F608" s="20">
        <v>10704157.6</v>
      </c>
      <c r="G608" s="22">
        <v>45924</v>
      </c>
      <c r="H608" s="21" t="s">
        <v>61</v>
      </c>
      <c r="I608" s="51" t="str">
        <f>IFERROR(IF(VLOOKUP(E608,extracto!C:C,1,FALSE)=E608,"pagado","no pagado"),"no pagado")</f>
        <v>pagado</v>
      </c>
      <c r="J608" s="52" t="str">
        <f t="shared" si="384"/>
        <v>pagado</v>
      </c>
      <c r="K608" s="51" t="str">
        <f t="shared" ca="1" si="385"/>
        <v>excluir</v>
      </c>
      <c r="L608" s="51" t="str">
        <f t="shared" ca="1" si="386"/>
        <v>no semana</v>
      </c>
      <c r="M608" s="51" t="str">
        <f>IFERROR(VLOOKUP(E608,'cheques a conf'!A:D,4,FALSE),"no clearing")</f>
        <v>no clearing</v>
      </c>
      <c r="N608" s="51">
        <f t="shared" si="387"/>
        <v>39</v>
      </c>
      <c r="O608" s="53">
        <f t="shared" si="388"/>
        <v>9</v>
      </c>
      <c r="P608" s="53">
        <f t="shared" si="389"/>
        <v>2025</v>
      </c>
    </row>
    <row r="609" spans="1:16" customFormat="1" x14ac:dyDescent="0.25">
      <c r="A609" s="21">
        <v>3000001308</v>
      </c>
      <c r="B609" s="22">
        <v>45916</v>
      </c>
      <c r="C609" s="20">
        <v>6172031.25</v>
      </c>
      <c r="D609" s="21" t="s">
        <v>350</v>
      </c>
      <c r="E609" s="21">
        <v>97123803</v>
      </c>
      <c r="F609" s="20">
        <v>6172031.25</v>
      </c>
      <c r="G609" s="22">
        <v>45923</v>
      </c>
      <c r="H609" s="21" t="s">
        <v>61</v>
      </c>
      <c r="I609" s="51" t="str">
        <f>IFERROR(IF(VLOOKUP(E609,extracto!C:C,1,FALSE)=E609,"pagado","no pagado"),"no pagado")</f>
        <v>pagado</v>
      </c>
      <c r="J609" s="52" t="str">
        <f t="shared" si="384"/>
        <v>pagado</v>
      </c>
      <c r="K609" s="51" t="str">
        <f t="shared" ca="1" si="385"/>
        <v>excluir</v>
      </c>
      <c r="L609" s="51" t="str">
        <f t="shared" ca="1" si="386"/>
        <v>no semana</v>
      </c>
      <c r="M609" s="51" t="str">
        <f>IFERROR(VLOOKUP(E609,'cheques a conf'!A:D,4,FALSE),"no clearing")</f>
        <v>no clearing</v>
      </c>
      <c r="N609" s="51">
        <f t="shared" si="387"/>
        <v>39</v>
      </c>
      <c r="O609" s="53">
        <f t="shared" si="388"/>
        <v>9</v>
      </c>
      <c r="P609" s="53">
        <f t="shared" si="389"/>
        <v>2025</v>
      </c>
    </row>
    <row r="610" spans="1:16" customFormat="1" x14ac:dyDescent="0.25">
      <c r="A610" s="21">
        <v>3000001309</v>
      </c>
      <c r="B610" s="22">
        <v>45916</v>
      </c>
      <c r="C610" s="20">
        <v>4405509.5999999996</v>
      </c>
      <c r="D610" s="21" t="s">
        <v>197</v>
      </c>
      <c r="E610" s="21">
        <v>97123804</v>
      </c>
      <c r="F610" s="20">
        <v>4405509.5999999996</v>
      </c>
      <c r="G610" s="22">
        <v>45923</v>
      </c>
      <c r="H610" s="21" t="s">
        <v>61</v>
      </c>
      <c r="I610" s="51" t="str">
        <f>IFERROR(IF(VLOOKUP(E610,extracto!C:C,1,FALSE)=E610,"pagado","no pagado"),"no pagado")</f>
        <v>pagado</v>
      </c>
      <c r="J610" s="52" t="str">
        <f t="shared" si="384"/>
        <v>pagado</v>
      </c>
      <c r="K610" s="51" t="str">
        <f t="shared" ca="1" si="385"/>
        <v>excluir</v>
      </c>
      <c r="L610" s="51" t="str">
        <f t="shared" ca="1" si="386"/>
        <v>no semana</v>
      </c>
      <c r="M610" s="51" t="str">
        <f>IFERROR(VLOOKUP(E610,'cheques a conf'!A:D,4,FALSE),"no clearing")</f>
        <v>no clearing</v>
      </c>
      <c r="N610" s="51">
        <f t="shared" si="387"/>
        <v>39</v>
      </c>
      <c r="O610" s="53">
        <f t="shared" si="388"/>
        <v>9</v>
      </c>
      <c r="P610" s="53">
        <f t="shared" si="389"/>
        <v>2025</v>
      </c>
    </row>
    <row r="611" spans="1:16" customFormat="1" x14ac:dyDescent="0.25">
      <c r="A611" s="21">
        <v>3000001310</v>
      </c>
      <c r="B611" s="22">
        <v>45916</v>
      </c>
      <c r="C611" s="20">
        <v>10000000</v>
      </c>
      <c r="D611" s="21" t="s">
        <v>302</v>
      </c>
      <c r="E611" s="21">
        <v>97123805</v>
      </c>
      <c r="F611" s="20">
        <v>10000000</v>
      </c>
      <c r="G611" s="22">
        <v>45923</v>
      </c>
      <c r="H611" s="21" t="s">
        <v>61</v>
      </c>
      <c r="I611" s="51" t="str">
        <f>IFERROR(IF(VLOOKUP(E611,extracto!C:C,1,FALSE)=E611,"pagado","no pagado"),"no pagado")</f>
        <v>pagado</v>
      </c>
      <c r="J611" s="52" t="str">
        <f t="shared" si="384"/>
        <v>pagado</v>
      </c>
      <c r="K611" s="51" t="str">
        <f t="shared" ca="1" si="385"/>
        <v>excluir</v>
      </c>
      <c r="L611" s="51" t="str">
        <f t="shared" ca="1" si="386"/>
        <v>no semana</v>
      </c>
      <c r="M611" s="51" t="str">
        <f>IFERROR(VLOOKUP(E611,'cheques a conf'!A:D,4,FALSE),"no clearing")</f>
        <v>no clearing</v>
      </c>
      <c r="N611" s="51">
        <f t="shared" si="387"/>
        <v>39</v>
      </c>
      <c r="O611" s="53">
        <f t="shared" si="388"/>
        <v>9</v>
      </c>
      <c r="P611" s="53">
        <f t="shared" si="389"/>
        <v>2025</v>
      </c>
    </row>
    <row r="612" spans="1:16" customFormat="1" x14ac:dyDescent="0.25">
      <c r="A612" s="21">
        <v>3000001310</v>
      </c>
      <c r="B612" s="22">
        <v>45916</v>
      </c>
      <c r="C612" s="20">
        <v>11156149.09</v>
      </c>
      <c r="D612" s="21" t="s">
        <v>302</v>
      </c>
      <c r="E612" s="21">
        <v>97123806</v>
      </c>
      <c r="F612" s="20">
        <v>11156149.09</v>
      </c>
      <c r="G612" s="22">
        <v>45924</v>
      </c>
      <c r="H612" s="21" t="s">
        <v>61</v>
      </c>
      <c r="I612" s="51" t="str">
        <f>IFERROR(IF(VLOOKUP(E612,extracto!C:C,1,FALSE)=E612,"pagado","no pagado"),"no pagado")</f>
        <v>pagado</v>
      </c>
      <c r="J612" s="52" t="str">
        <f t="shared" si="384"/>
        <v>pagado</v>
      </c>
      <c r="K612" s="51" t="str">
        <f t="shared" ca="1" si="385"/>
        <v>excluir</v>
      </c>
      <c r="L612" s="51" t="str">
        <f t="shared" ca="1" si="386"/>
        <v>no semana</v>
      </c>
      <c r="M612" s="51" t="str">
        <f>IFERROR(VLOOKUP(E612,'cheques a conf'!A:D,4,FALSE),"no clearing")</f>
        <v>no clearing</v>
      </c>
      <c r="N612" s="51">
        <f t="shared" si="387"/>
        <v>39</v>
      </c>
      <c r="O612" s="53">
        <f t="shared" si="388"/>
        <v>9</v>
      </c>
      <c r="P612" s="53">
        <f t="shared" si="389"/>
        <v>2025</v>
      </c>
    </row>
    <row r="613" spans="1:16" customFormat="1" x14ac:dyDescent="0.25">
      <c r="A613" s="21">
        <v>3000001311</v>
      </c>
      <c r="B613" s="22">
        <v>45916</v>
      </c>
      <c r="C613" s="20">
        <v>10000000</v>
      </c>
      <c r="D613" s="21" t="s">
        <v>337</v>
      </c>
      <c r="E613" s="21">
        <v>97123807</v>
      </c>
      <c r="F613" s="20">
        <v>10000000</v>
      </c>
      <c r="G613" s="22">
        <v>45923</v>
      </c>
      <c r="H613" s="21" t="s">
        <v>61</v>
      </c>
      <c r="I613" s="51" t="str">
        <f>IFERROR(IF(VLOOKUP(E613,extracto!C:C,1,FALSE)=E613,"pagado","no pagado"),"no pagado")</f>
        <v>pagado</v>
      </c>
      <c r="J613" s="52" t="str">
        <f t="shared" si="384"/>
        <v>pagado</v>
      </c>
      <c r="K613" s="51" t="str">
        <f t="shared" ca="1" si="385"/>
        <v>excluir</v>
      </c>
      <c r="L613" s="51" t="str">
        <f t="shared" ca="1" si="386"/>
        <v>no semana</v>
      </c>
      <c r="M613" s="51" t="str">
        <f>IFERROR(VLOOKUP(E613,'cheques a conf'!A:D,4,FALSE),"no clearing")</f>
        <v>no clearing</v>
      </c>
      <c r="N613" s="51">
        <f t="shared" si="387"/>
        <v>39</v>
      </c>
      <c r="O613" s="53">
        <f t="shared" si="388"/>
        <v>9</v>
      </c>
      <c r="P613" s="53">
        <f t="shared" si="389"/>
        <v>2025</v>
      </c>
    </row>
    <row r="614" spans="1:16" customFormat="1" x14ac:dyDescent="0.25">
      <c r="A614" s="21">
        <v>3000001311</v>
      </c>
      <c r="B614" s="22">
        <v>45916</v>
      </c>
      <c r="C614" s="20">
        <v>6759356.6399999997</v>
      </c>
      <c r="D614" s="21" t="s">
        <v>337</v>
      </c>
      <c r="E614" s="21">
        <v>97123808</v>
      </c>
      <c r="F614" s="20">
        <v>6759356.6399999997</v>
      </c>
      <c r="G614" s="22">
        <v>45924</v>
      </c>
      <c r="H614" s="21" t="s">
        <v>61</v>
      </c>
      <c r="I614" s="51" t="str">
        <f>IFERROR(IF(VLOOKUP(E614,extracto!C:C,1,FALSE)=E614,"pagado","no pagado"),"no pagado")</f>
        <v>pagado</v>
      </c>
      <c r="J614" s="52" t="str">
        <f t="shared" si="384"/>
        <v>pagado</v>
      </c>
      <c r="K614" s="51" t="str">
        <f t="shared" ca="1" si="385"/>
        <v>excluir</v>
      </c>
      <c r="L614" s="51" t="str">
        <f t="shared" ca="1" si="386"/>
        <v>no semana</v>
      </c>
      <c r="M614" s="51" t="str">
        <f>IFERROR(VLOOKUP(E614,'cheques a conf'!A:D,4,FALSE),"no clearing")</f>
        <v>no clearing</v>
      </c>
      <c r="N614" s="51">
        <f t="shared" si="387"/>
        <v>39</v>
      </c>
      <c r="O614" s="53">
        <f t="shared" si="388"/>
        <v>9</v>
      </c>
      <c r="P614" s="53">
        <f t="shared" si="389"/>
        <v>2025</v>
      </c>
    </row>
    <row r="615" spans="1:16" customFormat="1" x14ac:dyDescent="0.25">
      <c r="A615" s="21">
        <v>3000001312</v>
      </c>
      <c r="B615" s="22">
        <v>45916</v>
      </c>
      <c r="C615" s="20">
        <v>7015449.8300000001</v>
      </c>
      <c r="D615" s="21" t="s">
        <v>384</v>
      </c>
      <c r="E615" s="21">
        <v>97123809</v>
      </c>
      <c r="F615" s="20">
        <v>7015449.8300000001</v>
      </c>
      <c r="G615" s="22">
        <v>45923</v>
      </c>
      <c r="H615" s="21" t="s">
        <v>61</v>
      </c>
      <c r="I615" s="51" t="str">
        <f>IFERROR(IF(VLOOKUP(E615,extracto!C:C,1,FALSE)=E615,"pagado","no pagado"),"no pagado")</f>
        <v>pagado</v>
      </c>
      <c r="J615" s="52" t="str">
        <f t="shared" si="384"/>
        <v>pagado</v>
      </c>
      <c r="K615" s="51" t="str">
        <f t="shared" ca="1" si="385"/>
        <v>excluir</v>
      </c>
      <c r="L615" s="51" t="str">
        <f t="shared" ca="1" si="386"/>
        <v>no semana</v>
      </c>
      <c r="M615" s="51" t="str">
        <f>IFERROR(VLOOKUP(E615,'cheques a conf'!A:D,4,FALSE),"no clearing")</f>
        <v>no clearing</v>
      </c>
      <c r="N615" s="51">
        <f t="shared" si="387"/>
        <v>39</v>
      </c>
      <c r="O615" s="53">
        <f t="shared" si="388"/>
        <v>9</v>
      </c>
      <c r="P615" s="53">
        <f t="shared" si="389"/>
        <v>2025</v>
      </c>
    </row>
    <row r="616" spans="1:16" customFormat="1" x14ac:dyDescent="0.25">
      <c r="A616" s="21">
        <v>3000001313</v>
      </c>
      <c r="B616" s="22">
        <v>45916</v>
      </c>
      <c r="C616" s="20">
        <v>7186478.5300000003</v>
      </c>
      <c r="D616" s="21" t="s">
        <v>26</v>
      </c>
      <c r="E616" s="21">
        <v>97123810</v>
      </c>
      <c r="F616" s="20">
        <v>7186478.5300000003</v>
      </c>
      <c r="G616" s="22">
        <v>45923</v>
      </c>
      <c r="H616" s="21" t="s">
        <v>61</v>
      </c>
      <c r="I616" s="51" t="str">
        <f>IFERROR(IF(VLOOKUP(E616,extracto!C:C,1,FALSE)=E616,"pagado","no pagado"),"no pagado")</f>
        <v>pagado</v>
      </c>
      <c r="J616" s="52" t="str">
        <f t="shared" si="384"/>
        <v>pagado</v>
      </c>
      <c r="K616" s="51" t="str">
        <f t="shared" ca="1" si="385"/>
        <v>excluir</v>
      </c>
      <c r="L616" s="51" t="str">
        <f t="shared" ca="1" si="386"/>
        <v>no semana</v>
      </c>
      <c r="M616" s="51" t="str">
        <f>IFERROR(VLOOKUP(E616,'cheques a conf'!A:D,4,FALSE),"no clearing")</f>
        <v>no clearing</v>
      </c>
      <c r="N616" s="51">
        <f t="shared" si="387"/>
        <v>39</v>
      </c>
      <c r="O616" s="53">
        <f t="shared" si="388"/>
        <v>9</v>
      </c>
      <c r="P616" s="53">
        <f t="shared" si="389"/>
        <v>2025</v>
      </c>
    </row>
    <row r="617" spans="1:16" customFormat="1" x14ac:dyDescent="0.25">
      <c r="A617" s="21">
        <v>3000001314</v>
      </c>
      <c r="B617" s="22">
        <v>45916</v>
      </c>
      <c r="C617" s="20">
        <v>7994938.0300000003</v>
      </c>
      <c r="D617" s="21" t="s">
        <v>371</v>
      </c>
      <c r="E617" s="21">
        <v>97123811</v>
      </c>
      <c r="F617" s="20">
        <v>7994938.0300000003</v>
      </c>
      <c r="G617" s="22">
        <v>45924</v>
      </c>
      <c r="H617" s="21" t="s">
        <v>61</v>
      </c>
      <c r="I617" s="51" t="str">
        <f>IFERROR(IF(VLOOKUP(E617,extracto!C:C,1,FALSE)=E617,"pagado","no pagado"),"no pagado")</f>
        <v>pagado</v>
      </c>
      <c r="J617" s="52" t="str">
        <f t="shared" si="384"/>
        <v>pagado</v>
      </c>
      <c r="K617" s="51" t="str">
        <f t="shared" ca="1" si="385"/>
        <v>excluir</v>
      </c>
      <c r="L617" s="51" t="str">
        <f t="shared" ca="1" si="386"/>
        <v>no semana</v>
      </c>
      <c r="M617" s="51" t="str">
        <f>IFERROR(VLOOKUP(E617,'cheques a conf'!A:D,4,FALSE),"no clearing")</f>
        <v>no clearing</v>
      </c>
      <c r="N617" s="51">
        <f t="shared" si="387"/>
        <v>39</v>
      </c>
      <c r="O617" s="53">
        <f t="shared" si="388"/>
        <v>9</v>
      </c>
      <c r="P617" s="53">
        <f t="shared" si="389"/>
        <v>2025</v>
      </c>
    </row>
    <row r="618" spans="1:16" customFormat="1" x14ac:dyDescent="0.25">
      <c r="A618" s="21">
        <v>3000001315</v>
      </c>
      <c r="B618" s="22">
        <v>45916</v>
      </c>
      <c r="C618" s="20">
        <v>20000000</v>
      </c>
      <c r="D618" s="21" t="s">
        <v>393</v>
      </c>
      <c r="E618" s="21">
        <v>97123812</v>
      </c>
      <c r="F618" s="20">
        <v>20000000</v>
      </c>
      <c r="G618" s="22">
        <v>45923</v>
      </c>
      <c r="H618" s="21" t="s">
        <v>61</v>
      </c>
      <c r="I618" s="51" t="str">
        <f>IFERROR(IF(VLOOKUP(E618,extracto!C:C,1,FALSE)=E618,"pagado","no pagado"),"no pagado")</f>
        <v>pagado</v>
      </c>
      <c r="J618" s="52" t="str">
        <f t="shared" si="384"/>
        <v>pagado</v>
      </c>
      <c r="K618" s="51" t="str">
        <f t="shared" ca="1" si="385"/>
        <v>excluir</v>
      </c>
      <c r="L618" s="51" t="str">
        <f t="shared" ca="1" si="386"/>
        <v>no semana</v>
      </c>
      <c r="M618" s="51" t="str">
        <f>IFERROR(VLOOKUP(E618,'cheques a conf'!A:D,4,FALSE),"no clearing")</f>
        <v>no clearing</v>
      </c>
      <c r="N618" s="51">
        <f t="shared" si="387"/>
        <v>39</v>
      </c>
      <c r="O618" s="53">
        <f t="shared" si="388"/>
        <v>9</v>
      </c>
      <c r="P618" s="53">
        <f t="shared" si="389"/>
        <v>2025</v>
      </c>
    </row>
    <row r="619" spans="1:16" customFormat="1" x14ac:dyDescent="0.25">
      <c r="A619" s="21">
        <v>3000001315</v>
      </c>
      <c r="B619" s="22">
        <v>45916</v>
      </c>
      <c r="C619" s="20">
        <v>15157314.5</v>
      </c>
      <c r="D619" s="21" t="s">
        <v>393</v>
      </c>
      <c r="E619" s="21">
        <v>97123813</v>
      </c>
      <c r="F619" s="20">
        <v>15157314.5</v>
      </c>
      <c r="G619" s="22">
        <v>45924</v>
      </c>
      <c r="H619" s="21" t="s">
        <v>61</v>
      </c>
      <c r="I619" s="51" t="str">
        <f>IFERROR(IF(VLOOKUP(E619,extracto!C:C,1,FALSE)=E619,"pagado","no pagado"),"no pagado")</f>
        <v>pagado</v>
      </c>
      <c r="J619" s="52" t="str">
        <f t="shared" si="384"/>
        <v>pagado</v>
      </c>
      <c r="K619" s="51" t="str">
        <f t="shared" ca="1" si="385"/>
        <v>excluir</v>
      </c>
      <c r="L619" s="51" t="str">
        <f t="shared" ca="1" si="386"/>
        <v>no semana</v>
      </c>
      <c r="M619" s="51" t="str">
        <f>IFERROR(VLOOKUP(E619,'cheques a conf'!A:D,4,FALSE),"no clearing")</f>
        <v>no clearing</v>
      </c>
      <c r="N619" s="51">
        <f t="shared" si="387"/>
        <v>39</v>
      </c>
      <c r="O619" s="53">
        <f t="shared" si="388"/>
        <v>9</v>
      </c>
      <c r="P619" s="53">
        <f t="shared" si="389"/>
        <v>2025</v>
      </c>
    </row>
    <row r="620" spans="1:16" customFormat="1" x14ac:dyDescent="0.25">
      <c r="A620">
        <v>3000001320</v>
      </c>
      <c r="B620" s="3">
        <v>45917</v>
      </c>
      <c r="C620" s="9">
        <v>30000000</v>
      </c>
      <c r="D620" t="s">
        <v>398</v>
      </c>
      <c r="E620">
        <v>97123816</v>
      </c>
      <c r="F620" s="9">
        <v>30000000</v>
      </c>
      <c r="G620" s="3">
        <v>45924</v>
      </c>
      <c r="H620" s="21" t="s">
        <v>61</v>
      </c>
      <c r="I620" s="51" t="str">
        <f>IFERROR(IF(VLOOKUP(E620,extracto!C:C,1,FALSE)=E620,"pagado","no pagado"),"no pagado")</f>
        <v>pagado</v>
      </c>
      <c r="J620" s="52" t="str">
        <f t="shared" si="384"/>
        <v>pagado</v>
      </c>
      <c r="K620" s="51" t="str">
        <f t="shared" ca="1" si="385"/>
        <v>excluir</v>
      </c>
      <c r="L620" s="51" t="str">
        <f t="shared" ca="1" si="386"/>
        <v>no semana</v>
      </c>
      <c r="M620" s="51" t="str">
        <f>IFERROR(VLOOKUP(E620,'cheques a conf'!A:D,4,FALSE),"no clearing")</f>
        <v>no clearing</v>
      </c>
      <c r="N620" s="51">
        <f t="shared" si="387"/>
        <v>39</v>
      </c>
      <c r="O620" s="53">
        <f t="shared" si="388"/>
        <v>9</v>
      </c>
      <c r="P620" s="53">
        <f t="shared" si="389"/>
        <v>2025</v>
      </c>
    </row>
    <row r="621" spans="1:16" customFormat="1" x14ac:dyDescent="0.25">
      <c r="A621">
        <v>3000001320</v>
      </c>
      <c r="B621" s="3">
        <v>45917</v>
      </c>
      <c r="C621" s="9">
        <v>30126240.390000001</v>
      </c>
      <c r="D621" t="s">
        <v>398</v>
      </c>
      <c r="E621">
        <v>97123817</v>
      </c>
      <c r="F621" s="9">
        <v>30126240.390000001</v>
      </c>
      <c r="G621" s="3">
        <v>45925</v>
      </c>
      <c r="H621" s="21" t="s">
        <v>61</v>
      </c>
      <c r="I621" s="51" t="str">
        <f>IFERROR(IF(VLOOKUP(E621,extracto!C:C,1,FALSE)=E621,"pagado","no pagado"),"no pagado")</f>
        <v>pagado</v>
      </c>
      <c r="J621" s="52" t="str">
        <f t="shared" si="384"/>
        <v>pagado</v>
      </c>
      <c r="K621" s="51" t="str">
        <f t="shared" ca="1" si="385"/>
        <v>excluir</v>
      </c>
      <c r="L621" s="51" t="str">
        <f t="shared" ca="1" si="386"/>
        <v>no semana</v>
      </c>
      <c r="M621" s="51" t="str">
        <f>IFERROR(VLOOKUP(E621,'cheques a conf'!A:D,4,FALSE),"no clearing")</f>
        <v>no clearing</v>
      </c>
      <c r="N621" s="51">
        <f t="shared" si="387"/>
        <v>39</v>
      </c>
      <c r="O621" s="53">
        <f t="shared" si="388"/>
        <v>9</v>
      </c>
      <c r="P621" s="53">
        <f t="shared" si="389"/>
        <v>2025</v>
      </c>
    </row>
    <row r="622" spans="1:16" customFormat="1" x14ac:dyDescent="0.25">
      <c r="A622">
        <v>3000001321</v>
      </c>
      <c r="B622" s="3">
        <v>45917</v>
      </c>
      <c r="C622" s="9">
        <v>25000000</v>
      </c>
      <c r="D622" t="s">
        <v>363</v>
      </c>
      <c r="E622">
        <v>97123818</v>
      </c>
      <c r="F622" s="9">
        <v>25000000</v>
      </c>
      <c r="G622" s="3">
        <v>45924</v>
      </c>
      <c r="H622" s="21" t="s">
        <v>61</v>
      </c>
      <c r="I622" s="51" t="str">
        <f>IFERROR(IF(VLOOKUP(E622,extracto!C:C,1,FALSE)=E622,"pagado","no pagado"),"no pagado")</f>
        <v>pagado</v>
      </c>
      <c r="J622" s="52" t="str">
        <f t="shared" si="384"/>
        <v>pagado</v>
      </c>
      <c r="K622" s="51" t="str">
        <f t="shared" ca="1" si="385"/>
        <v>excluir</v>
      </c>
      <c r="L622" s="51" t="str">
        <f t="shared" ca="1" si="386"/>
        <v>no semana</v>
      </c>
      <c r="M622" s="51" t="str">
        <f>IFERROR(VLOOKUP(E622,'cheques a conf'!A:D,4,FALSE),"no clearing")</f>
        <v>no clearing</v>
      </c>
      <c r="N622" s="51">
        <f t="shared" si="387"/>
        <v>39</v>
      </c>
      <c r="O622" s="53">
        <f t="shared" si="388"/>
        <v>9</v>
      </c>
      <c r="P622" s="53">
        <f t="shared" si="389"/>
        <v>2025</v>
      </c>
    </row>
    <row r="623" spans="1:16" customFormat="1" x14ac:dyDescent="0.25">
      <c r="A623">
        <v>3000001321</v>
      </c>
      <c r="B623" s="3">
        <v>45917</v>
      </c>
      <c r="C623" s="9">
        <v>28607991.440000001</v>
      </c>
      <c r="D623" t="s">
        <v>363</v>
      </c>
      <c r="E623">
        <v>97123819</v>
      </c>
      <c r="F623" s="9">
        <v>28607991.440000001</v>
      </c>
      <c r="G623" s="3">
        <v>45925</v>
      </c>
      <c r="H623" s="21" t="s">
        <v>61</v>
      </c>
      <c r="I623" s="51" t="str">
        <f>IFERROR(IF(VLOOKUP(E623,extracto!C:C,1,FALSE)=E623,"pagado","no pagado"),"no pagado")</f>
        <v>pagado</v>
      </c>
      <c r="J623" s="52" t="str">
        <f t="shared" si="384"/>
        <v>pagado</v>
      </c>
      <c r="K623" s="51" t="str">
        <f t="shared" ca="1" si="385"/>
        <v>excluir</v>
      </c>
      <c r="L623" s="51" t="str">
        <f t="shared" ca="1" si="386"/>
        <v>no semana</v>
      </c>
      <c r="M623" s="51" t="str">
        <f>IFERROR(VLOOKUP(E623,'cheques a conf'!A:D,4,FALSE),"no clearing")</f>
        <v>no clearing</v>
      </c>
      <c r="N623" s="51">
        <f t="shared" si="387"/>
        <v>39</v>
      </c>
      <c r="O623" s="53">
        <f t="shared" si="388"/>
        <v>9</v>
      </c>
      <c r="P623" s="53">
        <f t="shared" si="389"/>
        <v>2025</v>
      </c>
    </row>
    <row r="624" spans="1:16" customFormat="1" x14ac:dyDescent="0.25">
      <c r="A624">
        <v>3000001318</v>
      </c>
      <c r="B624" s="3">
        <v>45917</v>
      </c>
      <c r="C624" s="9">
        <v>16532771.57</v>
      </c>
      <c r="D624" t="s">
        <v>394</v>
      </c>
      <c r="E624">
        <v>97123814</v>
      </c>
      <c r="F624" s="9">
        <v>16532771.57</v>
      </c>
      <c r="G624" s="3">
        <v>45924</v>
      </c>
      <c r="H624" s="21" t="s">
        <v>61</v>
      </c>
      <c r="I624" s="51" t="str">
        <f>IFERROR(IF(VLOOKUP(E624,extracto!C:C,1,FALSE)=E624,"pagado","no pagado"),"no pagado")</f>
        <v>pagado</v>
      </c>
      <c r="J624" s="52" t="str">
        <f t="shared" si="384"/>
        <v>pagado</v>
      </c>
      <c r="K624" s="51" t="str">
        <f t="shared" ca="1" si="385"/>
        <v>excluir</v>
      </c>
      <c r="L624" s="51" t="str">
        <f t="shared" ca="1" si="386"/>
        <v>no semana</v>
      </c>
      <c r="M624" s="51" t="str">
        <f>IFERROR(VLOOKUP(E624,'cheques a conf'!A:D,4,FALSE),"no clearing")</f>
        <v>no clearing</v>
      </c>
      <c r="N624" s="51">
        <f t="shared" si="387"/>
        <v>39</v>
      </c>
      <c r="O624" s="53">
        <f t="shared" si="388"/>
        <v>9</v>
      </c>
      <c r="P624" s="53">
        <f t="shared" si="389"/>
        <v>2025</v>
      </c>
    </row>
    <row r="625" spans="1:16" customFormat="1" x14ac:dyDescent="0.25">
      <c r="A625">
        <v>3000001319</v>
      </c>
      <c r="B625" s="3">
        <v>45917</v>
      </c>
      <c r="C625" s="9">
        <v>12442844.939999999</v>
      </c>
      <c r="D625" t="s">
        <v>359</v>
      </c>
      <c r="E625">
        <v>97123815</v>
      </c>
      <c r="F625" s="9">
        <v>12442844.939999999</v>
      </c>
      <c r="G625" s="3">
        <v>45924</v>
      </c>
      <c r="H625" s="21" t="s">
        <v>61</v>
      </c>
      <c r="I625" s="51" t="str">
        <f>IFERROR(IF(VLOOKUP(E625,extracto!C:C,1,FALSE)=E625,"pagado","no pagado"),"no pagado")</f>
        <v>pagado</v>
      </c>
      <c r="J625" s="52" t="str">
        <f t="shared" si="384"/>
        <v>pagado</v>
      </c>
      <c r="K625" s="51" t="str">
        <f t="shared" ca="1" si="385"/>
        <v>excluir</v>
      </c>
      <c r="L625" s="51" t="str">
        <f t="shared" ca="1" si="386"/>
        <v>no semana</v>
      </c>
      <c r="M625" s="51" t="str">
        <f>IFERROR(VLOOKUP(E625,'cheques a conf'!A:D,4,FALSE),"no clearing")</f>
        <v>no clearing</v>
      </c>
      <c r="N625" s="51">
        <f t="shared" si="387"/>
        <v>39</v>
      </c>
      <c r="O625" s="53">
        <f t="shared" si="388"/>
        <v>9</v>
      </c>
      <c r="P625" s="53">
        <f t="shared" si="389"/>
        <v>2025</v>
      </c>
    </row>
    <row r="626" spans="1:16" customFormat="1" x14ac:dyDescent="0.25">
      <c r="A626">
        <v>3000001322</v>
      </c>
      <c r="B626" s="3">
        <v>45918</v>
      </c>
      <c r="C626" s="9">
        <v>49166150</v>
      </c>
      <c r="D626" t="s">
        <v>22</v>
      </c>
      <c r="E626">
        <v>97121393</v>
      </c>
      <c r="F626" s="9">
        <v>49166150</v>
      </c>
      <c r="G626" s="3">
        <v>45918</v>
      </c>
      <c r="H626" s="21" t="s">
        <v>61</v>
      </c>
      <c r="I626" s="51" t="str">
        <f>IFERROR(IF(VLOOKUP(E626,extracto!C:C,1,FALSE)=E626,"pagado","no pagado"),"no pagado")</f>
        <v>pagado</v>
      </c>
      <c r="J626" s="52" t="str">
        <f t="shared" si="384"/>
        <v>pagado</v>
      </c>
      <c r="K626" s="51" t="str">
        <f t="shared" ca="1" si="385"/>
        <v>excluir</v>
      </c>
      <c r="L626" s="51" t="str">
        <f t="shared" ca="1" si="386"/>
        <v>no semana</v>
      </c>
      <c r="M626" s="51" t="str">
        <f>IFERROR(VLOOKUP(E626,'cheques a conf'!A:D,4,FALSE),"no clearing")</f>
        <v>no clearing</v>
      </c>
      <c r="N626" s="51">
        <f t="shared" si="387"/>
        <v>38</v>
      </c>
      <c r="O626" s="53">
        <f t="shared" si="388"/>
        <v>9</v>
      </c>
      <c r="P626" s="53">
        <f t="shared" si="389"/>
        <v>2025</v>
      </c>
    </row>
    <row r="627" spans="1:16" customFormat="1" x14ac:dyDescent="0.25">
      <c r="A627" s="21">
        <v>3000000602</v>
      </c>
      <c r="B627" s="22">
        <v>45783</v>
      </c>
      <c r="C627" s="20">
        <v>0</v>
      </c>
      <c r="D627" s="21" t="s">
        <v>122</v>
      </c>
      <c r="E627" s="21">
        <v>97123518</v>
      </c>
      <c r="F627" s="20">
        <v>0</v>
      </c>
      <c r="G627" s="22">
        <v>45900</v>
      </c>
      <c r="H627" s="21" t="s">
        <v>61</v>
      </c>
      <c r="I627" s="51" t="str">
        <f>IFERROR(IF(VLOOKUP(E627,extracto!C:C,1,FALSE)=E627,"pagado","no pagado"),"no pagado")</f>
        <v>no pagado</v>
      </c>
      <c r="J627" s="52" t="str">
        <f t="shared" ca="1" si="384"/>
        <v>fuera de fecha</v>
      </c>
      <c r="K627" s="51" t="str">
        <f t="shared" ca="1" si="385"/>
        <v>excluir</v>
      </c>
      <c r="L627" s="51" t="str">
        <f t="shared" ca="1" si="386"/>
        <v>no semana</v>
      </c>
      <c r="M627" s="51" t="str">
        <f>IFERROR(VLOOKUP(E627,'cheques a conf'!A:D,4,FALSE),"no clearing")</f>
        <v>no clearing</v>
      </c>
      <c r="N627" s="51">
        <f t="shared" si="387"/>
        <v>35</v>
      </c>
      <c r="O627" s="53">
        <f t="shared" si="388"/>
        <v>8</v>
      </c>
      <c r="P627" s="53">
        <f t="shared" si="389"/>
        <v>2025</v>
      </c>
    </row>
    <row r="628" spans="1:16" customFormat="1" x14ac:dyDescent="0.25">
      <c r="A628" s="21">
        <v>3000001338</v>
      </c>
      <c r="B628" s="22">
        <v>45922</v>
      </c>
      <c r="C628" s="20">
        <v>6129508.2599999998</v>
      </c>
      <c r="D628" s="21" t="s">
        <v>60</v>
      </c>
      <c r="E628" s="21">
        <v>97123820</v>
      </c>
      <c r="F628" s="20">
        <v>6129508.2599999998</v>
      </c>
      <c r="G628" s="22">
        <v>45926</v>
      </c>
      <c r="H628" s="21" t="s">
        <v>61</v>
      </c>
      <c r="I628" s="51" t="str">
        <f>IFERROR(IF(VLOOKUP(E628,extracto!C:C,1,FALSE)=E628,"pagado","no pagado"),"no pagado")</f>
        <v>pagado</v>
      </c>
      <c r="J628" s="52" t="str">
        <f t="shared" si="384"/>
        <v>pagado</v>
      </c>
      <c r="K628" s="51" t="str">
        <f t="shared" ca="1" si="385"/>
        <v>excluir</v>
      </c>
      <c r="L628" s="51" t="str">
        <f t="shared" ca="1" si="386"/>
        <v>no semana</v>
      </c>
      <c r="M628" s="51" t="str">
        <f>IFERROR(VLOOKUP(E628,'cheques a conf'!A:D,4,FALSE),"no clearing")</f>
        <v>no clearing</v>
      </c>
      <c r="N628" s="51">
        <f t="shared" si="387"/>
        <v>39</v>
      </c>
      <c r="O628" s="53">
        <f t="shared" si="388"/>
        <v>9</v>
      </c>
      <c r="P628" s="53">
        <f t="shared" si="389"/>
        <v>2025</v>
      </c>
    </row>
    <row r="629" spans="1:16" customFormat="1" x14ac:dyDescent="0.25">
      <c r="A629" s="21">
        <v>3000001339</v>
      </c>
      <c r="B629" s="22">
        <v>45922</v>
      </c>
      <c r="C629" s="20">
        <v>5851343.4000000004</v>
      </c>
      <c r="D629" s="21" t="s">
        <v>304</v>
      </c>
      <c r="E629" s="21">
        <v>97123821</v>
      </c>
      <c r="F629" s="20">
        <v>5851343.4000000004</v>
      </c>
      <c r="G629" s="22">
        <v>45926</v>
      </c>
      <c r="H629" s="21" t="s">
        <v>61</v>
      </c>
      <c r="I629" s="51" t="str">
        <f>IFERROR(IF(VLOOKUP(E629,extracto!C:C,1,FALSE)=E629,"pagado","no pagado"),"no pagado")</f>
        <v>pagado</v>
      </c>
      <c r="J629" s="52" t="str">
        <f t="shared" si="384"/>
        <v>pagado</v>
      </c>
      <c r="K629" s="51" t="str">
        <f t="shared" ca="1" si="385"/>
        <v>excluir</v>
      </c>
      <c r="L629" s="51" t="str">
        <f t="shared" ca="1" si="386"/>
        <v>no semana</v>
      </c>
      <c r="M629" s="51" t="str">
        <f>IFERROR(VLOOKUP(E629,'cheques a conf'!A:D,4,FALSE),"no clearing")</f>
        <v>no clearing</v>
      </c>
      <c r="N629" s="51">
        <f t="shared" si="387"/>
        <v>39</v>
      </c>
      <c r="O629" s="53">
        <f t="shared" si="388"/>
        <v>9</v>
      </c>
      <c r="P629" s="53">
        <f t="shared" si="389"/>
        <v>2025</v>
      </c>
    </row>
    <row r="630" spans="1:16" customFormat="1" x14ac:dyDescent="0.25">
      <c r="A630" s="21">
        <v>3000001340</v>
      </c>
      <c r="B630" s="22">
        <v>45922</v>
      </c>
      <c r="C630" s="20">
        <v>11000000</v>
      </c>
      <c r="D630" s="21" t="s">
        <v>300</v>
      </c>
      <c r="E630" s="21">
        <v>97123822</v>
      </c>
      <c r="F630" s="20">
        <v>11000000</v>
      </c>
      <c r="G630" s="22">
        <v>45926</v>
      </c>
      <c r="H630" s="21" t="s">
        <v>61</v>
      </c>
      <c r="I630" s="51" t="str">
        <f>IFERROR(IF(VLOOKUP(E630,extracto!C:C,1,FALSE)=E630,"pagado","no pagado"),"no pagado")</f>
        <v>pagado</v>
      </c>
      <c r="J630" s="52" t="str">
        <f t="shared" si="384"/>
        <v>pagado</v>
      </c>
      <c r="K630" s="51" t="str">
        <f t="shared" ca="1" si="385"/>
        <v>excluir</v>
      </c>
      <c r="L630" s="51" t="str">
        <f t="shared" ca="1" si="386"/>
        <v>no semana</v>
      </c>
      <c r="M630" s="51" t="str">
        <f>IFERROR(VLOOKUP(E630,'cheques a conf'!A:D,4,FALSE),"no clearing")</f>
        <v>no clearing</v>
      </c>
      <c r="N630" s="51">
        <f t="shared" si="387"/>
        <v>39</v>
      </c>
      <c r="O630" s="53">
        <f t="shared" si="388"/>
        <v>9</v>
      </c>
      <c r="P630" s="53">
        <f t="shared" si="389"/>
        <v>2025</v>
      </c>
    </row>
    <row r="631" spans="1:16" customFormat="1" x14ac:dyDescent="0.25">
      <c r="A631" s="21">
        <v>3000001340</v>
      </c>
      <c r="B631" s="22">
        <v>45922</v>
      </c>
      <c r="C631" s="20">
        <v>5228245.2300000004</v>
      </c>
      <c r="D631" s="21" t="s">
        <v>300</v>
      </c>
      <c r="E631" s="21">
        <v>97123823</v>
      </c>
      <c r="F631" s="20">
        <v>5228245.2300000004</v>
      </c>
      <c r="G631" s="22">
        <v>45926</v>
      </c>
      <c r="H631" s="21" t="s">
        <v>61</v>
      </c>
      <c r="I631" s="51" t="str">
        <f>IFERROR(IF(VLOOKUP(E631,extracto!C:C,1,FALSE)=E631,"pagado","no pagado"),"no pagado")</f>
        <v>pagado</v>
      </c>
      <c r="J631" s="52" t="str">
        <f t="shared" si="384"/>
        <v>pagado</v>
      </c>
      <c r="K631" s="51" t="str">
        <f t="shared" ca="1" si="385"/>
        <v>excluir</v>
      </c>
      <c r="L631" s="51" t="str">
        <f t="shared" ca="1" si="386"/>
        <v>no semana</v>
      </c>
      <c r="M631" s="51" t="str">
        <f>IFERROR(VLOOKUP(E631,'cheques a conf'!A:D,4,FALSE),"no clearing")</f>
        <v>no clearing</v>
      </c>
      <c r="N631" s="51">
        <f t="shared" si="387"/>
        <v>39</v>
      </c>
      <c r="O631" s="53">
        <f t="shared" si="388"/>
        <v>9</v>
      </c>
      <c r="P631" s="53">
        <f t="shared" si="389"/>
        <v>2025</v>
      </c>
    </row>
    <row r="632" spans="1:16" customFormat="1" x14ac:dyDescent="0.25">
      <c r="A632" s="21">
        <v>3000001341</v>
      </c>
      <c r="B632" s="22">
        <v>45922</v>
      </c>
      <c r="C632" s="20">
        <v>7606584</v>
      </c>
      <c r="D632" s="21" t="s">
        <v>197</v>
      </c>
      <c r="E632" s="21">
        <v>97123824</v>
      </c>
      <c r="F632" s="20">
        <v>7606584</v>
      </c>
      <c r="G632" s="22">
        <v>45926</v>
      </c>
      <c r="H632" s="21" t="s">
        <v>61</v>
      </c>
      <c r="I632" s="51" t="str">
        <f>IFERROR(IF(VLOOKUP(E632,extracto!C:C,1,FALSE)=E632,"pagado","no pagado"),"no pagado")</f>
        <v>pagado</v>
      </c>
      <c r="J632" s="52" t="str">
        <f t="shared" si="384"/>
        <v>pagado</v>
      </c>
      <c r="K632" s="51" t="str">
        <f t="shared" ca="1" si="385"/>
        <v>excluir</v>
      </c>
      <c r="L632" s="51" t="str">
        <f t="shared" ca="1" si="386"/>
        <v>no semana</v>
      </c>
      <c r="M632" s="51" t="str">
        <f>IFERROR(VLOOKUP(E632,'cheques a conf'!A:D,4,FALSE),"no clearing")</f>
        <v>no clearing</v>
      </c>
      <c r="N632" s="51">
        <f t="shared" si="387"/>
        <v>39</v>
      </c>
      <c r="O632" s="53">
        <f t="shared" si="388"/>
        <v>9</v>
      </c>
      <c r="P632" s="53">
        <f t="shared" si="389"/>
        <v>2025</v>
      </c>
    </row>
    <row r="633" spans="1:16" customFormat="1" x14ac:dyDescent="0.25">
      <c r="A633" s="21">
        <v>3000001342</v>
      </c>
      <c r="B633" s="22">
        <v>45922</v>
      </c>
      <c r="C633" s="20">
        <v>13511780.1</v>
      </c>
      <c r="D633" s="21" t="s">
        <v>359</v>
      </c>
      <c r="E633" s="21">
        <v>97123825</v>
      </c>
      <c r="F633" s="20">
        <v>13511780.1</v>
      </c>
      <c r="G633" s="22">
        <v>45926</v>
      </c>
      <c r="H633" s="21" t="s">
        <v>61</v>
      </c>
      <c r="I633" s="51" t="str">
        <f>IFERROR(IF(VLOOKUP(E633,extracto!C:C,1,FALSE)=E633,"pagado","no pagado"),"no pagado")</f>
        <v>pagado</v>
      </c>
      <c r="J633" s="52" t="str">
        <f t="shared" si="384"/>
        <v>pagado</v>
      </c>
      <c r="K633" s="51" t="str">
        <f t="shared" ca="1" si="385"/>
        <v>excluir</v>
      </c>
      <c r="L633" s="51" t="str">
        <f t="shared" ca="1" si="386"/>
        <v>no semana</v>
      </c>
      <c r="M633" s="51" t="str">
        <f>IFERROR(VLOOKUP(E633,'cheques a conf'!A:D,4,FALSE),"no clearing")</f>
        <v>no clearing</v>
      </c>
      <c r="N633" s="51">
        <f t="shared" si="387"/>
        <v>39</v>
      </c>
      <c r="O633" s="53">
        <f t="shared" si="388"/>
        <v>9</v>
      </c>
      <c r="P633" s="53">
        <f t="shared" si="389"/>
        <v>2025</v>
      </c>
    </row>
    <row r="634" spans="1:16" customFormat="1" x14ac:dyDescent="0.25">
      <c r="A634" s="21">
        <v>3000001343</v>
      </c>
      <c r="B634" s="22">
        <v>45922</v>
      </c>
      <c r="C634" s="20">
        <v>6641067.7999999998</v>
      </c>
      <c r="D634" s="21" t="s">
        <v>371</v>
      </c>
      <c r="E634" s="21">
        <v>97123826</v>
      </c>
      <c r="F634" s="20">
        <v>6641067.7999999998</v>
      </c>
      <c r="G634" s="22">
        <v>45926</v>
      </c>
      <c r="H634" s="21" t="s">
        <v>61</v>
      </c>
      <c r="I634" s="51" t="str">
        <f>IFERROR(IF(VLOOKUP(E634,extracto!C:C,1,FALSE)=E634,"pagado","no pagado"),"no pagado")</f>
        <v>pagado</v>
      </c>
      <c r="J634" s="52" t="str">
        <f t="shared" si="384"/>
        <v>pagado</v>
      </c>
      <c r="K634" s="51" t="str">
        <f t="shared" ca="1" si="385"/>
        <v>excluir</v>
      </c>
      <c r="L634" s="51" t="str">
        <f t="shared" ca="1" si="386"/>
        <v>no semana</v>
      </c>
      <c r="M634" s="51" t="str">
        <f>IFERROR(VLOOKUP(E634,'cheques a conf'!A:D,4,FALSE),"no clearing")</f>
        <v>no clearing</v>
      </c>
      <c r="N634" s="51">
        <f t="shared" si="387"/>
        <v>39</v>
      </c>
      <c r="O634" s="53">
        <f t="shared" si="388"/>
        <v>9</v>
      </c>
      <c r="P634" s="53">
        <f t="shared" si="389"/>
        <v>2025</v>
      </c>
    </row>
    <row r="635" spans="1:16" customFormat="1" x14ac:dyDescent="0.25">
      <c r="A635" s="21">
        <v>3000001344</v>
      </c>
      <c r="B635" s="22">
        <v>45922</v>
      </c>
      <c r="C635" s="20">
        <v>9531186.1799999997</v>
      </c>
      <c r="D635" s="21" t="s">
        <v>394</v>
      </c>
      <c r="E635" s="21">
        <v>97123827</v>
      </c>
      <c r="F635" s="20">
        <v>9531186.1799999997</v>
      </c>
      <c r="G635" s="22">
        <v>45926</v>
      </c>
      <c r="H635" s="21" t="s">
        <v>61</v>
      </c>
      <c r="I635" s="51" t="str">
        <f>IFERROR(IF(VLOOKUP(E635,extracto!C:C,1,FALSE)=E635,"pagado","no pagado"),"no pagado")</f>
        <v>pagado</v>
      </c>
      <c r="J635" s="52" t="str">
        <f t="shared" si="384"/>
        <v>pagado</v>
      </c>
      <c r="K635" s="51" t="str">
        <f t="shared" ca="1" si="385"/>
        <v>excluir</v>
      </c>
      <c r="L635" s="51" t="str">
        <f t="shared" ca="1" si="386"/>
        <v>no semana</v>
      </c>
      <c r="M635" s="51" t="str">
        <f>IFERROR(VLOOKUP(E635,'cheques a conf'!A:D,4,FALSE),"no clearing")</f>
        <v>no clearing</v>
      </c>
      <c r="N635" s="51">
        <f t="shared" si="387"/>
        <v>39</v>
      </c>
      <c r="O635" s="53">
        <f t="shared" si="388"/>
        <v>9</v>
      </c>
      <c r="P635" s="53">
        <f t="shared" si="389"/>
        <v>2025</v>
      </c>
    </row>
    <row r="636" spans="1:16" customFormat="1" x14ac:dyDescent="0.25">
      <c r="A636" s="21">
        <v>3000001345</v>
      </c>
      <c r="B636" s="22">
        <v>45922</v>
      </c>
      <c r="C636" s="20">
        <v>23192768.780000001</v>
      </c>
      <c r="D636" s="21" t="s">
        <v>338</v>
      </c>
      <c r="E636" s="21">
        <v>97123828</v>
      </c>
      <c r="F636" s="20">
        <v>23192768.780000001</v>
      </c>
      <c r="G636" s="22">
        <v>45926</v>
      </c>
      <c r="H636" s="21" t="s">
        <v>61</v>
      </c>
      <c r="I636" s="51" t="str">
        <f>IFERROR(IF(VLOOKUP(E636,extracto!C:C,1,FALSE)=E636,"pagado","no pagado"),"no pagado")</f>
        <v>pagado</v>
      </c>
      <c r="J636" s="52" t="str">
        <f t="shared" si="384"/>
        <v>pagado</v>
      </c>
      <c r="K636" s="51" t="str">
        <f t="shared" ca="1" si="385"/>
        <v>excluir</v>
      </c>
      <c r="L636" s="51" t="str">
        <f t="shared" ca="1" si="386"/>
        <v>no semana</v>
      </c>
      <c r="M636" s="51" t="str">
        <f>IFERROR(VLOOKUP(E636,'cheques a conf'!A:D,4,FALSE),"no clearing")</f>
        <v>no clearing</v>
      </c>
      <c r="N636" s="51">
        <f t="shared" si="387"/>
        <v>39</v>
      </c>
      <c r="O636" s="53">
        <f t="shared" si="388"/>
        <v>9</v>
      </c>
      <c r="P636" s="53">
        <f t="shared" si="389"/>
        <v>2025</v>
      </c>
    </row>
    <row r="637" spans="1:16" customFormat="1" x14ac:dyDescent="0.25">
      <c r="A637" s="21">
        <v>3000001346</v>
      </c>
      <c r="B637" s="22">
        <v>45922</v>
      </c>
      <c r="C637" s="20">
        <v>5325635.8600000003</v>
      </c>
      <c r="D637" s="21" t="s">
        <v>414</v>
      </c>
      <c r="E637" s="21">
        <v>97123829</v>
      </c>
      <c r="F637" s="20">
        <v>5325635.8600000003</v>
      </c>
      <c r="G637" s="22">
        <v>45926</v>
      </c>
      <c r="H637" s="21" t="s">
        <v>61</v>
      </c>
      <c r="I637" s="51" t="str">
        <f>IFERROR(IF(VLOOKUP(E637,extracto!C:C,1,FALSE)=E637,"pagado","no pagado"),"no pagado")</f>
        <v>pagado</v>
      </c>
      <c r="J637" s="52" t="str">
        <f t="shared" si="384"/>
        <v>pagado</v>
      </c>
      <c r="K637" s="51" t="str">
        <f t="shared" ca="1" si="385"/>
        <v>excluir</v>
      </c>
      <c r="L637" s="51" t="str">
        <f t="shared" ca="1" si="386"/>
        <v>no semana</v>
      </c>
      <c r="M637" s="51" t="str">
        <f>IFERROR(VLOOKUP(E637,'cheques a conf'!A:D,4,FALSE),"no clearing")</f>
        <v>no clearing</v>
      </c>
      <c r="N637" s="51">
        <f t="shared" si="387"/>
        <v>39</v>
      </c>
      <c r="O637" s="53">
        <f t="shared" si="388"/>
        <v>9</v>
      </c>
      <c r="P637" s="53">
        <f t="shared" si="389"/>
        <v>2025</v>
      </c>
    </row>
    <row r="638" spans="1:16" customFormat="1" x14ac:dyDescent="0.25">
      <c r="A638" s="21">
        <v>3000001347</v>
      </c>
      <c r="B638" s="22">
        <v>45922</v>
      </c>
      <c r="C638" s="20">
        <v>8895626.3399999999</v>
      </c>
      <c r="D638" s="21" t="s">
        <v>392</v>
      </c>
      <c r="E638" s="21">
        <v>97123830</v>
      </c>
      <c r="F638" s="20">
        <v>8895626.3399999999</v>
      </c>
      <c r="G638" s="22">
        <v>45926</v>
      </c>
      <c r="H638" s="21" t="s">
        <v>61</v>
      </c>
      <c r="I638" s="51" t="str">
        <f>IFERROR(IF(VLOOKUP(E638,extracto!C:C,1,FALSE)=E638,"pagado","no pagado"),"no pagado")</f>
        <v>pagado</v>
      </c>
      <c r="J638" s="52" t="str">
        <f t="shared" si="384"/>
        <v>pagado</v>
      </c>
      <c r="K638" s="51" t="str">
        <f t="shared" ca="1" si="385"/>
        <v>excluir</v>
      </c>
      <c r="L638" s="51" t="str">
        <f t="shared" ca="1" si="386"/>
        <v>no semana</v>
      </c>
      <c r="M638" s="51" t="str">
        <f>IFERROR(VLOOKUP(E638,'cheques a conf'!A:D,4,FALSE),"no clearing")</f>
        <v>no clearing</v>
      </c>
      <c r="N638" s="51">
        <f t="shared" si="387"/>
        <v>39</v>
      </c>
      <c r="O638" s="53">
        <f t="shared" si="388"/>
        <v>9</v>
      </c>
      <c r="P638" s="53">
        <f t="shared" si="389"/>
        <v>2025</v>
      </c>
    </row>
    <row r="639" spans="1:16" customFormat="1" x14ac:dyDescent="0.25">
      <c r="A639" s="21">
        <v>3000001348</v>
      </c>
      <c r="B639" s="22">
        <v>45922</v>
      </c>
      <c r="C639" s="20">
        <v>7862534.2800000003</v>
      </c>
      <c r="D639" s="21" t="s">
        <v>340</v>
      </c>
      <c r="E639" s="21">
        <v>97123831</v>
      </c>
      <c r="F639" s="20">
        <v>7862534.2800000003</v>
      </c>
      <c r="G639" s="22">
        <v>45926</v>
      </c>
      <c r="H639" s="21" t="s">
        <v>61</v>
      </c>
      <c r="I639" s="51" t="str">
        <f>IFERROR(IF(VLOOKUP(E639,extracto!C:C,1,FALSE)=E639,"pagado","no pagado"),"no pagado")</f>
        <v>pagado</v>
      </c>
      <c r="J639" s="52" t="str">
        <f t="shared" si="384"/>
        <v>pagado</v>
      </c>
      <c r="K639" s="51" t="str">
        <f t="shared" ca="1" si="385"/>
        <v>excluir</v>
      </c>
      <c r="L639" s="51" t="str">
        <f t="shared" ca="1" si="386"/>
        <v>no semana</v>
      </c>
      <c r="M639" s="51" t="str">
        <f>IFERROR(VLOOKUP(E639,'cheques a conf'!A:D,4,FALSE),"no clearing")</f>
        <v>no clearing</v>
      </c>
      <c r="N639" s="51">
        <f t="shared" si="387"/>
        <v>39</v>
      </c>
      <c r="O639" s="53">
        <f t="shared" si="388"/>
        <v>9</v>
      </c>
      <c r="P639" s="53">
        <f t="shared" si="389"/>
        <v>2025</v>
      </c>
    </row>
    <row r="640" spans="1:16" customFormat="1" x14ac:dyDescent="0.25">
      <c r="A640" s="21">
        <v>3000001349</v>
      </c>
      <c r="B640" s="22">
        <v>45922</v>
      </c>
      <c r="C640" s="20">
        <v>3467036.5</v>
      </c>
      <c r="D640" s="21" t="s">
        <v>415</v>
      </c>
      <c r="E640" s="21">
        <v>97123832</v>
      </c>
      <c r="F640" s="20">
        <v>3467036.5</v>
      </c>
      <c r="G640" s="22">
        <v>45926</v>
      </c>
      <c r="H640" s="21" t="s">
        <v>61</v>
      </c>
      <c r="I640" s="51" t="str">
        <f>IFERROR(IF(VLOOKUP(E640,extracto!C:C,1,FALSE)=E640,"pagado","no pagado"),"no pagado")</f>
        <v>pagado</v>
      </c>
      <c r="J640" s="52" t="str">
        <f t="shared" si="384"/>
        <v>pagado</v>
      </c>
      <c r="K640" s="51" t="str">
        <f t="shared" ca="1" si="385"/>
        <v>excluir</v>
      </c>
      <c r="L640" s="51" t="str">
        <f t="shared" ca="1" si="386"/>
        <v>no semana</v>
      </c>
      <c r="M640" s="51" t="str">
        <f>IFERROR(VLOOKUP(E640,'cheques a conf'!A:D,4,FALSE),"no clearing")</f>
        <v>no clearing</v>
      </c>
      <c r="N640" s="51">
        <f t="shared" si="387"/>
        <v>39</v>
      </c>
      <c r="O640" s="53">
        <f t="shared" si="388"/>
        <v>9</v>
      </c>
      <c r="P640" s="53">
        <f t="shared" si="389"/>
        <v>2025</v>
      </c>
    </row>
    <row r="641" spans="1:16" customFormat="1" x14ac:dyDescent="0.25">
      <c r="A641" s="21">
        <v>3000001350</v>
      </c>
      <c r="B641" s="22">
        <v>45922</v>
      </c>
      <c r="C641" s="20">
        <v>8525266.1999999993</v>
      </c>
      <c r="D641" s="21" t="s">
        <v>302</v>
      </c>
      <c r="E641" s="21">
        <v>97123833</v>
      </c>
      <c r="F641" s="20">
        <v>8525266.1999999993</v>
      </c>
      <c r="G641" s="22">
        <v>45926</v>
      </c>
      <c r="H641" s="21" t="s">
        <v>61</v>
      </c>
      <c r="I641" s="51" t="str">
        <f>IFERROR(IF(VLOOKUP(E641,extracto!C:C,1,FALSE)=E641,"pagado","no pagado"),"no pagado")</f>
        <v>pagado</v>
      </c>
      <c r="J641" s="52" t="str">
        <f t="shared" si="384"/>
        <v>pagado</v>
      </c>
      <c r="K641" s="51" t="str">
        <f t="shared" ca="1" si="385"/>
        <v>excluir</v>
      </c>
      <c r="L641" s="51" t="str">
        <f t="shared" ca="1" si="386"/>
        <v>no semana</v>
      </c>
      <c r="M641" s="51" t="str">
        <f>IFERROR(VLOOKUP(E641,'cheques a conf'!A:D,4,FALSE),"no clearing")</f>
        <v>no clearing</v>
      </c>
      <c r="N641" s="51">
        <f t="shared" si="387"/>
        <v>39</v>
      </c>
      <c r="O641" s="53">
        <f t="shared" si="388"/>
        <v>9</v>
      </c>
      <c r="P641" s="53">
        <f t="shared" si="389"/>
        <v>2025</v>
      </c>
    </row>
    <row r="642" spans="1:16" customFormat="1" x14ac:dyDescent="0.25">
      <c r="A642" s="21">
        <v>3000001362</v>
      </c>
      <c r="B642" s="22">
        <v>45923</v>
      </c>
      <c r="C642" s="20">
        <v>2263272.7799999998</v>
      </c>
      <c r="D642" s="21" t="s">
        <v>16</v>
      </c>
      <c r="E642" s="21">
        <v>97123834</v>
      </c>
      <c r="F642" s="20">
        <v>2263272.7799999998</v>
      </c>
      <c r="G642" s="22">
        <v>45926</v>
      </c>
      <c r="H642" s="21" t="s">
        <v>61</v>
      </c>
      <c r="I642" s="51" t="str">
        <f>IFERROR(IF(VLOOKUP(E642,extracto!C:C,1,FALSE)=E642,"pagado","no pagado"),"no pagado")</f>
        <v>pagado</v>
      </c>
      <c r="J642" s="52" t="str">
        <f t="shared" si="384"/>
        <v>pagado</v>
      </c>
      <c r="K642" s="51" t="str">
        <f t="shared" ca="1" si="385"/>
        <v>excluir</v>
      </c>
      <c r="L642" s="51" t="str">
        <f t="shared" ca="1" si="386"/>
        <v>no semana</v>
      </c>
      <c r="M642" s="51" t="str">
        <f>IFERROR(VLOOKUP(E642,'cheques a conf'!A:D,4,FALSE),"no clearing")</f>
        <v>no clearing</v>
      </c>
      <c r="N642" s="51">
        <f t="shared" si="387"/>
        <v>39</v>
      </c>
      <c r="O642" s="53">
        <f t="shared" si="388"/>
        <v>9</v>
      </c>
      <c r="P642" s="53">
        <f t="shared" si="389"/>
        <v>2025</v>
      </c>
    </row>
    <row r="643" spans="1:16" customFormat="1" x14ac:dyDescent="0.25">
      <c r="A643" s="21">
        <v>3000001363</v>
      </c>
      <c r="B643" s="22">
        <v>45923</v>
      </c>
      <c r="C643" s="20">
        <v>15000000</v>
      </c>
      <c r="D643" s="21" t="s">
        <v>303</v>
      </c>
      <c r="E643" s="21">
        <v>97123835</v>
      </c>
      <c r="F643" s="20">
        <v>15000000</v>
      </c>
      <c r="G643" s="22">
        <v>45926</v>
      </c>
      <c r="H643" s="21" t="s">
        <v>61</v>
      </c>
      <c r="I643" s="51" t="str">
        <f>IFERROR(IF(VLOOKUP(E643,extracto!C:C,1,FALSE)=E643,"pagado","no pagado"),"no pagado")</f>
        <v>pagado</v>
      </c>
      <c r="J643" s="52" t="str">
        <f t="shared" si="384"/>
        <v>pagado</v>
      </c>
      <c r="K643" s="51" t="str">
        <f t="shared" ca="1" si="385"/>
        <v>excluir</v>
      </c>
      <c r="L643" s="51" t="str">
        <f t="shared" ca="1" si="386"/>
        <v>no semana</v>
      </c>
      <c r="M643" s="51" t="str">
        <f>IFERROR(VLOOKUP(E643,'cheques a conf'!A:D,4,FALSE),"no clearing")</f>
        <v>no clearing</v>
      </c>
      <c r="N643" s="51">
        <f t="shared" si="387"/>
        <v>39</v>
      </c>
      <c r="O643" s="53">
        <f t="shared" si="388"/>
        <v>9</v>
      </c>
      <c r="P643" s="53">
        <f t="shared" si="389"/>
        <v>2025</v>
      </c>
    </row>
    <row r="644" spans="1:16" customFormat="1" x14ac:dyDescent="0.25">
      <c r="A644" s="21">
        <v>3000001363</v>
      </c>
      <c r="B644" s="22">
        <v>45923</v>
      </c>
      <c r="C644" s="20">
        <v>14659530.25</v>
      </c>
      <c r="D644" s="21" t="s">
        <v>303</v>
      </c>
      <c r="E644" s="21">
        <v>97123836</v>
      </c>
      <c r="F644" s="20">
        <v>14659530.25</v>
      </c>
      <c r="G644" s="22">
        <v>45929</v>
      </c>
      <c r="H644" s="21" t="s">
        <v>61</v>
      </c>
      <c r="I644" s="51" t="str">
        <f>IFERROR(IF(VLOOKUP(E644,extracto!C:C,1,FALSE)=E644,"pagado","no pagado"),"no pagado")</f>
        <v>pagado</v>
      </c>
      <c r="J644" s="52" t="str">
        <f t="shared" si="384"/>
        <v>pagado</v>
      </c>
      <c r="K644" s="51" t="str">
        <f t="shared" ca="1" si="385"/>
        <v>excluir</v>
      </c>
      <c r="L644" s="51" t="str">
        <f t="shared" ca="1" si="386"/>
        <v>no semana</v>
      </c>
      <c r="M644" s="51" t="str">
        <f>IFERROR(VLOOKUP(E644,'cheques a conf'!A:D,4,FALSE),"no clearing")</f>
        <v>no clearing</v>
      </c>
      <c r="N644" s="51">
        <f t="shared" si="387"/>
        <v>40</v>
      </c>
      <c r="O644" s="53">
        <f t="shared" si="388"/>
        <v>9</v>
      </c>
      <c r="P644" s="53">
        <f t="shared" si="389"/>
        <v>2025</v>
      </c>
    </row>
    <row r="645" spans="1:16" customFormat="1" x14ac:dyDescent="0.25">
      <c r="A645" s="21">
        <v>3000001364</v>
      </c>
      <c r="B645" s="22">
        <v>45923</v>
      </c>
      <c r="C645" s="20">
        <v>3417060.81</v>
      </c>
      <c r="D645" s="21" t="s">
        <v>396</v>
      </c>
      <c r="E645" s="21">
        <v>97123837</v>
      </c>
      <c r="F645" s="20">
        <v>3417060.81</v>
      </c>
      <c r="G645" s="22">
        <v>45926</v>
      </c>
      <c r="H645" s="21" t="s">
        <v>61</v>
      </c>
      <c r="I645" s="51" t="str">
        <f>IFERROR(IF(VLOOKUP(E645,extracto!C:C,1,FALSE)=E645,"pagado","no pagado"),"no pagado")</f>
        <v>pagado</v>
      </c>
      <c r="J645" s="52" t="str">
        <f t="shared" si="384"/>
        <v>pagado</v>
      </c>
      <c r="K645" s="51" t="str">
        <f t="shared" ca="1" si="385"/>
        <v>excluir</v>
      </c>
      <c r="L645" s="51" t="str">
        <f t="shared" ca="1" si="386"/>
        <v>no semana</v>
      </c>
      <c r="M645" s="51" t="str">
        <f>IFERROR(VLOOKUP(E645,'cheques a conf'!A:D,4,FALSE),"no clearing")</f>
        <v>no clearing</v>
      </c>
      <c r="N645" s="51">
        <f t="shared" si="387"/>
        <v>39</v>
      </c>
      <c r="O645" s="53">
        <f t="shared" si="388"/>
        <v>9</v>
      </c>
      <c r="P645" s="53">
        <f t="shared" si="389"/>
        <v>2025</v>
      </c>
    </row>
    <row r="646" spans="1:16" customFormat="1" x14ac:dyDescent="0.25">
      <c r="A646" s="21">
        <v>3000001365</v>
      </c>
      <c r="B646" s="22">
        <v>45923</v>
      </c>
      <c r="C646" s="20">
        <v>7283390.4000000004</v>
      </c>
      <c r="D646" s="21" t="s">
        <v>337</v>
      </c>
      <c r="E646" s="21">
        <v>97123838</v>
      </c>
      <c r="F646" s="20">
        <v>7283390.4000000004</v>
      </c>
      <c r="G646" s="22">
        <v>45926</v>
      </c>
      <c r="H646" s="21" t="s">
        <v>61</v>
      </c>
      <c r="I646" s="51" t="str">
        <f>IFERROR(IF(VLOOKUP(E646,extracto!C:C,1,FALSE)=E646,"pagado","no pagado"),"no pagado")</f>
        <v>pagado</v>
      </c>
      <c r="J646" s="52" t="str">
        <f t="shared" si="384"/>
        <v>pagado</v>
      </c>
      <c r="K646" s="51" t="str">
        <f t="shared" ca="1" si="385"/>
        <v>excluir</v>
      </c>
      <c r="L646" s="51" t="str">
        <f t="shared" ca="1" si="386"/>
        <v>no semana</v>
      </c>
      <c r="M646" s="51" t="str">
        <f>IFERROR(VLOOKUP(E646,'cheques a conf'!A:D,4,FALSE),"no clearing")</f>
        <v>no clearing</v>
      </c>
      <c r="N646" s="51">
        <f t="shared" si="387"/>
        <v>39</v>
      </c>
      <c r="O646" s="53">
        <f t="shared" si="388"/>
        <v>9</v>
      </c>
      <c r="P646" s="53">
        <f t="shared" si="389"/>
        <v>2025</v>
      </c>
    </row>
    <row r="647" spans="1:16" customFormat="1" x14ac:dyDescent="0.25">
      <c r="A647" s="21">
        <v>3000001366</v>
      </c>
      <c r="B647" s="22">
        <v>45923</v>
      </c>
      <c r="C647" s="20">
        <v>3562049.92</v>
      </c>
      <c r="D647" s="21" t="s">
        <v>391</v>
      </c>
      <c r="E647" s="21">
        <v>97123839</v>
      </c>
      <c r="F647" s="20">
        <v>3562049.92</v>
      </c>
      <c r="G647" s="22">
        <v>45926</v>
      </c>
      <c r="H647" s="21" t="s">
        <v>61</v>
      </c>
      <c r="I647" s="51" t="str">
        <f>IFERROR(IF(VLOOKUP(E647,extracto!C:C,1,FALSE)=E647,"pagado","no pagado"),"no pagado")</f>
        <v>pagado</v>
      </c>
      <c r="J647" s="52" t="str">
        <f t="shared" si="384"/>
        <v>pagado</v>
      </c>
      <c r="K647" s="51" t="str">
        <f t="shared" ca="1" si="385"/>
        <v>excluir</v>
      </c>
      <c r="L647" s="51" t="str">
        <f t="shared" ca="1" si="386"/>
        <v>no semana</v>
      </c>
      <c r="M647" s="51" t="str">
        <f>IFERROR(VLOOKUP(E647,'cheques a conf'!A:D,4,FALSE),"no clearing")</f>
        <v>no clearing</v>
      </c>
      <c r="N647" s="51">
        <f t="shared" si="387"/>
        <v>39</v>
      </c>
      <c r="O647" s="53">
        <f t="shared" si="388"/>
        <v>9</v>
      </c>
      <c r="P647" s="53">
        <f t="shared" si="389"/>
        <v>2025</v>
      </c>
    </row>
    <row r="648" spans="1:16" customFormat="1" x14ac:dyDescent="0.25">
      <c r="A648" s="21">
        <v>3000001367</v>
      </c>
      <c r="B648" s="22">
        <v>45923</v>
      </c>
      <c r="C648" s="20">
        <v>13000000</v>
      </c>
      <c r="D648" s="21" t="s">
        <v>26</v>
      </c>
      <c r="E648" s="21">
        <v>97123840</v>
      </c>
      <c r="F648" s="20">
        <v>13000000</v>
      </c>
      <c r="G648" s="22">
        <v>45926</v>
      </c>
      <c r="H648" s="21" t="s">
        <v>61</v>
      </c>
      <c r="I648" s="51" t="str">
        <f>IFERROR(IF(VLOOKUP(E648,extracto!C:C,1,FALSE)=E648,"pagado","no pagado"),"no pagado")</f>
        <v>pagado</v>
      </c>
      <c r="J648" s="52" t="str">
        <f t="shared" si="384"/>
        <v>pagado</v>
      </c>
      <c r="K648" s="51" t="str">
        <f t="shared" ca="1" si="385"/>
        <v>excluir</v>
      </c>
      <c r="L648" s="51" t="str">
        <f t="shared" ca="1" si="386"/>
        <v>no semana</v>
      </c>
      <c r="M648" s="51" t="str">
        <f>IFERROR(VLOOKUP(E648,'cheques a conf'!A:D,4,FALSE),"no clearing")</f>
        <v>no clearing</v>
      </c>
      <c r="N648" s="51">
        <f t="shared" si="387"/>
        <v>39</v>
      </c>
      <c r="O648" s="53">
        <f t="shared" si="388"/>
        <v>9</v>
      </c>
      <c r="P648" s="53">
        <f t="shared" si="389"/>
        <v>2025</v>
      </c>
    </row>
    <row r="649" spans="1:16" customFormat="1" x14ac:dyDescent="0.25">
      <c r="A649" s="21">
        <v>3000001367</v>
      </c>
      <c r="B649" s="22">
        <v>45923</v>
      </c>
      <c r="C649" s="20">
        <v>10014781.220000001</v>
      </c>
      <c r="D649" s="21" t="s">
        <v>26</v>
      </c>
      <c r="E649" s="21">
        <v>97123841</v>
      </c>
      <c r="F649" s="20">
        <v>10014781.220000001</v>
      </c>
      <c r="G649" s="22">
        <v>45929</v>
      </c>
      <c r="H649" s="21" t="s">
        <v>61</v>
      </c>
      <c r="I649" s="51" t="str">
        <f>IFERROR(IF(VLOOKUP(E649,extracto!C:C,1,FALSE)=E649,"pagado","no pagado"),"no pagado")</f>
        <v>pagado</v>
      </c>
      <c r="J649" s="52" t="str">
        <f t="shared" si="384"/>
        <v>pagado</v>
      </c>
      <c r="K649" s="51" t="str">
        <f t="shared" ca="1" si="385"/>
        <v>excluir</v>
      </c>
      <c r="L649" s="51" t="str">
        <f t="shared" ca="1" si="386"/>
        <v>no semana</v>
      </c>
      <c r="M649" s="51" t="str">
        <f>IFERROR(VLOOKUP(E649,'cheques a conf'!A:D,4,FALSE),"no clearing")</f>
        <v>no clearing</v>
      </c>
      <c r="N649" s="51">
        <f t="shared" si="387"/>
        <v>40</v>
      </c>
      <c r="O649" s="53">
        <f t="shared" si="388"/>
        <v>9</v>
      </c>
      <c r="P649" s="53">
        <f t="shared" si="389"/>
        <v>2025</v>
      </c>
    </row>
    <row r="650" spans="1:16" customFormat="1" x14ac:dyDescent="0.25">
      <c r="A650" s="21">
        <v>3000001368</v>
      </c>
      <c r="B650" s="22">
        <v>45923</v>
      </c>
      <c r="C650" s="20">
        <v>8302860.71</v>
      </c>
      <c r="D650" s="21" t="s">
        <v>384</v>
      </c>
      <c r="E650" s="21">
        <v>97123842</v>
      </c>
      <c r="F650" s="20">
        <v>8302860.71</v>
      </c>
      <c r="G650" s="22">
        <v>45926</v>
      </c>
      <c r="H650" s="21" t="s">
        <v>61</v>
      </c>
      <c r="I650" s="51" t="str">
        <f>IFERROR(IF(VLOOKUP(E650,extracto!C:C,1,FALSE)=E650,"pagado","no pagado"),"no pagado")</f>
        <v>pagado</v>
      </c>
      <c r="J650" s="52" t="str">
        <f t="shared" si="384"/>
        <v>pagado</v>
      </c>
      <c r="K650" s="51" t="str">
        <f t="shared" ca="1" si="385"/>
        <v>excluir</v>
      </c>
      <c r="L650" s="51" t="str">
        <f t="shared" ca="1" si="386"/>
        <v>no semana</v>
      </c>
      <c r="M650" s="51" t="str">
        <f>IFERROR(VLOOKUP(E650,'cheques a conf'!A:D,4,FALSE),"no clearing")</f>
        <v>no clearing</v>
      </c>
      <c r="N650" s="51">
        <f t="shared" si="387"/>
        <v>39</v>
      </c>
      <c r="O650" s="53">
        <f t="shared" si="388"/>
        <v>9</v>
      </c>
      <c r="P650" s="53">
        <f t="shared" si="389"/>
        <v>2025</v>
      </c>
    </row>
    <row r="651" spans="1:16" customFormat="1" x14ac:dyDescent="0.25">
      <c r="A651" s="21">
        <v>3000001369</v>
      </c>
      <c r="B651" s="22">
        <v>45923</v>
      </c>
      <c r="C651" s="20">
        <v>20000000</v>
      </c>
      <c r="D651" s="21" t="s">
        <v>398</v>
      </c>
      <c r="E651" s="21">
        <v>97123843</v>
      </c>
      <c r="F651" s="20">
        <v>20000000</v>
      </c>
      <c r="G651" s="22">
        <v>45926</v>
      </c>
      <c r="H651" s="21" t="s">
        <v>61</v>
      </c>
      <c r="I651" s="51" t="str">
        <f>IFERROR(IF(VLOOKUP(E651,extracto!C:C,1,FALSE)=E651,"pagado","no pagado"),"no pagado")</f>
        <v>pagado</v>
      </c>
      <c r="J651" s="52" t="str">
        <f t="shared" si="384"/>
        <v>pagado</v>
      </c>
      <c r="K651" s="51" t="str">
        <f t="shared" ca="1" si="385"/>
        <v>excluir</v>
      </c>
      <c r="L651" s="51" t="str">
        <f t="shared" ca="1" si="386"/>
        <v>no semana</v>
      </c>
      <c r="M651" s="51" t="str">
        <f>IFERROR(VLOOKUP(E651,'cheques a conf'!A:D,4,FALSE),"no clearing")</f>
        <v>no clearing</v>
      </c>
      <c r="N651" s="51">
        <f t="shared" si="387"/>
        <v>39</v>
      </c>
      <c r="O651" s="53">
        <f t="shared" si="388"/>
        <v>9</v>
      </c>
      <c r="P651" s="53">
        <f t="shared" si="389"/>
        <v>2025</v>
      </c>
    </row>
    <row r="652" spans="1:16" customFormat="1" x14ac:dyDescent="0.25">
      <c r="A652" s="21">
        <v>3000001369</v>
      </c>
      <c r="B652" s="22">
        <v>45923</v>
      </c>
      <c r="C652" s="20">
        <v>17206381.899999999</v>
      </c>
      <c r="D652" s="21" t="s">
        <v>398</v>
      </c>
      <c r="E652" s="21">
        <v>97123844</v>
      </c>
      <c r="F652" s="20">
        <v>17206381.899999999</v>
      </c>
      <c r="G652" s="22">
        <v>45929</v>
      </c>
      <c r="H652" s="21" t="s">
        <v>61</v>
      </c>
      <c r="I652" s="51" t="str">
        <f>IFERROR(IF(VLOOKUP(E652,extracto!C:C,1,FALSE)=E652,"pagado","no pagado"),"no pagado")</f>
        <v>pagado</v>
      </c>
      <c r="J652" s="52" t="str">
        <f t="shared" si="384"/>
        <v>pagado</v>
      </c>
      <c r="K652" s="51" t="str">
        <f t="shared" ca="1" si="385"/>
        <v>excluir</v>
      </c>
      <c r="L652" s="51" t="str">
        <f t="shared" ca="1" si="386"/>
        <v>no semana</v>
      </c>
      <c r="M652" s="51" t="str">
        <f>IFERROR(VLOOKUP(E652,'cheques a conf'!A:D,4,FALSE),"no clearing")</f>
        <v>no clearing</v>
      </c>
      <c r="N652" s="51">
        <f t="shared" si="387"/>
        <v>40</v>
      </c>
      <c r="O652" s="53">
        <f t="shared" si="388"/>
        <v>9</v>
      </c>
      <c r="P652" s="53">
        <f t="shared" si="389"/>
        <v>2025</v>
      </c>
    </row>
    <row r="653" spans="1:16" customFormat="1" x14ac:dyDescent="0.25">
      <c r="A653" s="21">
        <v>3000001370</v>
      </c>
      <c r="B653" s="22">
        <v>45923</v>
      </c>
      <c r="C653" s="20">
        <v>5132174.7300000004</v>
      </c>
      <c r="D653" s="21" t="s">
        <v>416</v>
      </c>
      <c r="E653" s="21">
        <v>97123845</v>
      </c>
      <c r="F653" s="20">
        <v>5132174.7300000004</v>
      </c>
      <c r="G653" s="22">
        <v>45926</v>
      </c>
      <c r="H653" s="21" t="s">
        <v>61</v>
      </c>
      <c r="I653" s="51" t="str">
        <f>IFERROR(IF(VLOOKUP(E653,extracto!C:C,1,FALSE)=E653,"pagado","no pagado"),"no pagado")</f>
        <v>pagado</v>
      </c>
      <c r="J653" s="52" t="str">
        <f t="shared" si="384"/>
        <v>pagado</v>
      </c>
      <c r="K653" s="51" t="str">
        <f t="shared" ca="1" si="385"/>
        <v>excluir</v>
      </c>
      <c r="L653" s="51" t="str">
        <f t="shared" ca="1" si="386"/>
        <v>no semana</v>
      </c>
      <c r="M653" s="51" t="str">
        <f>IFERROR(VLOOKUP(E653,'cheques a conf'!A:D,4,FALSE),"no clearing")</f>
        <v>no clearing</v>
      </c>
      <c r="N653" s="51">
        <f t="shared" si="387"/>
        <v>39</v>
      </c>
      <c r="O653" s="53">
        <f t="shared" si="388"/>
        <v>9</v>
      </c>
      <c r="P653" s="53">
        <f t="shared" si="389"/>
        <v>2025</v>
      </c>
    </row>
    <row r="654" spans="1:16" customFormat="1" x14ac:dyDescent="0.25">
      <c r="A654" s="21">
        <v>3000001371</v>
      </c>
      <c r="B654" s="22">
        <v>45923</v>
      </c>
      <c r="C654" s="20">
        <v>3759369.3</v>
      </c>
      <c r="D654" s="21" t="s">
        <v>359</v>
      </c>
      <c r="E654" s="21">
        <v>97123846</v>
      </c>
      <c r="F654" s="20">
        <v>3759369.3</v>
      </c>
      <c r="G654" s="22">
        <v>45926</v>
      </c>
      <c r="H654" s="21" t="s">
        <v>61</v>
      </c>
      <c r="I654" s="51" t="str">
        <f>IFERROR(IF(VLOOKUP(E654,extracto!C:C,1,FALSE)=E654,"pagado","no pagado"),"no pagado")</f>
        <v>pagado</v>
      </c>
      <c r="J654" s="52" t="str">
        <f t="shared" si="384"/>
        <v>pagado</v>
      </c>
      <c r="K654" s="51" t="str">
        <f t="shared" ca="1" si="385"/>
        <v>excluir</v>
      </c>
      <c r="L654" s="51" t="str">
        <f t="shared" ca="1" si="386"/>
        <v>no semana</v>
      </c>
      <c r="M654" s="51" t="str">
        <f>IFERROR(VLOOKUP(E654,'cheques a conf'!A:D,4,FALSE),"no clearing")</f>
        <v>no clearing</v>
      </c>
      <c r="N654" s="51">
        <f t="shared" si="387"/>
        <v>39</v>
      </c>
      <c r="O654" s="53">
        <f t="shared" si="388"/>
        <v>9</v>
      </c>
      <c r="P654" s="53">
        <f t="shared" si="389"/>
        <v>2025</v>
      </c>
    </row>
    <row r="655" spans="1:16" customFormat="1" x14ac:dyDescent="0.25">
      <c r="A655" s="21">
        <v>3000001372</v>
      </c>
      <c r="B655" s="22">
        <v>45923</v>
      </c>
      <c r="C655" s="20">
        <v>3748248.52</v>
      </c>
      <c r="D655" s="21" t="s">
        <v>417</v>
      </c>
      <c r="E655" s="21">
        <v>97123847</v>
      </c>
      <c r="F655" s="20">
        <v>3748248.52</v>
      </c>
      <c r="G655" s="22">
        <v>45926</v>
      </c>
      <c r="H655" s="21" t="s">
        <v>61</v>
      </c>
      <c r="I655" s="51" t="str">
        <f>IFERROR(IF(VLOOKUP(E655,extracto!C:C,1,FALSE)=E655,"pagado","no pagado"),"no pagado")</f>
        <v>pagado</v>
      </c>
      <c r="J655" s="52" t="str">
        <f t="shared" si="384"/>
        <v>pagado</v>
      </c>
      <c r="K655" s="51" t="str">
        <f t="shared" ca="1" si="385"/>
        <v>excluir</v>
      </c>
      <c r="L655" s="51" t="str">
        <f t="shared" ca="1" si="386"/>
        <v>no semana</v>
      </c>
      <c r="M655" s="51" t="str">
        <f>IFERROR(VLOOKUP(E655,'cheques a conf'!A:D,4,FALSE),"no clearing")</f>
        <v>no clearing</v>
      </c>
      <c r="N655" s="51">
        <f t="shared" si="387"/>
        <v>39</v>
      </c>
      <c r="O655" s="53">
        <f t="shared" si="388"/>
        <v>9</v>
      </c>
      <c r="P655" s="53">
        <f t="shared" si="389"/>
        <v>2025</v>
      </c>
    </row>
    <row r="656" spans="1:16" customFormat="1" x14ac:dyDescent="0.25">
      <c r="A656" s="21">
        <v>3000001373</v>
      </c>
      <c r="B656" s="22">
        <v>45923</v>
      </c>
      <c r="C656" s="20">
        <v>3968181.02</v>
      </c>
      <c r="D656" s="21" t="s">
        <v>395</v>
      </c>
      <c r="E656" s="21">
        <v>97123848</v>
      </c>
      <c r="F656" s="20">
        <v>3968181.02</v>
      </c>
      <c r="G656" s="22">
        <v>45926</v>
      </c>
      <c r="H656" s="21" t="s">
        <v>61</v>
      </c>
      <c r="I656" s="51" t="str">
        <f>IFERROR(IF(VLOOKUP(E656,extracto!C:C,1,FALSE)=E656,"pagado","no pagado"),"no pagado")</f>
        <v>pagado</v>
      </c>
      <c r="J656" s="52" t="str">
        <f t="shared" si="384"/>
        <v>pagado</v>
      </c>
      <c r="K656" s="51" t="str">
        <f t="shared" ca="1" si="385"/>
        <v>excluir</v>
      </c>
      <c r="L656" s="51" t="str">
        <f t="shared" ca="1" si="386"/>
        <v>no semana</v>
      </c>
      <c r="M656" s="51" t="str">
        <f>IFERROR(VLOOKUP(E656,'cheques a conf'!A:D,4,FALSE),"no clearing")</f>
        <v>no clearing</v>
      </c>
      <c r="N656" s="51">
        <f t="shared" si="387"/>
        <v>39</v>
      </c>
      <c r="O656" s="53">
        <f t="shared" si="388"/>
        <v>9</v>
      </c>
      <c r="P656" s="53">
        <f t="shared" si="389"/>
        <v>2025</v>
      </c>
    </row>
    <row r="657" spans="1:16" customFormat="1" x14ac:dyDescent="0.25">
      <c r="A657" s="21">
        <v>3000001374</v>
      </c>
      <c r="B657" s="22">
        <v>45923</v>
      </c>
      <c r="C657" s="20">
        <v>7477506.9000000004</v>
      </c>
      <c r="D657" s="21" t="s">
        <v>371</v>
      </c>
      <c r="E657" s="21">
        <v>97123849</v>
      </c>
      <c r="F657" s="20">
        <v>7477506.9000000004</v>
      </c>
      <c r="G657" s="22">
        <v>45926</v>
      </c>
      <c r="H657" s="21" t="s">
        <v>61</v>
      </c>
      <c r="I657" s="51" t="str">
        <f>IFERROR(IF(VLOOKUP(E657,extracto!C:C,1,FALSE)=E657,"pagado","no pagado"),"no pagado")</f>
        <v>pagado</v>
      </c>
      <c r="J657" s="52" t="str">
        <f t="shared" si="384"/>
        <v>pagado</v>
      </c>
      <c r="K657" s="51" t="str">
        <f t="shared" ca="1" si="385"/>
        <v>excluir</v>
      </c>
      <c r="L657" s="51" t="str">
        <f t="shared" ca="1" si="386"/>
        <v>no semana</v>
      </c>
      <c r="M657" s="51" t="str">
        <f>IFERROR(VLOOKUP(E657,'cheques a conf'!A:D,4,FALSE),"no clearing")</f>
        <v>no clearing</v>
      </c>
      <c r="N657" s="51">
        <f t="shared" si="387"/>
        <v>39</v>
      </c>
      <c r="O657" s="53">
        <f t="shared" si="388"/>
        <v>9</v>
      </c>
      <c r="P657" s="53">
        <f t="shared" si="389"/>
        <v>2025</v>
      </c>
    </row>
    <row r="658" spans="1:16" customFormat="1" x14ac:dyDescent="0.25">
      <c r="A658" s="21">
        <v>3000001386</v>
      </c>
      <c r="B658" s="22">
        <v>45929</v>
      </c>
      <c r="C658" s="20">
        <v>8382124.0199999996</v>
      </c>
      <c r="D658" s="21" t="s">
        <v>363</v>
      </c>
      <c r="E658" s="21">
        <v>97123850</v>
      </c>
      <c r="F658" s="20">
        <v>8382124.0199999996</v>
      </c>
      <c r="G658" s="22">
        <v>45933</v>
      </c>
      <c r="H658" s="21" t="s">
        <v>61</v>
      </c>
      <c r="I658" s="51" t="str">
        <f>IFERROR(IF(VLOOKUP(E658,extracto!C:C,1,FALSE)=E658,"pagado","no pagado"),"no pagado")</f>
        <v>pagado</v>
      </c>
      <c r="J658" s="52" t="str">
        <f t="shared" si="384"/>
        <v>pagado</v>
      </c>
      <c r="K658" s="51" t="str">
        <f t="shared" ca="1" si="385"/>
        <v>excluir</v>
      </c>
      <c r="L658" s="51" t="str">
        <f t="shared" ca="1" si="386"/>
        <v>no semana</v>
      </c>
      <c r="M658" s="51" t="str">
        <f>IFERROR(VLOOKUP(E658,'cheques a conf'!A:D,4,FALSE),"no clearing")</f>
        <v>no clearing</v>
      </c>
      <c r="N658" s="51">
        <f t="shared" si="387"/>
        <v>40</v>
      </c>
      <c r="O658" s="53">
        <f t="shared" si="388"/>
        <v>10</v>
      </c>
      <c r="P658" s="53">
        <f t="shared" si="389"/>
        <v>2025</v>
      </c>
    </row>
    <row r="659" spans="1:16" customFormat="1" x14ac:dyDescent="0.25">
      <c r="A659" s="21">
        <v>3000001387</v>
      </c>
      <c r="B659" s="22">
        <v>45929</v>
      </c>
      <c r="C659" s="20">
        <v>4594030.68</v>
      </c>
      <c r="D659" s="21" t="s">
        <v>404</v>
      </c>
      <c r="E659" s="21">
        <v>97123851</v>
      </c>
      <c r="F659" s="20">
        <v>4594030.68</v>
      </c>
      <c r="G659" s="22">
        <v>45933</v>
      </c>
      <c r="H659" s="21" t="s">
        <v>61</v>
      </c>
      <c r="I659" s="51" t="str">
        <f>IFERROR(IF(VLOOKUP(E659,extracto!C:C,1,FALSE)=E659,"pagado","no pagado"),"no pagado")</f>
        <v>pagado</v>
      </c>
      <c r="J659" s="52" t="str">
        <f t="shared" si="384"/>
        <v>pagado</v>
      </c>
      <c r="K659" s="51" t="str">
        <f t="shared" ca="1" si="385"/>
        <v>excluir</v>
      </c>
      <c r="L659" s="51" t="str">
        <f t="shared" ca="1" si="386"/>
        <v>no semana</v>
      </c>
      <c r="M659" s="51" t="str">
        <f>IFERROR(VLOOKUP(E659,'cheques a conf'!A:D,4,FALSE),"no clearing")</f>
        <v>no clearing</v>
      </c>
      <c r="N659" s="51">
        <f t="shared" si="387"/>
        <v>40</v>
      </c>
      <c r="O659" s="53">
        <f t="shared" si="388"/>
        <v>10</v>
      </c>
      <c r="P659" s="53">
        <f t="shared" si="389"/>
        <v>2025</v>
      </c>
    </row>
    <row r="660" spans="1:16" customFormat="1" x14ac:dyDescent="0.25">
      <c r="A660" s="21">
        <v>3000001388</v>
      </c>
      <c r="B660" s="22">
        <v>45929</v>
      </c>
      <c r="C660" s="20">
        <v>5216965.05</v>
      </c>
      <c r="D660" s="21" t="s">
        <v>307</v>
      </c>
      <c r="E660" s="21">
        <v>97123852</v>
      </c>
      <c r="F660" s="20">
        <v>5216965.05</v>
      </c>
      <c r="G660" s="22">
        <v>45933</v>
      </c>
      <c r="H660" s="21" t="s">
        <v>61</v>
      </c>
      <c r="I660" s="51" t="str">
        <f>IFERROR(IF(VLOOKUP(E660,extracto!C:C,1,FALSE)=E660,"pagado","no pagado"),"no pagado")</f>
        <v>pagado</v>
      </c>
      <c r="J660" s="52" t="str">
        <f t="shared" si="384"/>
        <v>pagado</v>
      </c>
      <c r="K660" s="51" t="str">
        <f t="shared" ca="1" si="385"/>
        <v>excluir</v>
      </c>
      <c r="L660" s="51" t="str">
        <f t="shared" ca="1" si="386"/>
        <v>no semana</v>
      </c>
      <c r="M660" s="51" t="str">
        <f>IFERROR(VLOOKUP(E660,'cheques a conf'!A:D,4,FALSE),"no clearing")</f>
        <v>no clearing</v>
      </c>
      <c r="N660" s="51">
        <f t="shared" si="387"/>
        <v>40</v>
      </c>
      <c r="O660" s="53">
        <f t="shared" si="388"/>
        <v>10</v>
      </c>
      <c r="P660" s="53">
        <f t="shared" si="389"/>
        <v>2025</v>
      </c>
    </row>
    <row r="661" spans="1:16" customFormat="1" x14ac:dyDescent="0.25">
      <c r="A661" s="21">
        <v>3000001389</v>
      </c>
      <c r="B661" s="22">
        <v>45929</v>
      </c>
      <c r="C661" s="20">
        <v>9472784.8399999999</v>
      </c>
      <c r="D661" s="21" t="s">
        <v>418</v>
      </c>
      <c r="E661" s="21">
        <v>97123853</v>
      </c>
      <c r="F661" s="20">
        <v>9472784.8399999999</v>
      </c>
      <c r="G661" s="22">
        <v>45933</v>
      </c>
      <c r="H661" s="21" t="s">
        <v>61</v>
      </c>
      <c r="I661" s="51" t="str">
        <f>IFERROR(IF(VLOOKUP(E661,extracto!C:C,1,FALSE)=E661,"pagado","no pagado"),"no pagado")</f>
        <v>pagado</v>
      </c>
      <c r="J661" s="52" t="str">
        <f t="shared" si="384"/>
        <v>pagado</v>
      </c>
      <c r="K661" s="51" t="str">
        <f t="shared" ca="1" si="385"/>
        <v>excluir</v>
      </c>
      <c r="L661" s="51" t="str">
        <f t="shared" ca="1" si="386"/>
        <v>no semana</v>
      </c>
      <c r="M661" s="51" t="str">
        <f>IFERROR(VLOOKUP(E661,'cheques a conf'!A:D,4,FALSE),"no clearing")</f>
        <v>no clearing</v>
      </c>
      <c r="N661" s="51">
        <f t="shared" si="387"/>
        <v>40</v>
      </c>
      <c r="O661" s="53">
        <f t="shared" si="388"/>
        <v>10</v>
      </c>
      <c r="P661" s="53">
        <f t="shared" si="389"/>
        <v>2025</v>
      </c>
    </row>
    <row r="662" spans="1:16" customFormat="1" x14ac:dyDescent="0.25">
      <c r="A662" s="21">
        <v>3000001390</v>
      </c>
      <c r="B662" s="22">
        <v>45929</v>
      </c>
      <c r="C662" s="20">
        <v>9878343.4000000004</v>
      </c>
      <c r="D662" s="21" t="s">
        <v>353</v>
      </c>
      <c r="E662" s="21">
        <v>97123854</v>
      </c>
      <c r="F662" s="20">
        <v>9878343.4000000004</v>
      </c>
      <c r="G662" s="22">
        <v>45933</v>
      </c>
      <c r="H662" s="21" t="s">
        <v>61</v>
      </c>
      <c r="I662" s="51" t="str">
        <f>IFERROR(IF(VLOOKUP(E662,extracto!C:C,1,FALSE)=E662,"pagado","no pagado"),"no pagado")</f>
        <v>pagado</v>
      </c>
      <c r="J662" s="52" t="str">
        <f t="shared" si="384"/>
        <v>pagado</v>
      </c>
      <c r="K662" s="51" t="str">
        <f t="shared" ca="1" si="385"/>
        <v>excluir</v>
      </c>
      <c r="L662" s="51" t="str">
        <f t="shared" ca="1" si="386"/>
        <v>no semana</v>
      </c>
      <c r="M662" s="51" t="str">
        <f>IFERROR(VLOOKUP(E662,'cheques a conf'!A:D,4,FALSE),"no clearing")</f>
        <v>no clearing</v>
      </c>
      <c r="N662" s="51">
        <f t="shared" si="387"/>
        <v>40</v>
      </c>
      <c r="O662" s="53">
        <f t="shared" si="388"/>
        <v>10</v>
      </c>
      <c r="P662" s="53">
        <f t="shared" si="389"/>
        <v>2025</v>
      </c>
    </row>
    <row r="663" spans="1:16" customFormat="1" x14ac:dyDescent="0.25">
      <c r="A663" s="21">
        <v>3000001405</v>
      </c>
      <c r="B663" s="22">
        <v>45932</v>
      </c>
      <c r="C663" s="20">
        <v>4800085.4800000004</v>
      </c>
      <c r="D663" s="21" t="s">
        <v>419</v>
      </c>
      <c r="E663" s="21">
        <v>97123855</v>
      </c>
      <c r="F663" s="20">
        <v>4800085.4800000004</v>
      </c>
      <c r="G663" s="22">
        <v>45936</v>
      </c>
      <c r="H663" s="21" t="s">
        <v>61</v>
      </c>
      <c r="I663" s="51" t="str">
        <f>IFERROR(IF(VLOOKUP(E663,extracto!C:C,1,FALSE)=E663,"pagado","no pagado"),"no pagado")</f>
        <v>pagado</v>
      </c>
      <c r="J663" s="52" t="str">
        <f t="shared" si="384"/>
        <v>pagado</v>
      </c>
      <c r="K663" s="51" t="str">
        <f t="shared" ca="1" si="385"/>
        <v>excluir</v>
      </c>
      <c r="L663" s="51" t="str">
        <f t="shared" ca="1" si="386"/>
        <v>no semana</v>
      </c>
      <c r="M663" s="51" t="str">
        <f>IFERROR(VLOOKUP(E663,'cheques a conf'!A:D,4,FALSE),"no clearing")</f>
        <v>no clearing</v>
      </c>
      <c r="N663" s="51">
        <f t="shared" si="387"/>
        <v>41</v>
      </c>
      <c r="O663" s="53">
        <f t="shared" si="388"/>
        <v>10</v>
      </c>
      <c r="P663" s="53">
        <f t="shared" si="389"/>
        <v>2025</v>
      </c>
    </row>
    <row r="664" spans="1:16" customFormat="1" x14ac:dyDescent="0.25">
      <c r="A664" s="21">
        <v>3000001405</v>
      </c>
      <c r="B664" s="22">
        <v>45932</v>
      </c>
      <c r="C664" s="20">
        <v>2849769.42</v>
      </c>
      <c r="D664" s="21" t="s">
        <v>419</v>
      </c>
      <c r="E664" s="21">
        <v>97123856</v>
      </c>
      <c r="F664" s="20">
        <v>2849769.42</v>
      </c>
      <c r="G664" s="22">
        <v>45936</v>
      </c>
      <c r="H664" s="21" t="s">
        <v>61</v>
      </c>
      <c r="I664" s="51" t="str">
        <f>IFERROR(IF(VLOOKUP(E664,extracto!C:C,1,FALSE)=E664,"pagado","no pagado"),"no pagado")</f>
        <v>pagado</v>
      </c>
      <c r="J664" s="52" t="str">
        <f t="shared" si="384"/>
        <v>pagado</v>
      </c>
      <c r="K664" s="51" t="str">
        <f t="shared" ca="1" si="385"/>
        <v>excluir</v>
      </c>
      <c r="L664" s="51" t="str">
        <f t="shared" ca="1" si="386"/>
        <v>no semana</v>
      </c>
      <c r="M664" s="51" t="str">
        <f>IFERROR(VLOOKUP(E664,'cheques a conf'!A:D,4,FALSE),"no clearing")</f>
        <v>no clearing</v>
      </c>
      <c r="N664" s="51">
        <f t="shared" si="387"/>
        <v>41</v>
      </c>
      <c r="O664" s="53">
        <f t="shared" si="388"/>
        <v>10</v>
      </c>
      <c r="P664" s="53">
        <f t="shared" si="389"/>
        <v>2025</v>
      </c>
    </row>
    <row r="665" spans="1:16" customFormat="1" x14ac:dyDescent="0.25">
      <c r="A665" s="21">
        <v>3000001405</v>
      </c>
      <c r="B665" s="22">
        <v>45932</v>
      </c>
      <c r="C665" s="20">
        <v>4469189.8</v>
      </c>
      <c r="D665" s="21" t="s">
        <v>419</v>
      </c>
      <c r="E665" s="21">
        <v>97123857</v>
      </c>
      <c r="F665" s="20">
        <v>4469189.8</v>
      </c>
      <c r="G665" s="22">
        <v>45936</v>
      </c>
      <c r="H665" s="21" t="s">
        <v>61</v>
      </c>
      <c r="I665" s="51" t="str">
        <f>IFERROR(IF(VLOOKUP(E665,extracto!C:C,1,FALSE)=E665,"pagado","no pagado"),"no pagado")</f>
        <v>pagado</v>
      </c>
      <c r="J665" s="52" t="str">
        <f t="shared" si="384"/>
        <v>pagado</v>
      </c>
      <c r="K665" s="51" t="str">
        <f t="shared" ca="1" si="385"/>
        <v>excluir</v>
      </c>
      <c r="L665" s="51" t="str">
        <f t="shared" ca="1" si="386"/>
        <v>no semana</v>
      </c>
      <c r="M665" s="51" t="str">
        <f>IFERROR(VLOOKUP(E665,'cheques a conf'!A:D,4,FALSE),"no clearing")</f>
        <v>no clearing</v>
      </c>
      <c r="N665" s="51">
        <f t="shared" si="387"/>
        <v>41</v>
      </c>
      <c r="O665" s="53">
        <f t="shared" si="388"/>
        <v>10</v>
      </c>
      <c r="P665" s="53">
        <f t="shared" si="389"/>
        <v>2025</v>
      </c>
    </row>
    <row r="666" spans="1:16" customFormat="1" x14ac:dyDescent="0.25">
      <c r="A666" s="21">
        <v>3000001405</v>
      </c>
      <c r="B666" s="22">
        <v>45932</v>
      </c>
      <c r="C666" s="20">
        <v>2011253.4</v>
      </c>
      <c r="D666" s="21" t="s">
        <v>419</v>
      </c>
      <c r="E666" s="21">
        <v>97123858</v>
      </c>
      <c r="F666" s="20">
        <v>2011253.4</v>
      </c>
      <c r="G666" s="22">
        <v>45936</v>
      </c>
      <c r="H666" s="21" t="s">
        <v>61</v>
      </c>
      <c r="I666" s="51" t="str">
        <f>IFERROR(IF(VLOOKUP(E666,extracto!C:C,1,FALSE)=E666,"pagado","no pagado"),"no pagado")</f>
        <v>pagado</v>
      </c>
      <c r="J666" s="52" t="str">
        <f t="shared" si="384"/>
        <v>pagado</v>
      </c>
      <c r="K666" s="51" t="str">
        <f t="shared" ca="1" si="385"/>
        <v>excluir</v>
      </c>
      <c r="L666" s="51" t="str">
        <f t="shared" ca="1" si="386"/>
        <v>no semana</v>
      </c>
      <c r="M666" s="51" t="str">
        <f>IFERROR(VLOOKUP(E666,'cheques a conf'!A:D,4,FALSE),"no clearing")</f>
        <v>no clearing</v>
      </c>
      <c r="N666" s="51">
        <f t="shared" si="387"/>
        <v>41</v>
      </c>
      <c r="O666" s="53">
        <f t="shared" si="388"/>
        <v>10</v>
      </c>
      <c r="P666" s="53">
        <f t="shared" si="389"/>
        <v>2025</v>
      </c>
    </row>
    <row r="667" spans="1:16" customFormat="1" x14ac:dyDescent="0.25">
      <c r="A667" s="21">
        <v>3000001405</v>
      </c>
      <c r="B667" s="22">
        <v>45932</v>
      </c>
      <c r="C667" s="20">
        <v>2271062.5099999998</v>
      </c>
      <c r="D667" s="21" t="s">
        <v>419</v>
      </c>
      <c r="E667" s="21">
        <v>97123859</v>
      </c>
      <c r="F667" s="20">
        <v>2271062.5099999998</v>
      </c>
      <c r="G667" s="22">
        <v>45936</v>
      </c>
      <c r="H667" s="21" t="s">
        <v>61</v>
      </c>
      <c r="I667" s="51" t="str">
        <f>IFERROR(IF(VLOOKUP(E667,extracto!C:C,1,FALSE)=E667,"pagado","no pagado"),"no pagado")</f>
        <v>pagado</v>
      </c>
      <c r="J667" s="52" t="str">
        <f t="shared" si="384"/>
        <v>pagado</v>
      </c>
      <c r="K667" s="51" t="str">
        <f t="shared" ca="1" si="385"/>
        <v>excluir</v>
      </c>
      <c r="L667" s="51" t="str">
        <f t="shared" ca="1" si="386"/>
        <v>no semana</v>
      </c>
      <c r="M667" s="51" t="str">
        <f>IFERROR(VLOOKUP(E667,'cheques a conf'!A:D,4,FALSE),"no clearing")</f>
        <v>no clearing</v>
      </c>
      <c r="N667" s="51">
        <f t="shared" si="387"/>
        <v>41</v>
      </c>
      <c r="O667" s="53">
        <f t="shared" si="388"/>
        <v>10</v>
      </c>
      <c r="P667" s="53">
        <f t="shared" si="389"/>
        <v>2025</v>
      </c>
    </row>
    <row r="668" spans="1:16" customFormat="1" x14ac:dyDescent="0.25">
      <c r="A668" s="21">
        <v>3000001405</v>
      </c>
      <c r="B668" s="22">
        <v>45932</v>
      </c>
      <c r="C668" s="20">
        <v>1603095.06</v>
      </c>
      <c r="D668" s="21" t="s">
        <v>419</v>
      </c>
      <c r="E668" s="21">
        <v>97123860</v>
      </c>
      <c r="F668" s="20">
        <v>1603095.06</v>
      </c>
      <c r="G668" s="22">
        <v>45936</v>
      </c>
      <c r="H668" s="21" t="s">
        <v>61</v>
      </c>
      <c r="I668" s="51" t="str">
        <f>IFERROR(IF(VLOOKUP(E668,extracto!C:C,1,FALSE)=E668,"pagado","no pagado"),"no pagado")</f>
        <v>pagado</v>
      </c>
      <c r="J668" s="52" t="str">
        <f t="shared" ref="J668:J669" si="390">IF(I668="pagado","pagado",IF(G668&lt;$V$1-30,"fuera de fecha","en periodo de pago"))</f>
        <v>pagado</v>
      </c>
      <c r="K668" s="51" t="str">
        <f t="shared" ref="K668:K669" ca="1" si="391">+IF(B668&gt;$V$1,"excluir",IF(J668="en periodo de pago",IF($V$1&gt;G668,"a pagar","proximo a vencer"),"excluir"))</f>
        <v>excluir</v>
      </c>
      <c r="L668" s="51" t="str">
        <f t="shared" ref="L668:L669" ca="1" si="392">+IF(K668="proximo a vencer",IF($V$1+5&gt;G668,"para la semana","no semana"),"no semana")</f>
        <v>no semana</v>
      </c>
      <c r="M668" s="51" t="str">
        <f>IFERROR(VLOOKUP(E668,'cheques a conf'!A:D,4,FALSE),"no clearing")</f>
        <v>no clearing</v>
      </c>
      <c r="N668" s="51">
        <f t="shared" ref="N668:N669" si="393">+WEEKNUM(G668,2)</f>
        <v>41</v>
      </c>
      <c r="O668" s="53">
        <f t="shared" ref="O668:O669" si="394">+MONTH(G668)</f>
        <v>10</v>
      </c>
      <c r="P668" s="53">
        <f t="shared" ref="P668:P669" si="395">+YEAR(G668)</f>
        <v>2025</v>
      </c>
    </row>
    <row r="669" spans="1:16" customFormat="1" x14ac:dyDescent="0.25">
      <c r="A669" s="21">
        <v>3000001405</v>
      </c>
      <c r="B669" s="22">
        <v>45932</v>
      </c>
      <c r="C669" s="20">
        <v>107932.1</v>
      </c>
      <c r="D669" s="21" t="s">
        <v>419</v>
      </c>
      <c r="E669" s="21">
        <v>97123861</v>
      </c>
      <c r="F669" s="20">
        <v>107932.1</v>
      </c>
      <c r="G669" s="22">
        <v>45936</v>
      </c>
      <c r="H669" s="21" t="s">
        <v>61</v>
      </c>
      <c r="I669" s="51" t="str">
        <f>IFERROR(IF(VLOOKUP(E669,extracto!C:C,1,FALSE)=E669,"pagado","no pagado"),"no pagado")</f>
        <v>pagado</v>
      </c>
      <c r="J669" s="52" t="str">
        <f t="shared" si="390"/>
        <v>pagado</v>
      </c>
      <c r="K669" s="51" t="str">
        <f t="shared" ca="1" si="391"/>
        <v>excluir</v>
      </c>
      <c r="L669" s="51" t="str">
        <f t="shared" ca="1" si="392"/>
        <v>no semana</v>
      </c>
      <c r="M669" s="51" t="str">
        <f>IFERROR(VLOOKUP(E669,'cheques a conf'!A:D,4,FALSE),"no clearing")</f>
        <v>no clearing</v>
      </c>
      <c r="N669" s="51">
        <f t="shared" si="393"/>
        <v>41</v>
      </c>
      <c r="O669" s="53">
        <f t="shared" si="394"/>
        <v>10</v>
      </c>
      <c r="P669" s="53">
        <f t="shared" si="395"/>
        <v>2025</v>
      </c>
    </row>
    <row r="670" spans="1:16" customFormat="1" x14ac:dyDescent="0.25">
      <c r="A670" s="21">
        <v>3000001415</v>
      </c>
      <c r="B670" s="22">
        <v>45936</v>
      </c>
      <c r="C670" s="20">
        <v>112710920</v>
      </c>
      <c r="D670" s="21" t="s">
        <v>420</v>
      </c>
      <c r="E670" s="21">
        <v>97123862</v>
      </c>
      <c r="F670" s="20">
        <v>112710920</v>
      </c>
      <c r="G670" s="22">
        <v>46248</v>
      </c>
      <c r="H670" s="21" t="s">
        <v>61</v>
      </c>
      <c r="I670" s="51" t="str">
        <f>IFERROR(IF(VLOOKUP(E670,extracto!C:C,1,FALSE)=E670,"pagado","no pagado"),"no pagado")</f>
        <v>pagado</v>
      </c>
      <c r="J670" s="52" t="str">
        <f t="shared" ref="J670:J721" si="396">IF(I670="pagado","pagado",IF(G670&lt;$V$1-30,"fuera de fecha","en periodo de pago"))</f>
        <v>pagado</v>
      </c>
      <c r="K670" s="51" t="str">
        <f t="shared" ref="K670:K721" ca="1" si="397">+IF(B670&gt;$V$1,"excluir",IF(J670="en periodo de pago",IF($V$1&gt;G670,"a pagar","proximo a vencer"),"excluir"))</f>
        <v>excluir</v>
      </c>
      <c r="L670" s="51" t="str">
        <f t="shared" ref="L670:L721" ca="1" si="398">+IF(K670="proximo a vencer",IF($V$1+5&gt;G670,"para la semana","no semana"),"no semana")</f>
        <v>no semana</v>
      </c>
      <c r="M670" s="51" t="str">
        <f>IFERROR(VLOOKUP(E670,'cheques a conf'!A:D,4,FALSE),"no clearing")</f>
        <v>no clearing</v>
      </c>
      <c r="N670" s="51">
        <f t="shared" ref="N670:N721" si="399">+WEEKNUM(G670,2)</f>
        <v>33</v>
      </c>
      <c r="O670" s="53">
        <f t="shared" ref="O670:O721" si="400">+MONTH(G670)</f>
        <v>8</v>
      </c>
      <c r="P670" s="53">
        <f t="shared" ref="P670:P721" si="401">+YEAR(G670)</f>
        <v>2026</v>
      </c>
    </row>
    <row r="671" spans="1:16" customFormat="1" x14ac:dyDescent="0.25">
      <c r="A671" s="21">
        <v>3000001416</v>
      </c>
      <c r="B671" s="22">
        <v>45936</v>
      </c>
      <c r="C671" s="20">
        <v>364044267.37</v>
      </c>
      <c r="D671" s="21" t="s">
        <v>421</v>
      </c>
      <c r="E671" s="21">
        <v>97123863</v>
      </c>
      <c r="F671" s="20">
        <v>364044267.37</v>
      </c>
      <c r="G671" s="22">
        <v>46195</v>
      </c>
      <c r="H671" s="21" t="s">
        <v>61</v>
      </c>
      <c r="I671" s="51" t="str">
        <f>IFERROR(IF(VLOOKUP(E671,extracto!C:C,1,FALSE)=E671,"pagado","no pagado"),"no pagado")</f>
        <v>pagado</v>
      </c>
      <c r="J671" s="52" t="str">
        <f t="shared" si="396"/>
        <v>pagado</v>
      </c>
      <c r="K671" s="51" t="str">
        <f t="shared" ca="1" si="397"/>
        <v>excluir</v>
      </c>
      <c r="L671" s="51" t="str">
        <f t="shared" ca="1" si="398"/>
        <v>no semana</v>
      </c>
      <c r="M671" s="51" t="str">
        <f>IFERROR(VLOOKUP(E671,'cheques a conf'!A:D,4,FALSE),"no clearing")</f>
        <v>no clearing</v>
      </c>
      <c r="N671" s="51">
        <f t="shared" si="399"/>
        <v>26</v>
      </c>
      <c r="O671" s="53">
        <f t="shared" si="400"/>
        <v>6</v>
      </c>
      <c r="P671" s="53">
        <f t="shared" si="401"/>
        <v>2026</v>
      </c>
    </row>
    <row r="672" spans="1:16" customFormat="1" x14ac:dyDescent="0.25">
      <c r="A672" s="21">
        <v>3000001417</v>
      </c>
      <c r="B672" s="22">
        <v>45936</v>
      </c>
      <c r="C672" s="20">
        <v>3000000</v>
      </c>
      <c r="D672" s="21" t="s">
        <v>287</v>
      </c>
      <c r="E672" s="21">
        <v>97123864</v>
      </c>
      <c r="F672" s="20">
        <v>3000000</v>
      </c>
      <c r="G672" s="22">
        <v>45939</v>
      </c>
      <c r="H672" s="21" t="s">
        <v>61</v>
      </c>
      <c r="I672" s="51" t="str">
        <f>IFERROR(IF(VLOOKUP(E672,extracto!C:C,1,FALSE)=E672,"pagado","no pagado"),"no pagado")</f>
        <v>pagado</v>
      </c>
      <c r="J672" s="52" t="str">
        <f t="shared" si="396"/>
        <v>pagado</v>
      </c>
      <c r="K672" s="51" t="str">
        <f t="shared" ca="1" si="397"/>
        <v>excluir</v>
      </c>
      <c r="L672" s="51" t="str">
        <f t="shared" ca="1" si="398"/>
        <v>no semana</v>
      </c>
      <c r="M672" s="51" t="str">
        <f>IFERROR(VLOOKUP(E672,'cheques a conf'!A:D,4,FALSE),"no clearing")</f>
        <v>no clearing</v>
      </c>
      <c r="N672" s="51">
        <f t="shared" si="399"/>
        <v>41</v>
      </c>
      <c r="O672" s="53">
        <f t="shared" si="400"/>
        <v>10</v>
      </c>
      <c r="P672" s="53">
        <f t="shared" si="401"/>
        <v>2025</v>
      </c>
    </row>
    <row r="673" spans="1:16" customFormat="1" x14ac:dyDescent="0.25">
      <c r="A673" s="21">
        <v>3000001417</v>
      </c>
      <c r="B673" s="22">
        <v>45936</v>
      </c>
      <c r="C673" s="20">
        <v>3000000</v>
      </c>
      <c r="D673" s="21" t="s">
        <v>287</v>
      </c>
      <c r="E673" s="21">
        <v>97123865</v>
      </c>
      <c r="F673" s="20">
        <v>3000000</v>
      </c>
      <c r="G673" s="22">
        <v>45939</v>
      </c>
      <c r="H673" s="21" t="s">
        <v>61</v>
      </c>
      <c r="I673" s="51" t="str">
        <f>IFERROR(IF(VLOOKUP(E673,extracto!C:C,1,FALSE)=E673,"pagado","no pagado"),"no pagado")</f>
        <v>pagado</v>
      </c>
      <c r="J673" s="52" t="str">
        <f t="shared" si="396"/>
        <v>pagado</v>
      </c>
      <c r="K673" s="51" t="str">
        <f t="shared" ca="1" si="397"/>
        <v>excluir</v>
      </c>
      <c r="L673" s="51" t="str">
        <f t="shared" ca="1" si="398"/>
        <v>no semana</v>
      </c>
      <c r="M673" s="51" t="str">
        <f>IFERROR(VLOOKUP(E673,'cheques a conf'!A:D,4,FALSE),"no clearing")</f>
        <v>no clearing</v>
      </c>
      <c r="N673" s="51">
        <f t="shared" si="399"/>
        <v>41</v>
      </c>
      <c r="O673" s="53">
        <f t="shared" si="400"/>
        <v>10</v>
      </c>
      <c r="P673" s="53">
        <f t="shared" si="401"/>
        <v>2025</v>
      </c>
    </row>
    <row r="674" spans="1:16" customFormat="1" x14ac:dyDescent="0.25">
      <c r="A674" s="21">
        <v>3000001417</v>
      </c>
      <c r="B674" s="22">
        <v>45936</v>
      </c>
      <c r="C674" s="20">
        <v>10703682.9</v>
      </c>
      <c r="D674" s="21" t="s">
        <v>287</v>
      </c>
      <c r="E674" s="21">
        <v>97123866</v>
      </c>
      <c r="F674" s="20">
        <v>10703682.9</v>
      </c>
      <c r="G674" s="22">
        <v>45943</v>
      </c>
      <c r="H674" s="21" t="s">
        <v>61</v>
      </c>
      <c r="I674" s="51" t="str">
        <f>IFERROR(IF(VLOOKUP(E674,extracto!C:C,1,FALSE)=E674,"pagado","no pagado"),"no pagado")</f>
        <v>pagado</v>
      </c>
      <c r="J674" s="52" t="str">
        <f t="shared" si="396"/>
        <v>pagado</v>
      </c>
      <c r="K674" s="51" t="str">
        <f t="shared" ca="1" si="397"/>
        <v>excluir</v>
      </c>
      <c r="L674" s="51" t="str">
        <f t="shared" ca="1" si="398"/>
        <v>no semana</v>
      </c>
      <c r="M674" s="51" t="str">
        <f>IFERROR(VLOOKUP(E674,'cheques a conf'!A:D,4,FALSE),"no clearing")</f>
        <v>no clearing</v>
      </c>
      <c r="N674" s="51">
        <f t="shared" si="399"/>
        <v>42</v>
      </c>
      <c r="O674" s="53">
        <f t="shared" si="400"/>
        <v>10</v>
      </c>
      <c r="P674" s="53">
        <f t="shared" si="401"/>
        <v>2025</v>
      </c>
    </row>
    <row r="675" spans="1:16" customFormat="1" x14ac:dyDescent="0.25">
      <c r="A675" s="21">
        <v>3000001418</v>
      </c>
      <c r="B675" s="22">
        <v>45936</v>
      </c>
      <c r="C675" s="20">
        <v>8300748.5099999998</v>
      </c>
      <c r="D675" s="21" t="s">
        <v>31</v>
      </c>
      <c r="E675" s="21">
        <v>97123867</v>
      </c>
      <c r="F675" s="20">
        <v>8300748.5099999998</v>
      </c>
      <c r="G675" s="22">
        <v>45939</v>
      </c>
      <c r="H675" s="21" t="s">
        <v>61</v>
      </c>
      <c r="I675" s="51" t="str">
        <f>IFERROR(IF(VLOOKUP(E675,extracto!C:C,1,FALSE)=E675,"pagado","no pagado"),"no pagado")</f>
        <v>pagado</v>
      </c>
      <c r="J675" s="52" t="str">
        <f t="shared" si="396"/>
        <v>pagado</v>
      </c>
      <c r="K675" s="51" t="str">
        <f t="shared" ca="1" si="397"/>
        <v>excluir</v>
      </c>
      <c r="L675" s="51" t="str">
        <f t="shared" ca="1" si="398"/>
        <v>no semana</v>
      </c>
      <c r="M675" s="51" t="str">
        <f>IFERROR(VLOOKUP(E675,'cheques a conf'!A:D,4,FALSE),"no clearing")</f>
        <v>no clearing</v>
      </c>
      <c r="N675" s="51">
        <f t="shared" si="399"/>
        <v>41</v>
      </c>
      <c r="O675" s="53">
        <f t="shared" si="400"/>
        <v>10</v>
      </c>
      <c r="P675" s="53">
        <f t="shared" si="401"/>
        <v>2025</v>
      </c>
    </row>
    <row r="676" spans="1:16" customFormat="1" x14ac:dyDescent="0.25">
      <c r="A676" s="21">
        <v>3000001419</v>
      </c>
      <c r="B676" s="22">
        <v>45936</v>
      </c>
      <c r="C676" s="20">
        <v>13048670</v>
      </c>
      <c r="D676" s="21" t="s">
        <v>284</v>
      </c>
      <c r="E676" s="21">
        <v>97123868</v>
      </c>
      <c r="F676" s="20">
        <v>13048670</v>
      </c>
      <c r="G676" s="22">
        <v>45939</v>
      </c>
      <c r="H676" s="21" t="s">
        <v>61</v>
      </c>
      <c r="I676" s="51" t="str">
        <f>IFERROR(IF(VLOOKUP(E676,extracto!C:C,1,FALSE)=E676,"pagado","no pagado"),"no pagado")</f>
        <v>pagado</v>
      </c>
      <c r="J676" s="52" t="str">
        <f t="shared" si="396"/>
        <v>pagado</v>
      </c>
      <c r="K676" s="51" t="str">
        <f t="shared" ca="1" si="397"/>
        <v>excluir</v>
      </c>
      <c r="L676" s="51" t="str">
        <f t="shared" ca="1" si="398"/>
        <v>no semana</v>
      </c>
      <c r="M676" s="51" t="str">
        <f>IFERROR(VLOOKUP(E676,'cheques a conf'!A:D,4,FALSE),"no clearing")</f>
        <v>no clearing</v>
      </c>
      <c r="N676" s="51">
        <f t="shared" si="399"/>
        <v>41</v>
      </c>
      <c r="O676" s="53">
        <f t="shared" si="400"/>
        <v>10</v>
      </c>
      <c r="P676" s="53">
        <f t="shared" si="401"/>
        <v>2025</v>
      </c>
    </row>
    <row r="677" spans="1:16" customFormat="1" x14ac:dyDescent="0.25">
      <c r="A677" s="21">
        <v>3000001420</v>
      </c>
      <c r="B677" s="22">
        <v>45936</v>
      </c>
      <c r="C677" s="20">
        <v>20000000</v>
      </c>
      <c r="D677" s="21" t="s">
        <v>346</v>
      </c>
      <c r="E677" s="21">
        <v>97123869</v>
      </c>
      <c r="F677" s="20">
        <v>20000000</v>
      </c>
      <c r="G677" s="22">
        <v>45939</v>
      </c>
      <c r="H677" s="21" t="s">
        <v>61</v>
      </c>
      <c r="I677" s="51" t="str">
        <f>IFERROR(IF(VLOOKUP(E677,extracto!C:C,1,FALSE)=E677,"pagado","no pagado"),"no pagado")</f>
        <v>pagado</v>
      </c>
      <c r="J677" s="52" t="str">
        <f t="shared" si="396"/>
        <v>pagado</v>
      </c>
      <c r="K677" s="51" t="str">
        <f t="shared" ca="1" si="397"/>
        <v>excluir</v>
      </c>
      <c r="L677" s="51" t="str">
        <f t="shared" ca="1" si="398"/>
        <v>no semana</v>
      </c>
      <c r="M677" s="51" t="str">
        <f>IFERROR(VLOOKUP(E677,'cheques a conf'!A:D,4,FALSE),"no clearing")</f>
        <v>no clearing</v>
      </c>
      <c r="N677" s="51">
        <f t="shared" si="399"/>
        <v>41</v>
      </c>
      <c r="O677" s="53">
        <f t="shared" si="400"/>
        <v>10</v>
      </c>
      <c r="P677" s="53">
        <f t="shared" si="401"/>
        <v>2025</v>
      </c>
    </row>
    <row r="678" spans="1:16" customFormat="1" x14ac:dyDescent="0.25">
      <c r="A678" s="21">
        <v>3000001420</v>
      </c>
      <c r="B678" s="22">
        <v>45936</v>
      </c>
      <c r="C678" s="20">
        <v>17311631.879999999</v>
      </c>
      <c r="D678" s="21" t="s">
        <v>346</v>
      </c>
      <c r="E678" s="21">
        <v>97123870</v>
      </c>
      <c r="F678" s="20">
        <v>17311631.879999999</v>
      </c>
      <c r="G678" s="22">
        <v>45943</v>
      </c>
      <c r="H678" s="21" t="s">
        <v>61</v>
      </c>
      <c r="I678" s="51" t="str">
        <f>IFERROR(IF(VLOOKUP(E678,extracto!C:C,1,FALSE)=E678,"pagado","no pagado"),"no pagado")</f>
        <v>pagado</v>
      </c>
      <c r="J678" s="52" t="str">
        <f t="shared" si="396"/>
        <v>pagado</v>
      </c>
      <c r="K678" s="51" t="str">
        <f t="shared" ca="1" si="397"/>
        <v>excluir</v>
      </c>
      <c r="L678" s="51" t="str">
        <f t="shared" ca="1" si="398"/>
        <v>no semana</v>
      </c>
      <c r="M678" s="51" t="str">
        <f>IFERROR(VLOOKUP(E678,'cheques a conf'!A:D,4,FALSE),"no clearing")</f>
        <v>no clearing</v>
      </c>
      <c r="N678" s="51">
        <f t="shared" si="399"/>
        <v>42</v>
      </c>
      <c r="O678" s="53">
        <f t="shared" si="400"/>
        <v>10</v>
      </c>
      <c r="P678" s="53">
        <f t="shared" si="401"/>
        <v>2025</v>
      </c>
    </row>
    <row r="679" spans="1:16" customFormat="1" x14ac:dyDescent="0.25">
      <c r="A679" s="21">
        <v>3000001421</v>
      </c>
      <c r="B679" s="22">
        <v>45936</v>
      </c>
      <c r="C679" s="20">
        <v>10000000</v>
      </c>
      <c r="D679" s="21" t="s">
        <v>365</v>
      </c>
      <c r="E679" s="21">
        <v>97123871</v>
      </c>
      <c r="F679" s="20">
        <v>10000000</v>
      </c>
      <c r="G679" s="22">
        <v>45939</v>
      </c>
      <c r="H679" s="21" t="s">
        <v>61</v>
      </c>
      <c r="I679" s="51" t="str">
        <f>IFERROR(IF(VLOOKUP(E679,extracto!C:C,1,FALSE)=E679,"pagado","no pagado"),"no pagado")</f>
        <v>pagado</v>
      </c>
      <c r="J679" s="52" t="str">
        <f t="shared" si="396"/>
        <v>pagado</v>
      </c>
      <c r="K679" s="51" t="str">
        <f t="shared" ca="1" si="397"/>
        <v>excluir</v>
      </c>
      <c r="L679" s="51" t="str">
        <f t="shared" ca="1" si="398"/>
        <v>no semana</v>
      </c>
      <c r="M679" s="51" t="str">
        <f>IFERROR(VLOOKUP(E679,'cheques a conf'!A:D,4,FALSE),"no clearing")</f>
        <v>no clearing</v>
      </c>
      <c r="N679" s="51">
        <f t="shared" si="399"/>
        <v>41</v>
      </c>
      <c r="O679" s="53">
        <f t="shared" si="400"/>
        <v>10</v>
      </c>
      <c r="P679" s="53">
        <f t="shared" si="401"/>
        <v>2025</v>
      </c>
    </row>
    <row r="680" spans="1:16" customFormat="1" x14ac:dyDescent="0.25">
      <c r="A680" s="21">
        <v>3000001421</v>
      </c>
      <c r="B680" s="22">
        <v>45936</v>
      </c>
      <c r="C680" s="20">
        <v>10399918.449999999</v>
      </c>
      <c r="D680" s="21" t="s">
        <v>365</v>
      </c>
      <c r="E680" s="21">
        <v>97123872</v>
      </c>
      <c r="F680" s="20">
        <v>10399918.449999999</v>
      </c>
      <c r="G680" s="22">
        <v>45943</v>
      </c>
      <c r="H680" s="21" t="s">
        <v>61</v>
      </c>
      <c r="I680" s="51" t="str">
        <f>IFERROR(IF(VLOOKUP(E680,extracto!C:C,1,FALSE)=E680,"pagado","no pagado"),"no pagado")</f>
        <v>pagado</v>
      </c>
      <c r="J680" s="52" t="str">
        <f t="shared" si="396"/>
        <v>pagado</v>
      </c>
      <c r="K680" s="51" t="str">
        <f t="shared" ca="1" si="397"/>
        <v>excluir</v>
      </c>
      <c r="L680" s="51" t="str">
        <f t="shared" ca="1" si="398"/>
        <v>no semana</v>
      </c>
      <c r="M680" s="51" t="str">
        <f>IFERROR(VLOOKUP(E680,'cheques a conf'!A:D,4,FALSE),"no clearing")</f>
        <v>no clearing</v>
      </c>
      <c r="N680" s="51">
        <f t="shared" si="399"/>
        <v>42</v>
      </c>
      <c r="O680" s="53">
        <f t="shared" si="400"/>
        <v>10</v>
      </c>
      <c r="P680" s="53">
        <f t="shared" si="401"/>
        <v>2025</v>
      </c>
    </row>
    <row r="681" spans="1:16" customFormat="1" x14ac:dyDescent="0.25">
      <c r="A681" s="21">
        <v>3000001422</v>
      </c>
      <c r="B681" s="22">
        <v>45936</v>
      </c>
      <c r="C681" s="20">
        <v>5090117.5199999996</v>
      </c>
      <c r="D681" s="21" t="s">
        <v>291</v>
      </c>
      <c r="E681" s="21">
        <v>97123873</v>
      </c>
      <c r="F681" s="20">
        <v>5090117.5199999996</v>
      </c>
      <c r="G681" s="22">
        <v>45939</v>
      </c>
      <c r="H681" s="21" t="s">
        <v>61</v>
      </c>
      <c r="I681" s="51" t="str">
        <f>IFERROR(IF(VLOOKUP(E681,extracto!C:C,1,FALSE)=E681,"pagado","no pagado"),"no pagado")</f>
        <v>pagado</v>
      </c>
      <c r="J681" s="52" t="str">
        <f t="shared" si="396"/>
        <v>pagado</v>
      </c>
      <c r="K681" s="51" t="str">
        <f t="shared" ca="1" si="397"/>
        <v>excluir</v>
      </c>
      <c r="L681" s="51" t="str">
        <f t="shared" ca="1" si="398"/>
        <v>no semana</v>
      </c>
      <c r="M681" s="51" t="str">
        <f>IFERROR(VLOOKUP(E681,'cheques a conf'!A:D,4,FALSE),"no clearing")</f>
        <v>no clearing</v>
      </c>
      <c r="N681" s="51">
        <f t="shared" si="399"/>
        <v>41</v>
      </c>
      <c r="O681" s="53">
        <f t="shared" si="400"/>
        <v>10</v>
      </c>
      <c r="P681" s="53">
        <f t="shared" si="401"/>
        <v>2025</v>
      </c>
    </row>
    <row r="682" spans="1:16" customFormat="1" x14ac:dyDescent="0.25">
      <c r="A682" s="21">
        <v>3000001423</v>
      </c>
      <c r="B682" s="22">
        <v>45936</v>
      </c>
      <c r="C682" s="20">
        <v>7217461.2000000002</v>
      </c>
      <c r="D682" s="21" t="s">
        <v>359</v>
      </c>
      <c r="E682" s="21">
        <v>97123874</v>
      </c>
      <c r="F682" s="20">
        <v>7217461.2000000002</v>
      </c>
      <c r="G682" s="22">
        <v>45939</v>
      </c>
      <c r="H682" s="21" t="s">
        <v>61</v>
      </c>
      <c r="I682" s="51" t="str">
        <f>IFERROR(IF(VLOOKUP(E682,extracto!C:C,1,FALSE)=E682,"pagado","no pagado"),"no pagado")</f>
        <v>pagado</v>
      </c>
      <c r="J682" s="52" t="str">
        <f t="shared" si="396"/>
        <v>pagado</v>
      </c>
      <c r="K682" s="51" t="str">
        <f t="shared" ca="1" si="397"/>
        <v>excluir</v>
      </c>
      <c r="L682" s="51" t="str">
        <f t="shared" ca="1" si="398"/>
        <v>no semana</v>
      </c>
      <c r="M682" s="51" t="str">
        <f>IFERROR(VLOOKUP(E682,'cheques a conf'!A:D,4,FALSE),"no clearing")</f>
        <v>no clearing</v>
      </c>
      <c r="N682" s="51">
        <f t="shared" si="399"/>
        <v>41</v>
      </c>
      <c r="O682" s="53">
        <f t="shared" si="400"/>
        <v>10</v>
      </c>
      <c r="P682" s="53">
        <f t="shared" si="401"/>
        <v>2025</v>
      </c>
    </row>
    <row r="683" spans="1:16" customFormat="1" x14ac:dyDescent="0.25">
      <c r="A683" s="21">
        <v>3000001424</v>
      </c>
      <c r="B683" s="22">
        <v>45936</v>
      </c>
      <c r="C683" s="20">
        <v>3740282.51</v>
      </c>
      <c r="D683" s="21" t="s">
        <v>397</v>
      </c>
      <c r="E683" s="21">
        <v>97123875</v>
      </c>
      <c r="F683" s="20">
        <v>3740282.51</v>
      </c>
      <c r="G683" s="22">
        <v>45939</v>
      </c>
      <c r="H683" s="21" t="s">
        <v>61</v>
      </c>
      <c r="I683" s="51" t="str">
        <f>IFERROR(IF(VLOOKUP(E683,extracto!C:C,1,FALSE)=E683,"pagado","no pagado"),"no pagado")</f>
        <v>pagado</v>
      </c>
      <c r="J683" s="52" t="str">
        <f t="shared" si="396"/>
        <v>pagado</v>
      </c>
      <c r="K683" s="51" t="str">
        <f t="shared" ca="1" si="397"/>
        <v>excluir</v>
      </c>
      <c r="L683" s="51" t="str">
        <f t="shared" ca="1" si="398"/>
        <v>no semana</v>
      </c>
      <c r="M683" s="51" t="str">
        <f>IFERROR(VLOOKUP(E683,'cheques a conf'!A:D,4,FALSE),"no clearing")</f>
        <v>no clearing</v>
      </c>
      <c r="N683" s="51">
        <f t="shared" si="399"/>
        <v>41</v>
      </c>
      <c r="O683" s="53">
        <f t="shared" si="400"/>
        <v>10</v>
      </c>
      <c r="P683" s="53">
        <f t="shared" si="401"/>
        <v>2025</v>
      </c>
    </row>
    <row r="684" spans="1:16" customFormat="1" x14ac:dyDescent="0.25">
      <c r="A684" s="21">
        <v>3000001435</v>
      </c>
      <c r="B684" s="22">
        <v>45937</v>
      </c>
      <c r="C684" s="20">
        <v>7731452.1200000001</v>
      </c>
      <c r="D684" s="21" t="s">
        <v>422</v>
      </c>
      <c r="E684" s="21">
        <v>97123876</v>
      </c>
      <c r="F684" s="20">
        <v>7731452.1200000001</v>
      </c>
      <c r="G684" s="22">
        <v>45943</v>
      </c>
      <c r="H684" s="21" t="s">
        <v>61</v>
      </c>
      <c r="I684" s="51" t="str">
        <f>IFERROR(IF(VLOOKUP(E684,extracto!C:C,1,FALSE)=E684,"pagado","no pagado"),"no pagado")</f>
        <v>pagado</v>
      </c>
      <c r="J684" s="52" t="str">
        <f t="shared" si="396"/>
        <v>pagado</v>
      </c>
      <c r="K684" s="51" t="str">
        <f t="shared" ca="1" si="397"/>
        <v>excluir</v>
      </c>
      <c r="L684" s="51" t="str">
        <f t="shared" ca="1" si="398"/>
        <v>no semana</v>
      </c>
      <c r="M684" s="51" t="str">
        <f>IFERROR(VLOOKUP(E684,'cheques a conf'!A:D,4,FALSE),"no clearing")</f>
        <v>no clearing</v>
      </c>
      <c r="N684" s="51">
        <f t="shared" si="399"/>
        <v>42</v>
      </c>
      <c r="O684" s="53">
        <f t="shared" si="400"/>
        <v>10</v>
      </c>
      <c r="P684" s="53">
        <f t="shared" si="401"/>
        <v>2025</v>
      </c>
    </row>
    <row r="685" spans="1:16" customFormat="1" x14ac:dyDescent="0.25">
      <c r="A685" s="21">
        <v>3000001436</v>
      </c>
      <c r="B685" s="22">
        <v>45937</v>
      </c>
      <c r="C685" s="20">
        <v>4924607.49</v>
      </c>
      <c r="D685" s="21" t="s">
        <v>340</v>
      </c>
      <c r="E685" s="21">
        <v>97123877</v>
      </c>
      <c r="F685" s="20">
        <v>4924607.49</v>
      </c>
      <c r="G685" s="22">
        <v>45943</v>
      </c>
      <c r="H685" s="21" t="s">
        <v>61</v>
      </c>
      <c r="I685" s="51" t="str">
        <f>IFERROR(IF(VLOOKUP(E685,extracto!C:C,1,FALSE)=E685,"pagado","no pagado"),"no pagado")</f>
        <v>pagado</v>
      </c>
      <c r="J685" s="52" t="str">
        <f t="shared" si="396"/>
        <v>pagado</v>
      </c>
      <c r="K685" s="51" t="str">
        <f t="shared" ca="1" si="397"/>
        <v>excluir</v>
      </c>
      <c r="L685" s="51" t="str">
        <f t="shared" ca="1" si="398"/>
        <v>no semana</v>
      </c>
      <c r="M685" s="51" t="str">
        <f>IFERROR(VLOOKUP(E685,'cheques a conf'!A:D,4,FALSE),"no clearing")</f>
        <v>no clearing</v>
      </c>
      <c r="N685" s="51">
        <f t="shared" si="399"/>
        <v>42</v>
      </c>
      <c r="O685" s="53">
        <f t="shared" si="400"/>
        <v>10</v>
      </c>
      <c r="P685" s="53">
        <f t="shared" si="401"/>
        <v>2025</v>
      </c>
    </row>
    <row r="686" spans="1:16" customFormat="1" x14ac:dyDescent="0.25">
      <c r="A686" s="21">
        <v>3000001437</v>
      </c>
      <c r="B686" s="22">
        <v>45937</v>
      </c>
      <c r="C686" s="20">
        <v>35440366.340000004</v>
      </c>
      <c r="D686" s="21" t="s">
        <v>303</v>
      </c>
      <c r="E686" s="21">
        <v>97123878</v>
      </c>
      <c r="F686" s="20">
        <v>35440366.340000004</v>
      </c>
      <c r="G686" s="22">
        <v>45944</v>
      </c>
      <c r="H686" s="21" t="s">
        <v>61</v>
      </c>
      <c r="I686" s="51" t="str">
        <f>IFERROR(IF(VLOOKUP(E686,extracto!C:C,1,FALSE)=E686,"pagado","no pagado"),"no pagado")</f>
        <v>pagado</v>
      </c>
      <c r="J686" s="52" t="str">
        <f t="shared" si="396"/>
        <v>pagado</v>
      </c>
      <c r="K686" s="51" t="str">
        <f t="shared" ca="1" si="397"/>
        <v>excluir</v>
      </c>
      <c r="L686" s="51" t="str">
        <f t="shared" ca="1" si="398"/>
        <v>no semana</v>
      </c>
      <c r="M686" s="51" t="str">
        <f>IFERROR(VLOOKUP(E686,'cheques a conf'!A:D,4,FALSE),"no clearing")</f>
        <v>no clearing</v>
      </c>
      <c r="N686" s="51">
        <f t="shared" si="399"/>
        <v>42</v>
      </c>
      <c r="O686" s="53">
        <f t="shared" si="400"/>
        <v>10</v>
      </c>
      <c r="P686" s="53">
        <f t="shared" si="401"/>
        <v>2025</v>
      </c>
    </row>
    <row r="687" spans="1:16" customFormat="1" x14ac:dyDescent="0.25">
      <c r="A687" s="21">
        <v>3000001438</v>
      </c>
      <c r="B687" s="22">
        <v>45937</v>
      </c>
      <c r="C687" s="20">
        <v>7834782.79</v>
      </c>
      <c r="D687" s="21" t="s">
        <v>394</v>
      </c>
      <c r="E687" s="21">
        <v>97123879</v>
      </c>
      <c r="F687" s="20">
        <v>7834782.79</v>
      </c>
      <c r="G687" s="22">
        <v>45944</v>
      </c>
      <c r="H687" s="21" t="s">
        <v>61</v>
      </c>
      <c r="I687" s="51" t="str">
        <f>IFERROR(IF(VLOOKUP(E687,extracto!C:C,1,FALSE)=E687,"pagado","no pagado"),"no pagado")</f>
        <v>pagado</v>
      </c>
      <c r="J687" s="52" t="str">
        <f t="shared" si="396"/>
        <v>pagado</v>
      </c>
      <c r="K687" s="51" t="str">
        <f t="shared" ca="1" si="397"/>
        <v>excluir</v>
      </c>
      <c r="L687" s="51" t="str">
        <f t="shared" ca="1" si="398"/>
        <v>no semana</v>
      </c>
      <c r="M687" s="51" t="str">
        <f>IFERROR(VLOOKUP(E687,'cheques a conf'!A:D,4,FALSE),"no clearing")</f>
        <v>no clearing</v>
      </c>
      <c r="N687" s="51">
        <f t="shared" si="399"/>
        <v>42</v>
      </c>
      <c r="O687" s="53">
        <f t="shared" si="400"/>
        <v>10</v>
      </c>
      <c r="P687" s="53">
        <f t="shared" si="401"/>
        <v>2025</v>
      </c>
    </row>
    <row r="688" spans="1:16" customFormat="1" x14ac:dyDescent="0.25">
      <c r="A688" s="21">
        <v>3000001439</v>
      </c>
      <c r="B688" s="22">
        <v>45937</v>
      </c>
      <c r="C688" s="20">
        <v>11619490.92</v>
      </c>
      <c r="D688" s="21" t="s">
        <v>393</v>
      </c>
      <c r="E688" s="21">
        <v>97123880</v>
      </c>
      <c r="F688" s="20">
        <v>11619490.92</v>
      </c>
      <c r="G688" s="22">
        <v>45944</v>
      </c>
      <c r="H688" s="21" t="s">
        <v>61</v>
      </c>
      <c r="I688" s="51" t="str">
        <f>IFERROR(IF(VLOOKUP(E688,extracto!C:C,1,FALSE)=E688,"pagado","no pagado"),"no pagado")</f>
        <v>pagado</v>
      </c>
      <c r="J688" s="52" t="str">
        <f t="shared" si="396"/>
        <v>pagado</v>
      </c>
      <c r="K688" s="51" t="str">
        <f t="shared" ca="1" si="397"/>
        <v>excluir</v>
      </c>
      <c r="L688" s="51" t="str">
        <f t="shared" ca="1" si="398"/>
        <v>no semana</v>
      </c>
      <c r="M688" s="51" t="str">
        <f>IFERROR(VLOOKUP(E688,'cheques a conf'!A:D,4,FALSE),"no clearing")</f>
        <v>no clearing</v>
      </c>
      <c r="N688" s="51">
        <f t="shared" si="399"/>
        <v>42</v>
      </c>
      <c r="O688" s="53">
        <f t="shared" si="400"/>
        <v>10</v>
      </c>
      <c r="P688" s="53">
        <f t="shared" si="401"/>
        <v>2025</v>
      </c>
    </row>
    <row r="689" spans="1:16" customFormat="1" x14ac:dyDescent="0.25">
      <c r="A689" s="21">
        <v>3000001440</v>
      </c>
      <c r="B689" s="22">
        <v>45937</v>
      </c>
      <c r="C689" s="20">
        <v>1947854.05</v>
      </c>
      <c r="D689" s="21" t="s">
        <v>392</v>
      </c>
      <c r="E689" s="21">
        <v>97123881</v>
      </c>
      <c r="F689" s="20">
        <v>1947854.05</v>
      </c>
      <c r="G689" s="22">
        <v>45943</v>
      </c>
      <c r="H689" s="21" t="s">
        <v>61</v>
      </c>
      <c r="I689" s="51" t="str">
        <f>IFERROR(IF(VLOOKUP(E689,extracto!C:C,1,FALSE)=E689,"pagado","no pagado"),"no pagado")</f>
        <v>pagado</v>
      </c>
      <c r="J689" s="52" t="str">
        <f t="shared" si="396"/>
        <v>pagado</v>
      </c>
      <c r="K689" s="51" t="str">
        <f t="shared" ca="1" si="397"/>
        <v>excluir</v>
      </c>
      <c r="L689" s="51" t="str">
        <f t="shared" ca="1" si="398"/>
        <v>no semana</v>
      </c>
      <c r="M689" s="51" t="str">
        <f>IFERROR(VLOOKUP(E689,'cheques a conf'!A:D,4,FALSE),"no clearing")</f>
        <v>no clearing</v>
      </c>
      <c r="N689" s="51">
        <f t="shared" si="399"/>
        <v>42</v>
      </c>
      <c r="O689" s="53">
        <f t="shared" si="400"/>
        <v>10</v>
      </c>
      <c r="P689" s="53">
        <f t="shared" si="401"/>
        <v>2025</v>
      </c>
    </row>
    <row r="690" spans="1:16" customFormat="1" x14ac:dyDescent="0.25">
      <c r="A690" s="21">
        <v>3000001442</v>
      </c>
      <c r="B690" s="22">
        <v>45939</v>
      </c>
      <c r="C690" s="20">
        <v>5426024.8600000003</v>
      </c>
      <c r="D690" s="21" t="s">
        <v>423</v>
      </c>
      <c r="E690" s="21">
        <v>97121394</v>
      </c>
      <c r="F690" s="20">
        <v>5426024.8600000003</v>
      </c>
      <c r="G690" s="22">
        <v>45943</v>
      </c>
      <c r="H690" s="21" t="s">
        <v>61</v>
      </c>
      <c r="I690" s="51" t="str">
        <f>IFERROR(IF(VLOOKUP(E690,extracto!C:C,1,FALSE)=E690,"pagado","no pagado"),"no pagado")</f>
        <v>pagado</v>
      </c>
      <c r="J690" s="52" t="str">
        <f t="shared" si="396"/>
        <v>pagado</v>
      </c>
      <c r="K690" s="51" t="str">
        <f t="shared" ca="1" si="397"/>
        <v>excluir</v>
      </c>
      <c r="L690" s="51" t="str">
        <f t="shared" ca="1" si="398"/>
        <v>no semana</v>
      </c>
      <c r="M690" s="51" t="str">
        <f>IFERROR(VLOOKUP(E690,'cheques a conf'!A:D,4,FALSE),"no clearing")</f>
        <v>no clearing</v>
      </c>
      <c r="N690" s="51">
        <f t="shared" si="399"/>
        <v>42</v>
      </c>
      <c r="O690" s="53">
        <f t="shared" si="400"/>
        <v>10</v>
      </c>
      <c r="P690" s="53">
        <f t="shared" si="401"/>
        <v>2025</v>
      </c>
    </row>
    <row r="691" spans="1:16" customFormat="1" x14ac:dyDescent="0.25">
      <c r="A691" s="21">
        <v>3000001451</v>
      </c>
      <c r="B691" s="22">
        <v>45943</v>
      </c>
      <c r="C691" s="20">
        <v>38337990</v>
      </c>
      <c r="D691" s="21" t="s">
        <v>22</v>
      </c>
      <c r="E691" s="21">
        <v>97121395</v>
      </c>
      <c r="F691" s="20">
        <v>38337990</v>
      </c>
      <c r="G691" s="22">
        <v>45944</v>
      </c>
      <c r="H691" s="21" t="s">
        <v>61</v>
      </c>
      <c r="I691" s="51" t="str">
        <f>IFERROR(IF(VLOOKUP(E691,extracto!C:C,1,FALSE)=E691,"pagado","no pagado"),"no pagado")</f>
        <v>pagado</v>
      </c>
      <c r="J691" s="52" t="str">
        <f t="shared" si="396"/>
        <v>pagado</v>
      </c>
      <c r="K691" s="51" t="str">
        <f t="shared" ca="1" si="397"/>
        <v>excluir</v>
      </c>
      <c r="L691" s="51" t="str">
        <f t="shared" ca="1" si="398"/>
        <v>no semana</v>
      </c>
      <c r="M691" s="51" t="str">
        <f>IFERROR(VLOOKUP(E691,'cheques a conf'!A:D,4,FALSE),"no clearing")</f>
        <v>no clearing</v>
      </c>
      <c r="N691" s="51">
        <f t="shared" si="399"/>
        <v>42</v>
      </c>
      <c r="O691" s="53">
        <f t="shared" si="400"/>
        <v>10</v>
      </c>
      <c r="P691" s="53">
        <f t="shared" si="401"/>
        <v>2025</v>
      </c>
    </row>
    <row r="692" spans="1:16" customFormat="1" x14ac:dyDescent="0.25">
      <c r="A692" s="21">
        <v>3000001448</v>
      </c>
      <c r="B692" s="22">
        <v>45943</v>
      </c>
      <c r="C692" s="20">
        <v>6291666</v>
      </c>
      <c r="D692" s="21" t="s">
        <v>197</v>
      </c>
      <c r="E692" s="21">
        <v>97123882</v>
      </c>
      <c r="F692" s="20">
        <v>6291666</v>
      </c>
      <c r="G692" s="22">
        <v>45946</v>
      </c>
      <c r="H692" s="21" t="s">
        <v>61</v>
      </c>
      <c r="I692" s="51" t="str">
        <f>IFERROR(IF(VLOOKUP(E692,extracto!C:C,1,FALSE)=E692,"pagado","no pagado"),"no pagado")</f>
        <v>pagado</v>
      </c>
      <c r="J692" s="52" t="str">
        <f t="shared" si="396"/>
        <v>pagado</v>
      </c>
      <c r="K692" s="51" t="str">
        <f t="shared" ca="1" si="397"/>
        <v>excluir</v>
      </c>
      <c r="L692" s="51" t="str">
        <f t="shared" ca="1" si="398"/>
        <v>no semana</v>
      </c>
      <c r="M692" s="51" t="str">
        <f>IFERROR(VLOOKUP(E692,'cheques a conf'!A:D,4,FALSE),"no clearing")</f>
        <v>no clearing</v>
      </c>
      <c r="N692" s="51">
        <f t="shared" si="399"/>
        <v>42</v>
      </c>
      <c r="O692" s="53">
        <f t="shared" si="400"/>
        <v>10</v>
      </c>
      <c r="P692" s="53">
        <f t="shared" si="401"/>
        <v>2025</v>
      </c>
    </row>
    <row r="693" spans="1:16" customFormat="1" x14ac:dyDescent="0.25">
      <c r="A693" s="21">
        <v>3000001449</v>
      </c>
      <c r="B693" s="22">
        <v>45943</v>
      </c>
      <c r="C693" s="20">
        <v>4084635.32</v>
      </c>
      <c r="D693" s="21" t="s">
        <v>407</v>
      </c>
      <c r="E693" s="21">
        <v>97123883</v>
      </c>
      <c r="F693" s="20">
        <v>4084635.32</v>
      </c>
      <c r="G693" s="22">
        <v>45946</v>
      </c>
      <c r="H693" s="21" t="s">
        <v>61</v>
      </c>
      <c r="I693" s="51" t="str">
        <f>IFERROR(IF(VLOOKUP(E693,extracto!C:C,1,FALSE)=E693,"pagado","no pagado"),"no pagado")</f>
        <v>pagado</v>
      </c>
      <c r="J693" s="52" t="str">
        <f t="shared" si="396"/>
        <v>pagado</v>
      </c>
      <c r="K693" s="51" t="str">
        <f t="shared" ca="1" si="397"/>
        <v>excluir</v>
      </c>
      <c r="L693" s="51" t="str">
        <f t="shared" ca="1" si="398"/>
        <v>no semana</v>
      </c>
      <c r="M693" s="51" t="str">
        <f>IFERROR(VLOOKUP(E693,'cheques a conf'!A:D,4,FALSE),"no clearing")</f>
        <v>no clearing</v>
      </c>
      <c r="N693" s="51">
        <f t="shared" si="399"/>
        <v>42</v>
      </c>
      <c r="O693" s="53">
        <f t="shared" si="400"/>
        <v>10</v>
      </c>
      <c r="P693" s="53">
        <f t="shared" si="401"/>
        <v>2025</v>
      </c>
    </row>
    <row r="694" spans="1:16" customFormat="1" x14ac:dyDescent="0.25">
      <c r="A694" s="21">
        <v>3000001450</v>
      </c>
      <c r="B694" s="22">
        <v>45943</v>
      </c>
      <c r="C694" s="20">
        <v>6637001.8499999996</v>
      </c>
      <c r="D694" s="21" t="s">
        <v>423</v>
      </c>
      <c r="E694" s="21">
        <v>97123884</v>
      </c>
      <c r="F694" s="20">
        <v>6637001.8499999996</v>
      </c>
      <c r="G694" s="22">
        <v>45945</v>
      </c>
      <c r="H694" s="21" t="s">
        <v>61</v>
      </c>
      <c r="I694" s="51" t="str">
        <f>IFERROR(IF(VLOOKUP(E694,extracto!C:C,1,FALSE)=E694,"pagado","no pagado"),"no pagado")</f>
        <v>pagado</v>
      </c>
      <c r="J694" s="52" t="str">
        <f t="shared" si="396"/>
        <v>pagado</v>
      </c>
      <c r="K694" s="51" t="str">
        <f t="shared" ca="1" si="397"/>
        <v>excluir</v>
      </c>
      <c r="L694" s="51" t="str">
        <f t="shared" ca="1" si="398"/>
        <v>no semana</v>
      </c>
      <c r="M694" s="51" t="str">
        <f>IFERROR(VLOOKUP(E694,'cheques a conf'!A:D,4,FALSE),"no clearing")</f>
        <v>no clearing</v>
      </c>
      <c r="N694" s="51">
        <f t="shared" si="399"/>
        <v>42</v>
      </c>
      <c r="O694" s="53">
        <f t="shared" si="400"/>
        <v>10</v>
      </c>
      <c r="P694" s="53">
        <f t="shared" si="401"/>
        <v>2025</v>
      </c>
    </row>
    <row r="695" spans="1:16" customFormat="1" x14ac:dyDescent="0.25">
      <c r="A695" s="21">
        <v>3000001464</v>
      </c>
      <c r="B695" s="22">
        <v>45945</v>
      </c>
      <c r="C695" s="20">
        <v>5707560.7999999998</v>
      </c>
      <c r="D695" s="21" t="s">
        <v>424</v>
      </c>
      <c r="E695" s="21">
        <v>97123885</v>
      </c>
      <c r="F695" s="20">
        <v>5707560.7999999998</v>
      </c>
      <c r="G695" s="22">
        <v>45950</v>
      </c>
      <c r="H695" s="21" t="s">
        <v>61</v>
      </c>
      <c r="I695" s="51" t="str">
        <f>IFERROR(IF(VLOOKUP(E695,extracto!C:C,1,FALSE)=E695,"pagado","no pagado"),"no pagado")</f>
        <v>pagado</v>
      </c>
      <c r="J695" s="52" t="str">
        <f t="shared" si="396"/>
        <v>pagado</v>
      </c>
      <c r="K695" s="51" t="str">
        <f t="shared" ca="1" si="397"/>
        <v>excluir</v>
      </c>
      <c r="L695" s="51" t="str">
        <f t="shared" ca="1" si="398"/>
        <v>no semana</v>
      </c>
      <c r="M695" s="51" t="str">
        <f>IFERROR(VLOOKUP(E695,'cheques a conf'!A:D,4,FALSE),"no clearing")</f>
        <v>no clearing</v>
      </c>
      <c r="N695" s="51">
        <f t="shared" si="399"/>
        <v>43</v>
      </c>
      <c r="O695" s="53">
        <f t="shared" si="400"/>
        <v>10</v>
      </c>
      <c r="P695" s="53">
        <f t="shared" si="401"/>
        <v>2025</v>
      </c>
    </row>
    <row r="696" spans="1:16" customFormat="1" x14ac:dyDescent="0.25">
      <c r="A696" s="21">
        <v>3000001465</v>
      </c>
      <c r="B696" s="22">
        <v>45945</v>
      </c>
      <c r="C696" s="20">
        <v>11109319.560000001</v>
      </c>
      <c r="D696" s="21" t="s">
        <v>363</v>
      </c>
      <c r="E696" s="21">
        <v>97123886</v>
      </c>
      <c r="F696" s="20">
        <v>11109319.560000001</v>
      </c>
      <c r="G696" s="22">
        <v>45950</v>
      </c>
      <c r="H696" s="21" t="s">
        <v>61</v>
      </c>
      <c r="I696" s="51" t="str">
        <f>IFERROR(IF(VLOOKUP(E696,extracto!C:C,1,FALSE)=E696,"pagado","no pagado"),"no pagado")</f>
        <v>pagado</v>
      </c>
      <c r="J696" s="52" t="str">
        <f t="shared" si="396"/>
        <v>pagado</v>
      </c>
      <c r="K696" s="51" t="str">
        <f t="shared" ca="1" si="397"/>
        <v>excluir</v>
      </c>
      <c r="L696" s="51" t="str">
        <f t="shared" ca="1" si="398"/>
        <v>no semana</v>
      </c>
      <c r="M696" s="51" t="str">
        <f>IFERROR(VLOOKUP(E696,'cheques a conf'!A:D,4,FALSE),"no clearing")</f>
        <v>no clearing</v>
      </c>
      <c r="N696" s="51">
        <f t="shared" si="399"/>
        <v>43</v>
      </c>
      <c r="O696" s="53">
        <f t="shared" si="400"/>
        <v>10</v>
      </c>
      <c r="P696" s="53">
        <f t="shared" si="401"/>
        <v>2025</v>
      </c>
    </row>
    <row r="697" spans="1:16" customFormat="1" x14ac:dyDescent="0.25">
      <c r="A697" s="21">
        <v>3000001466</v>
      </c>
      <c r="B697" s="22">
        <v>45945</v>
      </c>
      <c r="C697" s="20">
        <v>1821914.78</v>
      </c>
      <c r="D697" s="21" t="s">
        <v>338</v>
      </c>
      <c r="E697" s="21">
        <v>97123887</v>
      </c>
      <c r="F697" s="20">
        <v>1821914.78</v>
      </c>
      <c r="G697" s="22">
        <v>45950</v>
      </c>
      <c r="H697" s="21" t="s">
        <v>61</v>
      </c>
      <c r="I697" s="51" t="str">
        <f>IFERROR(IF(VLOOKUP(E697,extracto!C:C,1,FALSE)=E697,"pagado","no pagado"),"no pagado")</f>
        <v>pagado</v>
      </c>
      <c r="J697" s="52" t="str">
        <f t="shared" si="396"/>
        <v>pagado</v>
      </c>
      <c r="K697" s="51" t="str">
        <f t="shared" ca="1" si="397"/>
        <v>excluir</v>
      </c>
      <c r="L697" s="51" t="str">
        <f t="shared" ca="1" si="398"/>
        <v>no semana</v>
      </c>
      <c r="M697" s="51" t="str">
        <f>IFERROR(VLOOKUP(E697,'cheques a conf'!A:D,4,FALSE),"no clearing")</f>
        <v>no clearing</v>
      </c>
      <c r="N697" s="51">
        <f t="shared" si="399"/>
        <v>43</v>
      </c>
      <c r="O697" s="53">
        <f t="shared" si="400"/>
        <v>10</v>
      </c>
      <c r="P697" s="53">
        <f t="shared" si="401"/>
        <v>2025</v>
      </c>
    </row>
    <row r="698" spans="1:16" customFormat="1" x14ac:dyDescent="0.25">
      <c r="A698" s="21">
        <v>3000001467</v>
      </c>
      <c r="B698" s="22">
        <v>45945</v>
      </c>
      <c r="C698" s="20">
        <v>3923970.88</v>
      </c>
      <c r="D698" s="21" t="s">
        <v>391</v>
      </c>
      <c r="E698" s="21">
        <v>97123888</v>
      </c>
      <c r="F698" s="20">
        <v>3923970.88</v>
      </c>
      <c r="G698" s="22">
        <v>45950</v>
      </c>
      <c r="H698" s="21" t="s">
        <v>61</v>
      </c>
      <c r="I698" s="51" t="str">
        <f>IFERROR(IF(VLOOKUP(E698,extracto!C:C,1,FALSE)=E698,"pagado","no pagado"),"no pagado")</f>
        <v>pagado</v>
      </c>
      <c r="J698" s="52" t="str">
        <f t="shared" si="396"/>
        <v>pagado</v>
      </c>
      <c r="K698" s="51" t="str">
        <f t="shared" ca="1" si="397"/>
        <v>excluir</v>
      </c>
      <c r="L698" s="51" t="str">
        <f t="shared" ca="1" si="398"/>
        <v>no semana</v>
      </c>
      <c r="M698" s="51" t="str">
        <f>IFERROR(VLOOKUP(E698,'cheques a conf'!A:D,4,FALSE),"no clearing")</f>
        <v>no clearing</v>
      </c>
      <c r="N698" s="51">
        <f t="shared" si="399"/>
        <v>43</v>
      </c>
      <c r="O698" s="53">
        <f t="shared" si="400"/>
        <v>10</v>
      </c>
      <c r="P698" s="53">
        <f t="shared" si="401"/>
        <v>2025</v>
      </c>
    </row>
    <row r="699" spans="1:16" customFormat="1" x14ac:dyDescent="0.25">
      <c r="A699" s="21">
        <v>3000001468</v>
      </c>
      <c r="B699" s="22">
        <v>45945</v>
      </c>
      <c r="C699" s="20">
        <v>2440915.39</v>
      </c>
      <c r="D699" s="21" t="s">
        <v>425</v>
      </c>
      <c r="E699" s="21">
        <v>97123889</v>
      </c>
      <c r="F699" s="20">
        <v>2440915.39</v>
      </c>
      <c r="G699" s="22">
        <v>45950</v>
      </c>
      <c r="H699" s="21" t="s">
        <v>61</v>
      </c>
      <c r="I699" s="51" t="str">
        <f>IFERROR(IF(VLOOKUP(E699,extracto!C:C,1,FALSE)=E699,"pagado","no pagado"),"no pagado")</f>
        <v>pagado</v>
      </c>
      <c r="J699" s="52" t="str">
        <f t="shared" si="396"/>
        <v>pagado</v>
      </c>
      <c r="K699" s="51" t="str">
        <f t="shared" ca="1" si="397"/>
        <v>excluir</v>
      </c>
      <c r="L699" s="51" t="str">
        <f t="shared" ca="1" si="398"/>
        <v>no semana</v>
      </c>
      <c r="M699" s="51" t="str">
        <f>IFERROR(VLOOKUP(E699,'cheques a conf'!A:D,4,FALSE),"no clearing")</f>
        <v>no clearing</v>
      </c>
      <c r="N699" s="51">
        <f t="shared" si="399"/>
        <v>43</v>
      </c>
      <c r="O699" s="53">
        <f t="shared" si="400"/>
        <v>10</v>
      </c>
      <c r="P699" s="53">
        <f t="shared" si="401"/>
        <v>2025</v>
      </c>
    </row>
    <row r="700" spans="1:16" customFormat="1" x14ac:dyDescent="0.25">
      <c r="A700">
        <v>3000001483</v>
      </c>
      <c r="B700" s="3">
        <v>45950</v>
      </c>
      <c r="C700" s="9">
        <v>25000000</v>
      </c>
      <c r="D700" t="s">
        <v>300</v>
      </c>
      <c r="E700">
        <v>97123894</v>
      </c>
      <c r="F700" s="9">
        <v>25000000</v>
      </c>
      <c r="G700" s="3">
        <v>45952</v>
      </c>
      <c r="H700" s="21" t="s">
        <v>61</v>
      </c>
      <c r="I700" s="51" t="str">
        <f>IFERROR(IF(VLOOKUP(E700,extracto!C:C,1,FALSE)=E700,"pagado","no pagado"),"no pagado")</f>
        <v>pagado</v>
      </c>
      <c r="J700" s="52" t="str">
        <f t="shared" si="396"/>
        <v>pagado</v>
      </c>
      <c r="K700" s="51" t="str">
        <f t="shared" ca="1" si="397"/>
        <v>excluir</v>
      </c>
      <c r="L700" s="51" t="str">
        <f t="shared" ca="1" si="398"/>
        <v>no semana</v>
      </c>
      <c r="M700" s="51" t="str">
        <f>IFERROR(VLOOKUP(E700,'cheques a conf'!A:D,4,FALSE),"no clearing")</f>
        <v>no clearing</v>
      </c>
      <c r="N700" s="51">
        <f t="shared" si="399"/>
        <v>43</v>
      </c>
      <c r="O700" s="53">
        <f t="shared" si="400"/>
        <v>10</v>
      </c>
      <c r="P700" s="53">
        <f t="shared" si="401"/>
        <v>2025</v>
      </c>
    </row>
    <row r="701" spans="1:16" customFormat="1" x14ac:dyDescent="0.25">
      <c r="A701">
        <v>3000001483</v>
      </c>
      <c r="B701" s="3">
        <v>45950</v>
      </c>
      <c r="C701" s="9">
        <v>26433849.640000001</v>
      </c>
      <c r="D701" t="s">
        <v>300</v>
      </c>
      <c r="E701">
        <v>97123895</v>
      </c>
      <c r="F701" s="9">
        <v>26433849.640000001</v>
      </c>
      <c r="G701" s="3">
        <v>45953</v>
      </c>
      <c r="H701" s="21" t="s">
        <v>61</v>
      </c>
      <c r="I701" s="51" t="str">
        <f>IFERROR(IF(VLOOKUP(E701,extracto!C:C,1,FALSE)=E701,"pagado","no pagado"),"no pagado")</f>
        <v>pagado</v>
      </c>
      <c r="J701" s="52" t="str">
        <f t="shared" si="396"/>
        <v>pagado</v>
      </c>
      <c r="K701" s="51" t="str">
        <f t="shared" ca="1" si="397"/>
        <v>excluir</v>
      </c>
      <c r="L701" s="51" t="str">
        <f t="shared" ca="1" si="398"/>
        <v>no semana</v>
      </c>
      <c r="M701" s="51" t="str">
        <f>IFERROR(VLOOKUP(E701,'cheques a conf'!A:D,4,FALSE),"no clearing")</f>
        <v>no clearing</v>
      </c>
      <c r="N701" s="51">
        <f t="shared" si="399"/>
        <v>43</v>
      </c>
      <c r="O701" s="53">
        <f t="shared" si="400"/>
        <v>10</v>
      </c>
      <c r="P701" s="53">
        <f t="shared" si="401"/>
        <v>2025</v>
      </c>
    </row>
    <row r="702" spans="1:16" customFormat="1" x14ac:dyDescent="0.25">
      <c r="A702">
        <v>3000001479</v>
      </c>
      <c r="B702" s="3">
        <v>45950</v>
      </c>
      <c r="C702" s="9">
        <v>4285169.4000000004</v>
      </c>
      <c r="D702" t="s">
        <v>357</v>
      </c>
      <c r="E702">
        <v>97123890</v>
      </c>
      <c r="F702" s="9">
        <v>4285169.4000000004</v>
      </c>
      <c r="G702" s="3">
        <v>45952</v>
      </c>
      <c r="H702" s="21" t="s">
        <v>61</v>
      </c>
      <c r="I702" s="51" t="str">
        <f>IFERROR(IF(VLOOKUP(E702,extracto!C:C,1,FALSE)=E702,"pagado","no pagado"),"no pagado")</f>
        <v>pagado</v>
      </c>
      <c r="J702" s="52" t="str">
        <f t="shared" si="396"/>
        <v>pagado</v>
      </c>
      <c r="K702" s="51" t="str">
        <f t="shared" ca="1" si="397"/>
        <v>excluir</v>
      </c>
      <c r="L702" s="51" t="str">
        <f t="shared" ca="1" si="398"/>
        <v>no semana</v>
      </c>
      <c r="M702" s="51" t="str">
        <f>IFERROR(VLOOKUP(E702,'cheques a conf'!A:D,4,FALSE),"no clearing")</f>
        <v>no clearing</v>
      </c>
      <c r="N702" s="51">
        <f t="shared" si="399"/>
        <v>43</v>
      </c>
      <c r="O702" s="53">
        <f t="shared" si="400"/>
        <v>10</v>
      </c>
      <c r="P702" s="53">
        <f t="shared" si="401"/>
        <v>2025</v>
      </c>
    </row>
    <row r="703" spans="1:16" customFormat="1" x14ac:dyDescent="0.25">
      <c r="A703">
        <v>3000001480</v>
      </c>
      <c r="B703" s="3">
        <v>45950</v>
      </c>
      <c r="C703" s="9">
        <v>3679393.72</v>
      </c>
      <c r="D703" t="s">
        <v>288</v>
      </c>
      <c r="E703">
        <v>97123891</v>
      </c>
      <c r="F703" s="9">
        <v>3679393.72</v>
      </c>
      <c r="G703" s="3">
        <v>45952</v>
      </c>
      <c r="H703" s="21" t="s">
        <v>61</v>
      </c>
      <c r="I703" s="51" t="str">
        <f>IFERROR(IF(VLOOKUP(E703,extracto!C:C,1,FALSE)=E703,"pagado","no pagado"),"no pagado")</f>
        <v>pagado</v>
      </c>
      <c r="J703" s="52" t="str">
        <f t="shared" si="396"/>
        <v>pagado</v>
      </c>
      <c r="K703" s="51" t="str">
        <f t="shared" ca="1" si="397"/>
        <v>excluir</v>
      </c>
      <c r="L703" s="51" t="str">
        <f t="shared" ca="1" si="398"/>
        <v>no semana</v>
      </c>
      <c r="M703" s="51" t="str">
        <f>IFERROR(VLOOKUP(E703,'cheques a conf'!A:D,4,FALSE),"no clearing")</f>
        <v>no clearing</v>
      </c>
      <c r="N703" s="51">
        <f t="shared" si="399"/>
        <v>43</v>
      </c>
      <c r="O703" s="53">
        <f t="shared" si="400"/>
        <v>10</v>
      </c>
      <c r="P703" s="53">
        <f t="shared" si="401"/>
        <v>2025</v>
      </c>
    </row>
    <row r="704" spans="1:16" customFormat="1" x14ac:dyDescent="0.25">
      <c r="A704">
        <v>3000001481</v>
      </c>
      <c r="B704" s="3">
        <v>45950</v>
      </c>
      <c r="C704" s="9">
        <v>11601224.17</v>
      </c>
      <c r="D704" t="s">
        <v>398</v>
      </c>
      <c r="E704">
        <v>97123892</v>
      </c>
      <c r="F704" s="9">
        <v>11601224.17</v>
      </c>
      <c r="G704" s="3">
        <v>45953</v>
      </c>
      <c r="H704" s="21" t="s">
        <v>61</v>
      </c>
      <c r="I704" s="51" t="str">
        <f>IFERROR(IF(VLOOKUP(E704,extracto!C:C,1,FALSE)=E704,"pagado","no pagado"),"no pagado")</f>
        <v>pagado</v>
      </c>
      <c r="J704" s="52" t="str">
        <f t="shared" si="396"/>
        <v>pagado</v>
      </c>
      <c r="K704" s="51" t="str">
        <f t="shared" ca="1" si="397"/>
        <v>excluir</v>
      </c>
      <c r="L704" s="51" t="str">
        <f t="shared" ca="1" si="398"/>
        <v>no semana</v>
      </c>
      <c r="M704" s="51" t="str">
        <f>IFERROR(VLOOKUP(E704,'cheques a conf'!A:D,4,FALSE),"no clearing")</f>
        <v>no clearing</v>
      </c>
      <c r="N704" s="51">
        <f t="shared" si="399"/>
        <v>43</v>
      </c>
      <c r="O704" s="53">
        <f t="shared" si="400"/>
        <v>10</v>
      </c>
      <c r="P704" s="53">
        <f t="shared" si="401"/>
        <v>2025</v>
      </c>
    </row>
    <row r="705" spans="1:16" customFormat="1" x14ac:dyDescent="0.25">
      <c r="A705">
        <v>3000001482</v>
      </c>
      <c r="B705" s="3">
        <v>45950</v>
      </c>
      <c r="C705" s="9">
        <v>13210111.01</v>
      </c>
      <c r="D705" t="s">
        <v>302</v>
      </c>
      <c r="E705">
        <v>97123893</v>
      </c>
      <c r="F705" s="9">
        <v>13210111.01</v>
      </c>
      <c r="G705" s="3">
        <v>45952</v>
      </c>
      <c r="H705" s="21" t="s">
        <v>61</v>
      </c>
      <c r="I705" s="51" t="str">
        <f>IFERROR(IF(VLOOKUP(E705,extracto!C:C,1,FALSE)=E705,"pagado","no pagado"),"no pagado")</f>
        <v>pagado</v>
      </c>
      <c r="J705" s="52" t="str">
        <f t="shared" si="396"/>
        <v>pagado</v>
      </c>
      <c r="K705" s="51" t="str">
        <f t="shared" ca="1" si="397"/>
        <v>excluir</v>
      </c>
      <c r="L705" s="51" t="str">
        <f t="shared" ca="1" si="398"/>
        <v>no semana</v>
      </c>
      <c r="M705" s="51" t="str">
        <f>IFERROR(VLOOKUP(E705,'cheques a conf'!A:D,4,FALSE),"no clearing")</f>
        <v>no clearing</v>
      </c>
      <c r="N705" s="51">
        <f t="shared" si="399"/>
        <v>43</v>
      </c>
      <c r="O705" s="53">
        <f t="shared" si="400"/>
        <v>10</v>
      </c>
      <c r="P705" s="53">
        <f t="shared" si="401"/>
        <v>2025</v>
      </c>
    </row>
    <row r="706" spans="1:16" customFormat="1" x14ac:dyDescent="0.25">
      <c r="A706">
        <v>3000001484</v>
      </c>
      <c r="B706" s="3">
        <v>45950</v>
      </c>
      <c r="C706" s="9">
        <v>5704320.4000000004</v>
      </c>
      <c r="D706" t="s">
        <v>347</v>
      </c>
      <c r="E706">
        <v>97123896</v>
      </c>
      <c r="F706" s="9">
        <v>5704320.4000000004</v>
      </c>
      <c r="G706" s="3">
        <v>45952</v>
      </c>
      <c r="H706" s="21" t="s">
        <v>61</v>
      </c>
      <c r="I706" s="51" t="str">
        <f>IFERROR(IF(VLOOKUP(E706,extracto!C:C,1,FALSE)=E706,"pagado","no pagado"),"no pagado")</f>
        <v>pagado</v>
      </c>
      <c r="J706" s="52" t="str">
        <f t="shared" si="396"/>
        <v>pagado</v>
      </c>
      <c r="K706" s="51" t="str">
        <f t="shared" ca="1" si="397"/>
        <v>excluir</v>
      </c>
      <c r="L706" s="51" t="str">
        <f t="shared" ca="1" si="398"/>
        <v>no semana</v>
      </c>
      <c r="M706" s="51" t="str">
        <f>IFERROR(VLOOKUP(E706,'cheques a conf'!A:D,4,FALSE),"no clearing")</f>
        <v>no clearing</v>
      </c>
      <c r="N706" s="51">
        <f t="shared" si="399"/>
        <v>43</v>
      </c>
      <c r="O706" s="53">
        <f t="shared" si="400"/>
        <v>10</v>
      </c>
      <c r="P706" s="53">
        <f t="shared" si="401"/>
        <v>2025</v>
      </c>
    </row>
    <row r="707" spans="1:16" customFormat="1" x14ac:dyDescent="0.25">
      <c r="A707">
        <v>3000001485</v>
      </c>
      <c r="B707" s="3">
        <v>45950</v>
      </c>
      <c r="C707" s="9">
        <v>9938480.6500000004</v>
      </c>
      <c r="D707" t="s">
        <v>365</v>
      </c>
      <c r="E707">
        <v>97123897</v>
      </c>
      <c r="F707" s="9">
        <v>9938480.6500000004</v>
      </c>
      <c r="G707" s="3">
        <v>45953</v>
      </c>
      <c r="H707" s="21" t="s">
        <v>61</v>
      </c>
      <c r="I707" s="51" t="str">
        <f>IFERROR(IF(VLOOKUP(E707,extracto!C:C,1,FALSE)=E707,"pagado","no pagado"),"no pagado")</f>
        <v>pagado</v>
      </c>
      <c r="J707" s="52" t="str">
        <f t="shared" si="396"/>
        <v>pagado</v>
      </c>
      <c r="K707" s="51" t="str">
        <f t="shared" ca="1" si="397"/>
        <v>excluir</v>
      </c>
      <c r="L707" s="51" t="str">
        <f t="shared" ca="1" si="398"/>
        <v>no semana</v>
      </c>
      <c r="M707" s="51" t="str">
        <f>IFERROR(VLOOKUP(E707,'cheques a conf'!A:D,4,FALSE),"no clearing")</f>
        <v>no clearing</v>
      </c>
      <c r="N707" s="51">
        <f t="shared" si="399"/>
        <v>43</v>
      </c>
      <c r="O707" s="53">
        <f t="shared" si="400"/>
        <v>10</v>
      </c>
      <c r="P707" s="53">
        <f t="shared" si="401"/>
        <v>2025</v>
      </c>
    </row>
    <row r="708" spans="1:16" customFormat="1" x14ac:dyDescent="0.25">
      <c r="A708">
        <v>3000001486</v>
      </c>
      <c r="B708" s="3">
        <v>45950</v>
      </c>
      <c r="C708" s="9">
        <v>5343191.45</v>
      </c>
      <c r="D708" t="s">
        <v>350</v>
      </c>
      <c r="E708">
        <v>97123898</v>
      </c>
      <c r="F708" s="9">
        <v>5343191.45</v>
      </c>
      <c r="G708" s="3">
        <v>45952</v>
      </c>
      <c r="H708" s="21" t="s">
        <v>61</v>
      </c>
      <c r="I708" s="51" t="str">
        <f>IFERROR(IF(VLOOKUP(E708,extracto!C:C,1,FALSE)=E708,"pagado","no pagado"),"no pagado")</f>
        <v>pagado</v>
      </c>
      <c r="J708" s="52" t="str">
        <f t="shared" si="396"/>
        <v>pagado</v>
      </c>
      <c r="K708" s="51" t="str">
        <f t="shared" ca="1" si="397"/>
        <v>excluir</v>
      </c>
      <c r="L708" s="51" t="str">
        <f t="shared" ca="1" si="398"/>
        <v>no semana</v>
      </c>
      <c r="M708" s="51" t="str">
        <f>IFERROR(VLOOKUP(E708,'cheques a conf'!A:D,4,FALSE),"no clearing")</f>
        <v>no clearing</v>
      </c>
      <c r="N708" s="51">
        <f t="shared" si="399"/>
        <v>43</v>
      </c>
      <c r="O708" s="53">
        <f t="shared" si="400"/>
        <v>10</v>
      </c>
      <c r="P708" s="53">
        <f t="shared" si="401"/>
        <v>2025</v>
      </c>
    </row>
    <row r="709" spans="1:16" customFormat="1" x14ac:dyDescent="0.25">
      <c r="A709">
        <v>3000001487</v>
      </c>
      <c r="B709" s="3">
        <v>45950</v>
      </c>
      <c r="C709" s="9">
        <v>9878343.4000000004</v>
      </c>
      <c r="D709" t="s">
        <v>353</v>
      </c>
      <c r="E709">
        <v>97123899</v>
      </c>
      <c r="F709" s="9">
        <v>9878343.4000000004</v>
      </c>
      <c r="G709" s="3">
        <v>45952</v>
      </c>
      <c r="H709" s="21" t="s">
        <v>61</v>
      </c>
      <c r="I709" s="51" t="str">
        <f>IFERROR(IF(VLOOKUP(E709,extracto!C:C,1,FALSE)=E709,"pagado","no pagado"),"no pagado")</f>
        <v>pagado</v>
      </c>
      <c r="J709" s="52" t="str">
        <f t="shared" si="396"/>
        <v>pagado</v>
      </c>
      <c r="K709" s="51" t="str">
        <f t="shared" ca="1" si="397"/>
        <v>excluir</v>
      </c>
      <c r="L709" s="51" t="str">
        <f t="shared" ca="1" si="398"/>
        <v>no semana</v>
      </c>
      <c r="M709" s="51" t="str">
        <f>IFERROR(VLOOKUP(E709,'cheques a conf'!A:D,4,FALSE),"no clearing")</f>
        <v>no clearing</v>
      </c>
      <c r="N709" s="51">
        <f t="shared" si="399"/>
        <v>43</v>
      </c>
      <c r="O709" s="53">
        <f t="shared" si="400"/>
        <v>10</v>
      </c>
      <c r="P709" s="53">
        <f t="shared" si="401"/>
        <v>2025</v>
      </c>
    </row>
    <row r="710" spans="1:16" customFormat="1" x14ac:dyDescent="0.25">
      <c r="A710">
        <v>3000001488</v>
      </c>
      <c r="B710" s="3">
        <v>45950</v>
      </c>
      <c r="C710" s="9">
        <v>8548637.4000000004</v>
      </c>
      <c r="D710" t="s">
        <v>197</v>
      </c>
      <c r="E710">
        <v>97123900</v>
      </c>
      <c r="F710" s="9">
        <v>8548637.4000000004</v>
      </c>
      <c r="G710" s="3">
        <v>45953</v>
      </c>
      <c r="H710" s="21" t="s">
        <v>61</v>
      </c>
      <c r="I710" s="51" t="str">
        <f>IFERROR(IF(VLOOKUP(E710,extracto!C:C,1,FALSE)=E710,"pagado","no pagado"),"no pagado")</f>
        <v>pagado</v>
      </c>
      <c r="J710" s="52" t="str">
        <f t="shared" si="396"/>
        <v>pagado</v>
      </c>
      <c r="K710" s="51" t="str">
        <f t="shared" ca="1" si="397"/>
        <v>excluir</v>
      </c>
      <c r="L710" s="51" t="str">
        <f t="shared" ca="1" si="398"/>
        <v>no semana</v>
      </c>
      <c r="M710" s="51" t="str">
        <f>IFERROR(VLOOKUP(E710,'cheques a conf'!A:D,4,FALSE),"no clearing")</f>
        <v>no clearing</v>
      </c>
      <c r="N710" s="51">
        <f t="shared" si="399"/>
        <v>43</v>
      </c>
      <c r="O710" s="53">
        <f t="shared" si="400"/>
        <v>10</v>
      </c>
      <c r="P710" s="53">
        <f t="shared" si="401"/>
        <v>2025</v>
      </c>
    </row>
    <row r="711" spans="1:16" customFormat="1" x14ac:dyDescent="0.25">
      <c r="A711">
        <v>3000001489</v>
      </c>
      <c r="B711" s="3">
        <v>45951</v>
      </c>
      <c r="C711" s="9">
        <v>3358543.4</v>
      </c>
      <c r="D711" t="s">
        <v>426</v>
      </c>
      <c r="E711">
        <v>97123901</v>
      </c>
      <c r="F711" s="9">
        <v>3358543.4</v>
      </c>
      <c r="G711" s="3">
        <v>45952</v>
      </c>
      <c r="H711" s="21" t="s">
        <v>61</v>
      </c>
      <c r="I711" s="51" t="str">
        <f>IFERROR(IF(VLOOKUP(E711,extracto!C:C,1,FALSE)=E711,"pagado","no pagado"),"no pagado")</f>
        <v>pagado</v>
      </c>
      <c r="J711" s="52" t="str">
        <f t="shared" si="396"/>
        <v>pagado</v>
      </c>
      <c r="K711" s="51" t="str">
        <f t="shared" ca="1" si="397"/>
        <v>excluir</v>
      </c>
      <c r="L711" s="51" t="str">
        <f t="shared" ca="1" si="398"/>
        <v>no semana</v>
      </c>
      <c r="M711" s="51" t="str">
        <f>IFERROR(VLOOKUP(E711,'cheques a conf'!A:D,4,FALSE),"no clearing")</f>
        <v>no clearing</v>
      </c>
      <c r="N711" s="51">
        <f t="shared" si="399"/>
        <v>43</v>
      </c>
      <c r="O711" s="53">
        <f t="shared" si="400"/>
        <v>10</v>
      </c>
      <c r="P711" s="53">
        <f t="shared" si="401"/>
        <v>2025</v>
      </c>
    </row>
    <row r="712" spans="1:16" customFormat="1" x14ac:dyDescent="0.25">
      <c r="A712">
        <v>3000001504</v>
      </c>
      <c r="B712" s="3">
        <v>45951</v>
      </c>
      <c r="C712" s="9">
        <v>3985630.18</v>
      </c>
      <c r="D712" t="s">
        <v>26</v>
      </c>
      <c r="E712">
        <v>97123902</v>
      </c>
      <c r="F712" s="9">
        <v>3985630.18</v>
      </c>
      <c r="G712" s="3">
        <v>45954</v>
      </c>
      <c r="H712" s="21" t="s">
        <v>61</v>
      </c>
      <c r="I712" s="51" t="str">
        <f>IFERROR(IF(VLOOKUP(E712,extracto!C:C,1,FALSE)=E712,"pagado","no pagado"),"no pagado")</f>
        <v>pagado</v>
      </c>
      <c r="J712" s="52" t="str">
        <f t="shared" si="396"/>
        <v>pagado</v>
      </c>
      <c r="K712" s="51" t="str">
        <f t="shared" ca="1" si="397"/>
        <v>excluir</v>
      </c>
      <c r="L712" s="51" t="str">
        <f t="shared" ca="1" si="398"/>
        <v>no semana</v>
      </c>
      <c r="M712" s="51" t="str">
        <f>IFERROR(VLOOKUP(E712,'cheques a conf'!A:D,4,FALSE),"no clearing")</f>
        <v>no clearing</v>
      </c>
      <c r="N712" s="51">
        <f t="shared" si="399"/>
        <v>43</v>
      </c>
      <c r="O712" s="53">
        <f t="shared" si="400"/>
        <v>10</v>
      </c>
      <c r="P712" s="53">
        <f t="shared" si="401"/>
        <v>2025</v>
      </c>
    </row>
    <row r="713" spans="1:16" customFormat="1" x14ac:dyDescent="0.25">
      <c r="A713">
        <v>3000001505</v>
      </c>
      <c r="B713" s="3">
        <v>45951</v>
      </c>
      <c r="C713" s="9">
        <v>8575220.3300000001</v>
      </c>
      <c r="D713" t="s">
        <v>16</v>
      </c>
      <c r="E713">
        <v>97123903</v>
      </c>
      <c r="F713" s="9">
        <v>8575220.3300000001</v>
      </c>
      <c r="G713" s="3">
        <v>45954</v>
      </c>
      <c r="H713" s="21" t="s">
        <v>61</v>
      </c>
      <c r="I713" s="51" t="str">
        <f>IFERROR(IF(VLOOKUP(E713,extracto!C:C,1,FALSE)=E713,"pagado","no pagado"),"no pagado")</f>
        <v>pagado</v>
      </c>
      <c r="J713" s="52" t="str">
        <f t="shared" si="396"/>
        <v>pagado</v>
      </c>
      <c r="K713" s="51" t="str">
        <f t="shared" ca="1" si="397"/>
        <v>excluir</v>
      </c>
      <c r="L713" s="51" t="str">
        <f t="shared" ca="1" si="398"/>
        <v>no semana</v>
      </c>
      <c r="M713" s="51" t="str">
        <f>IFERROR(VLOOKUP(E713,'cheques a conf'!A:D,4,FALSE),"no clearing")</f>
        <v>no clearing</v>
      </c>
      <c r="N713" s="51">
        <f t="shared" si="399"/>
        <v>43</v>
      </c>
      <c r="O713" s="53">
        <f t="shared" si="400"/>
        <v>10</v>
      </c>
      <c r="P713" s="53">
        <f t="shared" si="401"/>
        <v>2025</v>
      </c>
    </row>
    <row r="714" spans="1:16" customFormat="1" x14ac:dyDescent="0.25">
      <c r="A714" s="21">
        <v>3000001523</v>
      </c>
      <c r="B714" s="22">
        <v>45957</v>
      </c>
      <c r="C714" s="20">
        <v>23704931.199999999</v>
      </c>
      <c r="D714" s="21" t="s">
        <v>293</v>
      </c>
      <c r="E714" s="21">
        <v>97123904</v>
      </c>
      <c r="F714" s="20">
        <v>23704931.199999999</v>
      </c>
      <c r="G714" s="22">
        <v>45959</v>
      </c>
      <c r="H714" s="21" t="s">
        <v>61</v>
      </c>
      <c r="I714" s="51" t="str">
        <f>IFERROR(IF(VLOOKUP(E714,extracto!C:C,1,FALSE)=E714,"pagado","no pagado"),"no pagado")</f>
        <v>pagado</v>
      </c>
      <c r="J714" s="52" t="str">
        <f t="shared" si="396"/>
        <v>pagado</v>
      </c>
      <c r="K714" s="51" t="str">
        <f t="shared" ca="1" si="397"/>
        <v>excluir</v>
      </c>
      <c r="L714" s="51" t="str">
        <f t="shared" ca="1" si="398"/>
        <v>no semana</v>
      </c>
      <c r="M714" s="51" t="str">
        <f>IFERROR(VLOOKUP(E714,'cheques a conf'!A:D,4,FALSE),"no clearing")</f>
        <v>no clearing</v>
      </c>
      <c r="N714" s="51">
        <f t="shared" si="399"/>
        <v>44</v>
      </c>
      <c r="O714" s="53">
        <f t="shared" si="400"/>
        <v>10</v>
      </c>
      <c r="P714" s="53">
        <f t="shared" si="401"/>
        <v>2025</v>
      </c>
    </row>
    <row r="715" spans="1:16" customFormat="1" x14ac:dyDescent="0.25">
      <c r="A715" s="21">
        <v>3000001524</v>
      </c>
      <c r="B715" s="22">
        <v>45957</v>
      </c>
      <c r="C715" s="20">
        <v>6478426.6399999997</v>
      </c>
      <c r="D715" s="21" t="s">
        <v>421</v>
      </c>
      <c r="E715" s="21">
        <v>97123905</v>
      </c>
      <c r="F715" s="20">
        <v>6478426.6399999997</v>
      </c>
      <c r="G715" s="22">
        <v>45959</v>
      </c>
      <c r="H715" s="21" t="s">
        <v>61</v>
      </c>
      <c r="I715" s="51" t="str">
        <f>IFERROR(IF(VLOOKUP(E715,extracto!C:C,1,FALSE)=E715,"pagado","no pagado"),"no pagado")</f>
        <v>pagado</v>
      </c>
      <c r="J715" s="41" t="str">
        <f t="shared" si="396"/>
        <v>pagado</v>
      </c>
      <c r="K715" s="51" t="str">
        <f t="shared" ca="1" si="397"/>
        <v>excluir</v>
      </c>
      <c r="L715" s="51" t="str">
        <f t="shared" ca="1" si="398"/>
        <v>no semana</v>
      </c>
      <c r="M715" s="51" t="str">
        <f>IFERROR(VLOOKUP(E715,'cheques a conf'!A:D,4,FALSE),"no clearing")</f>
        <v>no clearing</v>
      </c>
      <c r="N715" s="51">
        <f t="shared" si="399"/>
        <v>44</v>
      </c>
      <c r="O715" s="53">
        <f t="shared" si="400"/>
        <v>10</v>
      </c>
      <c r="P715" s="53">
        <f t="shared" si="401"/>
        <v>2025</v>
      </c>
    </row>
    <row r="716" spans="1:16" customFormat="1" x14ac:dyDescent="0.25">
      <c r="A716" s="21">
        <v>3000001525</v>
      </c>
      <c r="B716" s="22">
        <v>45957</v>
      </c>
      <c r="C716" s="20">
        <v>6971977.5999999996</v>
      </c>
      <c r="D716" s="21" t="s">
        <v>427</v>
      </c>
      <c r="E716" s="21">
        <v>97123906</v>
      </c>
      <c r="F716" s="20">
        <v>6971977.5999999996</v>
      </c>
      <c r="G716" s="22">
        <v>45960</v>
      </c>
      <c r="H716" s="21" t="s">
        <v>61</v>
      </c>
      <c r="I716" s="51" t="str">
        <f>IFERROR(IF(VLOOKUP(E716,extracto!C:C,1,FALSE)=E716,"pagado","no pagado"),"no pagado")</f>
        <v>pagado</v>
      </c>
      <c r="J716" s="52" t="str">
        <f t="shared" si="396"/>
        <v>pagado</v>
      </c>
      <c r="K716" s="51" t="str">
        <f t="shared" ca="1" si="397"/>
        <v>excluir</v>
      </c>
      <c r="L716" s="51" t="str">
        <f t="shared" ca="1" si="398"/>
        <v>no semana</v>
      </c>
      <c r="M716" s="51" t="str">
        <f>IFERROR(VLOOKUP(E716,'cheques a conf'!A:D,4,FALSE),"no clearing")</f>
        <v>no clearing</v>
      </c>
      <c r="N716" s="51">
        <f t="shared" si="399"/>
        <v>44</v>
      </c>
      <c r="O716" s="53">
        <f t="shared" si="400"/>
        <v>10</v>
      </c>
      <c r="P716" s="53">
        <f t="shared" si="401"/>
        <v>2025</v>
      </c>
    </row>
    <row r="717" spans="1:16" customFormat="1" x14ac:dyDescent="0.25">
      <c r="A717" s="21">
        <v>3000001526</v>
      </c>
      <c r="B717" s="22">
        <v>45957</v>
      </c>
      <c r="C717" s="20">
        <v>12130546.34</v>
      </c>
      <c r="D717" s="21" t="s">
        <v>284</v>
      </c>
      <c r="E717" s="21">
        <v>97123907</v>
      </c>
      <c r="F717" s="20">
        <v>12130546.34</v>
      </c>
      <c r="G717" s="22">
        <v>45960</v>
      </c>
      <c r="H717" s="21" t="s">
        <v>61</v>
      </c>
      <c r="I717" s="51" t="str">
        <f>IFERROR(IF(VLOOKUP(E717,extracto!C:C,1,FALSE)=E717,"pagado","no pagado"),"no pagado")</f>
        <v>pagado</v>
      </c>
      <c r="J717" s="52" t="str">
        <f t="shared" si="396"/>
        <v>pagado</v>
      </c>
      <c r="K717" s="51" t="str">
        <f t="shared" ca="1" si="397"/>
        <v>excluir</v>
      </c>
      <c r="L717" s="51" t="str">
        <f t="shared" ca="1" si="398"/>
        <v>no semana</v>
      </c>
      <c r="M717" s="51" t="str">
        <f>IFERROR(VLOOKUP(E717,'cheques a conf'!A:D,4,FALSE),"no clearing")</f>
        <v>no clearing</v>
      </c>
      <c r="N717" s="51">
        <f t="shared" si="399"/>
        <v>44</v>
      </c>
      <c r="O717" s="53">
        <f t="shared" si="400"/>
        <v>10</v>
      </c>
      <c r="P717" s="53">
        <f t="shared" si="401"/>
        <v>2025</v>
      </c>
    </row>
    <row r="718" spans="1:16" customFormat="1" x14ac:dyDescent="0.25">
      <c r="A718" s="21">
        <v>3000001527</v>
      </c>
      <c r="B718" s="22">
        <v>45957</v>
      </c>
      <c r="C718" s="20">
        <v>5912174.3799999999</v>
      </c>
      <c r="D718" s="21" t="s">
        <v>378</v>
      </c>
      <c r="E718" s="21">
        <v>97123908</v>
      </c>
      <c r="F718" s="20">
        <v>5912174.3799999999</v>
      </c>
      <c r="G718" s="22">
        <v>45960</v>
      </c>
      <c r="H718" s="21" t="s">
        <v>61</v>
      </c>
      <c r="I718" s="51" t="str">
        <f>IFERROR(IF(VLOOKUP(E718,extracto!C:C,1,FALSE)=E718,"pagado","no pagado"),"no pagado")</f>
        <v>pagado</v>
      </c>
      <c r="J718" s="52" t="str">
        <f t="shared" si="396"/>
        <v>pagado</v>
      </c>
      <c r="K718" s="51" t="str">
        <f t="shared" ca="1" si="397"/>
        <v>excluir</v>
      </c>
      <c r="L718" s="51" t="str">
        <f t="shared" ca="1" si="398"/>
        <v>no semana</v>
      </c>
      <c r="M718" s="51" t="str">
        <f>IFERROR(VLOOKUP(E718,'cheques a conf'!A:D,4,FALSE),"no clearing")</f>
        <v>no clearing</v>
      </c>
      <c r="N718" s="51">
        <f t="shared" si="399"/>
        <v>44</v>
      </c>
      <c r="O718" s="53">
        <f t="shared" si="400"/>
        <v>10</v>
      </c>
      <c r="P718" s="53">
        <f t="shared" si="401"/>
        <v>2025</v>
      </c>
    </row>
    <row r="719" spans="1:16" customFormat="1" x14ac:dyDescent="0.25">
      <c r="A719" s="21">
        <v>3000001545</v>
      </c>
      <c r="B719" s="22">
        <v>45958</v>
      </c>
      <c r="C719" s="20">
        <v>1854890.53</v>
      </c>
      <c r="D719" s="21" t="s">
        <v>428</v>
      </c>
      <c r="E719" s="21">
        <v>97123909</v>
      </c>
      <c r="F719" s="20">
        <v>1854890.53</v>
      </c>
      <c r="G719" s="22">
        <v>45961</v>
      </c>
      <c r="H719" s="21" t="s">
        <v>61</v>
      </c>
      <c r="I719" s="51" t="str">
        <f>IFERROR(IF(VLOOKUP(E719,extracto!C:C,1,FALSE)=E719,"pagado","no pagado"),"no pagado")</f>
        <v>pagado</v>
      </c>
      <c r="J719" s="52" t="str">
        <f t="shared" si="396"/>
        <v>pagado</v>
      </c>
      <c r="K719" s="51" t="str">
        <f t="shared" ca="1" si="397"/>
        <v>excluir</v>
      </c>
      <c r="L719" s="51" t="str">
        <f t="shared" ca="1" si="398"/>
        <v>no semana</v>
      </c>
      <c r="M719" s="51" t="str">
        <f>IFERROR(VLOOKUP(E719,'cheques a conf'!A:D,4,FALSE),"no clearing")</f>
        <v>no clearing</v>
      </c>
      <c r="N719" s="51">
        <f t="shared" si="399"/>
        <v>44</v>
      </c>
      <c r="O719" s="53">
        <f t="shared" si="400"/>
        <v>10</v>
      </c>
      <c r="P719" s="53">
        <f t="shared" si="401"/>
        <v>2025</v>
      </c>
    </row>
    <row r="720" spans="1:16" customFormat="1" x14ac:dyDescent="0.25">
      <c r="A720" s="21">
        <v>3000001546</v>
      </c>
      <c r="B720" s="22">
        <v>45958</v>
      </c>
      <c r="C720" s="20">
        <v>2074384.33</v>
      </c>
      <c r="D720" s="21" t="s">
        <v>429</v>
      </c>
      <c r="E720" s="21">
        <v>97123910</v>
      </c>
      <c r="F720" s="20">
        <v>2074384.33</v>
      </c>
      <c r="G720" s="22">
        <v>45961</v>
      </c>
      <c r="H720" s="21" t="s">
        <v>61</v>
      </c>
      <c r="I720" s="51" t="str">
        <f>IFERROR(IF(VLOOKUP(E720,extracto!C:C,1,FALSE)=E720,"pagado","no pagado"),"no pagado")</f>
        <v>pagado</v>
      </c>
      <c r="J720" s="52" t="str">
        <f t="shared" si="396"/>
        <v>pagado</v>
      </c>
      <c r="K720" s="51" t="str">
        <f t="shared" ca="1" si="397"/>
        <v>excluir</v>
      </c>
      <c r="L720" s="51" t="str">
        <f t="shared" ca="1" si="398"/>
        <v>no semana</v>
      </c>
      <c r="M720" s="51" t="str">
        <f>IFERROR(VLOOKUP(E720,'cheques a conf'!A:D,4,FALSE),"no clearing")</f>
        <v>no clearing</v>
      </c>
      <c r="N720" s="51">
        <f t="shared" si="399"/>
        <v>44</v>
      </c>
      <c r="O720" s="53">
        <f t="shared" si="400"/>
        <v>10</v>
      </c>
      <c r="P720" s="53">
        <f t="shared" si="401"/>
        <v>2025</v>
      </c>
    </row>
    <row r="721" spans="1:16" customFormat="1" x14ac:dyDescent="0.25">
      <c r="A721" s="21">
        <v>3000001548</v>
      </c>
      <c r="B721" s="22">
        <v>45958</v>
      </c>
      <c r="C721" s="20">
        <v>2108359.89</v>
      </c>
      <c r="D721" s="21" t="s">
        <v>371</v>
      </c>
      <c r="E721" s="21">
        <v>97123911</v>
      </c>
      <c r="F721" s="20">
        <v>2108359.89</v>
      </c>
      <c r="G721" s="22">
        <v>45961</v>
      </c>
      <c r="H721" s="21" t="s">
        <v>61</v>
      </c>
      <c r="I721" s="51" t="str">
        <f>IFERROR(IF(VLOOKUP(E721,extracto!C:C,1,FALSE)=E721,"pagado","no pagado"),"no pagado")</f>
        <v>pagado</v>
      </c>
      <c r="J721" s="52" t="str">
        <f t="shared" si="396"/>
        <v>pagado</v>
      </c>
      <c r="K721" s="51" t="str">
        <f t="shared" ca="1" si="397"/>
        <v>excluir</v>
      </c>
      <c r="L721" s="51" t="str">
        <f t="shared" ca="1" si="398"/>
        <v>no semana</v>
      </c>
      <c r="M721" s="51" t="str">
        <f>IFERROR(VLOOKUP(E721,'cheques a conf'!A:D,4,FALSE),"no clearing")</f>
        <v>no clearing</v>
      </c>
      <c r="N721" s="51">
        <f t="shared" si="399"/>
        <v>44</v>
      </c>
      <c r="O721" s="53">
        <f t="shared" si="400"/>
        <v>10</v>
      </c>
      <c r="P721" s="53">
        <f t="shared" si="401"/>
        <v>2025</v>
      </c>
    </row>
    <row r="722" spans="1:16" customFormat="1" x14ac:dyDescent="0.25">
      <c r="A722" s="21">
        <v>3000001549</v>
      </c>
      <c r="B722" s="22">
        <v>45958</v>
      </c>
      <c r="C722" s="20">
        <v>2146161.6</v>
      </c>
      <c r="D722" s="21" t="s">
        <v>297</v>
      </c>
      <c r="E722" s="21">
        <v>97123912</v>
      </c>
      <c r="F722" s="20">
        <v>2146161.6</v>
      </c>
      <c r="G722" s="22">
        <v>45961</v>
      </c>
      <c r="H722" s="21" t="s">
        <v>61</v>
      </c>
      <c r="I722" s="51" t="str">
        <f>IFERROR(IF(VLOOKUP(E722,extracto!C:C,1,FALSE)=E722,"pagado","no pagado"),"no pagado")</f>
        <v>pagado</v>
      </c>
      <c r="J722" s="52" t="str">
        <f t="shared" ref="J722:J785" si="402">IF(I722="pagado","pagado",IF(G722&lt;$V$1-30,"fuera de fecha","en periodo de pago"))</f>
        <v>pagado</v>
      </c>
      <c r="K722" s="51" t="str">
        <f t="shared" ref="K722:K785" ca="1" si="403">+IF(B722&gt;$V$1,"excluir",IF(J722="en periodo de pago",IF($V$1&gt;G722,"a pagar","proximo a vencer"),"excluir"))</f>
        <v>excluir</v>
      </c>
      <c r="L722" s="51" t="str">
        <f t="shared" ref="L722:L785" ca="1" si="404">+IF(K722="proximo a vencer",IF($V$1+5&gt;G722,"para la semana","no semana"),"no semana")</f>
        <v>no semana</v>
      </c>
      <c r="M722" s="51" t="str">
        <f>IFERROR(VLOOKUP(E722,'cheques a conf'!A:D,4,FALSE),"no clearing")</f>
        <v>no clearing</v>
      </c>
      <c r="N722" s="51">
        <f t="shared" ref="N722:N785" si="405">+WEEKNUM(G722,2)</f>
        <v>44</v>
      </c>
      <c r="O722" s="53">
        <f t="shared" ref="O722:O785" si="406">+MONTH(G722)</f>
        <v>10</v>
      </c>
      <c r="P722" s="53">
        <f t="shared" ref="P722:P785" si="407">+YEAR(G722)</f>
        <v>2025</v>
      </c>
    </row>
    <row r="723" spans="1:16" customFormat="1" x14ac:dyDescent="0.25">
      <c r="A723" s="21">
        <v>3000001550</v>
      </c>
      <c r="B723" s="22">
        <v>45958</v>
      </c>
      <c r="C723" s="20">
        <v>14276852.279999999</v>
      </c>
      <c r="D723" s="21" t="s">
        <v>363</v>
      </c>
      <c r="E723" s="21">
        <v>97123913</v>
      </c>
      <c r="F723" s="20">
        <v>14276852.279999999</v>
      </c>
      <c r="G723" s="22">
        <v>45961</v>
      </c>
      <c r="H723" s="21" t="s">
        <v>61</v>
      </c>
      <c r="I723" s="51" t="str">
        <f>IFERROR(IF(VLOOKUP(E723,extracto!C:C,1,FALSE)=E723,"pagado","no pagado"),"no pagado")</f>
        <v>pagado</v>
      </c>
      <c r="J723" s="52" t="str">
        <f t="shared" si="402"/>
        <v>pagado</v>
      </c>
      <c r="K723" s="51" t="str">
        <f t="shared" ca="1" si="403"/>
        <v>excluir</v>
      </c>
      <c r="L723" s="51" t="str">
        <f t="shared" ca="1" si="404"/>
        <v>no semana</v>
      </c>
      <c r="M723" s="51" t="str">
        <f>IFERROR(VLOOKUP(E723,'cheques a conf'!A:D,4,FALSE),"no clearing")</f>
        <v>no clearing</v>
      </c>
      <c r="N723" s="51">
        <f t="shared" si="405"/>
        <v>44</v>
      </c>
      <c r="O723" s="53">
        <f t="shared" si="406"/>
        <v>10</v>
      </c>
      <c r="P723" s="53">
        <f t="shared" si="407"/>
        <v>2025</v>
      </c>
    </row>
    <row r="724" spans="1:16" customFormat="1" x14ac:dyDescent="0.25">
      <c r="A724" s="21">
        <v>3000001551</v>
      </c>
      <c r="B724" s="22">
        <v>45958</v>
      </c>
      <c r="C724" s="20">
        <v>3704355.3</v>
      </c>
      <c r="D724" s="21" t="s">
        <v>341</v>
      </c>
      <c r="E724" s="21">
        <v>97123914</v>
      </c>
      <c r="F724" s="20">
        <v>3704355.3</v>
      </c>
      <c r="G724" s="22">
        <v>45961</v>
      </c>
      <c r="H724" s="21" t="s">
        <v>61</v>
      </c>
      <c r="I724" s="51" t="str">
        <f>IFERROR(IF(VLOOKUP(E724,extracto!C:C,1,FALSE)=E724,"pagado","no pagado"),"no pagado")</f>
        <v>pagado</v>
      </c>
      <c r="J724" s="52" t="str">
        <f t="shared" si="402"/>
        <v>pagado</v>
      </c>
      <c r="K724" s="51" t="str">
        <f t="shared" ca="1" si="403"/>
        <v>excluir</v>
      </c>
      <c r="L724" s="51" t="str">
        <f t="shared" ca="1" si="404"/>
        <v>no semana</v>
      </c>
      <c r="M724" s="51" t="str">
        <f>IFERROR(VLOOKUP(E724,'cheques a conf'!A:D,4,FALSE),"no clearing")</f>
        <v>no clearing</v>
      </c>
      <c r="N724" s="51">
        <f t="shared" si="405"/>
        <v>44</v>
      </c>
      <c r="O724" s="53">
        <f t="shared" si="406"/>
        <v>10</v>
      </c>
      <c r="P724" s="53">
        <f t="shared" si="407"/>
        <v>2025</v>
      </c>
    </row>
    <row r="725" spans="1:16" customFormat="1" x14ac:dyDescent="0.25">
      <c r="A725" s="21">
        <v>3000001552</v>
      </c>
      <c r="B725" s="22">
        <v>45958</v>
      </c>
      <c r="C725" s="20">
        <v>11895147.6</v>
      </c>
      <c r="D725" s="21" t="s">
        <v>26</v>
      </c>
      <c r="E725" s="21">
        <v>97123915</v>
      </c>
      <c r="F725" s="20">
        <v>11895147.6</v>
      </c>
      <c r="G725" s="22">
        <v>45961</v>
      </c>
      <c r="H725" s="21" t="s">
        <v>61</v>
      </c>
      <c r="I725" s="51" t="str">
        <f>IFERROR(IF(VLOOKUP(E725,extracto!C:C,1,FALSE)=E725,"pagado","no pagado"),"no pagado")</f>
        <v>pagado</v>
      </c>
      <c r="J725" s="52" t="str">
        <f t="shared" si="402"/>
        <v>pagado</v>
      </c>
      <c r="K725" s="51" t="str">
        <f t="shared" ca="1" si="403"/>
        <v>excluir</v>
      </c>
      <c r="L725" s="51" t="str">
        <f t="shared" ca="1" si="404"/>
        <v>no semana</v>
      </c>
      <c r="M725" s="51" t="str">
        <f>IFERROR(VLOOKUP(E725,'cheques a conf'!A:D,4,FALSE),"no clearing")</f>
        <v>no clearing</v>
      </c>
      <c r="N725" s="51">
        <f t="shared" si="405"/>
        <v>44</v>
      </c>
      <c r="O725" s="53">
        <f t="shared" si="406"/>
        <v>10</v>
      </c>
      <c r="P725" s="53">
        <f t="shared" si="407"/>
        <v>2025</v>
      </c>
    </row>
    <row r="726" spans="1:16" customFormat="1" x14ac:dyDescent="0.25">
      <c r="A726" s="21">
        <v>3000001553</v>
      </c>
      <c r="B726" s="22">
        <v>45958</v>
      </c>
      <c r="C726" s="20">
        <v>202741.1</v>
      </c>
      <c r="D726" s="21" t="s">
        <v>55</v>
      </c>
      <c r="E726" s="21">
        <v>97123916</v>
      </c>
      <c r="F726" s="20">
        <v>202741.1</v>
      </c>
      <c r="G726" s="22">
        <v>45961</v>
      </c>
      <c r="H726" s="21" t="s">
        <v>61</v>
      </c>
      <c r="I726" s="51" t="str">
        <f>IFERROR(IF(VLOOKUP(E726,extracto!C:C,1,FALSE)=E726,"pagado","no pagado"),"no pagado")</f>
        <v>pagado</v>
      </c>
      <c r="J726" s="52" t="str">
        <f t="shared" si="402"/>
        <v>pagado</v>
      </c>
      <c r="K726" s="51" t="str">
        <f t="shared" ca="1" si="403"/>
        <v>excluir</v>
      </c>
      <c r="L726" s="51" t="str">
        <f t="shared" ca="1" si="404"/>
        <v>no semana</v>
      </c>
      <c r="M726" s="51" t="str">
        <f>IFERROR(VLOOKUP(E726,'cheques a conf'!A:D,4,FALSE),"no clearing")</f>
        <v>no clearing</v>
      </c>
      <c r="N726" s="51">
        <f t="shared" si="405"/>
        <v>44</v>
      </c>
      <c r="O726" s="53">
        <f t="shared" si="406"/>
        <v>10</v>
      </c>
      <c r="P726" s="53">
        <f t="shared" si="407"/>
        <v>2025</v>
      </c>
    </row>
    <row r="727" spans="1:16" customFormat="1" x14ac:dyDescent="0.25">
      <c r="A727" s="21">
        <v>1200002278</v>
      </c>
      <c r="B727" s="22">
        <v>45958</v>
      </c>
      <c r="C727" s="20">
        <v>3221123.22</v>
      </c>
      <c r="D727" s="21" t="s">
        <v>296</v>
      </c>
      <c r="E727" s="21">
        <v>97123917</v>
      </c>
      <c r="F727" s="20">
        <v>3221123.22</v>
      </c>
      <c r="G727" s="22">
        <v>45964</v>
      </c>
      <c r="H727" s="21" t="s">
        <v>61</v>
      </c>
      <c r="I727" s="51" t="str">
        <f>IFERROR(IF(VLOOKUP(E727,extracto!C:C,1,FALSE)=E727,"pagado","no pagado"),"no pagado")</f>
        <v>pagado</v>
      </c>
      <c r="J727" s="52" t="str">
        <f t="shared" si="402"/>
        <v>pagado</v>
      </c>
      <c r="K727" s="51" t="str">
        <f t="shared" ca="1" si="403"/>
        <v>excluir</v>
      </c>
      <c r="L727" s="51" t="str">
        <f t="shared" ca="1" si="404"/>
        <v>no semana</v>
      </c>
      <c r="M727" s="51" t="str">
        <f>IFERROR(VLOOKUP(E727,'cheques a conf'!A:D,4,FALSE),"no clearing")</f>
        <v>no clearing</v>
      </c>
      <c r="N727" s="51">
        <f t="shared" si="405"/>
        <v>45</v>
      </c>
      <c r="O727" s="53">
        <f t="shared" si="406"/>
        <v>11</v>
      </c>
      <c r="P727" s="53">
        <f t="shared" si="407"/>
        <v>2025</v>
      </c>
    </row>
    <row r="728" spans="1:16" customFormat="1" x14ac:dyDescent="0.25">
      <c r="A728" s="21">
        <v>1200002278</v>
      </c>
      <c r="B728" s="22">
        <v>45958</v>
      </c>
      <c r="C728" s="20">
        <v>2787518.88</v>
      </c>
      <c r="D728" s="21" t="s">
        <v>296</v>
      </c>
      <c r="E728" s="21">
        <v>97123918</v>
      </c>
      <c r="F728" s="20">
        <v>2787518.88</v>
      </c>
      <c r="G728" s="22">
        <v>45964</v>
      </c>
      <c r="H728" s="21" t="s">
        <v>61</v>
      </c>
      <c r="I728" s="51" t="str">
        <f>IFERROR(IF(VLOOKUP(E728,extracto!C:C,1,FALSE)=E728,"pagado","no pagado"),"no pagado")</f>
        <v>pagado</v>
      </c>
      <c r="J728" s="52" t="str">
        <f t="shared" si="402"/>
        <v>pagado</v>
      </c>
      <c r="K728" s="51" t="str">
        <f t="shared" ca="1" si="403"/>
        <v>excluir</v>
      </c>
      <c r="L728" s="51" t="str">
        <f t="shared" ca="1" si="404"/>
        <v>no semana</v>
      </c>
      <c r="M728" s="51" t="str">
        <f>IFERROR(VLOOKUP(E728,'cheques a conf'!A:D,4,FALSE),"no clearing")</f>
        <v>no clearing</v>
      </c>
      <c r="N728" s="51">
        <f t="shared" si="405"/>
        <v>45</v>
      </c>
      <c r="O728" s="53">
        <f t="shared" si="406"/>
        <v>11</v>
      </c>
      <c r="P728" s="53">
        <f t="shared" si="407"/>
        <v>2025</v>
      </c>
    </row>
    <row r="729" spans="1:16" customFormat="1" x14ac:dyDescent="0.25">
      <c r="A729" s="21">
        <v>1200002278</v>
      </c>
      <c r="B729" s="22">
        <v>45958</v>
      </c>
      <c r="C729" s="20">
        <v>17194308.600000001</v>
      </c>
      <c r="D729" s="21" t="s">
        <v>296</v>
      </c>
      <c r="E729" s="21">
        <v>97123919</v>
      </c>
      <c r="F729" s="20">
        <v>17194308.600000001</v>
      </c>
      <c r="G729" s="22">
        <v>45964</v>
      </c>
      <c r="H729" s="21" t="s">
        <v>61</v>
      </c>
      <c r="I729" s="51" t="str">
        <f>IFERROR(IF(VLOOKUP(E729,extracto!C:C,1,FALSE)=E729,"pagado","no pagado"),"no pagado")</f>
        <v>pagado</v>
      </c>
      <c r="J729" s="52" t="str">
        <f t="shared" si="402"/>
        <v>pagado</v>
      </c>
      <c r="K729" s="51" t="str">
        <f t="shared" ca="1" si="403"/>
        <v>excluir</v>
      </c>
      <c r="L729" s="51" t="str">
        <f t="shared" ca="1" si="404"/>
        <v>no semana</v>
      </c>
      <c r="M729" s="51" t="str">
        <f>IFERROR(VLOOKUP(E729,'cheques a conf'!A:D,4,FALSE),"no clearing")</f>
        <v>no clearing</v>
      </c>
      <c r="N729" s="51">
        <f t="shared" si="405"/>
        <v>45</v>
      </c>
      <c r="O729" s="53">
        <f t="shared" si="406"/>
        <v>11</v>
      </c>
      <c r="P729" s="53">
        <f t="shared" si="407"/>
        <v>2025</v>
      </c>
    </row>
    <row r="730" spans="1:16" customFormat="1" x14ac:dyDescent="0.25">
      <c r="A730" s="21">
        <v>1200002278</v>
      </c>
      <c r="B730" s="22">
        <v>45958</v>
      </c>
      <c r="C730" s="20">
        <v>2403128.15</v>
      </c>
      <c r="D730" s="21" t="s">
        <v>296</v>
      </c>
      <c r="E730" s="21">
        <v>97123920</v>
      </c>
      <c r="F730" s="20">
        <v>2403128.15</v>
      </c>
      <c r="G730" s="22">
        <v>45964</v>
      </c>
      <c r="H730" s="21" t="s">
        <v>61</v>
      </c>
      <c r="I730" s="51" t="str">
        <f>IFERROR(IF(VLOOKUP(E730,extracto!C:C,1,FALSE)=E730,"pagado","no pagado"),"no pagado")</f>
        <v>pagado</v>
      </c>
      <c r="J730" s="52" t="str">
        <f t="shared" si="402"/>
        <v>pagado</v>
      </c>
      <c r="K730" s="51" t="str">
        <f t="shared" ca="1" si="403"/>
        <v>excluir</v>
      </c>
      <c r="L730" s="51" t="str">
        <f t="shared" ca="1" si="404"/>
        <v>no semana</v>
      </c>
      <c r="M730" s="51" t="str">
        <f>IFERROR(VLOOKUP(E730,'cheques a conf'!A:D,4,FALSE),"no clearing")</f>
        <v>no clearing</v>
      </c>
      <c r="N730" s="51">
        <f t="shared" si="405"/>
        <v>45</v>
      </c>
      <c r="O730" s="53">
        <f t="shared" si="406"/>
        <v>11</v>
      </c>
      <c r="P730" s="53">
        <f t="shared" si="407"/>
        <v>2025</v>
      </c>
    </row>
    <row r="731" spans="1:16" customFormat="1" x14ac:dyDescent="0.25">
      <c r="A731" s="21">
        <v>1200002278</v>
      </c>
      <c r="B731" s="22">
        <v>45958</v>
      </c>
      <c r="C731" s="20">
        <v>3242280.28</v>
      </c>
      <c r="D731" s="21" t="s">
        <v>296</v>
      </c>
      <c r="E731" s="21">
        <v>97123921</v>
      </c>
      <c r="F731" s="20">
        <v>3242280.28</v>
      </c>
      <c r="G731" s="22">
        <v>45964</v>
      </c>
      <c r="H731" s="21" t="s">
        <v>61</v>
      </c>
      <c r="I731" s="51" t="str">
        <f>IFERROR(IF(VLOOKUP(E731,extracto!C:C,1,FALSE)=E731,"pagado","no pagado"),"no pagado")</f>
        <v>pagado</v>
      </c>
      <c r="J731" s="52" t="str">
        <f t="shared" si="402"/>
        <v>pagado</v>
      </c>
      <c r="K731" s="51" t="str">
        <f t="shared" ca="1" si="403"/>
        <v>excluir</v>
      </c>
      <c r="L731" s="51" t="str">
        <f t="shared" ca="1" si="404"/>
        <v>no semana</v>
      </c>
      <c r="M731" s="51" t="str">
        <f>IFERROR(VLOOKUP(E731,'cheques a conf'!A:D,4,FALSE),"no clearing")</f>
        <v>no clearing</v>
      </c>
      <c r="N731" s="51">
        <f t="shared" si="405"/>
        <v>45</v>
      </c>
      <c r="O731" s="53">
        <f t="shared" si="406"/>
        <v>11</v>
      </c>
      <c r="P731" s="53">
        <f t="shared" si="407"/>
        <v>2025</v>
      </c>
    </row>
    <row r="732" spans="1:16" customFormat="1" x14ac:dyDescent="0.25">
      <c r="A732" s="21">
        <v>1200002278</v>
      </c>
      <c r="B732" s="22">
        <v>45958</v>
      </c>
      <c r="C732" s="20">
        <v>3491274.95</v>
      </c>
      <c r="D732" s="21" t="s">
        <v>296</v>
      </c>
      <c r="E732" s="21">
        <v>97123922</v>
      </c>
      <c r="F732" s="20">
        <v>3491274.95</v>
      </c>
      <c r="G732" s="22">
        <v>45964</v>
      </c>
      <c r="H732" s="21" t="s">
        <v>61</v>
      </c>
      <c r="I732" s="51" t="str">
        <f>IFERROR(IF(VLOOKUP(E732,extracto!C:C,1,FALSE)=E732,"pagado","no pagado"),"no pagado")</f>
        <v>pagado</v>
      </c>
      <c r="J732" s="52" t="str">
        <f t="shared" si="402"/>
        <v>pagado</v>
      </c>
      <c r="K732" s="51" t="str">
        <f t="shared" ca="1" si="403"/>
        <v>excluir</v>
      </c>
      <c r="L732" s="51" t="str">
        <f t="shared" ca="1" si="404"/>
        <v>no semana</v>
      </c>
      <c r="M732" s="51" t="str">
        <f>IFERROR(VLOOKUP(E732,'cheques a conf'!A:D,4,FALSE),"no clearing")</f>
        <v>no clearing</v>
      </c>
      <c r="N732" s="51">
        <f t="shared" si="405"/>
        <v>45</v>
      </c>
      <c r="O732" s="53">
        <f t="shared" si="406"/>
        <v>11</v>
      </c>
      <c r="P732" s="53">
        <f t="shared" si="407"/>
        <v>2025</v>
      </c>
    </row>
    <row r="733" spans="1:16" customFormat="1" x14ac:dyDescent="0.25">
      <c r="A733" s="21">
        <v>1200002278</v>
      </c>
      <c r="B733" s="22">
        <v>45958</v>
      </c>
      <c r="C733" s="20">
        <v>7953680</v>
      </c>
      <c r="D733" s="21" t="s">
        <v>296</v>
      </c>
      <c r="E733" s="21">
        <v>97123923</v>
      </c>
      <c r="F733" s="20">
        <v>7953680</v>
      </c>
      <c r="G733" s="22">
        <v>45964</v>
      </c>
      <c r="H733" s="21" t="s">
        <v>61</v>
      </c>
      <c r="I733" s="51" t="str">
        <f>IFERROR(IF(VLOOKUP(E733,extracto!C:C,1,FALSE)=E733,"pagado","no pagado"),"no pagado")</f>
        <v>pagado</v>
      </c>
      <c r="J733" s="52" t="str">
        <f t="shared" si="402"/>
        <v>pagado</v>
      </c>
      <c r="K733" s="51" t="str">
        <f t="shared" ca="1" si="403"/>
        <v>excluir</v>
      </c>
      <c r="L733" s="51" t="str">
        <f t="shared" ca="1" si="404"/>
        <v>no semana</v>
      </c>
      <c r="M733" s="51" t="str">
        <f>IFERROR(VLOOKUP(E733,'cheques a conf'!A:D,4,FALSE),"no clearing")</f>
        <v>no clearing</v>
      </c>
      <c r="N733" s="51">
        <f t="shared" si="405"/>
        <v>45</v>
      </c>
      <c r="O733" s="53">
        <f t="shared" si="406"/>
        <v>11</v>
      </c>
      <c r="P733" s="53">
        <f t="shared" si="407"/>
        <v>2025</v>
      </c>
    </row>
    <row r="734" spans="1:16" customFormat="1" x14ac:dyDescent="0.25">
      <c r="A734" s="21">
        <v>1200002278</v>
      </c>
      <c r="B734" s="22">
        <v>45958</v>
      </c>
      <c r="C734" s="20">
        <v>4863520.83</v>
      </c>
      <c r="D734" s="21" t="s">
        <v>296</v>
      </c>
      <c r="E734" s="21">
        <v>97123924</v>
      </c>
      <c r="F734" s="20">
        <v>4863520.83</v>
      </c>
      <c r="G734" s="22">
        <v>45964</v>
      </c>
      <c r="H734" s="21" t="s">
        <v>61</v>
      </c>
      <c r="I734" s="51" t="str">
        <f>IFERROR(IF(VLOOKUP(E734,extracto!C:C,1,FALSE)=E734,"pagado","no pagado"),"no pagado")</f>
        <v>pagado</v>
      </c>
      <c r="J734" s="52" t="str">
        <f t="shared" si="402"/>
        <v>pagado</v>
      </c>
      <c r="K734" s="51" t="str">
        <f t="shared" ca="1" si="403"/>
        <v>excluir</v>
      </c>
      <c r="L734" s="51" t="str">
        <f t="shared" ca="1" si="404"/>
        <v>no semana</v>
      </c>
      <c r="M734" s="51" t="str">
        <f>IFERROR(VLOOKUP(E734,'cheques a conf'!A:D,4,FALSE),"no clearing")</f>
        <v>no clearing</v>
      </c>
      <c r="N734" s="51">
        <f t="shared" si="405"/>
        <v>45</v>
      </c>
      <c r="O734" s="53">
        <f t="shared" si="406"/>
        <v>11</v>
      </c>
      <c r="P734" s="53">
        <f t="shared" si="407"/>
        <v>2025</v>
      </c>
    </row>
    <row r="735" spans="1:16" customFormat="1" x14ac:dyDescent="0.25">
      <c r="A735" s="21">
        <v>1200002278</v>
      </c>
      <c r="B735" s="22">
        <v>45958</v>
      </c>
      <c r="C735" s="20">
        <v>20624208</v>
      </c>
      <c r="D735" s="21" t="s">
        <v>296</v>
      </c>
      <c r="E735" s="21">
        <v>97123925</v>
      </c>
      <c r="F735" s="20">
        <v>20624208</v>
      </c>
      <c r="G735" s="22">
        <v>45964</v>
      </c>
      <c r="H735" s="21" t="s">
        <v>61</v>
      </c>
      <c r="I735" s="51" t="str">
        <f>IFERROR(IF(VLOOKUP(E735,extracto!C:C,1,FALSE)=E735,"pagado","no pagado"),"no pagado")</f>
        <v>pagado</v>
      </c>
      <c r="J735" s="52" t="str">
        <f t="shared" si="402"/>
        <v>pagado</v>
      </c>
      <c r="K735" s="51" t="str">
        <f t="shared" ca="1" si="403"/>
        <v>excluir</v>
      </c>
      <c r="L735" s="51" t="str">
        <f t="shared" ca="1" si="404"/>
        <v>no semana</v>
      </c>
      <c r="M735" s="51" t="str">
        <f>IFERROR(VLOOKUP(E735,'cheques a conf'!A:D,4,FALSE),"no clearing")</f>
        <v>no clearing</v>
      </c>
      <c r="N735" s="51">
        <f t="shared" si="405"/>
        <v>45</v>
      </c>
      <c r="O735" s="53">
        <f t="shared" si="406"/>
        <v>11</v>
      </c>
      <c r="P735" s="53">
        <f t="shared" si="407"/>
        <v>2025</v>
      </c>
    </row>
    <row r="736" spans="1:16" customFormat="1" x14ac:dyDescent="0.25">
      <c r="A736" s="21">
        <v>1200002278</v>
      </c>
      <c r="B736" s="22">
        <v>45958</v>
      </c>
      <c r="C736" s="20">
        <v>12906740</v>
      </c>
      <c r="D736" s="21" t="s">
        <v>296</v>
      </c>
      <c r="E736" s="21">
        <v>97123926</v>
      </c>
      <c r="F736" s="20">
        <v>12906740</v>
      </c>
      <c r="G736" s="22">
        <v>45964</v>
      </c>
      <c r="H736" s="21" t="s">
        <v>61</v>
      </c>
      <c r="I736" s="51" t="str">
        <f>IFERROR(IF(VLOOKUP(E736,extracto!C:C,1,FALSE)=E736,"pagado","no pagado"),"no pagado")</f>
        <v>pagado</v>
      </c>
      <c r="J736" s="52" t="str">
        <f t="shared" si="402"/>
        <v>pagado</v>
      </c>
      <c r="K736" s="51" t="str">
        <f t="shared" ca="1" si="403"/>
        <v>excluir</v>
      </c>
      <c r="L736" s="51" t="str">
        <f t="shared" ca="1" si="404"/>
        <v>no semana</v>
      </c>
      <c r="M736" s="51" t="str">
        <f>IFERROR(VLOOKUP(E736,'cheques a conf'!A:D,4,FALSE),"no clearing")</f>
        <v>no clearing</v>
      </c>
      <c r="N736" s="51">
        <f t="shared" si="405"/>
        <v>45</v>
      </c>
      <c r="O736" s="53">
        <f t="shared" si="406"/>
        <v>11</v>
      </c>
      <c r="P736" s="53">
        <f t="shared" si="407"/>
        <v>2025</v>
      </c>
    </row>
    <row r="737" spans="1:16" customFormat="1" x14ac:dyDescent="0.25">
      <c r="A737" s="21">
        <v>1200002278</v>
      </c>
      <c r="B737" s="22">
        <v>45958</v>
      </c>
      <c r="C737" s="20">
        <v>11376609.25</v>
      </c>
      <c r="D737" s="21" t="s">
        <v>296</v>
      </c>
      <c r="E737" s="21">
        <v>97123927</v>
      </c>
      <c r="F737" s="20">
        <v>11376609.25</v>
      </c>
      <c r="G737" s="22">
        <v>45964</v>
      </c>
      <c r="H737" s="21" t="s">
        <v>61</v>
      </c>
      <c r="I737" s="51" t="str">
        <f>IFERROR(IF(VLOOKUP(E737,extracto!C:C,1,FALSE)=E737,"pagado","no pagado"),"no pagado")</f>
        <v>pagado</v>
      </c>
      <c r="J737" s="52" t="str">
        <f t="shared" si="402"/>
        <v>pagado</v>
      </c>
      <c r="K737" s="51" t="str">
        <f t="shared" ca="1" si="403"/>
        <v>excluir</v>
      </c>
      <c r="L737" s="51" t="str">
        <f t="shared" ca="1" si="404"/>
        <v>no semana</v>
      </c>
      <c r="M737" s="51" t="str">
        <f>IFERROR(VLOOKUP(E737,'cheques a conf'!A:D,4,FALSE),"no clearing")</f>
        <v>no clearing</v>
      </c>
      <c r="N737" s="51">
        <f t="shared" si="405"/>
        <v>45</v>
      </c>
      <c r="O737" s="53">
        <f t="shared" si="406"/>
        <v>11</v>
      </c>
      <c r="P737" s="53">
        <f t="shared" si="407"/>
        <v>2025</v>
      </c>
    </row>
    <row r="738" spans="1:16" customFormat="1" x14ac:dyDescent="0.25">
      <c r="A738" s="21">
        <v>1200002278</v>
      </c>
      <c r="B738" s="22">
        <v>45958</v>
      </c>
      <c r="C738" s="20">
        <v>11435731.02</v>
      </c>
      <c r="D738" s="21" t="s">
        <v>296</v>
      </c>
      <c r="E738" s="21">
        <v>97123928</v>
      </c>
      <c r="F738" s="20">
        <v>11435731.02</v>
      </c>
      <c r="G738" s="22">
        <v>45964</v>
      </c>
      <c r="H738" s="21" t="s">
        <v>61</v>
      </c>
      <c r="I738" s="51" t="str">
        <f>IFERROR(IF(VLOOKUP(E738,extracto!C:C,1,FALSE)=E738,"pagado","no pagado"),"no pagado")</f>
        <v>pagado</v>
      </c>
      <c r="J738" s="52" t="str">
        <f t="shared" si="402"/>
        <v>pagado</v>
      </c>
      <c r="K738" s="51" t="str">
        <f t="shared" ca="1" si="403"/>
        <v>excluir</v>
      </c>
      <c r="L738" s="51" t="str">
        <f t="shared" ca="1" si="404"/>
        <v>no semana</v>
      </c>
      <c r="M738" s="51" t="str">
        <f>IFERROR(VLOOKUP(E738,'cheques a conf'!A:D,4,FALSE),"no clearing")</f>
        <v>no clearing</v>
      </c>
      <c r="N738" s="51">
        <f t="shared" si="405"/>
        <v>45</v>
      </c>
      <c r="O738" s="53">
        <f t="shared" si="406"/>
        <v>11</v>
      </c>
      <c r="P738" s="53">
        <f t="shared" si="407"/>
        <v>2025</v>
      </c>
    </row>
    <row r="739" spans="1:16" customFormat="1" x14ac:dyDescent="0.25">
      <c r="A739" s="21">
        <v>1200002278</v>
      </c>
      <c r="B739" s="22">
        <v>45958</v>
      </c>
      <c r="C739" s="20">
        <v>3898170.62</v>
      </c>
      <c r="D739" s="21" t="s">
        <v>296</v>
      </c>
      <c r="E739" s="21">
        <v>97123929</v>
      </c>
      <c r="F739" s="20">
        <v>3898170.62</v>
      </c>
      <c r="G739" s="22">
        <v>45964</v>
      </c>
      <c r="H739" s="21" t="s">
        <v>61</v>
      </c>
      <c r="I739" s="51" t="str">
        <f>IFERROR(IF(VLOOKUP(E739,extracto!C:C,1,FALSE)=E739,"pagado","no pagado"),"no pagado")</f>
        <v>pagado</v>
      </c>
      <c r="J739" s="52" t="str">
        <f t="shared" si="402"/>
        <v>pagado</v>
      </c>
      <c r="K739" s="51" t="str">
        <f t="shared" ca="1" si="403"/>
        <v>excluir</v>
      </c>
      <c r="L739" s="51" t="str">
        <f t="shared" ca="1" si="404"/>
        <v>no semana</v>
      </c>
      <c r="M739" s="51" t="str">
        <f>IFERROR(VLOOKUP(E739,'cheques a conf'!A:D,4,FALSE),"no clearing")</f>
        <v>no clearing</v>
      </c>
      <c r="N739" s="51">
        <f t="shared" si="405"/>
        <v>45</v>
      </c>
      <c r="O739" s="53">
        <f t="shared" si="406"/>
        <v>11</v>
      </c>
      <c r="P739" s="53">
        <f t="shared" si="407"/>
        <v>2025</v>
      </c>
    </row>
    <row r="740" spans="1:16" customFormat="1" x14ac:dyDescent="0.25">
      <c r="A740" s="21">
        <v>1200002278</v>
      </c>
      <c r="B740" s="22">
        <v>45958</v>
      </c>
      <c r="C740" s="20">
        <v>18118532.5</v>
      </c>
      <c r="D740" s="21" t="s">
        <v>296</v>
      </c>
      <c r="E740" s="21">
        <v>97123930</v>
      </c>
      <c r="F740" s="20">
        <v>18118532.5</v>
      </c>
      <c r="G740" s="22">
        <v>45964</v>
      </c>
      <c r="H740" s="21" t="s">
        <v>61</v>
      </c>
      <c r="I740" s="51" t="str">
        <f>IFERROR(IF(VLOOKUP(E740,extracto!C:C,1,FALSE)=E740,"pagado","no pagado"),"no pagado")</f>
        <v>pagado</v>
      </c>
      <c r="J740" s="52" t="str">
        <f t="shared" si="402"/>
        <v>pagado</v>
      </c>
      <c r="K740" s="51" t="str">
        <f t="shared" ca="1" si="403"/>
        <v>excluir</v>
      </c>
      <c r="L740" s="51" t="str">
        <f t="shared" ca="1" si="404"/>
        <v>no semana</v>
      </c>
      <c r="M740" s="51" t="str">
        <f>IFERROR(VLOOKUP(E740,'cheques a conf'!A:D,4,FALSE),"no clearing")</f>
        <v>no clearing</v>
      </c>
      <c r="N740" s="51">
        <f t="shared" si="405"/>
        <v>45</v>
      </c>
      <c r="O740" s="53">
        <f t="shared" si="406"/>
        <v>11</v>
      </c>
      <c r="P740" s="53">
        <f t="shared" si="407"/>
        <v>2025</v>
      </c>
    </row>
    <row r="741" spans="1:16" customFormat="1" x14ac:dyDescent="0.25">
      <c r="A741" s="21">
        <v>1200002278</v>
      </c>
      <c r="B741" s="22">
        <v>45958</v>
      </c>
      <c r="C741" s="20">
        <v>4926605</v>
      </c>
      <c r="D741" s="21" t="s">
        <v>296</v>
      </c>
      <c r="E741" s="21">
        <v>97123931</v>
      </c>
      <c r="F741" s="20">
        <v>4926605</v>
      </c>
      <c r="G741" s="22">
        <v>45964</v>
      </c>
      <c r="H741" s="21" t="s">
        <v>61</v>
      </c>
      <c r="I741" s="51" t="str">
        <f>IFERROR(IF(VLOOKUP(E741,extracto!C:C,1,FALSE)=E741,"pagado","no pagado"),"no pagado")</f>
        <v>pagado</v>
      </c>
      <c r="J741" s="52" t="str">
        <f t="shared" si="402"/>
        <v>pagado</v>
      </c>
      <c r="K741" s="51" t="str">
        <f t="shared" ca="1" si="403"/>
        <v>excluir</v>
      </c>
      <c r="L741" s="51" t="str">
        <f t="shared" ca="1" si="404"/>
        <v>no semana</v>
      </c>
      <c r="M741" s="51" t="str">
        <f>IFERROR(VLOOKUP(E741,'cheques a conf'!A:D,4,FALSE),"no clearing")</f>
        <v>no clearing</v>
      </c>
      <c r="N741" s="51">
        <f t="shared" si="405"/>
        <v>45</v>
      </c>
      <c r="O741" s="53">
        <f t="shared" si="406"/>
        <v>11</v>
      </c>
      <c r="P741" s="53">
        <f t="shared" si="407"/>
        <v>2025</v>
      </c>
    </row>
    <row r="742" spans="1:16" customFormat="1" x14ac:dyDescent="0.25">
      <c r="A742" s="21">
        <v>1200002278</v>
      </c>
      <c r="B742" s="22">
        <v>45958</v>
      </c>
      <c r="C742" s="20">
        <v>6770820</v>
      </c>
      <c r="D742" s="21" t="s">
        <v>296</v>
      </c>
      <c r="E742" s="21">
        <v>97123932</v>
      </c>
      <c r="F742" s="20">
        <v>6770820</v>
      </c>
      <c r="G742" s="22">
        <v>45964</v>
      </c>
      <c r="H742" s="21" t="s">
        <v>61</v>
      </c>
      <c r="I742" s="51" t="str">
        <f>IFERROR(IF(VLOOKUP(E742,extracto!C:C,1,FALSE)=E742,"pagado","no pagado"),"no pagado")</f>
        <v>pagado</v>
      </c>
      <c r="J742" s="52" t="str">
        <f t="shared" si="402"/>
        <v>pagado</v>
      </c>
      <c r="K742" s="51" t="str">
        <f t="shared" ca="1" si="403"/>
        <v>excluir</v>
      </c>
      <c r="L742" s="51" t="str">
        <f t="shared" ca="1" si="404"/>
        <v>no semana</v>
      </c>
      <c r="M742" s="51" t="str">
        <f>IFERROR(VLOOKUP(E742,'cheques a conf'!A:D,4,FALSE),"no clearing")</f>
        <v>no clearing</v>
      </c>
      <c r="N742" s="51">
        <f t="shared" si="405"/>
        <v>45</v>
      </c>
      <c r="O742" s="53">
        <f t="shared" si="406"/>
        <v>11</v>
      </c>
      <c r="P742" s="53">
        <f t="shared" si="407"/>
        <v>2025</v>
      </c>
    </row>
    <row r="743" spans="1:16" customFormat="1" x14ac:dyDescent="0.25">
      <c r="A743" s="21">
        <v>1200002278</v>
      </c>
      <c r="B743" s="22">
        <v>45958</v>
      </c>
      <c r="C743" s="20">
        <v>12490633.640000001</v>
      </c>
      <c r="D743" s="21" t="s">
        <v>296</v>
      </c>
      <c r="E743" s="21">
        <v>97123933</v>
      </c>
      <c r="F743" s="20">
        <v>12490633.640000001</v>
      </c>
      <c r="G743" s="22">
        <v>45964</v>
      </c>
      <c r="H743" s="21" t="s">
        <v>61</v>
      </c>
      <c r="I743" s="51" t="str">
        <f>IFERROR(IF(VLOOKUP(E743,extracto!C:C,1,FALSE)=E743,"pagado","no pagado"),"no pagado")</f>
        <v>pagado</v>
      </c>
      <c r="J743" s="52" t="str">
        <f t="shared" si="402"/>
        <v>pagado</v>
      </c>
      <c r="K743" s="51" t="str">
        <f t="shared" ca="1" si="403"/>
        <v>excluir</v>
      </c>
      <c r="L743" s="51" t="str">
        <f t="shared" ca="1" si="404"/>
        <v>no semana</v>
      </c>
      <c r="M743" s="51" t="str">
        <f>IFERROR(VLOOKUP(E743,'cheques a conf'!A:D,4,FALSE),"no clearing")</f>
        <v>no clearing</v>
      </c>
      <c r="N743" s="51">
        <f t="shared" si="405"/>
        <v>45</v>
      </c>
      <c r="O743" s="53">
        <f t="shared" si="406"/>
        <v>11</v>
      </c>
      <c r="P743" s="53">
        <f t="shared" si="407"/>
        <v>2025</v>
      </c>
    </row>
    <row r="744" spans="1:16" customFormat="1" x14ac:dyDescent="0.25">
      <c r="A744" s="21">
        <v>1200002278</v>
      </c>
      <c r="B744" s="22">
        <v>45958</v>
      </c>
      <c r="C744" s="20">
        <v>32248547</v>
      </c>
      <c r="D744" s="21" t="s">
        <v>296</v>
      </c>
      <c r="E744" s="21">
        <v>97123934</v>
      </c>
      <c r="F744" s="20">
        <v>32248547</v>
      </c>
      <c r="G744" s="22">
        <v>45964</v>
      </c>
      <c r="H744" s="21" t="s">
        <v>61</v>
      </c>
      <c r="I744" s="51" t="str">
        <f>IFERROR(IF(VLOOKUP(E744,extracto!C:C,1,FALSE)=E744,"pagado","no pagado"),"no pagado")</f>
        <v>pagado</v>
      </c>
      <c r="J744" s="52" t="str">
        <f t="shared" si="402"/>
        <v>pagado</v>
      </c>
      <c r="K744" s="51" t="str">
        <f t="shared" ca="1" si="403"/>
        <v>excluir</v>
      </c>
      <c r="L744" s="51" t="str">
        <f t="shared" ca="1" si="404"/>
        <v>no semana</v>
      </c>
      <c r="M744" s="51" t="str">
        <f>IFERROR(VLOOKUP(E744,'cheques a conf'!A:D,4,FALSE),"no clearing")</f>
        <v>no clearing</v>
      </c>
      <c r="N744" s="51">
        <f t="shared" si="405"/>
        <v>45</v>
      </c>
      <c r="O744" s="53">
        <f t="shared" si="406"/>
        <v>11</v>
      </c>
      <c r="P744" s="53">
        <f t="shared" si="407"/>
        <v>2025</v>
      </c>
    </row>
    <row r="745" spans="1:16" customFormat="1" x14ac:dyDescent="0.25">
      <c r="A745" s="21">
        <v>3000001569</v>
      </c>
      <c r="B745" s="22">
        <v>45964</v>
      </c>
      <c r="C745" s="20">
        <v>6138889.1799999997</v>
      </c>
      <c r="D745" s="21" t="s">
        <v>287</v>
      </c>
      <c r="E745" s="21">
        <v>97123935</v>
      </c>
      <c r="F745" s="20">
        <v>6138889.1799999997</v>
      </c>
      <c r="G745" s="22">
        <v>45968</v>
      </c>
      <c r="H745" s="21" t="s">
        <v>61</v>
      </c>
      <c r="I745" s="51" t="str">
        <f>IFERROR(IF(VLOOKUP(E745,extracto!C:C,1,FALSE)=E745,"pagado","no pagado"),"no pagado")</f>
        <v>pagado</v>
      </c>
      <c r="J745" s="52" t="str">
        <f t="shared" si="402"/>
        <v>pagado</v>
      </c>
      <c r="K745" s="51" t="str">
        <f t="shared" ca="1" si="403"/>
        <v>excluir</v>
      </c>
      <c r="L745" s="51" t="str">
        <f t="shared" ca="1" si="404"/>
        <v>no semana</v>
      </c>
      <c r="M745" s="51" t="str">
        <f>IFERROR(VLOOKUP(E745,'cheques a conf'!A:D,4,FALSE),"no clearing")</f>
        <v>no clearing</v>
      </c>
      <c r="N745" s="51">
        <f t="shared" si="405"/>
        <v>45</v>
      </c>
      <c r="O745" s="53">
        <f t="shared" si="406"/>
        <v>11</v>
      </c>
      <c r="P745" s="53">
        <f t="shared" si="407"/>
        <v>2025</v>
      </c>
    </row>
    <row r="746" spans="1:16" customFormat="1" x14ac:dyDescent="0.25">
      <c r="A746" s="21">
        <v>3000001573</v>
      </c>
      <c r="B746" s="22">
        <v>45965</v>
      </c>
      <c r="C746" s="20">
        <v>6440710</v>
      </c>
      <c r="D746" s="21" t="s">
        <v>293</v>
      </c>
      <c r="E746" s="21">
        <v>97123936</v>
      </c>
      <c r="F746" s="20">
        <v>6440710</v>
      </c>
      <c r="G746" s="22">
        <v>45968</v>
      </c>
      <c r="H746" s="21" t="s">
        <v>61</v>
      </c>
      <c r="I746" s="51" t="str">
        <f>IFERROR(IF(VLOOKUP(E746,extracto!C:C,1,FALSE)=E746,"pagado","no pagado"),"no pagado")</f>
        <v>pagado</v>
      </c>
      <c r="J746" s="52" t="str">
        <f t="shared" si="402"/>
        <v>pagado</v>
      </c>
      <c r="K746" s="51" t="str">
        <f t="shared" ca="1" si="403"/>
        <v>excluir</v>
      </c>
      <c r="L746" s="51" t="str">
        <f t="shared" ca="1" si="404"/>
        <v>no semana</v>
      </c>
      <c r="M746" s="51" t="str">
        <f>IFERROR(VLOOKUP(E746,'cheques a conf'!A:D,4,FALSE),"no clearing")</f>
        <v>no clearing</v>
      </c>
      <c r="N746" s="51">
        <f t="shared" si="405"/>
        <v>45</v>
      </c>
      <c r="O746" s="53">
        <f t="shared" si="406"/>
        <v>11</v>
      </c>
      <c r="P746" s="53">
        <f t="shared" si="407"/>
        <v>2025</v>
      </c>
    </row>
    <row r="747" spans="1:16" customFormat="1" x14ac:dyDescent="0.25">
      <c r="A747" s="21">
        <v>3000001571</v>
      </c>
      <c r="B747" s="22">
        <v>45965</v>
      </c>
      <c r="C747" s="20">
        <v>3012310.2</v>
      </c>
      <c r="D747" s="21" t="s">
        <v>286</v>
      </c>
      <c r="E747" s="21">
        <v>97123937</v>
      </c>
      <c r="F747" s="20">
        <v>3012310.2</v>
      </c>
      <c r="G747" s="22">
        <v>45968</v>
      </c>
      <c r="H747" s="21" t="s">
        <v>61</v>
      </c>
      <c r="I747" s="51" t="str">
        <f>IFERROR(IF(VLOOKUP(E747,extracto!C:C,1,FALSE)=E747,"pagado","no pagado"),"no pagado")</f>
        <v>pagado</v>
      </c>
      <c r="J747" s="52" t="str">
        <f t="shared" si="402"/>
        <v>pagado</v>
      </c>
      <c r="K747" s="51" t="str">
        <f t="shared" ca="1" si="403"/>
        <v>excluir</v>
      </c>
      <c r="L747" s="51" t="str">
        <f t="shared" ca="1" si="404"/>
        <v>no semana</v>
      </c>
      <c r="M747" s="51" t="str">
        <f>IFERROR(VLOOKUP(E747,'cheques a conf'!A:D,4,FALSE),"no clearing")</f>
        <v>no clearing</v>
      </c>
      <c r="N747" s="51">
        <f t="shared" si="405"/>
        <v>45</v>
      </c>
      <c r="O747" s="53">
        <f t="shared" si="406"/>
        <v>11</v>
      </c>
      <c r="P747" s="53">
        <f t="shared" si="407"/>
        <v>2025</v>
      </c>
    </row>
    <row r="748" spans="1:16" customFormat="1" x14ac:dyDescent="0.25">
      <c r="A748" s="21">
        <v>3000001572</v>
      </c>
      <c r="B748" s="22">
        <v>45965</v>
      </c>
      <c r="C748" s="20">
        <v>4142543.4</v>
      </c>
      <c r="D748" s="21" t="s">
        <v>430</v>
      </c>
      <c r="E748" s="21">
        <v>97123938</v>
      </c>
      <c r="F748" s="20">
        <v>4142543.4</v>
      </c>
      <c r="G748" s="22">
        <v>45968</v>
      </c>
      <c r="H748" s="21" t="s">
        <v>61</v>
      </c>
      <c r="I748" s="51" t="str">
        <f>IFERROR(IF(VLOOKUP(E748,extracto!C:C,1,FALSE)=E748,"pagado","no pagado"),"no pagado")</f>
        <v>pagado</v>
      </c>
      <c r="J748" s="52" t="str">
        <f t="shared" si="402"/>
        <v>pagado</v>
      </c>
      <c r="K748" s="51" t="str">
        <f t="shared" ca="1" si="403"/>
        <v>excluir</v>
      </c>
      <c r="L748" s="51" t="str">
        <f t="shared" ca="1" si="404"/>
        <v>no semana</v>
      </c>
      <c r="M748" s="51" t="str">
        <f>IFERROR(VLOOKUP(E748,'cheques a conf'!A:D,4,FALSE),"no clearing")</f>
        <v>no clearing</v>
      </c>
      <c r="N748" s="51">
        <f t="shared" si="405"/>
        <v>45</v>
      </c>
      <c r="O748" s="53">
        <f t="shared" si="406"/>
        <v>11</v>
      </c>
      <c r="P748" s="53">
        <f t="shared" si="407"/>
        <v>2025</v>
      </c>
    </row>
    <row r="749" spans="1:16" customFormat="1" x14ac:dyDescent="0.25">
      <c r="A749" s="21">
        <v>3000001586</v>
      </c>
      <c r="B749" s="22">
        <v>45965</v>
      </c>
      <c r="C749" s="20">
        <v>5579437.1699999999</v>
      </c>
      <c r="D749" s="21" t="s">
        <v>359</v>
      </c>
      <c r="E749" s="21">
        <v>97123939</v>
      </c>
      <c r="F749" s="20">
        <v>5579437.1699999999</v>
      </c>
      <c r="G749" s="22">
        <v>45968</v>
      </c>
      <c r="H749" s="21" t="s">
        <v>61</v>
      </c>
      <c r="I749" s="51" t="str">
        <f>IFERROR(IF(VLOOKUP(E749,extracto!C:C,1,FALSE)=E749,"pagado","no pagado"),"no pagado")</f>
        <v>pagado</v>
      </c>
      <c r="J749" s="52" t="str">
        <f t="shared" si="402"/>
        <v>pagado</v>
      </c>
      <c r="K749" s="51" t="str">
        <f t="shared" ca="1" si="403"/>
        <v>excluir</v>
      </c>
      <c r="L749" s="51" t="str">
        <f t="shared" ca="1" si="404"/>
        <v>no semana</v>
      </c>
      <c r="M749" s="51" t="str">
        <f>IFERROR(VLOOKUP(E749,'cheques a conf'!A:D,4,FALSE),"no clearing")</f>
        <v>no clearing</v>
      </c>
      <c r="N749" s="51">
        <f t="shared" si="405"/>
        <v>45</v>
      </c>
      <c r="O749" s="53">
        <f t="shared" si="406"/>
        <v>11</v>
      </c>
      <c r="P749" s="53">
        <f t="shared" si="407"/>
        <v>2025</v>
      </c>
    </row>
    <row r="750" spans="1:16" customFormat="1" x14ac:dyDescent="0.25">
      <c r="A750" s="21">
        <v>3000001587</v>
      </c>
      <c r="B750" s="22">
        <v>45965</v>
      </c>
      <c r="C750" s="20">
        <v>18109574.82</v>
      </c>
      <c r="D750" s="21" t="s">
        <v>384</v>
      </c>
      <c r="E750" s="21">
        <v>97123940</v>
      </c>
      <c r="F750" s="20">
        <v>18109574.82</v>
      </c>
      <c r="G750" s="22">
        <v>45968</v>
      </c>
      <c r="H750" s="21" t="s">
        <v>61</v>
      </c>
      <c r="I750" s="51" t="str">
        <f>IFERROR(IF(VLOOKUP(E750,extracto!C:C,1,FALSE)=E750,"pagado","no pagado"),"no pagado")</f>
        <v>pagado</v>
      </c>
      <c r="J750" s="52" t="str">
        <f t="shared" si="402"/>
        <v>pagado</v>
      </c>
      <c r="K750" s="51" t="str">
        <f t="shared" ca="1" si="403"/>
        <v>excluir</v>
      </c>
      <c r="L750" s="51" t="str">
        <f t="shared" ca="1" si="404"/>
        <v>no semana</v>
      </c>
      <c r="M750" s="51" t="str">
        <f>IFERROR(VLOOKUP(E750,'cheques a conf'!A:D,4,FALSE),"no clearing")</f>
        <v>no clearing</v>
      </c>
      <c r="N750" s="51">
        <f t="shared" si="405"/>
        <v>45</v>
      </c>
      <c r="O750" s="53">
        <f t="shared" si="406"/>
        <v>11</v>
      </c>
      <c r="P750" s="53">
        <f t="shared" si="407"/>
        <v>2025</v>
      </c>
    </row>
    <row r="751" spans="1:16" customFormat="1" x14ac:dyDescent="0.25">
      <c r="A751" s="21">
        <v>3000001588</v>
      </c>
      <c r="B751" s="22">
        <v>45965</v>
      </c>
      <c r="C751" s="20">
        <v>14042020.5</v>
      </c>
      <c r="D751" s="21" t="s">
        <v>338</v>
      </c>
      <c r="E751" s="21">
        <v>97123941</v>
      </c>
      <c r="F751" s="20">
        <v>14042020.5</v>
      </c>
      <c r="G751" s="22">
        <v>45968</v>
      </c>
      <c r="H751" s="21" t="s">
        <v>61</v>
      </c>
      <c r="I751" s="51" t="str">
        <f>IFERROR(IF(VLOOKUP(E751,extracto!C:C,1,FALSE)=E751,"pagado","no pagado"),"no pagado")</f>
        <v>pagado</v>
      </c>
      <c r="J751" s="52" t="str">
        <f t="shared" si="402"/>
        <v>pagado</v>
      </c>
      <c r="K751" s="51" t="str">
        <f t="shared" ca="1" si="403"/>
        <v>excluir</v>
      </c>
      <c r="L751" s="51" t="str">
        <f t="shared" ca="1" si="404"/>
        <v>no semana</v>
      </c>
      <c r="M751" s="51" t="str">
        <f>IFERROR(VLOOKUP(E751,'cheques a conf'!A:D,4,FALSE),"no clearing")</f>
        <v>no clearing</v>
      </c>
      <c r="N751" s="51">
        <f t="shared" si="405"/>
        <v>45</v>
      </c>
      <c r="O751" s="53">
        <f t="shared" si="406"/>
        <v>11</v>
      </c>
      <c r="P751" s="53">
        <f t="shared" si="407"/>
        <v>2025</v>
      </c>
    </row>
    <row r="752" spans="1:16" customFormat="1" x14ac:dyDescent="0.25">
      <c r="A752" s="21">
        <v>3000001589</v>
      </c>
      <c r="B752" s="22">
        <v>45965</v>
      </c>
      <c r="C752" s="20">
        <v>12768648.060000001</v>
      </c>
      <c r="D752" s="21" t="s">
        <v>340</v>
      </c>
      <c r="E752" s="21">
        <v>97123942</v>
      </c>
      <c r="F752" s="20">
        <v>12768648.060000001</v>
      </c>
      <c r="G752" s="22">
        <v>45968</v>
      </c>
      <c r="H752" s="21" t="s">
        <v>61</v>
      </c>
      <c r="I752" s="51" t="str">
        <f>IFERROR(IF(VLOOKUP(E752,extracto!C:C,1,FALSE)=E752,"pagado","no pagado"),"no pagado")</f>
        <v>pagado</v>
      </c>
      <c r="J752" s="52" t="str">
        <f t="shared" si="402"/>
        <v>pagado</v>
      </c>
      <c r="K752" s="51" t="str">
        <f t="shared" ca="1" si="403"/>
        <v>excluir</v>
      </c>
      <c r="L752" s="51" t="str">
        <f t="shared" ca="1" si="404"/>
        <v>no semana</v>
      </c>
      <c r="M752" s="51" t="str">
        <f>IFERROR(VLOOKUP(E752,'cheques a conf'!A:D,4,FALSE),"no clearing")</f>
        <v>no clearing</v>
      </c>
      <c r="N752" s="51">
        <f t="shared" si="405"/>
        <v>45</v>
      </c>
      <c r="O752" s="53">
        <f t="shared" si="406"/>
        <v>11</v>
      </c>
      <c r="P752" s="53">
        <f t="shared" si="407"/>
        <v>2025</v>
      </c>
    </row>
    <row r="753" spans="1:16" customFormat="1" x14ac:dyDescent="0.25">
      <c r="A753" s="21">
        <v>1200002346</v>
      </c>
      <c r="B753" s="22">
        <v>45965</v>
      </c>
      <c r="C753" s="20">
        <v>4398075.9000000004</v>
      </c>
      <c r="D753" s="21" t="s">
        <v>296</v>
      </c>
      <c r="E753" s="21">
        <v>97123943</v>
      </c>
      <c r="F753" s="20">
        <v>4398075.9000000004</v>
      </c>
      <c r="G753" s="22">
        <v>45968</v>
      </c>
      <c r="H753" s="21" t="s">
        <v>61</v>
      </c>
      <c r="I753" s="51" t="str">
        <f>IFERROR(IF(VLOOKUP(E753,extracto!C:C,1,FALSE)=E753,"pagado","no pagado"),"no pagado")</f>
        <v>pagado</v>
      </c>
      <c r="J753" s="52" t="str">
        <f t="shared" si="402"/>
        <v>pagado</v>
      </c>
      <c r="K753" s="51" t="str">
        <f t="shared" ca="1" si="403"/>
        <v>excluir</v>
      </c>
      <c r="L753" s="51" t="str">
        <f t="shared" ca="1" si="404"/>
        <v>no semana</v>
      </c>
      <c r="M753" s="51" t="str">
        <f>IFERROR(VLOOKUP(E753,'cheques a conf'!A:D,4,FALSE),"no clearing")</f>
        <v>no clearing</v>
      </c>
      <c r="N753" s="51">
        <f t="shared" si="405"/>
        <v>45</v>
      </c>
      <c r="O753" s="53">
        <f t="shared" si="406"/>
        <v>11</v>
      </c>
      <c r="P753" s="53">
        <f t="shared" si="407"/>
        <v>2025</v>
      </c>
    </row>
    <row r="754" spans="1:16" customFormat="1" x14ac:dyDescent="0.25">
      <c r="A754" s="21">
        <v>1200002346</v>
      </c>
      <c r="B754" s="22">
        <v>45965</v>
      </c>
      <c r="C754" s="20">
        <v>5952718.4000000004</v>
      </c>
      <c r="D754" s="21" t="s">
        <v>296</v>
      </c>
      <c r="E754" s="21">
        <v>97123944</v>
      </c>
      <c r="F754" s="20">
        <v>5952718.4000000004</v>
      </c>
      <c r="G754" s="22">
        <v>45968</v>
      </c>
      <c r="H754" s="21" t="s">
        <v>61</v>
      </c>
      <c r="I754" s="51" t="str">
        <f>IFERROR(IF(VLOOKUP(E754,extracto!C:C,1,FALSE)=E754,"pagado","no pagado"),"no pagado")</f>
        <v>pagado</v>
      </c>
      <c r="J754" s="52" t="str">
        <f t="shared" si="402"/>
        <v>pagado</v>
      </c>
      <c r="K754" s="51" t="str">
        <f t="shared" ca="1" si="403"/>
        <v>excluir</v>
      </c>
      <c r="L754" s="51" t="str">
        <f t="shared" ca="1" si="404"/>
        <v>no semana</v>
      </c>
      <c r="M754" s="51" t="str">
        <f>IFERROR(VLOOKUP(E754,'cheques a conf'!A:D,4,FALSE),"no clearing")</f>
        <v>no clearing</v>
      </c>
      <c r="N754" s="51">
        <f t="shared" si="405"/>
        <v>45</v>
      </c>
      <c r="O754" s="53">
        <f t="shared" si="406"/>
        <v>11</v>
      </c>
      <c r="P754" s="53">
        <f t="shared" si="407"/>
        <v>2025</v>
      </c>
    </row>
    <row r="755" spans="1:16" customFormat="1" x14ac:dyDescent="0.25">
      <c r="A755" s="21">
        <v>1200002346</v>
      </c>
      <c r="B755" s="22">
        <v>45965</v>
      </c>
      <c r="C755" s="20">
        <v>14694609.48</v>
      </c>
      <c r="D755" s="21" t="s">
        <v>296</v>
      </c>
      <c r="E755" s="21">
        <v>97123945</v>
      </c>
      <c r="F755" s="20">
        <v>14694609.48</v>
      </c>
      <c r="G755" s="22">
        <v>45968</v>
      </c>
      <c r="H755" s="21" t="s">
        <v>61</v>
      </c>
      <c r="I755" s="51" t="str">
        <f>IFERROR(IF(VLOOKUP(E755,extracto!C:C,1,FALSE)=E755,"pagado","no pagado"),"no pagado")</f>
        <v>pagado</v>
      </c>
      <c r="J755" s="52" t="str">
        <f t="shared" si="402"/>
        <v>pagado</v>
      </c>
      <c r="K755" s="51" t="str">
        <f t="shared" ca="1" si="403"/>
        <v>excluir</v>
      </c>
      <c r="L755" s="51" t="str">
        <f t="shared" ca="1" si="404"/>
        <v>no semana</v>
      </c>
      <c r="M755" s="51" t="str">
        <f>IFERROR(VLOOKUP(E755,'cheques a conf'!A:D,4,FALSE),"no clearing")</f>
        <v>no clearing</v>
      </c>
      <c r="N755" s="51">
        <f t="shared" si="405"/>
        <v>45</v>
      </c>
      <c r="O755" s="53">
        <f t="shared" si="406"/>
        <v>11</v>
      </c>
      <c r="P755" s="53">
        <f t="shared" si="407"/>
        <v>2025</v>
      </c>
    </row>
    <row r="756" spans="1:16" customFormat="1" x14ac:dyDescent="0.25">
      <c r="A756" s="21">
        <v>1200002346</v>
      </c>
      <c r="B756" s="22">
        <v>45965</v>
      </c>
      <c r="C756" s="20">
        <v>12943273.84</v>
      </c>
      <c r="D756" s="21" t="s">
        <v>296</v>
      </c>
      <c r="E756" s="21">
        <v>97123946</v>
      </c>
      <c r="F756" s="20">
        <v>12943273.84</v>
      </c>
      <c r="G756" s="22">
        <v>45968</v>
      </c>
      <c r="H756" s="21" t="s">
        <v>61</v>
      </c>
      <c r="I756" s="51" t="str">
        <f>IFERROR(IF(VLOOKUP(E756,extracto!C:C,1,FALSE)=E756,"pagado","no pagado"),"no pagado")</f>
        <v>pagado</v>
      </c>
      <c r="J756" s="52" t="str">
        <f t="shared" si="402"/>
        <v>pagado</v>
      </c>
      <c r="K756" s="51" t="str">
        <f t="shared" ca="1" si="403"/>
        <v>excluir</v>
      </c>
      <c r="L756" s="51" t="str">
        <f t="shared" ca="1" si="404"/>
        <v>no semana</v>
      </c>
      <c r="M756" s="51" t="str">
        <f>IFERROR(VLOOKUP(E756,'cheques a conf'!A:D,4,FALSE),"no clearing")</f>
        <v>no clearing</v>
      </c>
      <c r="N756" s="51">
        <f t="shared" si="405"/>
        <v>45</v>
      </c>
      <c r="O756" s="53">
        <f t="shared" si="406"/>
        <v>11</v>
      </c>
      <c r="P756" s="53">
        <f t="shared" si="407"/>
        <v>2025</v>
      </c>
    </row>
    <row r="757" spans="1:16" customFormat="1" x14ac:dyDescent="0.25">
      <c r="A757" s="21">
        <v>1200002346</v>
      </c>
      <c r="B757" s="22">
        <v>45965</v>
      </c>
      <c r="C757" s="20">
        <v>4508127.67</v>
      </c>
      <c r="D757" s="21" t="s">
        <v>296</v>
      </c>
      <c r="E757" s="21">
        <v>97123947</v>
      </c>
      <c r="F757" s="20">
        <v>4508127.67</v>
      </c>
      <c r="G757" s="22">
        <v>45968</v>
      </c>
      <c r="H757" s="21" t="s">
        <v>61</v>
      </c>
      <c r="I757" s="51" t="str">
        <f>IFERROR(IF(VLOOKUP(E757,extracto!C:C,1,FALSE)=E757,"pagado","no pagado"),"no pagado")</f>
        <v>pagado</v>
      </c>
      <c r="J757" s="52" t="str">
        <f t="shared" si="402"/>
        <v>pagado</v>
      </c>
      <c r="K757" s="51" t="str">
        <f t="shared" ca="1" si="403"/>
        <v>excluir</v>
      </c>
      <c r="L757" s="51" t="str">
        <f t="shared" ca="1" si="404"/>
        <v>no semana</v>
      </c>
      <c r="M757" s="51" t="str">
        <f>IFERROR(VLOOKUP(E757,'cheques a conf'!A:D,4,FALSE),"no clearing")</f>
        <v>no clearing</v>
      </c>
      <c r="N757" s="51">
        <f t="shared" si="405"/>
        <v>45</v>
      </c>
      <c r="O757" s="53">
        <f t="shared" si="406"/>
        <v>11</v>
      </c>
      <c r="P757" s="53">
        <f t="shared" si="407"/>
        <v>2025</v>
      </c>
    </row>
    <row r="758" spans="1:16" customFormat="1" x14ac:dyDescent="0.25">
      <c r="A758" s="21">
        <v>1200002346</v>
      </c>
      <c r="B758" s="22">
        <v>45965</v>
      </c>
      <c r="C758" s="20">
        <v>28351980</v>
      </c>
      <c r="D758" s="21" t="s">
        <v>296</v>
      </c>
      <c r="E758" s="21">
        <v>97123948</v>
      </c>
      <c r="F758" s="20">
        <v>28351980</v>
      </c>
      <c r="G758" s="22">
        <v>45968</v>
      </c>
      <c r="H758" s="21" t="s">
        <v>61</v>
      </c>
      <c r="I758" s="51" t="str">
        <f>IFERROR(IF(VLOOKUP(E758,extracto!C:C,1,FALSE)=E758,"pagado","no pagado"),"no pagado")</f>
        <v>pagado</v>
      </c>
      <c r="J758" s="52" t="str">
        <f t="shared" si="402"/>
        <v>pagado</v>
      </c>
      <c r="K758" s="51" t="str">
        <f t="shared" ca="1" si="403"/>
        <v>excluir</v>
      </c>
      <c r="L758" s="51" t="str">
        <f t="shared" ca="1" si="404"/>
        <v>no semana</v>
      </c>
      <c r="M758" s="51" t="str">
        <f>IFERROR(VLOOKUP(E758,'cheques a conf'!A:D,4,FALSE),"no clearing")</f>
        <v>no clearing</v>
      </c>
      <c r="N758" s="51">
        <f t="shared" si="405"/>
        <v>45</v>
      </c>
      <c r="O758" s="53">
        <f t="shared" si="406"/>
        <v>11</v>
      </c>
      <c r="P758" s="53">
        <f t="shared" si="407"/>
        <v>2025</v>
      </c>
    </row>
    <row r="759" spans="1:16" customFormat="1" x14ac:dyDescent="0.25">
      <c r="A759" s="21">
        <v>1200002346</v>
      </c>
      <c r="B759" s="22">
        <v>45965</v>
      </c>
      <c r="C759" s="20">
        <v>13635050.75</v>
      </c>
      <c r="D759" s="21" t="s">
        <v>296</v>
      </c>
      <c r="E759" s="21">
        <v>97123949</v>
      </c>
      <c r="F759" s="20">
        <v>13635050.75</v>
      </c>
      <c r="G759" s="22">
        <v>45968</v>
      </c>
      <c r="H759" s="21" t="s">
        <v>61</v>
      </c>
      <c r="I759" s="51" t="str">
        <f>IFERROR(IF(VLOOKUP(E759,extracto!C:C,1,FALSE)=E759,"pagado","no pagado"),"no pagado")</f>
        <v>pagado</v>
      </c>
      <c r="J759" s="52" t="str">
        <f t="shared" si="402"/>
        <v>pagado</v>
      </c>
      <c r="K759" s="51" t="str">
        <f t="shared" ca="1" si="403"/>
        <v>excluir</v>
      </c>
      <c r="L759" s="51" t="str">
        <f t="shared" ca="1" si="404"/>
        <v>no semana</v>
      </c>
      <c r="M759" s="51" t="str">
        <f>IFERROR(VLOOKUP(E759,'cheques a conf'!A:D,4,FALSE),"no clearing")</f>
        <v>no clearing</v>
      </c>
      <c r="N759" s="51">
        <f t="shared" si="405"/>
        <v>45</v>
      </c>
      <c r="O759" s="53">
        <f t="shared" si="406"/>
        <v>11</v>
      </c>
      <c r="P759" s="53">
        <f t="shared" si="407"/>
        <v>2025</v>
      </c>
    </row>
    <row r="760" spans="1:16" customFormat="1" x14ac:dyDescent="0.25">
      <c r="A760" s="21">
        <v>3000001590</v>
      </c>
      <c r="B760" s="22">
        <v>45966</v>
      </c>
      <c r="C760" s="20">
        <v>3414618.77</v>
      </c>
      <c r="D760" s="21" t="s">
        <v>431</v>
      </c>
      <c r="E760" s="21">
        <v>97123950</v>
      </c>
      <c r="F760" s="20">
        <v>3414618.77</v>
      </c>
      <c r="G760" s="22">
        <v>45968</v>
      </c>
      <c r="H760" s="21" t="s">
        <v>61</v>
      </c>
      <c r="I760" s="51" t="str">
        <f>IFERROR(IF(VLOOKUP(E760,extracto!C:C,1,FALSE)=E760,"pagado","no pagado"),"no pagado")</f>
        <v>pagado</v>
      </c>
      <c r="J760" s="52" t="str">
        <f t="shared" si="402"/>
        <v>pagado</v>
      </c>
      <c r="K760" s="51" t="str">
        <f t="shared" ca="1" si="403"/>
        <v>excluir</v>
      </c>
      <c r="L760" s="51" t="str">
        <f t="shared" ca="1" si="404"/>
        <v>no semana</v>
      </c>
      <c r="M760" s="51" t="str">
        <f>IFERROR(VLOOKUP(E760,'cheques a conf'!A:D,4,FALSE),"no clearing")</f>
        <v>no clearing</v>
      </c>
      <c r="N760" s="51">
        <f t="shared" si="405"/>
        <v>45</v>
      </c>
      <c r="O760" s="53">
        <f t="shared" si="406"/>
        <v>11</v>
      </c>
      <c r="P760" s="53">
        <f t="shared" si="407"/>
        <v>2025</v>
      </c>
    </row>
    <row r="761" spans="1:16" customFormat="1" x14ac:dyDescent="0.25">
      <c r="A761">
        <v>3000001603</v>
      </c>
      <c r="B761" s="3">
        <v>45972</v>
      </c>
      <c r="C761" s="9">
        <v>15000000</v>
      </c>
      <c r="D761" t="s">
        <v>432</v>
      </c>
      <c r="E761">
        <v>97123953</v>
      </c>
      <c r="F761" s="9">
        <v>15000000</v>
      </c>
      <c r="G761" s="3">
        <v>46006</v>
      </c>
      <c r="H761" s="21" t="s">
        <v>61</v>
      </c>
      <c r="I761" s="51" t="str">
        <f>IFERROR(IF(VLOOKUP(E761,extracto!C:C,1,FALSE)=E761,"pagado","no pagado"),"no pagado")</f>
        <v>pagado</v>
      </c>
      <c r="J761" s="52" t="str">
        <f t="shared" si="402"/>
        <v>pagado</v>
      </c>
      <c r="K761" s="51" t="str">
        <f t="shared" ca="1" si="403"/>
        <v>excluir</v>
      </c>
      <c r="L761" s="51" t="str">
        <f t="shared" ca="1" si="404"/>
        <v>no semana</v>
      </c>
      <c r="M761" s="51" t="str">
        <f>IFERROR(VLOOKUP(E761,'cheques a conf'!A:D,4,FALSE),"no clearing")</f>
        <v>no clearing</v>
      </c>
      <c r="N761" s="51">
        <f t="shared" si="405"/>
        <v>51</v>
      </c>
      <c r="O761" s="53">
        <f t="shared" si="406"/>
        <v>12</v>
      </c>
      <c r="P761" s="53">
        <f t="shared" si="407"/>
        <v>2025</v>
      </c>
    </row>
    <row r="762" spans="1:16" customFormat="1" x14ac:dyDescent="0.25">
      <c r="A762">
        <v>3000001603</v>
      </c>
      <c r="B762" s="3">
        <v>45972</v>
      </c>
      <c r="C762" s="9">
        <v>15000000</v>
      </c>
      <c r="D762" t="s">
        <v>432</v>
      </c>
      <c r="E762">
        <v>97123954</v>
      </c>
      <c r="F762" s="9">
        <v>15000000</v>
      </c>
      <c r="G762" s="3">
        <v>46027</v>
      </c>
      <c r="H762" s="21" t="s">
        <v>61</v>
      </c>
      <c r="I762" s="51" t="str">
        <f>IFERROR(IF(VLOOKUP(E762,extracto!C:C,1,FALSE)=E762,"pagado","no pagado"),"no pagado")</f>
        <v>pagado</v>
      </c>
      <c r="J762" s="52" t="str">
        <f t="shared" si="402"/>
        <v>pagado</v>
      </c>
      <c r="K762" s="51" t="str">
        <f t="shared" ca="1" si="403"/>
        <v>excluir</v>
      </c>
      <c r="L762" s="51" t="str">
        <f t="shared" ca="1" si="404"/>
        <v>no semana</v>
      </c>
      <c r="M762" s="51" t="str">
        <f>IFERROR(VLOOKUP(E762,'cheques a conf'!A:D,4,FALSE),"no clearing")</f>
        <v>no clearing</v>
      </c>
      <c r="N762" s="51">
        <f t="shared" si="405"/>
        <v>2</v>
      </c>
      <c r="O762" s="53">
        <f t="shared" si="406"/>
        <v>1</v>
      </c>
      <c r="P762" s="53">
        <f t="shared" si="407"/>
        <v>2026</v>
      </c>
    </row>
    <row r="763" spans="1:16" customFormat="1" x14ac:dyDescent="0.25">
      <c r="A763">
        <v>3000001603</v>
      </c>
      <c r="B763" s="3">
        <v>45972</v>
      </c>
      <c r="C763" s="9">
        <v>15000000</v>
      </c>
      <c r="D763" t="s">
        <v>432</v>
      </c>
      <c r="E763">
        <v>97123955</v>
      </c>
      <c r="F763" s="9">
        <v>15000000</v>
      </c>
      <c r="G763" s="3">
        <v>46056</v>
      </c>
      <c r="H763" s="21" t="s">
        <v>61</v>
      </c>
      <c r="I763" s="51" t="str">
        <f>IFERROR(IF(VLOOKUP(E763,extracto!C:C,1,FALSE)=E763,"pagado","no pagado"),"no pagado")</f>
        <v>pagado</v>
      </c>
      <c r="J763" s="52" t="str">
        <f t="shared" si="402"/>
        <v>pagado</v>
      </c>
      <c r="K763" s="51" t="str">
        <f t="shared" ca="1" si="403"/>
        <v>excluir</v>
      </c>
      <c r="L763" s="51" t="str">
        <f t="shared" ca="1" si="404"/>
        <v>no semana</v>
      </c>
      <c r="M763" s="51" t="str">
        <f>IFERROR(VLOOKUP(E763,'cheques a conf'!A:D,4,FALSE),"no clearing")</f>
        <v>no clearing</v>
      </c>
      <c r="N763" s="51">
        <f t="shared" si="405"/>
        <v>6</v>
      </c>
      <c r="O763" s="53">
        <f t="shared" si="406"/>
        <v>2</v>
      </c>
      <c r="P763" s="53">
        <f t="shared" si="407"/>
        <v>2026</v>
      </c>
    </row>
    <row r="764" spans="1:16" customFormat="1" x14ac:dyDescent="0.25">
      <c r="A764">
        <v>3000001603</v>
      </c>
      <c r="B764" s="3">
        <v>45972</v>
      </c>
      <c r="C764" s="9">
        <v>17856278.129999999</v>
      </c>
      <c r="D764" t="s">
        <v>432</v>
      </c>
      <c r="E764">
        <v>97123956</v>
      </c>
      <c r="F764" s="9">
        <v>17856278.129999999</v>
      </c>
      <c r="G764" s="3">
        <v>46086</v>
      </c>
      <c r="H764" s="21" t="s">
        <v>61</v>
      </c>
      <c r="I764" s="51" t="str">
        <f>IFERROR(IF(VLOOKUP(E764,extracto!C:C,1,FALSE)=E764,"pagado","no pagado"),"no pagado")</f>
        <v>pagado</v>
      </c>
      <c r="J764" s="52" t="str">
        <f t="shared" si="402"/>
        <v>pagado</v>
      </c>
      <c r="K764" s="51" t="str">
        <f t="shared" ca="1" si="403"/>
        <v>excluir</v>
      </c>
      <c r="L764" s="51" t="str">
        <f t="shared" ca="1" si="404"/>
        <v>no semana</v>
      </c>
      <c r="M764" s="51" t="str">
        <f>IFERROR(VLOOKUP(E764,'cheques a conf'!A:D,4,FALSE),"no clearing")</f>
        <v>no clearing</v>
      </c>
      <c r="N764" s="51">
        <f t="shared" si="405"/>
        <v>10</v>
      </c>
      <c r="O764" s="53">
        <f t="shared" si="406"/>
        <v>3</v>
      </c>
      <c r="P764" s="53">
        <f t="shared" si="407"/>
        <v>2026</v>
      </c>
    </row>
    <row r="765" spans="1:16" customFormat="1" x14ac:dyDescent="0.25">
      <c r="A765">
        <v>3000001608</v>
      </c>
      <c r="B765" s="3">
        <v>45972</v>
      </c>
      <c r="C765" s="9">
        <v>2000000</v>
      </c>
      <c r="D765" t="s">
        <v>53</v>
      </c>
      <c r="E765">
        <v>97123960</v>
      </c>
      <c r="F765" s="9">
        <v>2000000</v>
      </c>
      <c r="G765" s="3">
        <v>45975</v>
      </c>
      <c r="H765" s="21" t="s">
        <v>61</v>
      </c>
      <c r="I765" s="51" t="str">
        <f>IFERROR(IF(VLOOKUP(E765,extracto!C:C,1,FALSE)=E765,"pagado","no pagado"),"no pagado")</f>
        <v>pagado</v>
      </c>
      <c r="J765" s="52" t="str">
        <f t="shared" si="402"/>
        <v>pagado</v>
      </c>
      <c r="K765" s="51" t="str">
        <f t="shared" ca="1" si="403"/>
        <v>excluir</v>
      </c>
      <c r="L765" s="51" t="str">
        <f t="shared" ca="1" si="404"/>
        <v>no semana</v>
      </c>
      <c r="M765" s="51" t="str">
        <f>IFERROR(VLOOKUP(E765,'cheques a conf'!A:D,4,FALSE),"no clearing")</f>
        <v>no clearing</v>
      </c>
      <c r="N765" s="51">
        <f t="shared" si="405"/>
        <v>46</v>
      </c>
      <c r="O765" s="53">
        <f t="shared" si="406"/>
        <v>11</v>
      </c>
      <c r="P765" s="53">
        <f t="shared" si="407"/>
        <v>2025</v>
      </c>
    </row>
    <row r="766" spans="1:16" customFormat="1" x14ac:dyDescent="0.25">
      <c r="A766">
        <v>3000001608</v>
      </c>
      <c r="B766" s="3">
        <v>45972</v>
      </c>
      <c r="C766" s="9">
        <v>1136552.8799999999</v>
      </c>
      <c r="D766" t="s">
        <v>53</v>
      </c>
      <c r="E766">
        <v>97123961</v>
      </c>
      <c r="F766" s="9">
        <v>1136552.8799999999</v>
      </c>
      <c r="G766" s="3">
        <v>45992</v>
      </c>
      <c r="H766" s="21" t="s">
        <v>61</v>
      </c>
      <c r="I766" s="51" t="str">
        <f>IFERROR(IF(VLOOKUP(E766,extracto!C:C,1,FALSE)=E766,"pagado","no pagado"),"no pagado")</f>
        <v>pagado</v>
      </c>
      <c r="J766" s="52" t="str">
        <f t="shared" si="402"/>
        <v>pagado</v>
      </c>
      <c r="K766" s="51" t="str">
        <f t="shared" ca="1" si="403"/>
        <v>excluir</v>
      </c>
      <c r="L766" s="51" t="str">
        <f t="shared" ca="1" si="404"/>
        <v>no semana</v>
      </c>
      <c r="M766" s="51" t="str">
        <f>IFERROR(VLOOKUP(E766,'cheques a conf'!A:D,4,FALSE),"no clearing")</f>
        <v>no clearing</v>
      </c>
      <c r="N766" s="51">
        <f t="shared" si="405"/>
        <v>49</v>
      </c>
      <c r="O766" s="53">
        <f t="shared" si="406"/>
        <v>12</v>
      </c>
      <c r="P766" s="53">
        <f t="shared" si="407"/>
        <v>2025</v>
      </c>
    </row>
    <row r="767" spans="1:16" customFormat="1" x14ac:dyDescent="0.25">
      <c r="A767">
        <v>3000001609</v>
      </c>
      <c r="B767" s="3">
        <v>45972</v>
      </c>
      <c r="C767" s="9">
        <v>5353324.88</v>
      </c>
      <c r="D767" t="s">
        <v>344</v>
      </c>
      <c r="E767">
        <v>97123963</v>
      </c>
      <c r="F767" s="9">
        <v>5353324.88</v>
      </c>
      <c r="G767" s="3">
        <v>45975</v>
      </c>
      <c r="H767" s="21" t="s">
        <v>61</v>
      </c>
      <c r="I767" s="51" t="str">
        <f>IFERROR(IF(VLOOKUP(E767,extracto!C:C,1,FALSE)=E767,"pagado","no pagado"),"no pagado")</f>
        <v>pagado</v>
      </c>
      <c r="J767" s="52" t="str">
        <f t="shared" si="402"/>
        <v>pagado</v>
      </c>
      <c r="K767" s="51" t="str">
        <f t="shared" ca="1" si="403"/>
        <v>excluir</v>
      </c>
      <c r="L767" s="51" t="str">
        <f t="shared" ca="1" si="404"/>
        <v>no semana</v>
      </c>
      <c r="M767" s="51" t="str">
        <f>IFERROR(VLOOKUP(E767,'cheques a conf'!A:D,4,FALSE),"no clearing")</f>
        <v>no clearing</v>
      </c>
      <c r="N767" s="51">
        <f t="shared" si="405"/>
        <v>46</v>
      </c>
      <c r="O767" s="53">
        <f t="shared" si="406"/>
        <v>11</v>
      </c>
      <c r="P767" s="53">
        <f t="shared" si="407"/>
        <v>2025</v>
      </c>
    </row>
    <row r="768" spans="1:16" customFormat="1" x14ac:dyDescent="0.25">
      <c r="A768">
        <v>3000001609</v>
      </c>
      <c r="B768" s="3">
        <v>45972</v>
      </c>
      <c r="C768" s="9">
        <v>10912126.85</v>
      </c>
      <c r="D768" t="s">
        <v>344</v>
      </c>
      <c r="E768">
        <v>97123964</v>
      </c>
      <c r="F768" s="9">
        <v>10912126.85</v>
      </c>
      <c r="G768" s="3">
        <v>45975</v>
      </c>
      <c r="H768" s="21" t="s">
        <v>61</v>
      </c>
      <c r="I768" s="51" t="str">
        <f>IFERROR(IF(VLOOKUP(E768,extracto!C:C,1,FALSE)=E768,"pagado","no pagado"),"no pagado")</f>
        <v>pagado</v>
      </c>
      <c r="J768" s="52" t="str">
        <f t="shared" si="402"/>
        <v>pagado</v>
      </c>
      <c r="K768" s="51" t="str">
        <f t="shared" ca="1" si="403"/>
        <v>excluir</v>
      </c>
      <c r="L768" s="51" t="str">
        <f t="shared" ca="1" si="404"/>
        <v>no semana</v>
      </c>
      <c r="M768" s="51" t="str">
        <f>IFERROR(VLOOKUP(E768,'cheques a conf'!A:D,4,FALSE),"no clearing")</f>
        <v>no clearing</v>
      </c>
      <c r="N768" s="51">
        <f t="shared" si="405"/>
        <v>46</v>
      </c>
      <c r="O768" s="53">
        <f t="shared" si="406"/>
        <v>11</v>
      </c>
      <c r="P768" s="53">
        <f t="shared" si="407"/>
        <v>2025</v>
      </c>
    </row>
    <row r="769" spans="1:16" customFormat="1" x14ac:dyDescent="0.25">
      <c r="A769">
        <v>3000001601</v>
      </c>
      <c r="B769" s="3">
        <v>45972</v>
      </c>
      <c r="C769" s="9">
        <v>135434769.36000001</v>
      </c>
      <c r="D769" t="s">
        <v>405</v>
      </c>
      <c r="E769">
        <v>97123951</v>
      </c>
      <c r="F769" s="9">
        <v>135434769.36000001</v>
      </c>
      <c r="G769" s="3">
        <v>46270</v>
      </c>
      <c r="H769" s="21" t="s">
        <v>61</v>
      </c>
      <c r="I769" s="51" t="str">
        <f>IFERROR(IF(VLOOKUP(E769,extracto!C:C,1,FALSE)=E769,"pagado","no pagado"),"no pagado")</f>
        <v>no pagado</v>
      </c>
      <c r="J769" s="52" t="str">
        <f t="shared" ca="1" si="402"/>
        <v>en periodo de pago</v>
      </c>
      <c r="K769" s="51" t="str">
        <f t="shared" ca="1" si="403"/>
        <v>a pagar</v>
      </c>
      <c r="L769" s="51" t="str">
        <f t="shared" ca="1" si="404"/>
        <v>no semana</v>
      </c>
      <c r="M769" s="51" t="str">
        <f>IFERROR(VLOOKUP(E769,'cheques a conf'!A:D,4,FALSE),"no clearing")</f>
        <v>no clearing</v>
      </c>
      <c r="N769" s="51">
        <f t="shared" si="405"/>
        <v>36</v>
      </c>
      <c r="O769" s="53">
        <f t="shared" si="406"/>
        <v>9</v>
      </c>
      <c r="P769" s="53">
        <f t="shared" si="407"/>
        <v>2026</v>
      </c>
    </row>
    <row r="770" spans="1:16" customFormat="1" x14ac:dyDescent="0.25">
      <c r="A770">
        <v>3000001602</v>
      </c>
      <c r="B770" s="3">
        <v>45972</v>
      </c>
      <c r="C770" s="9">
        <v>262874070.53999999</v>
      </c>
      <c r="D770" t="s">
        <v>433</v>
      </c>
      <c r="E770">
        <v>97123952</v>
      </c>
      <c r="F770" s="9">
        <v>262874070.53999999</v>
      </c>
      <c r="G770" s="3">
        <v>46038</v>
      </c>
      <c r="H770" s="21" t="s">
        <v>61</v>
      </c>
      <c r="I770" s="51" t="str">
        <f>IFERROR(IF(VLOOKUP(E770,extracto!C:C,1,FALSE)=E770,"pagado","no pagado"),"no pagado")</f>
        <v>pagado</v>
      </c>
      <c r="J770" s="52" t="str">
        <f t="shared" si="402"/>
        <v>pagado</v>
      </c>
      <c r="K770" s="51" t="str">
        <f t="shared" ca="1" si="403"/>
        <v>excluir</v>
      </c>
      <c r="L770" s="51" t="str">
        <f t="shared" ca="1" si="404"/>
        <v>no semana</v>
      </c>
      <c r="M770" s="51" t="str">
        <f>IFERROR(VLOOKUP(E770,'cheques a conf'!A:D,4,FALSE),"no clearing")</f>
        <v>no clearing</v>
      </c>
      <c r="N770" s="51">
        <f t="shared" si="405"/>
        <v>3</v>
      </c>
      <c r="O770" s="53">
        <f t="shared" si="406"/>
        <v>1</v>
      </c>
      <c r="P770" s="53">
        <f t="shared" si="407"/>
        <v>2026</v>
      </c>
    </row>
    <row r="771" spans="1:16" customFormat="1" x14ac:dyDescent="0.25">
      <c r="A771">
        <v>3000001606</v>
      </c>
      <c r="B771" s="3">
        <v>45972</v>
      </c>
      <c r="C771" s="9">
        <v>13987396.4</v>
      </c>
      <c r="D771" t="s">
        <v>357</v>
      </c>
      <c r="E771">
        <v>97123958</v>
      </c>
      <c r="F771" s="9">
        <v>13987396.4</v>
      </c>
      <c r="G771" s="3">
        <v>45975</v>
      </c>
      <c r="H771" s="21" t="s">
        <v>61</v>
      </c>
      <c r="I771" s="51" t="str">
        <f>IFERROR(IF(VLOOKUP(E771,extracto!C:C,1,FALSE)=E771,"pagado","no pagado"),"no pagado")</f>
        <v>pagado</v>
      </c>
      <c r="J771" s="52" t="str">
        <f t="shared" si="402"/>
        <v>pagado</v>
      </c>
      <c r="K771" s="51" t="str">
        <f t="shared" ca="1" si="403"/>
        <v>excluir</v>
      </c>
      <c r="L771" s="51" t="str">
        <f t="shared" ca="1" si="404"/>
        <v>no semana</v>
      </c>
      <c r="M771" s="51" t="str">
        <f>IFERROR(VLOOKUP(E771,'cheques a conf'!A:D,4,FALSE),"no clearing")</f>
        <v>no clearing</v>
      </c>
      <c r="N771" s="51">
        <f t="shared" si="405"/>
        <v>46</v>
      </c>
      <c r="O771" s="53">
        <f t="shared" si="406"/>
        <v>11</v>
      </c>
      <c r="P771" s="53">
        <f t="shared" si="407"/>
        <v>2025</v>
      </c>
    </row>
    <row r="772" spans="1:16" x14ac:dyDescent="0.25">
      <c r="A772">
        <v>3000001607</v>
      </c>
      <c r="B772" s="3">
        <v>45972</v>
      </c>
      <c r="C772" s="9">
        <v>6076118.4000000004</v>
      </c>
      <c r="D772" t="s">
        <v>59</v>
      </c>
      <c r="E772">
        <v>97123959</v>
      </c>
      <c r="F772" s="9">
        <v>6076118.4000000004</v>
      </c>
      <c r="G772" s="3">
        <v>45975</v>
      </c>
      <c r="H772" s="21" t="s">
        <v>61</v>
      </c>
      <c r="I772" s="40" t="str">
        <f>IFERROR(IF(VLOOKUP(E772,extracto!C:C,1,FALSE)=E772,"pagado","no pagado"),"no pagado")</f>
        <v>pagado</v>
      </c>
      <c r="J772" s="41" t="str">
        <f t="shared" si="402"/>
        <v>pagado</v>
      </c>
      <c r="K772" s="40" t="str">
        <f t="shared" ca="1" si="403"/>
        <v>excluir</v>
      </c>
      <c r="L772" s="40" t="str">
        <f t="shared" ca="1" si="404"/>
        <v>no semana</v>
      </c>
      <c r="M772" s="40" t="str">
        <f>IFERROR(VLOOKUP(E772,'cheques a conf'!A:D,4,FALSE),"no clearing")</f>
        <v>no clearing</v>
      </c>
      <c r="N772" s="40">
        <f t="shared" si="405"/>
        <v>46</v>
      </c>
      <c r="O772" s="42">
        <f t="shared" si="406"/>
        <v>11</v>
      </c>
      <c r="P772" s="42">
        <f t="shared" si="407"/>
        <v>2025</v>
      </c>
    </row>
    <row r="773" spans="1:16" x14ac:dyDescent="0.25">
      <c r="A773">
        <v>3000001605</v>
      </c>
      <c r="B773" s="3">
        <v>45972</v>
      </c>
      <c r="C773" s="9">
        <v>16776532.060000001</v>
      </c>
      <c r="D773" t="s">
        <v>434</v>
      </c>
      <c r="E773">
        <v>97123962</v>
      </c>
      <c r="F773" s="9">
        <v>16776532.060000001</v>
      </c>
      <c r="G773" s="3">
        <v>45975</v>
      </c>
      <c r="H773" s="21" t="s">
        <v>61</v>
      </c>
      <c r="I773" s="40" t="str">
        <f>IFERROR(IF(VLOOKUP(E773,extracto!C:C,1,FALSE)=E773,"pagado","no pagado"),"no pagado")</f>
        <v>pagado</v>
      </c>
      <c r="J773" s="41" t="str">
        <f t="shared" si="402"/>
        <v>pagado</v>
      </c>
      <c r="K773" s="40" t="str">
        <f t="shared" ca="1" si="403"/>
        <v>excluir</v>
      </c>
      <c r="L773" s="40" t="str">
        <f t="shared" ca="1" si="404"/>
        <v>no semana</v>
      </c>
      <c r="M773" s="40" t="str">
        <f>IFERROR(VLOOKUP(E773,'cheques a conf'!A:D,4,FALSE),"no clearing")</f>
        <v>no clearing</v>
      </c>
      <c r="N773" s="40">
        <f t="shared" si="405"/>
        <v>46</v>
      </c>
      <c r="O773" s="42">
        <f t="shared" si="406"/>
        <v>11</v>
      </c>
      <c r="P773" s="42">
        <f t="shared" si="407"/>
        <v>2025</v>
      </c>
    </row>
    <row r="774" spans="1:16" x14ac:dyDescent="0.25">
      <c r="A774">
        <v>3000001604</v>
      </c>
      <c r="B774" s="3">
        <v>45972</v>
      </c>
      <c r="C774" s="9">
        <v>220537105</v>
      </c>
      <c r="D774" t="s">
        <v>435</v>
      </c>
      <c r="E774">
        <v>97123957</v>
      </c>
      <c r="F774" s="9">
        <v>220537105</v>
      </c>
      <c r="G774" s="3">
        <v>46007</v>
      </c>
      <c r="H774" s="21" t="s">
        <v>61</v>
      </c>
      <c r="I774" s="40" t="str">
        <f>IFERROR(IF(VLOOKUP(E774,extracto!C:C,1,FALSE)=E774,"pagado","no pagado"),"no pagado")</f>
        <v>pagado</v>
      </c>
      <c r="J774" s="41" t="str">
        <f t="shared" si="402"/>
        <v>pagado</v>
      </c>
      <c r="K774" s="40" t="str">
        <f t="shared" ca="1" si="403"/>
        <v>excluir</v>
      </c>
      <c r="L774" s="40" t="str">
        <f t="shared" ca="1" si="404"/>
        <v>no semana</v>
      </c>
      <c r="M774" s="40" t="str">
        <f>IFERROR(VLOOKUP(E774,'cheques a conf'!A:D,4,FALSE),"no clearing")</f>
        <v>no clearing</v>
      </c>
      <c r="N774" s="40">
        <f t="shared" si="405"/>
        <v>51</v>
      </c>
      <c r="O774" s="42">
        <f t="shared" si="406"/>
        <v>12</v>
      </c>
      <c r="P774" s="42">
        <f t="shared" si="407"/>
        <v>2025</v>
      </c>
    </row>
    <row r="775" spans="1:16" x14ac:dyDescent="0.25">
      <c r="A775">
        <v>1200002351</v>
      </c>
      <c r="B775" s="3">
        <v>45973</v>
      </c>
      <c r="C775" s="9">
        <v>18905446.27</v>
      </c>
      <c r="D775" t="s">
        <v>296</v>
      </c>
      <c r="E775">
        <v>97123965</v>
      </c>
      <c r="F775" s="9">
        <v>18905446.27</v>
      </c>
      <c r="G775" s="3">
        <v>45978</v>
      </c>
      <c r="H775" s="21" t="s">
        <v>61</v>
      </c>
      <c r="I775" s="40" t="str">
        <f>IFERROR(IF(VLOOKUP(E775,extracto!C:C,1,FALSE)=E775,"pagado","no pagado"),"no pagado")</f>
        <v>pagado</v>
      </c>
      <c r="J775" s="41" t="str">
        <f t="shared" si="402"/>
        <v>pagado</v>
      </c>
      <c r="K775" s="40" t="str">
        <f t="shared" ca="1" si="403"/>
        <v>excluir</v>
      </c>
      <c r="L775" s="40" t="str">
        <f t="shared" ca="1" si="404"/>
        <v>no semana</v>
      </c>
      <c r="M775" s="40" t="str">
        <f>IFERROR(VLOOKUP(E775,'cheques a conf'!A:D,4,FALSE),"no clearing")</f>
        <v>no clearing</v>
      </c>
      <c r="N775" s="40">
        <f t="shared" si="405"/>
        <v>47</v>
      </c>
      <c r="O775" s="42">
        <f t="shared" si="406"/>
        <v>11</v>
      </c>
      <c r="P775" s="42">
        <f t="shared" si="407"/>
        <v>2025</v>
      </c>
    </row>
    <row r="776" spans="1:16" x14ac:dyDescent="0.25">
      <c r="A776">
        <v>1200002351</v>
      </c>
      <c r="B776" s="3">
        <v>45973</v>
      </c>
      <c r="C776" s="9">
        <v>25299587.859999999</v>
      </c>
      <c r="D776" t="s">
        <v>296</v>
      </c>
      <c r="E776">
        <v>97123966</v>
      </c>
      <c r="F776" s="9">
        <v>25299587.859999999</v>
      </c>
      <c r="G776" s="3">
        <v>45978</v>
      </c>
      <c r="H776" s="21" t="s">
        <v>61</v>
      </c>
      <c r="I776" s="40" t="str">
        <f>IFERROR(IF(VLOOKUP(E776,extracto!C:C,1,FALSE)=E776,"pagado","no pagado"),"no pagado")</f>
        <v>pagado</v>
      </c>
      <c r="J776" s="41" t="str">
        <f t="shared" si="402"/>
        <v>pagado</v>
      </c>
      <c r="K776" s="40" t="str">
        <f t="shared" ca="1" si="403"/>
        <v>excluir</v>
      </c>
      <c r="L776" s="40" t="str">
        <f t="shared" ca="1" si="404"/>
        <v>no semana</v>
      </c>
      <c r="M776" s="40" t="str">
        <f>IFERROR(VLOOKUP(E776,'cheques a conf'!A:D,4,FALSE),"no clearing")</f>
        <v>no clearing</v>
      </c>
      <c r="N776" s="40">
        <f t="shared" si="405"/>
        <v>47</v>
      </c>
      <c r="O776" s="42">
        <f t="shared" si="406"/>
        <v>11</v>
      </c>
      <c r="P776" s="42">
        <f t="shared" si="407"/>
        <v>2025</v>
      </c>
    </row>
    <row r="777" spans="1:16" x14ac:dyDescent="0.25">
      <c r="A777">
        <v>1200002351</v>
      </c>
      <c r="B777" s="3">
        <v>45973</v>
      </c>
      <c r="C777" s="9">
        <v>3347567.92</v>
      </c>
      <c r="D777" t="s">
        <v>296</v>
      </c>
      <c r="E777">
        <v>97123967</v>
      </c>
      <c r="F777" s="9">
        <v>3347567.92</v>
      </c>
      <c r="G777" s="3">
        <v>45978</v>
      </c>
      <c r="H777" s="21" t="s">
        <v>61</v>
      </c>
      <c r="I777" s="40" t="str">
        <f>IFERROR(IF(VLOOKUP(E777,extracto!C:C,1,FALSE)=E777,"pagado","no pagado"),"no pagado")</f>
        <v>pagado</v>
      </c>
      <c r="J777" s="41" t="str">
        <f t="shared" si="402"/>
        <v>pagado</v>
      </c>
      <c r="K777" s="40" t="str">
        <f t="shared" ca="1" si="403"/>
        <v>excluir</v>
      </c>
      <c r="L777" s="40" t="str">
        <f t="shared" ca="1" si="404"/>
        <v>no semana</v>
      </c>
      <c r="M777" s="40" t="str">
        <f>IFERROR(VLOOKUP(E777,'cheques a conf'!A:D,4,FALSE),"no clearing")</f>
        <v>no clearing</v>
      </c>
      <c r="N777" s="40">
        <f t="shared" si="405"/>
        <v>47</v>
      </c>
      <c r="O777" s="42">
        <f t="shared" si="406"/>
        <v>11</v>
      </c>
      <c r="P777" s="42">
        <f t="shared" si="407"/>
        <v>2025</v>
      </c>
    </row>
    <row r="778" spans="1:16" x14ac:dyDescent="0.25">
      <c r="A778">
        <v>1200002351</v>
      </c>
      <c r="B778" s="3">
        <v>45973</v>
      </c>
      <c r="C778" s="9">
        <v>7636861.3600000003</v>
      </c>
      <c r="D778" t="s">
        <v>296</v>
      </c>
      <c r="E778">
        <v>97123968</v>
      </c>
      <c r="F778" s="9">
        <v>7636861.3600000003</v>
      </c>
      <c r="G778" s="3">
        <v>45978</v>
      </c>
      <c r="H778" s="21" t="s">
        <v>61</v>
      </c>
      <c r="I778" s="40" t="str">
        <f>IFERROR(IF(VLOOKUP(E778,extracto!C:C,1,FALSE)=E778,"pagado","no pagado"),"no pagado")</f>
        <v>pagado</v>
      </c>
      <c r="J778" s="41" t="str">
        <f t="shared" si="402"/>
        <v>pagado</v>
      </c>
      <c r="K778" s="40" t="str">
        <f t="shared" ca="1" si="403"/>
        <v>excluir</v>
      </c>
      <c r="L778" s="40" t="str">
        <f t="shared" ca="1" si="404"/>
        <v>no semana</v>
      </c>
      <c r="M778" s="40" t="str">
        <f>IFERROR(VLOOKUP(E778,'cheques a conf'!A:D,4,FALSE),"no clearing")</f>
        <v>no clearing</v>
      </c>
      <c r="N778" s="40">
        <f t="shared" si="405"/>
        <v>47</v>
      </c>
      <c r="O778" s="42">
        <f t="shared" si="406"/>
        <v>11</v>
      </c>
      <c r="P778" s="42">
        <f t="shared" si="407"/>
        <v>2025</v>
      </c>
    </row>
    <row r="779" spans="1:16" x14ac:dyDescent="0.25">
      <c r="A779">
        <v>1200002351</v>
      </c>
      <c r="B779" s="3">
        <v>45973</v>
      </c>
      <c r="C779" s="9">
        <v>7714777.0499999998</v>
      </c>
      <c r="D779" t="s">
        <v>296</v>
      </c>
      <c r="E779">
        <v>97123969</v>
      </c>
      <c r="F779" s="9">
        <v>7714777.0499999998</v>
      </c>
      <c r="G779" s="3">
        <v>45978</v>
      </c>
      <c r="H779" s="21" t="s">
        <v>61</v>
      </c>
      <c r="I779" s="40" t="str">
        <f>IFERROR(IF(VLOOKUP(E779,extracto!C:C,1,FALSE)=E779,"pagado","no pagado"),"no pagado")</f>
        <v>pagado</v>
      </c>
      <c r="J779" s="41" t="str">
        <f t="shared" si="402"/>
        <v>pagado</v>
      </c>
      <c r="K779" s="40" t="str">
        <f t="shared" ca="1" si="403"/>
        <v>excluir</v>
      </c>
      <c r="L779" s="40" t="str">
        <f t="shared" ca="1" si="404"/>
        <v>no semana</v>
      </c>
      <c r="M779" s="40" t="str">
        <f>IFERROR(VLOOKUP(E779,'cheques a conf'!A:D,4,FALSE),"no clearing")</f>
        <v>no clearing</v>
      </c>
      <c r="N779" s="40">
        <f t="shared" si="405"/>
        <v>47</v>
      </c>
      <c r="O779" s="42">
        <f t="shared" si="406"/>
        <v>11</v>
      </c>
      <c r="P779" s="42">
        <f t="shared" si="407"/>
        <v>2025</v>
      </c>
    </row>
    <row r="780" spans="1:16" x14ac:dyDescent="0.25">
      <c r="A780">
        <v>1200002351</v>
      </c>
      <c r="B780" s="3">
        <v>45973</v>
      </c>
      <c r="C780" s="9">
        <v>3931480</v>
      </c>
      <c r="D780" t="s">
        <v>296</v>
      </c>
      <c r="E780">
        <v>97123970</v>
      </c>
      <c r="F780" s="9">
        <v>3931480</v>
      </c>
      <c r="G780" s="3">
        <v>45978</v>
      </c>
      <c r="H780" s="21" t="s">
        <v>61</v>
      </c>
      <c r="I780" s="40" t="str">
        <f>IFERROR(IF(VLOOKUP(E780,extracto!C:C,1,FALSE)=E780,"pagado","no pagado"),"no pagado")</f>
        <v>pagado</v>
      </c>
      <c r="J780" s="41" t="str">
        <f t="shared" si="402"/>
        <v>pagado</v>
      </c>
      <c r="K780" s="40" t="str">
        <f t="shared" ca="1" si="403"/>
        <v>excluir</v>
      </c>
      <c r="L780" s="40" t="str">
        <f t="shared" ca="1" si="404"/>
        <v>no semana</v>
      </c>
      <c r="M780" s="40" t="str">
        <f>IFERROR(VLOOKUP(E780,'cheques a conf'!A:D,4,FALSE),"no clearing")</f>
        <v>no clearing</v>
      </c>
      <c r="N780" s="40">
        <f t="shared" si="405"/>
        <v>47</v>
      </c>
      <c r="O780" s="42">
        <f t="shared" si="406"/>
        <v>11</v>
      </c>
      <c r="P780" s="42">
        <f t="shared" si="407"/>
        <v>2025</v>
      </c>
    </row>
    <row r="781" spans="1:16" x14ac:dyDescent="0.25">
      <c r="A781">
        <v>1200002351</v>
      </c>
      <c r="B781" s="3">
        <v>45973</v>
      </c>
      <c r="C781" s="9">
        <v>8725194.25</v>
      </c>
      <c r="D781" t="s">
        <v>296</v>
      </c>
      <c r="E781">
        <v>97123971</v>
      </c>
      <c r="F781" s="9">
        <v>8725194.25</v>
      </c>
      <c r="G781" s="3">
        <v>46003</v>
      </c>
      <c r="H781" s="21" t="s">
        <v>61</v>
      </c>
      <c r="I781" s="40" t="str">
        <f>IFERROR(IF(VLOOKUP(E781,extracto!C:C,1,FALSE)=E781,"pagado","no pagado"),"no pagado")</f>
        <v>pagado</v>
      </c>
      <c r="J781" s="41" t="str">
        <f t="shared" si="402"/>
        <v>pagado</v>
      </c>
      <c r="K781" s="40" t="str">
        <f t="shared" ca="1" si="403"/>
        <v>excluir</v>
      </c>
      <c r="L781" s="40" t="str">
        <f t="shared" ca="1" si="404"/>
        <v>no semana</v>
      </c>
      <c r="M781" s="40" t="str">
        <f>IFERROR(VLOOKUP(E781,'cheques a conf'!A:D,4,FALSE),"no clearing")</f>
        <v>no clearing</v>
      </c>
      <c r="N781" s="40">
        <f t="shared" si="405"/>
        <v>50</v>
      </c>
      <c r="O781" s="42">
        <f t="shared" si="406"/>
        <v>12</v>
      </c>
      <c r="P781" s="42">
        <f t="shared" si="407"/>
        <v>2025</v>
      </c>
    </row>
    <row r="782" spans="1:16" x14ac:dyDescent="0.25">
      <c r="A782">
        <v>1200002351</v>
      </c>
      <c r="B782" s="3">
        <v>45973</v>
      </c>
      <c r="C782" s="9">
        <v>4140678.55</v>
      </c>
      <c r="D782" t="s">
        <v>296</v>
      </c>
      <c r="E782">
        <v>97123972</v>
      </c>
      <c r="F782" s="9">
        <v>4140678.55</v>
      </c>
      <c r="G782" s="3">
        <v>45978</v>
      </c>
      <c r="H782" s="21" t="s">
        <v>61</v>
      </c>
      <c r="I782" s="40" t="str">
        <f>IFERROR(IF(VLOOKUP(E782,extracto!C:C,1,FALSE)=E782,"pagado","no pagado"),"no pagado")</f>
        <v>pagado</v>
      </c>
      <c r="J782" s="41" t="str">
        <f t="shared" si="402"/>
        <v>pagado</v>
      </c>
      <c r="K782" s="40" t="str">
        <f t="shared" ca="1" si="403"/>
        <v>excluir</v>
      </c>
      <c r="L782" s="40" t="str">
        <f t="shared" ca="1" si="404"/>
        <v>no semana</v>
      </c>
      <c r="M782" s="40" t="str">
        <f>IFERROR(VLOOKUP(E782,'cheques a conf'!A:D,4,FALSE),"no clearing")</f>
        <v>no clearing</v>
      </c>
      <c r="N782" s="40">
        <f t="shared" si="405"/>
        <v>47</v>
      </c>
      <c r="O782" s="42">
        <f t="shared" si="406"/>
        <v>11</v>
      </c>
      <c r="P782" s="42">
        <f t="shared" si="407"/>
        <v>2025</v>
      </c>
    </row>
    <row r="783" spans="1:16" x14ac:dyDescent="0.25">
      <c r="A783">
        <v>1200002351</v>
      </c>
      <c r="B783" s="3">
        <v>45973</v>
      </c>
      <c r="C783" s="9">
        <v>5461881.25</v>
      </c>
      <c r="D783" t="s">
        <v>296</v>
      </c>
      <c r="E783">
        <v>97123973</v>
      </c>
      <c r="F783" s="9">
        <v>5461881.25</v>
      </c>
      <c r="G783" s="3">
        <v>45978</v>
      </c>
      <c r="H783" s="21" t="s">
        <v>61</v>
      </c>
      <c r="I783" s="40" t="str">
        <f>IFERROR(IF(VLOOKUP(E783,extracto!C:C,1,FALSE)=E783,"pagado","no pagado"),"no pagado")</f>
        <v>pagado</v>
      </c>
      <c r="J783" s="41" t="str">
        <f t="shared" si="402"/>
        <v>pagado</v>
      </c>
      <c r="K783" s="40" t="str">
        <f t="shared" ca="1" si="403"/>
        <v>excluir</v>
      </c>
      <c r="L783" s="40" t="str">
        <f t="shared" ca="1" si="404"/>
        <v>no semana</v>
      </c>
      <c r="M783" s="40" t="str">
        <f>IFERROR(VLOOKUP(E783,'cheques a conf'!A:D,4,FALSE),"no clearing")</f>
        <v>no clearing</v>
      </c>
      <c r="N783" s="40">
        <f t="shared" si="405"/>
        <v>47</v>
      </c>
      <c r="O783" s="42">
        <f t="shared" si="406"/>
        <v>11</v>
      </c>
      <c r="P783" s="42">
        <f t="shared" si="407"/>
        <v>2025</v>
      </c>
    </row>
    <row r="784" spans="1:16" x14ac:dyDescent="0.25">
      <c r="A784">
        <v>1200002351</v>
      </c>
      <c r="B784" s="3">
        <v>45973</v>
      </c>
      <c r="C784" s="9">
        <v>47629991.780000001</v>
      </c>
      <c r="D784" t="s">
        <v>296</v>
      </c>
      <c r="E784">
        <v>97123974</v>
      </c>
      <c r="F784" s="9">
        <v>47629991.780000001</v>
      </c>
      <c r="G784" s="3">
        <v>45978</v>
      </c>
      <c r="H784" s="21" t="s">
        <v>61</v>
      </c>
      <c r="I784" s="40" t="str">
        <f>IFERROR(IF(VLOOKUP(E784,extracto!C:C,1,FALSE)=E784,"pagado","no pagado"),"no pagado")</f>
        <v>pagado</v>
      </c>
      <c r="J784" s="41" t="str">
        <f t="shared" si="402"/>
        <v>pagado</v>
      </c>
      <c r="K784" s="40" t="str">
        <f t="shared" ca="1" si="403"/>
        <v>excluir</v>
      </c>
      <c r="L784" s="40" t="str">
        <f t="shared" ca="1" si="404"/>
        <v>no semana</v>
      </c>
      <c r="M784" s="40" t="str">
        <f>IFERROR(VLOOKUP(E784,'cheques a conf'!A:D,4,FALSE),"no clearing")</f>
        <v>no clearing</v>
      </c>
      <c r="N784" s="40">
        <f t="shared" si="405"/>
        <v>47</v>
      </c>
      <c r="O784" s="42">
        <f t="shared" si="406"/>
        <v>11</v>
      </c>
      <c r="P784" s="42">
        <f t="shared" si="407"/>
        <v>2025</v>
      </c>
    </row>
    <row r="785" spans="1:16" x14ac:dyDescent="0.25">
      <c r="A785">
        <v>1200002351</v>
      </c>
      <c r="B785" s="3">
        <v>45973</v>
      </c>
      <c r="C785" s="9">
        <v>8834612.5299999993</v>
      </c>
      <c r="D785" t="s">
        <v>296</v>
      </c>
      <c r="E785">
        <v>97123975</v>
      </c>
      <c r="F785" s="9">
        <v>8834612.5299999993</v>
      </c>
      <c r="G785" s="3">
        <v>45978</v>
      </c>
      <c r="H785" s="21" t="s">
        <v>61</v>
      </c>
      <c r="I785" s="40" t="str">
        <f>IFERROR(IF(VLOOKUP(E785,extracto!C:C,1,FALSE)=E785,"pagado","no pagado"),"no pagado")</f>
        <v>pagado</v>
      </c>
      <c r="J785" s="41" t="str">
        <f t="shared" si="402"/>
        <v>pagado</v>
      </c>
      <c r="K785" s="40" t="str">
        <f t="shared" ca="1" si="403"/>
        <v>excluir</v>
      </c>
      <c r="L785" s="40" t="str">
        <f t="shared" ca="1" si="404"/>
        <v>no semana</v>
      </c>
      <c r="M785" s="40" t="str">
        <f>IFERROR(VLOOKUP(E785,'cheques a conf'!A:D,4,FALSE),"no clearing")</f>
        <v>no clearing</v>
      </c>
      <c r="N785" s="40">
        <f t="shared" si="405"/>
        <v>47</v>
      </c>
      <c r="O785" s="42">
        <f t="shared" si="406"/>
        <v>11</v>
      </c>
      <c r="P785" s="42">
        <f t="shared" si="407"/>
        <v>2025</v>
      </c>
    </row>
    <row r="786" spans="1:16" x14ac:dyDescent="0.25">
      <c r="A786">
        <v>1200002351</v>
      </c>
      <c r="B786" s="3">
        <v>45973</v>
      </c>
      <c r="C786" s="9">
        <v>14991343.4</v>
      </c>
      <c r="D786" t="s">
        <v>296</v>
      </c>
      <c r="E786">
        <v>97123976</v>
      </c>
      <c r="F786" s="9">
        <v>14991343.4</v>
      </c>
      <c r="G786" s="3">
        <v>45978</v>
      </c>
      <c r="H786" s="21" t="s">
        <v>61</v>
      </c>
      <c r="I786" s="40" t="str">
        <f>IFERROR(IF(VLOOKUP(E786,extracto!C:C,1,FALSE)=E786,"pagado","no pagado"),"no pagado")</f>
        <v>pagado</v>
      </c>
      <c r="J786" s="41" t="str">
        <f t="shared" ref="J786:J802" si="408">IF(I786="pagado","pagado",IF(G786&lt;$V$1-30,"fuera de fecha","en periodo de pago"))</f>
        <v>pagado</v>
      </c>
      <c r="K786" s="40" t="str">
        <f t="shared" ref="K786:K802" ca="1" si="409">+IF(B786&gt;$V$1,"excluir",IF(J786="en periodo de pago",IF($V$1&gt;G786,"a pagar","proximo a vencer"),"excluir"))</f>
        <v>excluir</v>
      </c>
      <c r="L786" s="40" t="str">
        <f t="shared" ref="L786:L802" ca="1" si="410">+IF(K786="proximo a vencer",IF($V$1+5&gt;G786,"para la semana","no semana"),"no semana")</f>
        <v>no semana</v>
      </c>
      <c r="M786" s="40" t="str">
        <f>IFERROR(VLOOKUP(E786,'cheques a conf'!A:D,4,FALSE),"no clearing")</f>
        <v>no clearing</v>
      </c>
      <c r="N786" s="40">
        <f t="shared" ref="N786:N802" si="411">+WEEKNUM(G786,2)</f>
        <v>47</v>
      </c>
      <c r="O786" s="42">
        <f t="shared" ref="O786:O802" si="412">+MONTH(G786)</f>
        <v>11</v>
      </c>
      <c r="P786" s="42">
        <f t="shared" ref="P786:P802" si="413">+YEAR(G786)</f>
        <v>2025</v>
      </c>
    </row>
    <row r="787" spans="1:16" x14ac:dyDescent="0.25">
      <c r="A787">
        <v>1200002351</v>
      </c>
      <c r="B787" s="3">
        <v>45973</v>
      </c>
      <c r="C787" s="9">
        <v>3276830</v>
      </c>
      <c r="D787" t="s">
        <v>296</v>
      </c>
      <c r="E787">
        <v>97123977</v>
      </c>
      <c r="F787" s="9">
        <v>3276830</v>
      </c>
      <c r="G787" s="3">
        <v>45978</v>
      </c>
      <c r="H787" s="21" t="s">
        <v>61</v>
      </c>
      <c r="I787" s="40" t="str">
        <f>IFERROR(IF(VLOOKUP(E787,extracto!C:C,1,FALSE)=E787,"pagado","no pagado"),"no pagado")</f>
        <v>pagado</v>
      </c>
      <c r="J787" s="41" t="str">
        <f t="shared" si="408"/>
        <v>pagado</v>
      </c>
      <c r="K787" s="40" t="str">
        <f t="shared" ca="1" si="409"/>
        <v>excluir</v>
      </c>
      <c r="L787" s="40" t="str">
        <f t="shared" ca="1" si="410"/>
        <v>no semana</v>
      </c>
      <c r="M787" s="40" t="str">
        <f>IFERROR(VLOOKUP(E787,'cheques a conf'!A:D,4,FALSE),"no clearing")</f>
        <v>no clearing</v>
      </c>
      <c r="N787" s="40">
        <f t="shared" si="411"/>
        <v>47</v>
      </c>
      <c r="O787" s="42">
        <f t="shared" si="412"/>
        <v>11</v>
      </c>
      <c r="P787" s="42">
        <f t="shared" si="413"/>
        <v>2025</v>
      </c>
    </row>
    <row r="788" spans="1:16" x14ac:dyDescent="0.25">
      <c r="A788">
        <v>1200002351</v>
      </c>
      <c r="B788" s="3">
        <v>45973</v>
      </c>
      <c r="C788" s="9">
        <v>16703185.800000001</v>
      </c>
      <c r="D788" t="s">
        <v>296</v>
      </c>
      <c r="E788">
        <v>97123978</v>
      </c>
      <c r="F788" s="9">
        <v>16703185.800000001</v>
      </c>
      <c r="G788" s="3">
        <v>45978</v>
      </c>
      <c r="H788" s="21" t="s">
        <v>61</v>
      </c>
      <c r="I788" s="40" t="str">
        <f>IFERROR(IF(VLOOKUP(E788,extracto!C:C,1,FALSE)=E788,"pagado","no pagado"),"no pagado")</f>
        <v>pagado</v>
      </c>
      <c r="J788" s="41" t="str">
        <f t="shared" si="408"/>
        <v>pagado</v>
      </c>
      <c r="K788" s="40" t="str">
        <f t="shared" ca="1" si="409"/>
        <v>excluir</v>
      </c>
      <c r="L788" s="40" t="str">
        <f t="shared" ca="1" si="410"/>
        <v>no semana</v>
      </c>
      <c r="M788" s="40" t="str">
        <f>IFERROR(VLOOKUP(E788,'cheques a conf'!A:D,4,FALSE),"no clearing")</f>
        <v>no clearing</v>
      </c>
      <c r="N788" s="40">
        <f t="shared" si="411"/>
        <v>47</v>
      </c>
      <c r="O788" s="42">
        <f t="shared" si="412"/>
        <v>11</v>
      </c>
      <c r="P788" s="42">
        <f t="shared" si="413"/>
        <v>2025</v>
      </c>
    </row>
    <row r="789" spans="1:16" x14ac:dyDescent="0.25">
      <c r="A789">
        <v>1200002351</v>
      </c>
      <c r="B789" s="3">
        <v>45973</v>
      </c>
      <c r="C789" s="9">
        <v>10405080</v>
      </c>
      <c r="D789" t="s">
        <v>296</v>
      </c>
      <c r="E789">
        <v>97123979</v>
      </c>
      <c r="F789" s="9">
        <v>10405080</v>
      </c>
      <c r="G789" s="3">
        <v>45978</v>
      </c>
      <c r="H789" s="21" t="s">
        <v>61</v>
      </c>
      <c r="I789" s="40" t="str">
        <f>IFERROR(IF(VLOOKUP(E789,extracto!C:C,1,FALSE)=E789,"pagado","no pagado"),"no pagado")</f>
        <v>pagado</v>
      </c>
      <c r="J789" s="41" t="str">
        <f t="shared" si="408"/>
        <v>pagado</v>
      </c>
      <c r="K789" s="40" t="str">
        <f t="shared" ca="1" si="409"/>
        <v>excluir</v>
      </c>
      <c r="L789" s="40" t="str">
        <f t="shared" ca="1" si="410"/>
        <v>no semana</v>
      </c>
      <c r="M789" s="40" t="str">
        <f>IFERROR(VLOOKUP(E789,'cheques a conf'!A:D,4,FALSE),"no clearing")</f>
        <v>no clearing</v>
      </c>
      <c r="N789" s="40">
        <f t="shared" si="411"/>
        <v>47</v>
      </c>
      <c r="O789" s="42">
        <f t="shared" si="412"/>
        <v>11</v>
      </c>
      <c r="P789" s="42">
        <f t="shared" si="413"/>
        <v>2025</v>
      </c>
    </row>
    <row r="790" spans="1:16" x14ac:dyDescent="0.25">
      <c r="A790">
        <v>1200002351</v>
      </c>
      <c r="B790" s="3">
        <v>45973</v>
      </c>
      <c r="C790" s="9">
        <v>0</v>
      </c>
      <c r="D790" t="s">
        <v>436</v>
      </c>
      <c r="E790">
        <v>97123980</v>
      </c>
      <c r="F790" s="9">
        <v>0</v>
      </c>
      <c r="G790" s="3">
        <v>45978</v>
      </c>
      <c r="H790" s="21" t="s">
        <v>61</v>
      </c>
      <c r="I790" s="40" t="str">
        <f>IFERROR(IF(VLOOKUP(E790,extracto!C:C,1,FALSE)=E790,"pagado","no pagado"),"no pagado")</f>
        <v>no pagado</v>
      </c>
      <c r="J790" s="41" t="str">
        <f t="shared" ca="1" si="408"/>
        <v>fuera de fecha</v>
      </c>
      <c r="K790" s="40" t="str">
        <f t="shared" ca="1" si="409"/>
        <v>excluir</v>
      </c>
      <c r="L790" s="40" t="str">
        <f t="shared" ca="1" si="410"/>
        <v>no semana</v>
      </c>
      <c r="M790" s="40" t="str">
        <f>IFERROR(VLOOKUP(E790,'cheques a conf'!A:D,4,FALSE),"no clearing")</f>
        <v>no clearing</v>
      </c>
      <c r="N790" s="40">
        <f t="shared" si="411"/>
        <v>47</v>
      </c>
      <c r="O790" s="42">
        <f t="shared" si="412"/>
        <v>11</v>
      </c>
      <c r="P790" s="42">
        <f t="shared" si="413"/>
        <v>2025</v>
      </c>
    </row>
    <row r="791" spans="1:16" x14ac:dyDescent="0.25">
      <c r="A791">
        <v>3000001624</v>
      </c>
      <c r="B791" s="3">
        <v>45974</v>
      </c>
      <c r="C791" s="9">
        <v>18283450</v>
      </c>
      <c r="D791" t="s">
        <v>22</v>
      </c>
      <c r="E791">
        <v>12452657</v>
      </c>
      <c r="F791" s="9">
        <v>18283450</v>
      </c>
      <c r="G791" s="3">
        <v>45975</v>
      </c>
      <c r="H791" s="21" t="s">
        <v>61</v>
      </c>
      <c r="I791" s="40" t="str">
        <f>IFERROR(IF(VLOOKUP(E791,extracto!C:C,1,FALSE)=E791,"pagado","no pagado"),"no pagado")</f>
        <v>pagado</v>
      </c>
      <c r="J791" s="41" t="str">
        <f t="shared" si="408"/>
        <v>pagado</v>
      </c>
      <c r="K791" s="40" t="str">
        <f t="shared" ca="1" si="409"/>
        <v>excluir</v>
      </c>
      <c r="L791" s="40" t="str">
        <f t="shared" ca="1" si="410"/>
        <v>no semana</v>
      </c>
      <c r="M791" s="40" t="str">
        <f>IFERROR(VLOOKUP(E791,'cheques a conf'!A:D,4,FALSE),"no clearing")</f>
        <v>no clearing</v>
      </c>
      <c r="N791" s="40">
        <f t="shared" si="411"/>
        <v>46</v>
      </c>
      <c r="O791" s="42">
        <f t="shared" si="412"/>
        <v>11</v>
      </c>
      <c r="P791" s="42">
        <f t="shared" si="413"/>
        <v>2025</v>
      </c>
    </row>
    <row r="792" spans="1:16" x14ac:dyDescent="0.2">
      <c r="A792" s="21">
        <v>3000001629</v>
      </c>
      <c r="B792" s="22">
        <v>45978</v>
      </c>
      <c r="C792" s="20">
        <v>7707907.79</v>
      </c>
      <c r="D792" s="21" t="s">
        <v>384</v>
      </c>
      <c r="E792" s="21">
        <v>97123981</v>
      </c>
      <c r="F792" s="20">
        <v>7707907.79</v>
      </c>
      <c r="G792" s="22">
        <v>45986</v>
      </c>
      <c r="H792" s="21" t="s">
        <v>61</v>
      </c>
      <c r="I792" s="40" t="str">
        <f>IFERROR(IF(VLOOKUP(E792,extracto!C:C,1,FALSE)=E792,"pagado","no pagado"),"no pagado")</f>
        <v>pagado</v>
      </c>
      <c r="J792" s="41" t="str">
        <f t="shared" si="408"/>
        <v>pagado</v>
      </c>
      <c r="K792" s="40" t="str">
        <f t="shared" ca="1" si="409"/>
        <v>excluir</v>
      </c>
      <c r="L792" s="40" t="str">
        <f t="shared" ca="1" si="410"/>
        <v>no semana</v>
      </c>
      <c r="M792" s="40" t="str">
        <f>IFERROR(VLOOKUP(E792,'cheques a conf'!A:D,4,FALSE),"no clearing")</f>
        <v>no clearing</v>
      </c>
      <c r="N792" s="40">
        <f t="shared" si="411"/>
        <v>48</v>
      </c>
      <c r="O792" s="42">
        <f t="shared" si="412"/>
        <v>11</v>
      </c>
      <c r="P792" s="42">
        <f t="shared" si="413"/>
        <v>2025</v>
      </c>
    </row>
    <row r="793" spans="1:16" x14ac:dyDescent="0.2">
      <c r="A793" s="21">
        <v>3000001630</v>
      </c>
      <c r="B793" s="22">
        <v>45978</v>
      </c>
      <c r="C793" s="20">
        <v>3643342.7</v>
      </c>
      <c r="D793" s="21" t="s">
        <v>415</v>
      </c>
      <c r="E793" s="21">
        <v>97123982</v>
      </c>
      <c r="F793" s="20">
        <v>3643342.7</v>
      </c>
      <c r="G793" s="22">
        <v>45986</v>
      </c>
      <c r="H793" s="21" t="s">
        <v>61</v>
      </c>
      <c r="I793" s="40" t="str">
        <f>IFERROR(IF(VLOOKUP(E793,extracto!C:C,1,FALSE)=E793,"pagado","no pagado"),"no pagado")</f>
        <v>pagado</v>
      </c>
      <c r="J793" s="41" t="str">
        <f t="shared" si="408"/>
        <v>pagado</v>
      </c>
      <c r="K793" s="40" t="str">
        <f t="shared" ca="1" si="409"/>
        <v>excluir</v>
      </c>
      <c r="L793" s="40" t="str">
        <f t="shared" ca="1" si="410"/>
        <v>no semana</v>
      </c>
      <c r="M793" s="40" t="str">
        <f>IFERROR(VLOOKUP(E793,'cheques a conf'!A:D,4,FALSE),"no clearing")</f>
        <v>no clearing</v>
      </c>
      <c r="N793" s="40">
        <f t="shared" si="411"/>
        <v>48</v>
      </c>
      <c r="O793" s="42">
        <f t="shared" si="412"/>
        <v>11</v>
      </c>
      <c r="P793" s="42">
        <f t="shared" si="413"/>
        <v>2025</v>
      </c>
    </row>
    <row r="794" spans="1:16" x14ac:dyDescent="0.2">
      <c r="A794" s="21">
        <v>3000001631</v>
      </c>
      <c r="B794" s="22">
        <v>45978</v>
      </c>
      <c r="C794" s="20">
        <v>18628572.899999999</v>
      </c>
      <c r="D794" s="21" t="s">
        <v>338</v>
      </c>
      <c r="E794" s="21">
        <v>97123983</v>
      </c>
      <c r="F794" s="20">
        <v>18628572.899999999</v>
      </c>
      <c r="G794" s="22">
        <v>45986</v>
      </c>
      <c r="H794" s="21" t="s">
        <v>61</v>
      </c>
      <c r="I794" s="40" t="str">
        <f>IFERROR(IF(VLOOKUP(E794,extracto!C:C,1,FALSE)=E794,"pagado","no pagado"),"no pagado")</f>
        <v>pagado</v>
      </c>
      <c r="J794" s="41" t="str">
        <f t="shared" si="408"/>
        <v>pagado</v>
      </c>
      <c r="K794" s="40" t="str">
        <f t="shared" ca="1" si="409"/>
        <v>excluir</v>
      </c>
      <c r="L794" s="40" t="str">
        <f t="shared" ca="1" si="410"/>
        <v>no semana</v>
      </c>
      <c r="M794" s="40" t="str">
        <f>IFERROR(VLOOKUP(E794,'cheques a conf'!A:D,4,FALSE),"no clearing")</f>
        <v>no clearing</v>
      </c>
      <c r="N794" s="40">
        <f t="shared" si="411"/>
        <v>48</v>
      </c>
      <c r="O794" s="42">
        <f t="shared" si="412"/>
        <v>11</v>
      </c>
      <c r="P794" s="42">
        <f t="shared" si="413"/>
        <v>2025</v>
      </c>
    </row>
    <row r="795" spans="1:16" x14ac:dyDescent="0.2">
      <c r="A795" s="21">
        <v>3000001632</v>
      </c>
      <c r="B795" s="22">
        <v>45978</v>
      </c>
      <c r="C795" s="20">
        <v>21475169.710000001</v>
      </c>
      <c r="D795" s="21" t="s">
        <v>303</v>
      </c>
      <c r="E795" s="21">
        <v>97123984</v>
      </c>
      <c r="F795" s="20">
        <v>21475169.710000001</v>
      </c>
      <c r="G795" s="22">
        <v>45986</v>
      </c>
      <c r="H795" s="21" t="s">
        <v>61</v>
      </c>
      <c r="I795" s="40" t="str">
        <f>IFERROR(IF(VLOOKUP(E795,extracto!C:C,1,FALSE)=E795,"pagado","no pagado"),"no pagado")</f>
        <v>pagado</v>
      </c>
      <c r="J795" s="41" t="str">
        <f t="shared" si="408"/>
        <v>pagado</v>
      </c>
      <c r="K795" s="40" t="str">
        <f t="shared" ca="1" si="409"/>
        <v>excluir</v>
      </c>
      <c r="L795" s="40" t="str">
        <f t="shared" ca="1" si="410"/>
        <v>no semana</v>
      </c>
      <c r="M795" s="40" t="str">
        <f>IFERROR(VLOOKUP(E795,'cheques a conf'!A:D,4,FALSE),"no clearing")</f>
        <v>no clearing</v>
      </c>
      <c r="N795" s="40">
        <f t="shared" si="411"/>
        <v>48</v>
      </c>
      <c r="O795" s="42">
        <f t="shared" si="412"/>
        <v>11</v>
      </c>
      <c r="P795" s="42">
        <f t="shared" si="413"/>
        <v>2025</v>
      </c>
    </row>
    <row r="796" spans="1:16" x14ac:dyDescent="0.2">
      <c r="A796" s="21">
        <v>3000001633</v>
      </c>
      <c r="B796" s="22">
        <v>45978</v>
      </c>
      <c r="C796" s="20">
        <v>4211197.12</v>
      </c>
      <c r="D796" s="21" t="s">
        <v>363</v>
      </c>
      <c r="E796" s="21">
        <v>97123985</v>
      </c>
      <c r="F796" s="20">
        <v>4211197.12</v>
      </c>
      <c r="G796" s="22">
        <v>45986</v>
      </c>
      <c r="H796" s="21" t="s">
        <v>61</v>
      </c>
      <c r="I796" s="40" t="str">
        <f>IFERROR(IF(VLOOKUP(E796,extracto!C:C,1,FALSE)=E796,"pagado","no pagado"),"no pagado")</f>
        <v>pagado</v>
      </c>
      <c r="J796" s="41" t="str">
        <f t="shared" si="408"/>
        <v>pagado</v>
      </c>
      <c r="K796" s="40" t="str">
        <f t="shared" ca="1" si="409"/>
        <v>excluir</v>
      </c>
      <c r="L796" s="40" t="str">
        <f t="shared" ca="1" si="410"/>
        <v>no semana</v>
      </c>
      <c r="M796" s="40" t="str">
        <f>IFERROR(VLOOKUP(E796,'cheques a conf'!A:D,4,FALSE),"no clearing")</f>
        <v>no clearing</v>
      </c>
      <c r="N796" s="40">
        <f t="shared" si="411"/>
        <v>48</v>
      </c>
      <c r="O796" s="42">
        <f t="shared" si="412"/>
        <v>11</v>
      </c>
      <c r="P796" s="42">
        <f t="shared" si="413"/>
        <v>2025</v>
      </c>
    </row>
    <row r="797" spans="1:16" x14ac:dyDescent="0.2">
      <c r="A797" s="21">
        <v>3000001634</v>
      </c>
      <c r="B797" s="22">
        <v>45978</v>
      </c>
      <c r="C797" s="20">
        <v>3825767.92</v>
      </c>
      <c r="D797" s="21" t="s">
        <v>410</v>
      </c>
      <c r="E797" s="21">
        <v>97123986</v>
      </c>
      <c r="F797" s="20">
        <v>3825767.92</v>
      </c>
      <c r="G797" s="22">
        <v>45986</v>
      </c>
      <c r="H797" s="21" t="s">
        <v>61</v>
      </c>
      <c r="I797" s="40" t="str">
        <f>IFERROR(IF(VLOOKUP(E797,extracto!C:C,1,FALSE)=E797,"pagado","no pagado"),"no pagado")</f>
        <v>pagado</v>
      </c>
      <c r="J797" s="41" t="str">
        <f t="shared" si="408"/>
        <v>pagado</v>
      </c>
      <c r="K797" s="40" t="str">
        <f t="shared" ca="1" si="409"/>
        <v>excluir</v>
      </c>
      <c r="L797" s="40" t="str">
        <f t="shared" ca="1" si="410"/>
        <v>no semana</v>
      </c>
      <c r="M797" s="40" t="str">
        <f>IFERROR(VLOOKUP(E797,'cheques a conf'!A:D,4,FALSE),"no clearing")</f>
        <v>no clearing</v>
      </c>
      <c r="N797" s="40">
        <f t="shared" si="411"/>
        <v>48</v>
      </c>
      <c r="O797" s="42">
        <f t="shared" si="412"/>
        <v>11</v>
      </c>
      <c r="P797" s="42">
        <f t="shared" si="413"/>
        <v>2025</v>
      </c>
    </row>
    <row r="798" spans="1:16" x14ac:dyDescent="0.2">
      <c r="A798" s="21">
        <v>3000001635</v>
      </c>
      <c r="B798" s="22">
        <v>45978</v>
      </c>
      <c r="C798" s="20">
        <v>4483627.66</v>
      </c>
      <c r="D798" s="21" t="s">
        <v>336</v>
      </c>
      <c r="E798" s="21">
        <v>97123987</v>
      </c>
      <c r="F798" s="20">
        <v>4483627.66</v>
      </c>
      <c r="G798" s="22">
        <v>45986</v>
      </c>
      <c r="H798" s="21" t="s">
        <v>61</v>
      </c>
      <c r="I798" s="40" t="str">
        <f>IFERROR(IF(VLOOKUP(E798,extracto!C:C,1,FALSE)=E798,"pagado","no pagado"),"no pagado")</f>
        <v>pagado</v>
      </c>
      <c r="J798" s="41" t="str">
        <f t="shared" si="408"/>
        <v>pagado</v>
      </c>
      <c r="K798" s="40" t="str">
        <f t="shared" ca="1" si="409"/>
        <v>excluir</v>
      </c>
      <c r="L798" s="40" t="str">
        <f t="shared" ca="1" si="410"/>
        <v>no semana</v>
      </c>
      <c r="M798" s="40" t="str">
        <f>IFERROR(VLOOKUP(E798,'cheques a conf'!A:D,4,FALSE),"no clearing")</f>
        <v>no clearing</v>
      </c>
      <c r="N798" s="40">
        <f t="shared" si="411"/>
        <v>48</v>
      </c>
      <c r="O798" s="42">
        <f t="shared" si="412"/>
        <v>11</v>
      </c>
      <c r="P798" s="42">
        <f t="shared" si="413"/>
        <v>2025</v>
      </c>
    </row>
    <row r="799" spans="1:16" x14ac:dyDescent="0.2">
      <c r="A799" s="21">
        <v>3000001636</v>
      </c>
      <c r="B799" s="22">
        <v>45978</v>
      </c>
      <c r="C799" s="20">
        <v>4697211.5999999996</v>
      </c>
      <c r="D799" s="21" t="s">
        <v>53</v>
      </c>
      <c r="E799" s="21">
        <v>97123988</v>
      </c>
      <c r="F799" s="20">
        <v>4697211.5999999996</v>
      </c>
      <c r="G799" s="22">
        <v>45987</v>
      </c>
      <c r="H799" s="21" t="s">
        <v>61</v>
      </c>
      <c r="I799" s="40" t="str">
        <f>IFERROR(IF(VLOOKUP(E799,extracto!C:C,1,FALSE)=E799,"pagado","no pagado"),"no pagado")</f>
        <v>pagado</v>
      </c>
      <c r="J799" s="41" t="str">
        <f t="shared" si="408"/>
        <v>pagado</v>
      </c>
      <c r="K799" s="40" t="str">
        <f t="shared" ca="1" si="409"/>
        <v>excluir</v>
      </c>
      <c r="L799" s="40" t="str">
        <f t="shared" ca="1" si="410"/>
        <v>no semana</v>
      </c>
      <c r="M799" s="40" t="str">
        <f>IFERROR(VLOOKUP(E799,'cheques a conf'!A:D,4,FALSE),"no clearing")</f>
        <v>no clearing</v>
      </c>
      <c r="N799" s="40">
        <f t="shared" si="411"/>
        <v>48</v>
      </c>
      <c r="O799" s="42">
        <f t="shared" si="412"/>
        <v>11</v>
      </c>
      <c r="P799" s="42">
        <f t="shared" si="413"/>
        <v>2025</v>
      </c>
    </row>
    <row r="800" spans="1:16" x14ac:dyDescent="0.2">
      <c r="A800" s="21">
        <v>3000001637</v>
      </c>
      <c r="B800" s="22">
        <v>45978</v>
      </c>
      <c r="C800" s="20">
        <v>13982823.4</v>
      </c>
      <c r="D800" s="21" t="s">
        <v>197</v>
      </c>
      <c r="E800" s="21">
        <v>97123989</v>
      </c>
      <c r="F800" s="20">
        <v>13982823.4</v>
      </c>
      <c r="G800" s="22">
        <v>45987</v>
      </c>
      <c r="H800" s="21" t="s">
        <v>61</v>
      </c>
      <c r="I800" s="40" t="str">
        <f>IFERROR(IF(VLOOKUP(E800,extracto!C:C,1,FALSE)=E800,"pagado","no pagado"),"no pagado")</f>
        <v>pagado</v>
      </c>
      <c r="J800" s="41" t="str">
        <f t="shared" si="408"/>
        <v>pagado</v>
      </c>
      <c r="K800" s="40" t="str">
        <f t="shared" ca="1" si="409"/>
        <v>excluir</v>
      </c>
      <c r="L800" s="40" t="str">
        <f t="shared" ca="1" si="410"/>
        <v>no semana</v>
      </c>
      <c r="M800" s="40" t="str">
        <f>IFERROR(VLOOKUP(E800,'cheques a conf'!A:D,4,FALSE),"no clearing")</f>
        <v>no clearing</v>
      </c>
      <c r="N800" s="40">
        <f t="shared" si="411"/>
        <v>48</v>
      </c>
      <c r="O800" s="42">
        <f t="shared" si="412"/>
        <v>11</v>
      </c>
      <c r="P800" s="42">
        <f t="shared" si="413"/>
        <v>2025</v>
      </c>
    </row>
    <row r="801" spans="1:16" x14ac:dyDescent="0.2">
      <c r="A801" s="21">
        <v>3000001638</v>
      </c>
      <c r="B801" s="22">
        <v>45978</v>
      </c>
      <c r="C801" s="20">
        <v>16331788.800000001</v>
      </c>
      <c r="D801" s="21" t="s">
        <v>300</v>
      </c>
      <c r="E801" s="21">
        <v>97123990</v>
      </c>
      <c r="F801" s="20">
        <v>16331788.800000001</v>
      </c>
      <c r="G801" s="22">
        <v>45987</v>
      </c>
      <c r="H801" s="21" t="s">
        <v>61</v>
      </c>
      <c r="I801" s="40" t="str">
        <f>IFERROR(IF(VLOOKUP(E801,extracto!C:C,1,FALSE)=E801,"pagado","no pagado"),"no pagado")</f>
        <v>pagado</v>
      </c>
      <c r="J801" s="41" t="str">
        <f t="shared" si="408"/>
        <v>pagado</v>
      </c>
      <c r="K801" s="40" t="str">
        <f t="shared" ca="1" si="409"/>
        <v>excluir</v>
      </c>
      <c r="L801" s="40" t="str">
        <f t="shared" ca="1" si="410"/>
        <v>no semana</v>
      </c>
      <c r="M801" s="40" t="str">
        <f>IFERROR(VLOOKUP(E801,'cheques a conf'!A:D,4,FALSE),"no clearing")</f>
        <v>no clearing</v>
      </c>
      <c r="N801" s="40">
        <f t="shared" si="411"/>
        <v>48</v>
      </c>
      <c r="O801" s="42">
        <f t="shared" si="412"/>
        <v>11</v>
      </c>
      <c r="P801" s="42">
        <f t="shared" si="413"/>
        <v>2025</v>
      </c>
    </row>
    <row r="802" spans="1:16" x14ac:dyDescent="0.2">
      <c r="A802" s="21">
        <v>3000001639</v>
      </c>
      <c r="B802" s="22">
        <v>45978</v>
      </c>
      <c r="C802" s="20">
        <v>14239494.51</v>
      </c>
      <c r="D802" s="21" t="s">
        <v>350</v>
      </c>
      <c r="E802" s="21">
        <v>97123991</v>
      </c>
      <c r="F802" s="20">
        <v>14239494.51</v>
      </c>
      <c r="G802" s="22">
        <v>45987</v>
      </c>
      <c r="H802" s="21" t="s">
        <v>61</v>
      </c>
      <c r="I802" s="40" t="str">
        <f>IFERROR(IF(VLOOKUP(E802,extracto!C:C,1,FALSE)=E802,"pagado","no pagado"),"no pagado")</f>
        <v>pagado</v>
      </c>
      <c r="J802" s="41" t="str">
        <f t="shared" si="408"/>
        <v>pagado</v>
      </c>
      <c r="K802" s="40" t="str">
        <f t="shared" ca="1" si="409"/>
        <v>excluir</v>
      </c>
      <c r="L802" s="40" t="str">
        <f t="shared" ca="1" si="410"/>
        <v>no semana</v>
      </c>
      <c r="M802" s="40" t="str">
        <f>IFERROR(VLOOKUP(E802,'cheques a conf'!A:D,4,FALSE),"no clearing")</f>
        <v>no clearing</v>
      </c>
      <c r="N802" s="40">
        <f t="shared" si="411"/>
        <v>48</v>
      </c>
      <c r="O802" s="42">
        <f t="shared" si="412"/>
        <v>11</v>
      </c>
      <c r="P802" s="42">
        <f t="shared" si="413"/>
        <v>2025</v>
      </c>
    </row>
    <row r="803" spans="1:16" x14ac:dyDescent="0.2">
      <c r="A803" s="21">
        <v>3000001640</v>
      </c>
      <c r="B803" s="22">
        <v>45978</v>
      </c>
      <c r="C803" s="20">
        <v>7120049.6399999997</v>
      </c>
      <c r="D803" s="21" t="s">
        <v>289</v>
      </c>
      <c r="E803" s="21">
        <v>97123992</v>
      </c>
      <c r="F803" s="20">
        <v>7120049.6399999997</v>
      </c>
      <c r="G803" s="22">
        <v>45987</v>
      </c>
      <c r="H803" s="21" t="s">
        <v>61</v>
      </c>
      <c r="I803" s="40" t="str">
        <f>IFERROR(IF(VLOOKUP(E803,extracto!C:C,1,FALSE)=E803,"pagado","no pagado"),"no pagado")</f>
        <v>pagado</v>
      </c>
      <c r="J803" s="41" t="str">
        <f t="shared" ref="J803:J805" si="414">IF(I803="pagado","pagado",IF(G803&lt;$V$1-30,"fuera de fecha","en periodo de pago"))</f>
        <v>pagado</v>
      </c>
      <c r="K803" s="40" t="str">
        <f t="shared" ref="K803:K805" ca="1" si="415">+IF(B803&gt;$V$1,"excluir",IF(J803="en periodo de pago",IF($V$1&gt;G803,"a pagar","proximo a vencer"),"excluir"))</f>
        <v>excluir</v>
      </c>
      <c r="L803" s="40" t="str">
        <f t="shared" ref="L803:L805" ca="1" si="416">+IF(K803="proximo a vencer",IF($V$1+5&gt;G803,"para la semana","no semana"),"no semana")</f>
        <v>no semana</v>
      </c>
      <c r="M803" s="40" t="str">
        <f>IFERROR(VLOOKUP(E803,'cheques a conf'!A:D,4,FALSE),"no clearing")</f>
        <v>no clearing</v>
      </c>
      <c r="N803" s="40">
        <f t="shared" ref="N803:N805" si="417">+WEEKNUM(G803,2)</f>
        <v>48</v>
      </c>
      <c r="O803" s="42">
        <f t="shared" ref="O803:O805" si="418">+MONTH(G803)</f>
        <v>11</v>
      </c>
      <c r="P803" s="42">
        <f t="shared" ref="P803:P805" si="419">+YEAR(G803)</f>
        <v>2025</v>
      </c>
    </row>
    <row r="804" spans="1:16" x14ac:dyDescent="0.2">
      <c r="A804" s="21">
        <v>3000001641</v>
      </c>
      <c r="B804" s="22">
        <v>45978</v>
      </c>
      <c r="C804" s="20">
        <v>9877270.2699999996</v>
      </c>
      <c r="D804" s="21" t="s">
        <v>346</v>
      </c>
      <c r="E804" s="21">
        <v>97123993</v>
      </c>
      <c r="F804" s="20">
        <v>9877270.2699999996</v>
      </c>
      <c r="G804" s="22">
        <v>45987</v>
      </c>
      <c r="H804" s="21" t="s">
        <v>61</v>
      </c>
      <c r="I804" s="40" t="str">
        <f>IFERROR(IF(VLOOKUP(E804,extracto!C:C,1,FALSE)=E804,"pagado","no pagado"),"no pagado")</f>
        <v>pagado</v>
      </c>
      <c r="J804" s="41" t="str">
        <f t="shared" si="414"/>
        <v>pagado</v>
      </c>
      <c r="K804" s="40" t="str">
        <f t="shared" ca="1" si="415"/>
        <v>excluir</v>
      </c>
      <c r="L804" s="40" t="str">
        <f t="shared" ca="1" si="416"/>
        <v>no semana</v>
      </c>
      <c r="M804" s="40" t="str">
        <f>IFERROR(VLOOKUP(E804,'cheques a conf'!A:D,4,FALSE),"no clearing")</f>
        <v>no clearing</v>
      </c>
      <c r="N804" s="40">
        <f t="shared" si="417"/>
        <v>48</v>
      </c>
      <c r="O804" s="42">
        <f t="shared" si="418"/>
        <v>11</v>
      </c>
      <c r="P804" s="42">
        <f t="shared" si="419"/>
        <v>2025</v>
      </c>
    </row>
    <row r="805" spans="1:16" x14ac:dyDescent="0.2">
      <c r="A805" s="21">
        <v>3000001642</v>
      </c>
      <c r="B805" s="22">
        <v>45978</v>
      </c>
      <c r="C805" s="20">
        <v>4755265.5</v>
      </c>
      <c r="D805" s="21" t="s">
        <v>437</v>
      </c>
      <c r="E805" s="21">
        <v>97123994</v>
      </c>
      <c r="F805" s="20">
        <v>4755265.5</v>
      </c>
      <c r="G805" s="22">
        <v>45987</v>
      </c>
      <c r="H805" s="21" t="s">
        <v>61</v>
      </c>
      <c r="I805" s="40" t="str">
        <f>IFERROR(IF(VLOOKUP(E805,extracto!C:C,1,FALSE)=E805,"pagado","no pagado"),"no pagado")</f>
        <v>pagado</v>
      </c>
      <c r="J805" s="41" t="str">
        <f t="shared" si="414"/>
        <v>pagado</v>
      </c>
      <c r="K805" s="40" t="str">
        <f t="shared" ca="1" si="415"/>
        <v>excluir</v>
      </c>
      <c r="L805" s="40" t="str">
        <f t="shared" ca="1" si="416"/>
        <v>no semana</v>
      </c>
      <c r="M805" s="40" t="str">
        <f>IFERROR(VLOOKUP(E805,'cheques a conf'!A:D,4,FALSE),"no clearing")</f>
        <v>no clearing</v>
      </c>
      <c r="N805" s="40">
        <f t="shared" si="417"/>
        <v>48</v>
      </c>
      <c r="O805" s="42">
        <f t="shared" si="418"/>
        <v>11</v>
      </c>
      <c r="P805" s="42">
        <f t="shared" si="419"/>
        <v>2025</v>
      </c>
    </row>
    <row r="806" spans="1:16" x14ac:dyDescent="0.2">
      <c r="A806" s="21">
        <v>3000001643</v>
      </c>
      <c r="B806" s="22">
        <v>45978</v>
      </c>
      <c r="C806" s="20">
        <v>7735948.4400000004</v>
      </c>
      <c r="D806" s="21" t="s">
        <v>438</v>
      </c>
      <c r="E806" s="21">
        <v>97123995</v>
      </c>
      <c r="F806" s="20">
        <v>7735948.4400000004</v>
      </c>
      <c r="G806" s="22">
        <v>45987</v>
      </c>
      <c r="H806" s="21" t="s">
        <v>61</v>
      </c>
      <c r="I806" s="40" t="str">
        <f>IFERROR(IF(VLOOKUP(E806,extracto!C:C,1,FALSE)=E806,"pagado","no pagado"),"no pagado")</f>
        <v>pagado</v>
      </c>
      <c r="J806" s="41" t="str">
        <f t="shared" ref="J806" si="420">IF(I806="pagado","pagado",IF(G806&lt;$V$1-30,"fuera de fecha","en periodo de pago"))</f>
        <v>pagado</v>
      </c>
      <c r="K806" s="40" t="str">
        <f t="shared" ref="K806" ca="1" si="421">+IF(B806&gt;$V$1,"excluir",IF(J806="en periodo de pago",IF($V$1&gt;G806,"a pagar","proximo a vencer"),"excluir"))</f>
        <v>excluir</v>
      </c>
      <c r="L806" s="40" t="str">
        <f t="shared" ref="L806" ca="1" si="422">+IF(K806="proximo a vencer",IF($V$1+5&gt;G806,"para la semana","no semana"),"no semana")</f>
        <v>no semana</v>
      </c>
      <c r="M806" s="40" t="str">
        <f>IFERROR(VLOOKUP(E806,'cheques a conf'!A:D,4,FALSE),"no clearing")</f>
        <v>no clearing</v>
      </c>
      <c r="N806" s="40">
        <f t="shared" ref="N806" si="423">+WEEKNUM(G806,2)</f>
        <v>48</v>
      </c>
      <c r="O806" s="42">
        <f t="shared" ref="O806" si="424">+MONTH(G806)</f>
        <v>11</v>
      </c>
      <c r="P806" s="42">
        <f t="shared" ref="P806" si="425">+YEAR(G806)</f>
        <v>2025</v>
      </c>
    </row>
    <row r="807" spans="1:16" x14ac:dyDescent="0.2">
      <c r="A807" s="21">
        <v>1200002613</v>
      </c>
      <c r="B807" s="22">
        <v>45980</v>
      </c>
      <c r="C807" s="20">
        <v>43758209.579999998</v>
      </c>
      <c r="D807" s="21" t="s">
        <v>296</v>
      </c>
      <c r="E807" s="21">
        <v>97123996</v>
      </c>
      <c r="F807" s="20">
        <v>43758209.579999998</v>
      </c>
      <c r="G807" s="22">
        <v>45990</v>
      </c>
      <c r="H807" s="21" t="s">
        <v>61</v>
      </c>
      <c r="I807" s="40" t="str">
        <f>IFERROR(IF(VLOOKUP(E807,extracto!C:C,1,FALSE)=E807,"pagado","no pagado"),"no pagado")</f>
        <v>pagado</v>
      </c>
      <c r="J807" s="41" t="str">
        <f t="shared" ref="J807" si="426">IF(I807="pagado","pagado",IF(G807&lt;$V$1-30,"fuera de fecha","en periodo de pago"))</f>
        <v>pagado</v>
      </c>
      <c r="K807" s="40" t="str">
        <f t="shared" ref="K807" ca="1" si="427">+IF(B807&gt;$V$1,"excluir",IF(J807="en periodo de pago",IF($V$1&gt;G807,"a pagar","proximo a vencer"),"excluir"))</f>
        <v>excluir</v>
      </c>
      <c r="L807" s="40" t="str">
        <f t="shared" ref="L807" ca="1" si="428">+IF(K807="proximo a vencer",IF($V$1+5&gt;G807,"para la semana","no semana"),"no semana")</f>
        <v>no semana</v>
      </c>
      <c r="M807" s="40" t="str">
        <f>IFERROR(VLOOKUP(E807,'cheques a conf'!A:D,4,FALSE),"no clearing")</f>
        <v>no clearing</v>
      </c>
      <c r="N807" s="40">
        <f t="shared" ref="N807" si="429">+WEEKNUM(G807,2)</f>
        <v>48</v>
      </c>
      <c r="O807" s="42">
        <f t="shared" ref="O807" si="430">+MONTH(G807)</f>
        <v>11</v>
      </c>
      <c r="P807" s="42">
        <f t="shared" ref="P807" si="431">+YEAR(G807)</f>
        <v>2025</v>
      </c>
    </row>
    <row r="808" spans="1:16" x14ac:dyDescent="0.2">
      <c r="A808" s="21">
        <v>1200002613</v>
      </c>
      <c r="B808" s="22">
        <v>45980</v>
      </c>
      <c r="C808" s="20">
        <v>21437723.399999999</v>
      </c>
      <c r="D808" s="21" t="s">
        <v>296</v>
      </c>
      <c r="E808" s="21">
        <v>97123997</v>
      </c>
      <c r="F808" s="20">
        <v>21437723.399999999</v>
      </c>
      <c r="G808" s="22">
        <v>45990</v>
      </c>
      <c r="H808" s="21" t="s">
        <v>61</v>
      </c>
      <c r="I808" s="40" t="str">
        <f>IFERROR(IF(VLOOKUP(E808,extracto!C:C,1,FALSE)=E808,"pagado","no pagado"),"no pagado")</f>
        <v>pagado</v>
      </c>
      <c r="J808" s="41" t="str">
        <f t="shared" ref="J808:J849" si="432">IF(I808="pagado","pagado",IF(G808&lt;$V$1-30,"fuera de fecha","en periodo de pago"))</f>
        <v>pagado</v>
      </c>
      <c r="K808" s="40" t="str">
        <f t="shared" ref="K808:K849" ca="1" si="433">+IF(B808&gt;$V$1,"excluir",IF(J808="en periodo de pago",IF($V$1&gt;G808,"a pagar","proximo a vencer"),"excluir"))</f>
        <v>excluir</v>
      </c>
      <c r="L808" s="40" t="str">
        <f t="shared" ref="L808:L849" ca="1" si="434">+IF(K808="proximo a vencer",IF($V$1+5&gt;G808,"para la semana","no semana"),"no semana")</f>
        <v>no semana</v>
      </c>
      <c r="M808" s="40" t="str">
        <f>IFERROR(VLOOKUP(E808,'cheques a conf'!A:D,4,FALSE),"no clearing")</f>
        <v>no clearing</v>
      </c>
      <c r="N808" s="40">
        <f t="shared" ref="N808:N849" si="435">+WEEKNUM(G808,2)</f>
        <v>48</v>
      </c>
      <c r="O808" s="42">
        <f t="shared" ref="O808:O849" si="436">+MONTH(G808)</f>
        <v>11</v>
      </c>
      <c r="P808" s="42">
        <f t="shared" ref="P808:P849" si="437">+YEAR(G808)</f>
        <v>2025</v>
      </c>
    </row>
    <row r="809" spans="1:16" x14ac:dyDescent="0.2">
      <c r="A809" s="21">
        <v>1200002613</v>
      </c>
      <c r="B809" s="22">
        <v>45980</v>
      </c>
      <c r="C809" s="20">
        <v>2350403.4</v>
      </c>
      <c r="D809" s="21" t="s">
        <v>296</v>
      </c>
      <c r="E809" s="21">
        <v>97123998</v>
      </c>
      <c r="F809" s="20">
        <v>2350403.4</v>
      </c>
      <c r="G809" s="22">
        <v>45990</v>
      </c>
      <c r="H809" s="21" t="s">
        <v>61</v>
      </c>
      <c r="I809" s="40" t="str">
        <f>IFERROR(IF(VLOOKUP(E809,extracto!C:C,1,FALSE)=E809,"pagado","no pagado"),"no pagado")</f>
        <v>pagado</v>
      </c>
      <c r="J809" s="41" t="str">
        <f t="shared" si="432"/>
        <v>pagado</v>
      </c>
      <c r="K809" s="40" t="str">
        <f t="shared" ca="1" si="433"/>
        <v>excluir</v>
      </c>
      <c r="L809" s="40" t="str">
        <f t="shared" ca="1" si="434"/>
        <v>no semana</v>
      </c>
      <c r="M809" s="40" t="str">
        <f>IFERROR(VLOOKUP(E809,'cheques a conf'!A:D,4,FALSE),"no clearing")</f>
        <v>no clearing</v>
      </c>
      <c r="N809" s="40">
        <f t="shared" si="435"/>
        <v>48</v>
      </c>
      <c r="O809" s="42">
        <f t="shared" si="436"/>
        <v>11</v>
      </c>
      <c r="P809" s="42">
        <f t="shared" si="437"/>
        <v>2025</v>
      </c>
    </row>
    <row r="810" spans="1:16" x14ac:dyDescent="0.2">
      <c r="A810" s="21">
        <v>1200002613</v>
      </c>
      <c r="B810" s="22">
        <v>45980</v>
      </c>
      <c r="C810" s="20">
        <v>1121065.04</v>
      </c>
      <c r="D810" s="21" t="s">
        <v>296</v>
      </c>
      <c r="E810" s="21">
        <v>97123999</v>
      </c>
      <c r="F810" s="20">
        <v>1121065.04</v>
      </c>
      <c r="G810" s="22">
        <v>45989</v>
      </c>
      <c r="H810" s="21" t="s">
        <v>61</v>
      </c>
      <c r="I810" s="40" t="str">
        <f>IFERROR(IF(VLOOKUP(E810,extracto!C:C,1,FALSE)=E810,"pagado","no pagado"),"no pagado")</f>
        <v>pagado</v>
      </c>
      <c r="J810" s="41" t="str">
        <f t="shared" si="432"/>
        <v>pagado</v>
      </c>
      <c r="K810" s="40" t="str">
        <f t="shared" ca="1" si="433"/>
        <v>excluir</v>
      </c>
      <c r="L810" s="40" t="str">
        <f t="shared" ca="1" si="434"/>
        <v>no semana</v>
      </c>
      <c r="M810" s="40" t="str">
        <f>IFERROR(VLOOKUP(E810,'cheques a conf'!A:D,4,FALSE),"no clearing")</f>
        <v>no clearing</v>
      </c>
      <c r="N810" s="40">
        <f t="shared" si="435"/>
        <v>48</v>
      </c>
      <c r="O810" s="42">
        <f t="shared" si="436"/>
        <v>11</v>
      </c>
      <c r="P810" s="42">
        <f t="shared" si="437"/>
        <v>2025</v>
      </c>
    </row>
    <row r="811" spans="1:16" x14ac:dyDescent="0.2">
      <c r="A811" s="21">
        <v>1200002613</v>
      </c>
      <c r="B811" s="22">
        <v>45980</v>
      </c>
      <c r="C811" s="20">
        <v>2125298.7999999998</v>
      </c>
      <c r="D811" s="21" t="s">
        <v>296</v>
      </c>
      <c r="E811" s="21">
        <v>97124000</v>
      </c>
      <c r="F811" s="20">
        <v>2125298.7999999998</v>
      </c>
      <c r="G811" s="22">
        <v>45990</v>
      </c>
      <c r="H811" s="21" t="s">
        <v>61</v>
      </c>
      <c r="I811" s="40" t="str">
        <f>IFERROR(IF(VLOOKUP(E811,extracto!C:C,1,FALSE)=E811,"pagado","no pagado"),"no pagado")</f>
        <v>pagado</v>
      </c>
      <c r="J811" s="41" t="str">
        <f t="shared" si="432"/>
        <v>pagado</v>
      </c>
      <c r="K811" s="40" t="str">
        <f t="shared" ca="1" si="433"/>
        <v>excluir</v>
      </c>
      <c r="L811" s="40" t="str">
        <f t="shared" ca="1" si="434"/>
        <v>no semana</v>
      </c>
      <c r="M811" s="40" t="str">
        <f>IFERROR(VLOOKUP(E811,'cheques a conf'!A:D,4,FALSE),"no clearing")</f>
        <v>no clearing</v>
      </c>
      <c r="N811" s="40">
        <f t="shared" si="435"/>
        <v>48</v>
      </c>
      <c r="O811" s="42">
        <f t="shared" si="436"/>
        <v>11</v>
      </c>
      <c r="P811" s="42">
        <f t="shared" si="437"/>
        <v>2025</v>
      </c>
    </row>
    <row r="812" spans="1:16" x14ac:dyDescent="0.2">
      <c r="A812" s="21">
        <v>1200002613</v>
      </c>
      <c r="B812" s="22">
        <v>45980</v>
      </c>
      <c r="C812" s="20">
        <v>29213400.68</v>
      </c>
      <c r="D812" s="21" t="s">
        <v>296</v>
      </c>
      <c r="E812" s="21">
        <v>97124001</v>
      </c>
      <c r="F812" s="20">
        <v>29213400.68</v>
      </c>
      <c r="G812" s="22">
        <v>45990</v>
      </c>
      <c r="H812" s="21" t="s">
        <v>61</v>
      </c>
      <c r="I812" s="40" t="str">
        <f>IFERROR(IF(VLOOKUP(E812,extracto!C:C,1,FALSE)=E812,"pagado","no pagado"),"no pagado")</f>
        <v>pagado</v>
      </c>
      <c r="J812" s="41" t="str">
        <f t="shared" si="432"/>
        <v>pagado</v>
      </c>
      <c r="K812" s="40" t="str">
        <f t="shared" ca="1" si="433"/>
        <v>excluir</v>
      </c>
      <c r="L812" s="40" t="str">
        <f t="shared" ca="1" si="434"/>
        <v>no semana</v>
      </c>
      <c r="M812" s="40" t="str">
        <f>IFERROR(VLOOKUP(E812,'cheques a conf'!A:D,4,FALSE),"no clearing")</f>
        <v>no clearing</v>
      </c>
      <c r="N812" s="40">
        <f t="shared" si="435"/>
        <v>48</v>
      </c>
      <c r="O812" s="42">
        <f t="shared" si="436"/>
        <v>11</v>
      </c>
      <c r="P812" s="42">
        <f t="shared" si="437"/>
        <v>2025</v>
      </c>
    </row>
    <row r="813" spans="1:16" x14ac:dyDescent="0.2">
      <c r="A813" s="21">
        <v>1200002613</v>
      </c>
      <c r="B813" s="22">
        <v>45980</v>
      </c>
      <c r="C813" s="20">
        <v>27731787.399999999</v>
      </c>
      <c r="D813" s="21" t="s">
        <v>296</v>
      </c>
      <c r="E813" s="21">
        <v>97124002</v>
      </c>
      <c r="F813" s="20">
        <v>27731787.399999999</v>
      </c>
      <c r="G813" s="22">
        <v>45990</v>
      </c>
      <c r="H813" s="21" t="s">
        <v>61</v>
      </c>
      <c r="I813" s="40" t="str">
        <f>IFERROR(IF(VLOOKUP(E813,extracto!C:C,1,FALSE)=E813,"pagado","no pagado"),"no pagado")</f>
        <v>pagado</v>
      </c>
      <c r="J813" s="41" t="str">
        <f t="shared" si="432"/>
        <v>pagado</v>
      </c>
      <c r="K813" s="40" t="str">
        <f t="shared" ca="1" si="433"/>
        <v>excluir</v>
      </c>
      <c r="L813" s="40" t="str">
        <f t="shared" ca="1" si="434"/>
        <v>no semana</v>
      </c>
      <c r="M813" s="40" t="str">
        <f>IFERROR(VLOOKUP(E813,'cheques a conf'!A:D,4,FALSE),"no clearing")</f>
        <v>no clearing</v>
      </c>
      <c r="N813" s="40">
        <f t="shared" si="435"/>
        <v>48</v>
      </c>
      <c r="O813" s="42">
        <f t="shared" si="436"/>
        <v>11</v>
      </c>
      <c r="P813" s="42">
        <f t="shared" si="437"/>
        <v>2025</v>
      </c>
    </row>
    <row r="814" spans="1:16" x14ac:dyDescent="0.2">
      <c r="A814" s="21">
        <v>1200002613</v>
      </c>
      <c r="B814" s="22">
        <v>45980</v>
      </c>
      <c r="C814" s="20">
        <v>1434767.92</v>
      </c>
      <c r="D814" s="21" t="s">
        <v>296</v>
      </c>
      <c r="E814" s="21">
        <v>97124003</v>
      </c>
      <c r="F814" s="20">
        <v>1434767.92</v>
      </c>
      <c r="G814" s="22">
        <v>45990</v>
      </c>
      <c r="H814" s="21" t="s">
        <v>61</v>
      </c>
      <c r="I814" s="40" t="str">
        <f>IFERROR(IF(VLOOKUP(E814,extracto!C:C,1,FALSE)=E814,"pagado","no pagado"),"no pagado")</f>
        <v>pagado</v>
      </c>
      <c r="J814" s="41" t="str">
        <f t="shared" si="432"/>
        <v>pagado</v>
      </c>
      <c r="K814" s="40" t="str">
        <f t="shared" ca="1" si="433"/>
        <v>excluir</v>
      </c>
      <c r="L814" s="40" t="str">
        <f t="shared" ca="1" si="434"/>
        <v>no semana</v>
      </c>
      <c r="M814" s="40" t="str">
        <f>IFERROR(VLOOKUP(E814,'cheques a conf'!A:D,4,FALSE),"no clearing")</f>
        <v>no clearing</v>
      </c>
      <c r="N814" s="40">
        <f t="shared" si="435"/>
        <v>48</v>
      </c>
      <c r="O814" s="42">
        <f t="shared" si="436"/>
        <v>11</v>
      </c>
      <c r="P814" s="42">
        <f t="shared" si="437"/>
        <v>2025</v>
      </c>
    </row>
    <row r="815" spans="1:16" x14ac:dyDescent="0.2">
      <c r="A815" s="21">
        <v>1200002613</v>
      </c>
      <c r="B815" s="22">
        <v>45980</v>
      </c>
      <c r="C815" s="20">
        <v>717467.92</v>
      </c>
      <c r="D815" s="21" t="s">
        <v>296</v>
      </c>
      <c r="E815" s="21">
        <v>97124004</v>
      </c>
      <c r="F815" s="20">
        <v>717467.92</v>
      </c>
      <c r="G815" s="22">
        <v>45989</v>
      </c>
      <c r="H815" s="21" t="s">
        <v>61</v>
      </c>
      <c r="I815" s="40" t="str">
        <f>IFERROR(IF(VLOOKUP(E815,extracto!C:C,1,FALSE)=E815,"pagado","no pagado"),"no pagado")</f>
        <v>pagado</v>
      </c>
      <c r="J815" s="41" t="str">
        <f t="shared" si="432"/>
        <v>pagado</v>
      </c>
      <c r="K815" s="40" t="str">
        <f t="shared" ca="1" si="433"/>
        <v>excluir</v>
      </c>
      <c r="L815" s="40" t="str">
        <f t="shared" ca="1" si="434"/>
        <v>no semana</v>
      </c>
      <c r="M815" s="40" t="str">
        <f>IFERROR(VLOOKUP(E815,'cheques a conf'!A:D,4,FALSE),"no clearing")</f>
        <v>no clearing</v>
      </c>
      <c r="N815" s="40">
        <f t="shared" si="435"/>
        <v>48</v>
      </c>
      <c r="O815" s="42">
        <f t="shared" si="436"/>
        <v>11</v>
      </c>
      <c r="P815" s="42">
        <f t="shared" si="437"/>
        <v>2025</v>
      </c>
    </row>
    <row r="816" spans="1:16" x14ac:dyDescent="0.2">
      <c r="A816" s="21">
        <v>1200002613</v>
      </c>
      <c r="B816" s="22">
        <v>45980</v>
      </c>
      <c r="C816" s="20">
        <v>1261176.04</v>
      </c>
      <c r="D816" s="21" t="s">
        <v>296</v>
      </c>
      <c r="E816" s="21">
        <v>97124005</v>
      </c>
      <c r="F816" s="20">
        <v>1261176.04</v>
      </c>
      <c r="G816" s="22">
        <v>45990</v>
      </c>
      <c r="H816" s="21" t="s">
        <v>61</v>
      </c>
      <c r="I816" s="40" t="str">
        <f>IFERROR(IF(VLOOKUP(E816,extracto!C:C,1,FALSE)=E816,"pagado","no pagado"),"no pagado")</f>
        <v>pagado</v>
      </c>
      <c r="J816" s="41" t="str">
        <f t="shared" si="432"/>
        <v>pagado</v>
      </c>
      <c r="K816" s="40" t="str">
        <f t="shared" ca="1" si="433"/>
        <v>excluir</v>
      </c>
      <c r="L816" s="40" t="str">
        <f t="shared" ca="1" si="434"/>
        <v>no semana</v>
      </c>
      <c r="M816" s="40" t="str">
        <f>IFERROR(VLOOKUP(E816,'cheques a conf'!A:D,4,FALSE),"no clearing")</f>
        <v>no clearing</v>
      </c>
      <c r="N816" s="40">
        <f t="shared" si="435"/>
        <v>48</v>
      </c>
      <c r="O816" s="42">
        <f t="shared" si="436"/>
        <v>11</v>
      </c>
      <c r="P816" s="42">
        <f t="shared" si="437"/>
        <v>2025</v>
      </c>
    </row>
    <row r="817" spans="1:16" x14ac:dyDescent="0.2">
      <c r="A817" s="21">
        <v>1200002613</v>
      </c>
      <c r="B817" s="22">
        <v>45980</v>
      </c>
      <c r="C817" s="20">
        <v>1733475</v>
      </c>
      <c r="D817" s="21" t="s">
        <v>296</v>
      </c>
      <c r="E817" s="21">
        <v>97124006</v>
      </c>
      <c r="F817" s="20">
        <v>1733475</v>
      </c>
      <c r="G817" s="22">
        <v>45990</v>
      </c>
      <c r="H817" s="21" t="s">
        <v>61</v>
      </c>
      <c r="I817" s="40" t="str">
        <f>IFERROR(IF(VLOOKUP(E817,extracto!C:C,1,FALSE)=E817,"pagado","no pagado"),"no pagado")</f>
        <v>pagado</v>
      </c>
      <c r="J817" s="41" t="str">
        <f t="shared" si="432"/>
        <v>pagado</v>
      </c>
      <c r="K817" s="40" t="str">
        <f t="shared" ca="1" si="433"/>
        <v>excluir</v>
      </c>
      <c r="L817" s="40" t="str">
        <f t="shared" ca="1" si="434"/>
        <v>no semana</v>
      </c>
      <c r="M817" s="40" t="str">
        <f>IFERROR(VLOOKUP(E817,'cheques a conf'!A:D,4,FALSE),"no clearing")</f>
        <v>no clearing</v>
      </c>
      <c r="N817" s="40">
        <f t="shared" si="435"/>
        <v>48</v>
      </c>
      <c r="O817" s="42">
        <f t="shared" si="436"/>
        <v>11</v>
      </c>
      <c r="P817" s="42">
        <f t="shared" si="437"/>
        <v>2025</v>
      </c>
    </row>
    <row r="818" spans="1:16" x14ac:dyDescent="0.2">
      <c r="A818" s="21">
        <v>1200002613</v>
      </c>
      <c r="B818" s="22">
        <v>45980</v>
      </c>
      <c r="C818" s="20">
        <v>345558.28</v>
      </c>
      <c r="D818" s="21" t="s">
        <v>296</v>
      </c>
      <c r="E818" s="21">
        <v>97124007</v>
      </c>
      <c r="F818" s="20">
        <v>345558.28</v>
      </c>
      <c r="G818" s="22">
        <v>45989</v>
      </c>
      <c r="H818" s="21" t="s">
        <v>61</v>
      </c>
      <c r="I818" s="40" t="str">
        <f>IFERROR(IF(VLOOKUP(E818,extracto!C:C,1,FALSE)=E818,"pagado","no pagado"),"no pagado")</f>
        <v>pagado</v>
      </c>
      <c r="J818" s="41" t="str">
        <f t="shared" si="432"/>
        <v>pagado</v>
      </c>
      <c r="K818" s="40" t="str">
        <f t="shared" ca="1" si="433"/>
        <v>excluir</v>
      </c>
      <c r="L818" s="40" t="str">
        <f t="shared" ca="1" si="434"/>
        <v>no semana</v>
      </c>
      <c r="M818" s="40" t="str">
        <f>IFERROR(VLOOKUP(E818,'cheques a conf'!A:D,4,FALSE),"no clearing")</f>
        <v>no clearing</v>
      </c>
      <c r="N818" s="40">
        <f t="shared" si="435"/>
        <v>48</v>
      </c>
      <c r="O818" s="42">
        <f t="shared" si="436"/>
        <v>11</v>
      </c>
      <c r="P818" s="42">
        <f t="shared" si="437"/>
        <v>2025</v>
      </c>
    </row>
    <row r="819" spans="1:16" x14ac:dyDescent="0.2">
      <c r="A819" s="21">
        <v>1200002613</v>
      </c>
      <c r="B819" s="22">
        <v>45980</v>
      </c>
      <c r="C819" s="20">
        <v>881943.4</v>
      </c>
      <c r="D819" s="21" t="s">
        <v>296</v>
      </c>
      <c r="E819" s="21">
        <v>97124008</v>
      </c>
      <c r="F819" s="20">
        <v>881943.4</v>
      </c>
      <c r="G819" s="22">
        <v>45989</v>
      </c>
      <c r="H819" s="21" t="s">
        <v>61</v>
      </c>
      <c r="I819" s="40" t="str">
        <f>IFERROR(IF(VLOOKUP(E819,extracto!C:C,1,FALSE)=E819,"pagado","no pagado"),"no pagado")</f>
        <v>pagado</v>
      </c>
      <c r="J819" s="41" t="str">
        <f t="shared" si="432"/>
        <v>pagado</v>
      </c>
      <c r="K819" s="40" t="str">
        <f t="shared" ca="1" si="433"/>
        <v>excluir</v>
      </c>
      <c r="L819" s="40" t="str">
        <f t="shared" ca="1" si="434"/>
        <v>no semana</v>
      </c>
      <c r="M819" s="40" t="str">
        <f>IFERROR(VLOOKUP(E819,'cheques a conf'!A:D,4,FALSE),"no clearing")</f>
        <v>no clearing</v>
      </c>
      <c r="N819" s="40">
        <f t="shared" si="435"/>
        <v>48</v>
      </c>
      <c r="O819" s="42">
        <f t="shared" si="436"/>
        <v>11</v>
      </c>
      <c r="P819" s="42">
        <f t="shared" si="437"/>
        <v>2025</v>
      </c>
    </row>
    <row r="820" spans="1:16" x14ac:dyDescent="0.2">
      <c r="A820" s="21">
        <v>1200002613</v>
      </c>
      <c r="B820" s="22">
        <v>45980</v>
      </c>
      <c r="C820" s="20">
        <v>2577150</v>
      </c>
      <c r="D820" s="21" t="s">
        <v>296</v>
      </c>
      <c r="E820" s="21">
        <v>97124009</v>
      </c>
      <c r="F820" s="20">
        <v>2577150</v>
      </c>
      <c r="G820" s="22">
        <v>45990</v>
      </c>
      <c r="H820" s="21" t="s">
        <v>61</v>
      </c>
      <c r="I820" s="40" t="str">
        <f>IFERROR(IF(VLOOKUP(E820,extracto!C:C,1,FALSE)=E820,"pagado","no pagado"),"no pagado")</f>
        <v>pagado</v>
      </c>
      <c r="J820" s="41" t="str">
        <f t="shared" si="432"/>
        <v>pagado</v>
      </c>
      <c r="K820" s="40" t="str">
        <f t="shared" ca="1" si="433"/>
        <v>excluir</v>
      </c>
      <c r="L820" s="40" t="str">
        <f t="shared" ca="1" si="434"/>
        <v>no semana</v>
      </c>
      <c r="M820" s="40" t="str">
        <f>IFERROR(VLOOKUP(E820,'cheques a conf'!A:D,4,FALSE),"no clearing")</f>
        <v>no clearing</v>
      </c>
      <c r="N820" s="40">
        <f t="shared" si="435"/>
        <v>48</v>
      </c>
      <c r="O820" s="42">
        <f t="shared" si="436"/>
        <v>11</v>
      </c>
      <c r="P820" s="42">
        <f t="shared" si="437"/>
        <v>2025</v>
      </c>
    </row>
    <row r="821" spans="1:16" x14ac:dyDescent="0.2">
      <c r="A821" s="21">
        <v>1200002613</v>
      </c>
      <c r="B821" s="22">
        <v>45980</v>
      </c>
      <c r="C821" s="20">
        <v>593530</v>
      </c>
      <c r="D821" s="21" t="s">
        <v>296</v>
      </c>
      <c r="E821" s="21">
        <v>97124010</v>
      </c>
      <c r="F821" s="20">
        <v>593530</v>
      </c>
      <c r="G821" s="22">
        <v>45989</v>
      </c>
      <c r="H821" s="21" t="s">
        <v>61</v>
      </c>
      <c r="I821" s="40" t="str">
        <f>IFERROR(IF(VLOOKUP(E821,extracto!C:C,1,FALSE)=E821,"pagado","no pagado"),"no pagado")</f>
        <v>pagado</v>
      </c>
      <c r="J821" s="41" t="str">
        <f t="shared" si="432"/>
        <v>pagado</v>
      </c>
      <c r="K821" s="40" t="str">
        <f t="shared" ca="1" si="433"/>
        <v>excluir</v>
      </c>
      <c r="L821" s="40" t="str">
        <f t="shared" ca="1" si="434"/>
        <v>no semana</v>
      </c>
      <c r="M821" s="40" t="str">
        <f>IFERROR(VLOOKUP(E821,'cheques a conf'!A:D,4,FALSE),"no clearing")</f>
        <v>no clearing</v>
      </c>
      <c r="N821" s="40">
        <f t="shared" si="435"/>
        <v>48</v>
      </c>
      <c r="O821" s="42">
        <f t="shared" si="436"/>
        <v>11</v>
      </c>
      <c r="P821" s="42">
        <f t="shared" si="437"/>
        <v>2025</v>
      </c>
    </row>
    <row r="822" spans="1:16" x14ac:dyDescent="0.2">
      <c r="A822" s="21">
        <v>1200002613</v>
      </c>
      <c r="B822" s="22">
        <v>45980</v>
      </c>
      <c r="C822" s="20">
        <v>880682.24</v>
      </c>
      <c r="D822" s="21" t="s">
        <v>296</v>
      </c>
      <c r="E822" s="21">
        <v>97124011</v>
      </c>
      <c r="F822" s="20">
        <v>880682.24</v>
      </c>
      <c r="G822" s="22">
        <v>45989</v>
      </c>
      <c r="H822" s="21" t="s">
        <v>61</v>
      </c>
      <c r="I822" s="40" t="str">
        <f>IFERROR(IF(VLOOKUP(E822,extracto!C:C,1,FALSE)=E822,"pagado","no pagado"),"no pagado")</f>
        <v>pagado</v>
      </c>
      <c r="J822" s="41" t="str">
        <f t="shared" si="432"/>
        <v>pagado</v>
      </c>
      <c r="K822" s="40" t="str">
        <f t="shared" ca="1" si="433"/>
        <v>excluir</v>
      </c>
      <c r="L822" s="40" t="str">
        <f t="shared" ca="1" si="434"/>
        <v>no semana</v>
      </c>
      <c r="M822" s="40" t="str">
        <f>IFERROR(VLOOKUP(E822,'cheques a conf'!A:D,4,FALSE),"no clearing")</f>
        <v>no clearing</v>
      </c>
      <c r="N822" s="40">
        <f t="shared" si="435"/>
        <v>48</v>
      </c>
      <c r="O822" s="42">
        <f t="shared" si="436"/>
        <v>11</v>
      </c>
      <c r="P822" s="42">
        <f t="shared" si="437"/>
        <v>2025</v>
      </c>
    </row>
    <row r="823" spans="1:16" x14ac:dyDescent="0.2">
      <c r="A823" s="21">
        <v>1200002613</v>
      </c>
      <c r="B823" s="22">
        <v>45980</v>
      </c>
      <c r="C823" s="20">
        <v>405293.63</v>
      </c>
      <c r="D823" s="21" t="s">
        <v>296</v>
      </c>
      <c r="E823" s="21">
        <v>97124012</v>
      </c>
      <c r="F823" s="20">
        <v>405293.63</v>
      </c>
      <c r="G823" s="22">
        <v>45989</v>
      </c>
      <c r="H823" s="21" t="s">
        <v>61</v>
      </c>
      <c r="I823" s="40" t="str">
        <f>IFERROR(IF(VLOOKUP(E823,extracto!C:C,1,FALSE)=E823,"pagado","no pagado"),"no pagado")</f>
        <v>pagado</v>
      </c>
      <c r="J823" s="41" t="str">
        <f t="shared" si="432"/>
        <v>pagado</v>
      </c>
      <c r="K823" s="40" t="str">
        <f t="shared" ca="1" si="433"/>
        <v>excluir</v>
      </c>
      <c r="L823" s="40" t="str">
        <f t="shared" ca="1" si="434"/>
        <v>no semana</v>
      </c>
      <c r="M823" s="40" t="str">
        <f>IFERROR(VLOOKUP(E823,'cheques a conf'!A:D,4,FALSE),"no clearing")</f>
        <v>no clearing</v>
      </c>
      <c r="N823" s="40">
        <f t="shared" si="435"/>
        <v>48</v>
      </c>
      <c r="O823" s="42">
        <f t="shared" si="436"/>
        <v>11</v>
      </c>
      <c r="P823" s="42">
        <f t="shared" si="437"/>
        <v>2025</v>
      </c>
    </row>
    <row r="824" spans="1:16" x14ac:dyDescent="0.2">
      <c r="A824" s="21">
        <v>1200002613</v>
      </c>
      <c r="B824" s="22">
        <v>45980</v>
      </c>
      <c r="C824" s="20">
        <v>614669.5</v>
      </c>
      <c r="D824" s="21" t="s">
        <v>296</v>
      </c>
      <c r="E824" s="21">
        <v>97124013</v>
      </c>
      <c r="F824" s="20">
        <v>614669.5</v>
      </c>
      <c r="G824" s="22">
        <v>45989</v>
      </c>
      <c r="H824" s="21" t="s">
        <v>61</v>
      </c>
      <c r="I824" s="40" t="str">
        <f>IFERROR(IF(VLOOKUP(E824,extracto!C:C,1,FALSE)=E824,"pagado","no pagado"),"no pagado")</f>
        <v>pagado</v>
      </c>
      <c r="J824" s="41" t="str">
        <f t="shared" si="432"/>
        <v>pagado</v>
      </c>
      <c r="K824" s="40" t="str">
        <f t="shared" ca="1" si="433"/>
        <v>excluir</v>
      </c>
      <c r="L824" s="40" t="str">
        <f t="shared" ca="1" si="434"/>
        <v>no semana</v>
      </c>
      <c r="M824" s="40" t="str">
        <f>IFERROR(VLOOKUP(E824,'cheques a conf'!A:D,4,FALSE),"no clearing")</f>
        <v>no clearing</v>
      </c>
      <c r="N824" s="40">
        <f t="shared" si="435"/>
        <v>48</v>
      </c>
      <c r="O824" s="42">
        <f t="shared" si="436"/>
        <v>11</v>
      </c>
      <c r="P824" s="42">
        <f t="shared" si="437"/>
        <v>2025</v>
      </c>
    </row>
    <row r="825" spans="1:16" x14ac:dyDescent="0.2">
      <c r="A825" s="21">
        <v>1200002613</v>
      </c>
      <c r="B825" s="22">
        <v>45980</v>
      </c>
      <c r="C825" s="20">
        <v>540498</v>
      </c>
      <c r="D825" s="21" t="s">
        <v>296</v>
      </c>
      <c r="E825" s="21">
        <v>97124014</v>
      </c>
      <c r="F825" s="20">
        <v>540498</v>
      </c>
      <c r="G825" s="22">
        <v>45989</v>
      </c>
      <c r="H825" s="21" t="s">
        <v>61</v>
      </c>
      <c r="I825" s="40" t="str">
        <f>IFERROR(IF(VLOOKUP(E825,extracto!C:C,1,FALSE)=E825,"pagado","no pagado"),"no pagado")</f>
        <v>pagado</v>
      </c>
      <c r="J825" s="41" t="str">
        <f t="shared" si="432"/>
        <v>pagado</v>
      </c>
      <c r="K825" s="40" t="str">
        <f t="shared" ca="1" si="433"/>
        <v>excluir</v>
      </c>
      <c r="L825" s="40" t="str">
        <f t="shared" ca="1" si="434"/>
        <v>no semana</v>
      </c>
      <c r="M825" s="40" t="str">
        <f>IFERROR(VLOOKUP(E825,'cheques a conf'!A:D,4,FALSE),"no clearing")</f>
        <v>no clearing</v>
      </c>
      <c r="N825" s="40">
        <f t="shared" si="435"/>
        <v>48</v>
      </c>
      <c r="O825" s="42">
        <f t="shared" si="436"/>
        <v>11</v>
      </c>
      <c r="P825" s="42">
        <f t="shared" si="437"/>
        <v>2025</v>
      </c>
    </row>
    <row r="826" spans="1:16" x14ac:dyDescent="0.2">
      <c r="A826" s="21">
        <v>1200002613</v>
      </c>
      <c r="B826" s="22">
        <v>45980</v>
      </c>
      <c r="C826" s="20">
        <v>390492.4</v>
      </c>
      <c r="D826" s="21" t="s">
        <v>296</v>
      </c>
      <c r="E826" s="21">
        <v>97124015</v>
      </c>
      <c r="F826" s="20">
        <v>390492.4</v>
      </c>
      <c r="G826" s="22">
        <v>45989</v>
      </c>
      <c r="H826" s="21" t="s">
        <v>61</v>
      </c>
      <c r="I826" s="40" t="str">
        <f>IFERROR(IF(VLOOKUP(E826,extracto!C:C,1,FALSE)=E826,"pagado","no pagado"),"no pagado")</f>
        <v>pagado</v>
      </c>
      <c r="J826" s="41" t="str">
        <f t="shared" si="432"/>
        <v>pagado</v>
      </c>
      <c r="K826" s="40" t="str">
        <f t="shared" ca="1" si="433"/>
        <v>excluir</v>
      </c>
      <c r="L826" s="40" t="str">
        <f t="shared" ca="1" si="434"/>
        <v>no semana</v>
      </c>
      <c r="M826" s="40" t="str">
        <f>IFERROR(VLOOKUP(E826,'cheques a conf'!A:D,4,FALSE),"no clearing")</f>
        <v>no clearing</v>
      </c>
      <c r="N826" s="40">
        <f t="shared" si="435"/>
        <v>48</v>
      </c>
      <c r="O826" s="42">
        <f t="shared" si="436"/>
        <v>11</v>
      </c>
      <c r="P826" s="42">
        <f t="shared" si="437"/>
        <v>2025</v>
      </c>
    </row>
    <row r="827" spans="1:16" x14ac:dyDescent="0.2">
      <c r="A827" s="21">
        <v>1200002613</v>
      </c>
      <c r="B827" s="22">
        <v>45980</v>
      </c>
      <c r="C827" s="20">
        <v>769295.51</v>
      </c>
      <c r="D827" s="21" t="s">
        <v>296</v>
      </c>
      <c r="E827" s="21">
        <v>97124016</v>
      </c>
      <c r="F827" s="20">
        <v>769295.51</v>
      </c>
      <c r="G827" s="22">
        <v>45989</v>
      </c>
      <c r="H827" s="21" t="s">
        <v>61</v>
      </c>
      <c r="I827" s="40" t="str">
        <f>IFERROR(IF(VLOOKUP(E827,extracto!C:C,1,FALSE)=E827,"pagado","no pagado"),"no pagado")</f>
        <v>pagado</v>
      </c>
      <c r="J827" s="41" t="str">
        <f t="shared" si="432"/>
        <v>pagado</v>
      </c>
      <c r="K827" s="40" t="str">
        <f t="shared" ca="1" si="433"/>
        <v>excluir</v>
      </c>
      <c r="L827" s="40" t="str">
        <f t="shared" ca="1" si="434"/>
        <v>no semana</v>
      </c>
      <c r="M827" s="40" t="str">
        <f>IFERROR(VLOOKUP(E827,'cheques a conf'!A:D,4,FALSE),"no clearing")</f>
        <v>no clearing</v>
      </c>
      <c r="N827" s="40">
        <f t="shared" si="435"/>
        <v>48</v>
      </c>
      <c r="O827" s="42">
        <f t="shared" si="436"/>
        <v>11</v>
      </c>
      <c r="P827" s="42">
        <f t="shared" si="437"/>
        <v>2025</v>
      </c>
    </row>
    <row r="828" spans="1:16" x14ac:dyDescent="0.2">
      <c r="A828" s="21">
        <v>1200002613</v>
      </c>
      <c r="B828" s="22">
        <v>45980</v>
      </c>
      <c r="C828" s="20">
        <v>10081500</v>
      </c>
      <c r="D828" s="21" t="s">
        <v>296</v>
      </c>
      <c r="E828" s="21">
        <v>97124017</v>
      </c>
      <c r="F828" s="20">
        <v>10081500</v>
      </c>
      <c r="G828" s="22">
        <v>45990</v>
      </c>
      <c r="H828" s="21" t="s">
        <v>61</v>
      </c>
      <c r="I828" s="40" t="str">
        <f>IFERROR(IF(VLOOKUP(E828,extracto!C:C,1,FALSE)=E828,"pagado","no pagado"),"no pagado")</f>
        <v>pagado</v>
      </c>
      <c r="J828" s="41" t="str">
        <f t="shared" si="432"/>
        <v>pagado</v>
      </c>
      <c r="K828" s="40" t="str">
        <f t="shared" ca="1" si="433"/>
        <v>excluir</v>
      </c>
      <c r="L828" s="40" t="str">
        <f t="shared" ca="1" si="434"/>
        <v>no semana</v>
      </c>
      <c r="M828" s="40" t="str">
        <f>IFERROR(VLOOKUP(E828,'cheques a conf'!A:D,4,FALSE),"no clearing")</f>
        <v>no clearing</v>
      </c>
      <c r="N828" s="40">
        <f t="shared" si="435"/>
        <v>48</v>
      </c>
      <c r="O828" s="42">
        <f t="shared" si="436"/>
        <v>11</v>
      </c>
      <c r="P828" s="42">
        <f t="shared" si="437"/>
        <v>2025</v>
      </c>
    </row>
    <row r="829" spans="1:16" x14ac:dyDescent="0.2">
      <c r="A829" s="21">
        <v>1200002613</v>
      </c>
      <c r="B829" s="22">
        <v>45980</v>
      </c>
      <c r="C829" s="20">
        <v>213849.98</v>
      </c>
      <c r="D829" s="21" t="s">
        <v>296</v>
      </c>
      <c r="E829" s="21">
        <v>97124018</v>
      </c>
      <c r="F829" s="20">
        <v>213849.98</v>
      </c>
      <c r="G829" s="22">
        <v>45989</v>
      </c>
      <c r="H829" s="21" t="s">
        <v>61</v>
      </c>
      <c r="I829" s="40" t="str">
        <f>IFERROR(IF(VLOOKUP(E829,extracto!C:C,1,FALSE)=E829,"pagado","no pagado"),"no pagado")</f>
        <v>pagado</v>
      </c>
      <c r="J829" s="41" t="str">
        <f t="shared" si="432"/>
        <v>pagado</v>
      </c>
      <c r="K829" s="40" t="str">
        <f t="shared" ca="1" si="433"/>
        <v>excluir</v>
      </c>
      <c r="L829" s="40" t="str">
        <f t="shared" ca="1" si="434"/>
        <v>no semana</v>
      </c>
      <c r="M829" s="40" t="str">
        <f>IFERROR(VLOOKUP(E829,'cheques a conf'!A:D,4,FALSE),"no clearing")</f>
        <v>no clearing</v>
      </c>
      <c r="N829" s="40">
        <f t="shared" si="435"/>
        <v>48</v>
      </c>
      <c r="O829" s="42">
        <f t="shared" si="436"/>
        <v>11</v>
      </c>
      <c r="P829" s="42">
        <f t="shared" si="437"/>
        <v>2025</v>
      </c>
    </row>
    <row r="830" spans="1:16" x14ac:dyDescent="0.2">
      <c r="A830" s="21">
        <v>1200002615</v>
      </c>
      <c r="B830" s="22">
        <v>45980</v>
      </c>
      <c r="C830" s="20">
        <v>291454.8</v>
      </c>
      <c r="D830" s="21" t="s">
        <v>296</v>
      </c>
      <c r="E830" s="21">
        <v>97124019</v>
      </c>
      <c r="F830" s="20">
        <v>291454.8</v>
      </c>
      <c r="G830" s="22">
        <v>45990</v>
      </c>
      <c r="H830" s="21" t="s">
        <v>61</v>
      </c>
      <c r="I830" s="40" t="str">
        <f>IFERROR(IF(VLOOKUP(E830,extracto!C:C,1,FALSE)=E830,"pagado","no pagado"),"no pagado")</f>
        <v>pagado</v>
      </c>
      <c r="J830" s="41" t="str">
        <f t="shared" si="432"/>
        <v>pagado</v>
      </c>
      <c r="K830" s="40" t="str">
        <f t="shared" ca="1" si="433"/>
        <v>excluir</v>
      </c>
      <c r="L830" s="40" t="str">
        <f t="shared" ca="1" si="434"/>
        <v>no semana</v>
      </c>
      <c r="M830" s="40" t="str">
        <f>IFERROR(VLOOKUP(E830,'cheques a conf'!A:D,4,FALSE),"no clearing")</f>
        <v>no clearing</v>
      </c>
      <c r="N830" s="40">
        <f t="shared" si="435"/>
        <v>48</v>
      </c>
      <c r="O830" s="42">
        <f t="shared" si="436"/>
        <v>11</v>
      </c>
      <c r="P830" s="42">
        <f t="shared" si="437"/>
        <v>2025</v>
      </c>
    </row>
    <row r="831" spans="1:16" x14ac:dyDescent="0.2">
      <c r="A831" s="21">
        <v>1200002615</v>
      </c>
      <c r="B831" s="22">
        <v>45980</v>
      </c>
      <c r="C831" s="20">
        <v>268152.58</v>
      </c>
      <c r="D831" s="21" t="s">
        <v>296</v>
      </c>
      <c r="E831" s="21">
        <v>97124020</v>
      </c>
      <c r="F831" s="20">
        <v>268152.58</v>
      </c>
      <c r="G831" s="22">
        <v>45990</v>
      </c>
      <c r="H831" s="21" t="s">
        <v>61</v>
      </c>
      <c r="I831" s="40" t="str">
        <f>IFERROR(IF(VLOOKUP(E831,extracto!C:C,1,FALSE)=E831,"pagado","no pagado"),"no pagado")</f>
        <v>pagado</v>
      </c>
      <c r="J831" s="41" t="str">
        <f t="shared" si="432"/>
        <v>pagado</v>
      </c>
      <c r="K831" s="40" t="str">
        <f t="shared" ca="1" si="433"/>
        <v>excluir</v>
      </c>
      <c r="L831" s="40" t="str">
        <f t="shared" ca="1" si="434"/>
        <v>no semana</v>
      </c>
      <c r="M831" s="40" t="str">
        <f>IFERROR(VLOOKUP(E831,'cheques a conf'!A:D,4,FALSE),"no clearing")</f>
        <v>no clearing</v>
      </c>
      <c r="N831" s="40">
        <f t="shared" si="435"/>
        <v>48</v>
      </c>
      <c r="O831" s="42">
        <f t="shared" si="436"/>
        <v>11</v>
      </c>
      <c r="P831" s="42">
        <f t="shared" si="437"/>
        <v>2025</v>
      </c>
    </row>
    <row r="832" spans="1:16" x14ac:dyDescent="0.2">
      <c r="A832" s="21">
        <v>1200002615</v>
      </c>
      <c r="B832" s="22">
        <v>45980</v>
      </c>
      <c r="C832" s="20">
        <v>11899200</v>
      </c>
      <c r="D832" s="21" t="s">
        <v>296</v>
      </c>
      <c r="E832" s="21">
        <v>97124021</v>
      </c>
      <c r="F832" s="20">
        <v>11899200</v>
      </c>
      <c r="G832" s="22">
        <v>45990</v>
      </c>
      <c r="H832" s="21" t="s">
        <v>61</v>
      </c>
      <c r="I832" s="40" t="str">
        <f>IFERROR(IF(VLOOKUP(E832,extracto!C:C,1,FALSE)=E832,"pagado","no pagado"),"no pagado")</f>
        <v>pagado</v>
      </c>
      <c r="J832" s="41" t="str">
        <f t="shared" si="432"/>
        <v>pagado</v>
      </c>
      <c r="K832" s="40" t="str">
        <f t="shared" ca="1" si="433"/>
        <v>excluir</v>
      </c>
      <c r="L832" s="40" t="str">
        <f t="shared" ca="1" si="434"/>
        <v>no semana</v>
      </c>
      <c r="M832" s="40" t="str">
        <f>IFERROR(VLOOKUP(E832,'cheques a conf'!A:D,4,FALSE),"no clearing")</f>
        <v>no clearing</v>
      </c>
      <c r="N832" s="40">
        <f t="shared" si="435"/>
        <v>48</v>
      </c>
      <c r="O832" s="42">
        <f t="shared" si="436"/>
        <v>11</v>
      </c>
      <c r="P832" s="42">
        <f t="shared" si="437"/>
        <v>2025</v>
      </c>
    </row>
    <row r="833" spans="1:16" x14ac:dyDescent="0.2">
      <c r="A833" s="21">
        <v>1200002615</v>
      </c>
      <c r="B833" s="22">
        <v>45980</v>
      </c>
      <c r="C833" s="20">
        <v>4414331.4000000004</v>
      </c>
      <c r="D833" s="21" t="s">
        <v>296</v>
      </c>
      <c r="E833" s="21">
        <v>97124022</v>
      </c>
      <c r="F833" s="20">
        <v>4414331.4000000004</v>
      </c>
      <c r="G833" s="22">
        <v>45990</v>
      </c>
      <c r="H833" s="21" t="s">
        <v>61</v>
      </c>
      <c r="I833" s="40" t="str">
        <f>IFERROR(IF(VLOOKUP(E833,extracto!C:C,1,FALSE)=E833,"pagado","no pagado"),"no pagado")</f>
        <v>pagado</v>
      </c>
      <c r="J833" s="41" t="str">
        <f t="shared" si="432"/>
        <v>pagado</v>
      </c>
      <c r="K833" s="40" t="str">
        <f t="shared" ca="1" si="433"/>
        <v>excluir</v>
      </c>
      <c r="L833" s="40" t="str">
        <f t="shared" ca="1" si="434"/>
        <v>no semana</v>
      </c>
      <c r="M833" s="40" t="str">
        <f>IFERROR(VLOOKUP(E833,'cheques a conf'!A:D,4,FALSE),"no clearing")</f>
        <v>no clearing</v>
      </c>
      <c r="N833" s="40">
        <f t="shared" si="435"/>
        <v>48</v>
      </c>
      <c r="O833" s="42">
        <f t="shared" si="436"/>
        <v>11</v>
      </c>
      <c r="P833" s="42">
        <f t="shared" si="437"/>
        <v>2025</v>
      </c>
    </row>
    <row r="834" spans="1:16" x14ac:dyDescent="0.2">
      <c r="A834" s="21">
        <v>1200002615</v>
      </c>
      <c r="B834" s="22">
        <v>45980</v>
      </c>
      <c r="C834" s="20">
        <v>11849782.51</v>
      </c>
      <c r="D834" s="21" t="s">
        <v>296</v>
      </c>
      <c r="E834" s="21">
        <v>97124023</v>
      </c>
      <c r="F834" s="20">
        <v>11849782.51</v>
      </c>
      <c r="G834" s="22">
        <v>45990</v>
      </c>
      <c r="H834" s="21" t="s">
        <v>61</v>
      </c>
      <c r="I834" s="40" t="str">
        <f>IFERROR(IF(VLOOKUP(E834,extracto!C:C,1,FALSE)=E834,"pagado","no pagado"),"no pagado")</f>
        <v>pagado</v>
      </c>
      <c r="J834" s="41" t="str">
        <f t="shared" si="432"/>
        <v>pagado</v>
      </c>
      <c r="K834" s="40" t="str">
        <f t="shared" ca="1" si="433"/>
        <v>excluir</v>
      </c>
      <c r="L834" s="40" t="str">
        <f t="shared" ca="1" si="434"/>
        <v>no semana</v>
      </c>
      <c r="M834" s="40" t="str">
        <f>IFERROR(VLOOKUP(E834,'cheques a conf'!A:D,4,FALSE),"no clearing")</f>
        <v>no clearing</v>
      </c>
      <c r="N834" s="40">
        <f t="shared" si="435"/>
        <v>48</v>
      </c>
      <c r="O834" s="42">
        <f t="shared" si="436"/>
        <v>11</v>
      </c>
      <c r="P834" s="42">
        <f t="shared" si="437"/>
        <v>2025</v>
      </c>
    </row>
    <row r="835" spans="1:16" x14ac:dyDescent="0.2">
      <c r="A835" s="21">
        <v>1200002615</v>
      </c>
      <c r="B835" s="22">
        <v>45980</v>
      </c>
      <c r="C835" s="20">
        <v>2649480</v>
      </c>
      <c r="D835" s="21" t="s">
        <v>296</v>
      </c>
      <c r="E835" s="21">
        <v>97124024</v>
      </c>
      <c r="F835" s="20">
        <v>2649480</v>
      </c>
      <c r="G835" s="22">
        <v>45990</v>
      </c>
      <c r="H835" s="21" t="s">
        <v>61</v>
      </c>
      <c r="I835" s="40" t="str">
        <f>IFERROR(IF(VLOOKUP(E835,extracto!C:C,1,FALSE)=E835,"pagado","no pagado"),"no pagado")</f>
        <v>pagado</v>
      </c>
      <c r="J835" s="41" t="str">
        <f t="shared" si="432"/>
        <v>pagado</v>
      </c>
      <c r="K835" s="40" t="str">
        <f t="shared" ca="1" si="433"/>
        <v>excluir</v>
      </c>
      <c r="L835" s="40" t="str">
        <f t="shared" ca="1" si="434"/>
        <v>no semana</v>
      </c>
      <c r="M835" s="40" t="str">
        <f>IFERROR(VLOOKUP(E835,'cheques a conf'!A:D,4,FALSE),"no clearing")</f>
        <v>no clearing</v>
      </c>
      <c r="N835" s="40">
        <f t="shared" si="435"/>
        <v>48</v>
      </c>
      <c r="O835" s="42">
        <f t="shared" si="436"/>
        <v>11</v>
      </c>
      <c r="P835" s="42">
        <f t="shared" si="437"/>
        <v>2025</v>
      </c>
    </row>
    <row r="836" spans="1:16" x14ac:dyDescent="0.2">
      <c r="A836" s="21">
        <v>1200002615</v>
      </c>
      <c r="B836" s="22">
        <v>45980</v>
      </c>
      <c r="C836" s="20">
        <v>13708856</v>
      </c>
      <c r="D836" s="21" t="s">
        <v>296</v>
      </c>
      <c r="E836" s="21">
        <v>97124025</v>
      </c>
      <c r="F836" s="20">
        <v>13708856</v>
      </c>
      <c r="G836" s="22">
        <v>45990</v>
      </c>
      <c r="H836" s="21" t="s">
        <v>61</v>
      </c>
      <c r="I836" s="40" t="str">
        <f>IFERROR(IF(VLOOKUP(E836,extracto!C:C,1,FALSE)=E836,"pagado","no pagado"),"no pagado")</f>
        <v>pagado</v>
      </c>
      <c r="J836" s="41" t="str">
        <f t="shared" si="432"/>
        <v>pagado</v>
      </c>
      <c r="K836" s="40" t="str">
        <f t="shared" ca="1" si="433"/>
        <v>excluir</v>
      </c>
      <c r="L836" s="40" t="str">
        <f t="shared" ca="1" si="434"/>
        <v>no semana</v>
      </c>
      <c r="M836" s="40" t="str">
        <f>IFERROR(VLOOKUP(E836,'cheques a conf'!A:D,4,FALSE),"no clearing")</f>
        <v>no clearing</v>
      </c>
      <c r="N836" s="40">
        <f t="shared" si="435"/>
        <v>48</v>
      </c>
      <c r="O836" s="42">
        <f t="shared" si="436"/>
        <v>11</v>
      </c>
      <c r="P836" s="42">
        <f t="shared" si="437"/>
        <v>2025</v>
      </c>
    </row>
    <row r="837" spans="1:16" x14ac:dyDescent="0.2">
      <c r="A837" s="21">
        <v>1200002615</v>
      </c>
      <c r="B837" s="22">
        <v>45980</v>
      </c>
      <c r="C837" s="20">
        <v>15396681.859999999</v>
      </c>
      <c r="D837" s="21" t="s">
        <v>296</v>
      </c>
      <c r="E837" s="21">
        <v>97124026</v>
      </c>
      <c r="F837" s="20">
        <v>15396681.859999999</v>
      </c>
      <c r="G837" s="22">
        <v>45990</v>
      </c>
      <c r="H837" s="21" t="s">
        <v>61</v>
      </c>
      <c r="I837" s="40" t="str">
        <f>IFERROR(IF(VLOOKUP(E837,extracto!C:C,1,FALSE)=E837,"pagado","no pagado"),"no pagado")</f>
        <v>pagado</v>
      </c>
      <c r="J837" s="41" t="str">
        <f t="shared" si="432"/>
        <v>pagado</v>
      </c>
      <c r="K837" s="40" t="str">
        <f t="shared" ca="1" si="433"/>
        <v>excluir</v>
      </c>
      <c r="L837" s="40" t="str">
        <f t="shared" ca="1" si="434"/>
        <v>no semana</v>
      </c>
      <c r="M837" s="40" t="str">
        <f>IFERROR(VLOOKUP(E837,'cheques a conf'!A:D,4,FALSE),"no clearing")</f>
        <v>no clearing</v>
      </c>
      <c r="N837" s="40">
        <f t="shared" si="435"/>
        <v>48</v>
      </c>
      <c r="O837" s="42">
        <f t="shared" si="436"/>
        <v>11</v>
      </c>
      <c r="P837" s="42">
        <f t="shared" si="437"/>
        <v>2025</v>
      </c>
    </row>
    <row r="838" spans="1:16" x14ac:dyDescent="0.2">
      <c r="A838" s="21">
        <v>1200002615</v>
      </c>
      <c r="B838" s="22">
        <v>45980</v>
      </c>
      <c r="C838" s="20">
        <v>20121292.77</v>
      </c>
      <c r="D838" s="21" t="s">
        <v>296</v>
      </c>
      <c r="E838" s="21">
        <v>97124027</v>
      </c>
      <c r="F838" s="20">
        <v>20121292.77</v>
      </c>
      <c r="G838" s="22">
        <v>45990</v>
      </c>
      <c r="H838" s="21" t="s">
        <v>61</v>
      </c>
      <c r="I838" s="40" t="str">
        <f>IFERROR(IF(VLOOKUP(E838,extracto!C:C,1,FALSE)=E838,"pagado","no pagado"),"no pagado")</f>
        <v>pagado</v>
      </c>
      <c r="J838" s="41" t="str">
        <f t="shared" si="432"/>
        <v>pagado</v>
      </c>
      <c r="K838" s="40" t="str">
        <f t="shared" ca="1" si="433"/>
        <v>excluir</v>
      </c>
      <c r="L838" s="40" t="str">
        <f t="shared" ca="1" si="434"/>
        <v>no semana</v>
      </c>
      <c r="M838" s="40" t="str">
        <f>IFERROR(VLOOKUP(E838,'cheques a conf'!A:D,4,FALSE),"no clearing")</f>
        <v>no clearing</v>
      </c>
      <c r="N838" s="40">
        <f t="shared" si="435"/>
        <v>48</v>
      </c>
      <c r="O838" s="42">
        <f t="shared" si="436"/>
        <v>11</v>
      </c>
      <c r="P838" s="42">
        <f t="shared" si="437"/>
        <v>2025</v>
      </c>
    </row>
    <row r="839" spans="1:16" x14ac:dyDescent="0.2">
      <c r="A839" s="21">
        <v>1200002615</v>
      </c>
      <c r="B839" s="22">
        <v>45980</v>
      </c>
      <c r="C839" s="20">
        <v>28099555.68</v>
      </c>
      <c r="D839" s="21" t="s">
        <v>296</v>
      </c>
      <c r="E839" s="21">
        <v>97124028</v>
      </c>
      <c r="F839" s="20">
        <v>28099555.68</v>
      </c>
      <c r="G839" s="22">
        <v>45990</v>
      </c>
      <c r="H839" s="21" t="s">
        <v>61</v>
      </c>
      <c r="I839" s="40" t="str">
        <f>IFERROR(IF(VLOOKUP(E839,extracto!C:C,1,FALSE)=E839,"pagado","no pagado"),"no pagado")</f>
        <v>pagado</v>
      </c>
      <c r="J839" s="41" t="str">
        <f t="shared" si="432"/>
        <v>pagado</v>
      </c>
      <c r="K839" s="40" t="str">
        <f t="shared" ca="1" si="433"/>
        <v>excluir</v>
      </c>
      <c r="L839" s="40" t="str">
        <f t="shared" ca="1" si="434"/>
        <v>no semana</v>
      </c>
      <c r="M839" s="40" t="str">
        <f>IFERROR(VLOOKUP(E839,'cheques a conf'!A:D,4,FALSE),"no clearing")</f>
        <v>no clearing</v>
      </c>
      <c r="N839" s="40">
        <f t="shared" si="435"/>
        <v>48</v>
      </c>
      <c r="O839" s="42">
        <f t="shared" si="436"/>
        <v>11</v>
      </c>
      <c r="P839" s="42">
        <f t="shared" si="437"/>
        <v>2025</v>
      </c>
    </row>
    <row r="840" spans="1:16" x14ac:dyDescent="0.2">
      <c r="A840" s="21">
        <v>1200002615</v>
      </c>
      <c r="B840" s="22">
        <v>45980</v>
      </c>
      <c r="C840" s="20">
        <v>26642915.32</v>
      </c>
      <c r="D840" s="21" t="s">
        <v>296</v>
      </c>
      <c r="E840" s="21">
        <v>97124029</v>
      </c>
      <c r="F840" s="20">
        <v>26642915.32</v>
      </c>
      <c r="G840" s="22">
        <v>45990</v>
      </c>
      <c r="H840" s="21" t="s">
        <v>61</v>
      </c>
      <c r="I840" s="40" t="str">
        <f>IFERROR(IF(VLOOKUP(E840,extracto!C:C,1,FALSE)=E840,"pagado","no pagado"),"no pagado")</f>
        <v>pagado</v>
      </c>
      <c r="J840" s="41" t="str">
        <f t="shared" si="432"/>
        <v>pagado</v>
      </c>
      <c r="K840" s="40" t="str">
        <f t="shared" ca="1" si="433"/>
        <v>excluir</v>
      </c>
      <c r="L840" s="40" t="str">
        <f t="shared" ca="1" si="434"/>
        <v>no semana</v>
      </c>
      <c r="M840" s="40" t="str">
        <f>IFERROR(VLOOKUP(E840,'cheques a conf'!A:D,4,FALSE),"no clearing")</f>
        <v>no clearing</v>
      </c>
      <c r="N840" s="40">
        <f t="shared" si="435"/>
        <v>48</v>
      </c>
      <c r="O840" s="42">
        <f t="shared" si="436"/>
        <v>11</v>
      </c>
      <c r="P840" s="42">
        <f t="shared" si="437"/>
        <v>2025</v>
      </c>
    </row>
    <row r="841" spans="1:16" x14ac:dyDescent="0.2">
      <c r="A841" s="21">
        <v>1200002615</v>
      </c>
      <c r="B841" s="22">
        <v>45980</v>
      </c>
      <c r="C841" s="20">
        <v>49286997.939999998</v>
      </c>
      <c r="D841" s="21" t="s">
        <v>296</v>
      </c>
      <c r="E841" s="21">
        <v>97124030</v>
      </c>
      <c r="F841" s="20">
        <v>49286997.939999998</v>
      </c>
      <c r="G841" s="22">
        <v>45990</v>
      </c>
      <c r="H841" s="21" t="s">
        <v>61</v>
      </c>
      <c r="I841" s="40" t="str">
        <f>IFERROR(IF(VLOOKUP(E841,extracto!C:C,1,FALSE)=E841,"pagado","no pagado"),"no pagado")</f>
        <v>pagado</v>
      </c>
      <c r="J841" s="41" t="str">
        <f t="shared" si="432"/>
        <v>pagado</v>
      </c>
      <c r="K841" s="40" t="str">
        <f t="shared" ca="1" si="433"/>
        <v>excluir</v>
      </c>
      <c r="L841" s="40" t="str">
        <f t="shared" ca="1" si="434"/>
        <v>no semana</v>
      </c>
      <c r="M841" s="40" t="str">
        <f>IFERROR(VLOOKUP(E841,'cheques a conf'!A:D,4,FALSE),"no clearing")</f>
        <v>no clearing</v>
      </c>
      <c r="N841" s="40">
        <f t="shared" si="435"/>
        <v>48</v>
      </c>
      <c r="O841" s="42">
        <f t="shared" si="436"/>
        <v>11</v>
      </c>
      <c r="P841" s="42">
        <f t="shared" si="437"/>
        <v>2025</v>
      </c>
    </row>
    <row r="842" spans="1:16" x14ac:dyDescent="0.2">
      <c r="A842" s="21">
        <v>1200002615</v>
      </c>
      <c r="B842" s="22">
        <v>45980</v>
      </c>
      <c r="C842" s="20">
        <v>7240091.5300000003</v>
      </c>
      <c r="D842" s="21" t="s">
        <v>296</v>
      </c>
      <c r="E842" s="21">
        <v>97124031</v>
      </c>
      <c r="F842" s="20">
        <v>7240091.5300000003</v>
      </c>
      <c r="G842" s="22">
        <v>45990</v>
      </c>
      <c r="H842" s="21" t="s">
        <v>61</v>
      </c>
      <c r="I842" s="40" t="str">
        <f>IFERROR(IF(VLOOKUP(E842,extracto!C:C,1,FALSE)=E842,"pagado","no pagado"),"no pagado")</f>
        <v>pagado</v>
      </c>
      <c r="J842" s="41" t="str">
        <f t="shared" si="432"/>
        <v>pagado</v>
      </c>
      <c r="K842" s="40" t="str">
        <f t="shared" ca="1" si="433"/>
        <v>excluir</v>
      </c>
      <c r="L842" s="40" t="str">
        <f t="shared" ca="1" si="434"/>
        <v>no semana</v>
      </c>
      <c r="M842" s="40" t="str">
        <f>IFERROR(VLOOKUP(E842,'cheques a conf'!A:D,4,FALSE),"no clearing")</f>
        <v>no clearing</v>
      </c>
      <c r="N842" s="40">
        <f t="shared" si="435"/>
        <v>48</v>
      </c>
      <c r="O842" s="42">
        <f t="shared" si="436"/>
        <v>11</v>
      </c>
      <c r="P842" s="42">
        <f t="shared" si="437"/>
        <v>2025</v>
      </c>
    </row>
    <row r="843" spans="1:16" x14ac:dyDescent="0.2">
      <c r="A843" s="21">
        <v>1200002615</v>
      </c>
      <c r="B843" s="22">
        <v>45980</v>
      </c>
      <c r="C843" s="20">
        <v>14990000</v>
      </c>
      <c r="D843" s="21" t="s">
        <v>296</v>
      </c>
      <c r="E843" s="21">
        <v>97124032</v>
      </c>
      <c r="F843" s="20">
        <v>14990000</v>
      </c>
      <c r="G843" s="22">
        <v>45990</v>
      </c>
      <c r="H843" s="21" t="s">
        <v>61</v>
      </c>
      <c r="I843" s="40" t="str">
        <f>IFERROR(IF(VLOOKUP(E843,extracto!C:C,1,FALSE)=E843,"pagado","no pagado"),"no pagado")</f>
        <v>pagado</v>
      </c>
      <c r="J843" s="41" t="str">
        <f t="shared" si="432"/>
        <v>pagado</v>
      </c>
      <c r="K843" s="40" t="str">
        <f t="shared" ca="1" si="433"/>
        <v>excluir</v>
      </c>
      <c r="L843" s="40" t="str">
        <f t="shared" ca="1" si="434"/>
        <v>no semana</v>
      </c>
      <c r="M843" s="40" t="str">
        <f>IFERROR(VLOOKUP(E843,'cheques a conf'!A:D,4,FALSE),"no clearing")</f>
        <v>no clearing</v>
      </c>
      <c r="N843" s="40">
        <f t="shared" si="435"/>
        <v>48</v>
      </c>
      <c r="O843" s="42">
        <f t="shared" si="436"/>
        <v>11</v>
      </c>
      <c r="P843" s="42">
        <f t="shared" si="437"/>
        <v>2025</v>
      </c>
    </row>
    <row r="844" spans="1:16" x14ac:dyDescent="0.2">
      <c r="A844" s="21">
        <v>1200002615</v>
      </c>
      <c r="B844" s="22">
        <v>45980</v>
      </c>
      <c r="C844" s="20">
        <v>6711717.5</v>
      </c>
      <c r="D844" s="21" t="s">
        <v>296</v>
      </c>
      <c r="E844" s="21">
        <v>97124033</v>
      </c>
      <c r="F844" s="20">
        <v>6711717.5</v>
      </c>
      <c r="G844" s="22">
        <v>45990</v>
      </c>
      <c r="H844" s="21" t="s">
        <v>61</v>
      </c>
      <c r="I844" s="40" t="str">
        <f>IFERROR(IF(VLOOKUP(E844,extracto!C:C,1,FALSE)=E844,"pagado","no pagado"),"no pagado")</f>
        <v>pagado</v>
      </c>
      <c r="J844" s="41" t="str">
        <f t="shared" si="432"/>
        <v>pagado</v>
      </c>
      <c r="K844" s="40" t="str">
        <f t="shared" ca="1" si="433"/>
        <v>excluir</v>
      </c>
      <c r="L844" s="40" t="str">
        <f t="shared" ca="1" si="434"/>
        <v>no semana</v>
      </c>
      <c r="M844" s="40" t="str">
        <f>IFERROR(VLOOKUP(E844,'cheques a conf'!A:D,4,FALSE),"no clearing")</f>
        <v>no clearing</v>
      </c>
      <c r="N844" s="40">
        <f t="shared" si="435"/>
        <v>48</v>
      </c>
      <c r="O844" s="42">
        <f t="shared" si="436"/>
        <v>11</v>
      </c>
      <c r="P844" s="42">
        <f t="shared" si="437"/>
        <v>2025</v>
      </c>
    </row>
    <row r="845" spans="1:16" x14ac:dyDescent="0.2">
      <c r="A845" s="21">
        <v>1200002615</v>
      </c>
      <c r="B845" s="22">
        <v>45980</v>
      </c>
      <c r="C845" s="20">
        <v>5582050</v>
      </c>
      <c r="D845" s="21" t="s">
        <v>296</v>
      </c>
      <c r="E845" s="21">
        <v>97124034</v>
      </c>
      <c r="F845" s="20">
        <v>5582050</v>
      </c>
      <c r="G845" s="22">
        <v>45990</v>
      </c>
      <c r="H845" s="21" t="s">
        <v>61</v>
      </c>
      <c r="I845" s="40" t="str">
        <f>IFERROR(IF(VLOOKUP(E845,extracto!C:C,1,FALSE)=E845,"pagado","no pagado"),"no pagado")</f>
        <v>pagado</v>
      </c>
      <c r="J845" s="41" t="str">
        <f t="shared" si="432"/>
        <v>pagado</v>
      </c>
      <c r="K845" s="40" t="str">
        <f t="shared" ca="1" si="433"/>
        <v>excluir</v>
      </c>
      <c r="L845" s="40" t="str">
        <f t="shared" ca="1" si="434"/>
        <v>no semana</v>
      </c>
      <c r="M845" s="40" t="str">
        <f>IFERROR(VLOOKUP(E845,'cheques a conf'!A:D,4,FALSE),"no clearing")</f>
        <v>no clearing</v>
      </c>
      <c r="N845" s="40">
        <f t="shared" si="435"/>
        <v>48</v>
      </c>
      <c r="O845" s="42">
        <f t="shared" si="436"/>
        <v>11</v>
      </c>
      <c r="P845" s="42">
        <f t="shared" si="437"/>
        <v>2025</v>
      </c>
    </row>
    <row r="846" spans="1:16" x14ac:dyDescent="0.2">
      <c r="A846" s="21">
        <v>1200002615</v>
      </c>
      <c r="B846" s="22">
        <v>45980</v>
      </c>
      <c r="C846" s="20">
        <v>7101176.3300000001</v>
      </c>
      <c r="D846" s="21" t="s">
        <v>296</v>
      </c>
      <c r="E846" s="21">
        <v>97124035</v>
      </c>
      <c r="F846" s="20">
        <v>7101176.3300000001</v>
      </c>
      <c r="G846" s="22">
        <v>45990</v>
      </c>
      <c r="H846" s="21" t="s">
        <v>61</v>
      </c>
      <c r="I846" s="40" t="str">
        <f>IFERROR(IF(VLOOKUP(E846,extracto!C:C,1,FALSE)=E846,"pagado","no pagado"),"no pagado")</f>
        <v>pagado</v>
      </c>
      <c r="J846" s="41" t="str">
        <f t="shared" si="432"/>
        <v>pagado</v>
      </c>
      <c r="K846" s="40" t="str">
        <f t="shared" ca="1" si="433"/>
        <v>excluir</v>
      </c>
      <c r="L846" s="40" t="str">
        <f t="shared" ca="1" si="434"/>
        <v>no semana</v>
      </c>
      <c r="M846" s="40" t="str">
        <f>IFERROR(VLOOKUP(E846,'cheques a conf'!A:D,4,FALSE),"no clearing")</f>
        <v>no clearing</v>
      </c>
      <c r="N846" s="40">
        <f t="shared" si="435"/>
        <v>48</v>
      </c>
      <c r="O846" s="42">
        <f t="shared" si="436"/>
        <v>11</v>
      </c>
      <c r="P846" s="42">
        <f t="shared" si="437"/>
        <v>2025</v>
      </c>
    </row>
    <row r="847" spans="1:16" x14ac:dyDescent="0.2">
      <c r="A847" s="21">
        <v>1200002615</v>
      </c>
      <c r="B847" s="22">
        <v>45980</v>
      </c>
      <c r="C847" s="20">
        <v>3097373.68</v>
      </c>
      <c r="D847" s="21" t="s">
        <v>296</v>
      </c>
      <c r="E847" s="21">
        <v>97124036</v>
      </c>
      <c r="F847" s="20">
        <v>3097373.68</v>
      </c>
      <c r="G847" s="22">
        <v>45990</v>
      </c>
      <c r="H847" s="21" t="s">
        <v>61</v>
      </c>
      <c r="I847" s="40" t="str">
        <f>IFERROR(IF(VLOOKUP(E847,extracto!C:C,1,FALSE)=E847,"pagado","no pagado"),"no pagado")</f>
        <v>pagado</v>
      </c>
      <c r="J847" s="41" t="str">
        <f t="shared" si="432"/>
        <v>pagado</v>
      </c>
      <c r="K847" s="40" t="str">
        <f t="shared" ca="1" si="433"/>
        <v>excluir</v>
      </c>
      <c r="L847" s="40" t="str">
        <f t="shared" ca="1" si="434"/>
        <v>no semana</v>
      </c>
      <c r="M847" s="40" t="str">
        <f>IFERROR(VLOOKUP(E847,'cheques a conf'!A:D,4,FALSE),"no clearing")</f>
        <v>no clearing</v>
      </c>
      <c r="N847" s="40">
        <f t="shared" si="435"/>
        <v>48</v>
      </c>
      <c r="O847" s="42">
        <f t="shared" si="436"/>
        <v>11</v>
      </c>
      <c r="P847" s="42">
        <f t="shared" si="437"/>
        <v>2025</v>
      </c>
    </row>
    <row r="848" spans="1:16" x14ac:dyDescent="0.2">
      <c r="A848" s="21">
        <v>1200002615</v>
      </c>
      <c r="B848" s="22">
        <v>45980</v>
      </c>
      <c r="C848" s="20">
        <v>5535371.6699999999</v>
      </c>
      <c r="D848" s="21" t="s">
        <v>296</v>
      </c>
      <c r="E848" s="21">
        <v>97124037</v>
      </c>
      <c r="F848" s="20">
        <v>5535371.6699999999</v>
      </c>
      <c r="G848" s="22">
        <v>45990</v>
      </c>
      <c r="H848" s="21" t="s">
        <v>61</v>
      </c>
      <c r="I848" s="40" t="str">
        <f>IFERROR(IF(VLOOKUP(E848,extracto!C:C,1,FALSE)=E848,"pagado","no pagado"),"no pagado")</f>
        <v>pagado</v>
      </c>
      <c r="J848" s="41" t="str">
        <f t="shared" si="432"/>
        <v>pagado</v>
      </c>
      <c r="K848" s="40" t="str">
        <f t="shared" ca="1" si="433"/>
        <v>excluir</v>
      </c>
      <c r="L848" s="40" t="str">
        <f t="shared" ca="1" si="434"/>
        <v>no semana</v>
      </c>
      <c r="M848" s="40" t="str">
        <f>IFERROR(VLOOKUP(E848,'cheques a conf'!A:D,4,FALSE),"no clearing")</f>
        <v>no clearing</v>
      </c>
      <c r="N848" s="40">
        <f t="shared" si="435"/>
        <v>48</v>
      </c>
      <c r="O848" s="42">
        <f t="shared" si="436"/>
        <v>11</v>
      </c>
      <c r="P848" s="42">
        <f t="shared" si="437"/>
        <v>2025</v>
      </c>
    </row>
    <row r="849" spans="1:16" x14ac:dyDescent="0.2">
      <c r="A849" s="21">
        <v>1200002615</v>
      </c>
      <c r="B849" s="22">
        <v>45980</v>
      </c>
      <c r="C849" s="20">
        <v>3040467.88</v>
      </c>
      <c r="D849" s="21" t="s">
        <v>296</v>
      </c>
      <c r="E849" s="21">
        <v>97124038</v>
      </c>
      <c r="F849" s="20">
        <v>3040467.88</v>
      </c>
      <c r="G849" s="22">
        <v>45990</v>
      </c>
      <c r="H849" s="21" t="s">
        <v>61</v>
      </c>
      <c r="I849" s="40" t="str">
        <f>IFERROR(IF(VLOOKUP(E849,extracto!C:C,1,FALSE)=E849,"pagado","no pagado"),"no pagado")</f>
        <v>pagado</v>
      </c>
      <c r="J849" s="41" t="str">
        <f t="shared" si="432"/>
        <v>pagado</v>
      </c>
      <c r="K849" s="40" t="str">
        <f t="shared" ca="1" si="433"/>
        <v>excluir</v>
      </c>
      <c r="L849" s="40" t="str">
        <f t="shared" ca="1" si="434"/>
        <v>no semana</v>
      </c>
      <c r="M849" s="40" t="str">
        <f>IFERROR(VLOOKUP(E849,'cheques a conf'!A:D,4,FALSE),"no clearing")</f>
        <v>no clearing</v>
      </c>
      <c r="N849" s="40">
        <f t="shared" si="435"/>
        <v>48</v>
      </c>
      <c r="O849" s="42">
        <f t="shared" si="436"/>
        <v>11</v>
      </c>
      <c r="P849" s="42">
        <f t="shared" si="437"/>
        <v>2025</v>
      </c>
    </row>
    <row r="850" spans="1:16" x14ac:dyDescent="0.2">
      <c r="A850" s="21">
        <v>1200002615</v>
      </c>
      <c r="B850" s="22">
        <v>45980</v>
      </c>
      <c r="C850" s="20">
        <v>4987180.42</v>
      </c>
      <c r="D850" s="21" t="s">
        <v>296</v>
      </c>
      <c r="E850" s="21">
        <v>97124039</v>
      </c>
      <c r="F850" s="20">
        <v>4987180.42</v>
      </c>
      <c r="G850" s="22">
        <v>45990</v>
      </c>
      <c r="H850" s="21" t="s">
        <v>61</v>
      </c>
      <c r="I850" s="40" t="str">
        <f>IFERROR(IF(VLOOKUP(E850,extracto!C:C,1,FALSE)=E850,"pagado","no pagado"),"no pagado")</f>
        <v>pagado</v>
      </c>
      <c r="J850" s="41" t="str">
        <f t="shared" ref="J850:J885" si="438">IF(I850="pagado","pagado",IF(G850&lt;$V$1-30,"fuera de fecha","en periodo de pago"))</f>
        <v>pagado</v>
      </c>
      <c r="K850" s="40" t="str">
        <f t="shared" ref="K850:K885" ca="1" si="439">+IF(B850&gt;$V$1,"excluir",IF(J850="en periodo de pago",IF($V$1&gt;G850,"a pagar","proximo a vencer"),"excluir"))</f>
        <v>excluir</v>
      </c>
      <c r="L850" s="40" t="str">
        <f t="shared" ref="L850:L885" ca="1" si="440">+IF(K850="proximo a vencer",IF($V$1+5&gt;G850,"para la semana","no semana"),"no semana")</f>
        <v>no semana</v>
      </c>
      <c r="M850" s="40" t="str">
        <f>IFERROR(VLOOKUP(E850,'cheques a conf'!A:D,4,FALSE),"no clearing")</f>
        <v>no clearing</v>
      </c>
      <c r="N850" s="40">
        <f t="shared" ref="N850:N885" si="441">+WEEKNUM(G850,2)</f>
        <v>48</v>
      </c>
      <c r="O850" s="42">
        <f t="shared" ref="O850:O885" si="442">+MONTH(G850)</f>
        <v>11</v>
      </c>
      <c r="P850" s="42">
        <f t="shared" ref="P850:P885" si="443">+YEAR(G850)</f>
        <v>2025</v>
      </c>
    </row>
    <row r="851" spans="1:16" x14ac:dyDescent="0.2">
      <c r="A851" s="21">
        <v>1200002615</v>
      </c>
      <c r="B851" s="22">
        <v>45980</v>
      </c>
      <c r="C851" s="20">
        <v>40033196.640000001</v>
      </c>
      <c r="D851" s="21" t="s">
        <v>296</v>
      </c>
      <c r="E851" s="21">
        <v>97124040</v>
      </c>
      <c r="F851" s="20">
        <v>40033196.640000001</v>
      </c>
      <c r="G851" s="22">
        <v>45990</v>
      </c>
      <c r="H851" s="21" t="s">
        <v>61</v>
      </c>
      <c r="I851" s="40" t="str">
        <f>IFERROR(IF(VLOOKUP(E851,extracto!C:C,1,FALSE)=E851,"pagado","no pagado"),"no pagado")</f>
        <v>pagado</v>
      </c>
      <c r="J851" s="41" t="str">
        <f t="shared" si="438"/>
        <v>pagado</v>
      </c>
      <c r="K851" s="40" t="str">
        <f t="shared" ca="1" si="439"/>
        <v>excluir</v>
      </c>
      <c r="L851" s="40" t="str">
        <f t="shared" ca="1" si="440"/>
        <v>no semana</v>
      </c>
      <c r="M851" s="40" t="str">
        <f>IFERROR(VLOOKUP(E851,'cheques a conf'!A:D,4,FALSE),"no clearing")</f>
        <v>no clearing</v>
      </c>
      <c r="N851" s="40">
        <f t="shared" si="441"/>
        <v>48</v>
      </c>
      <c r="O851" s="42">
        <f t="shared" si="442"/>
        <v>11</v>
      </c>
      <c r="P851" s="42">
        <f t="shared" si="443"/>
        <v>2025</v>
      </c>
    </row>
    <row r="852" spans="1:16" x14ac:dyDescent="0.2">
      <c r="A852" s="21">
        <v>1200002615</v>
      </c>
      <c r="B852" s="22">
        <v>45980</v>
      </c>
      <c r="C852" s="20">
        <v>13919321.5</v>
      </c>
      <c r="D852" s="21" t="s">
        <v>296</v>
      </c>
      <c r="E852" s="21">
        <v>97124041</v>
      </c>
      <c r="F852" s="20">
        <v>13919321.5</v>
      </c>
      <c r="G852" s="22">
        <v>45990</v>
      </c>
      <c r="H852" s="21" t="s">
        <v>61</v>
      </c>
      <c r="I852" s="40" t="str">
        <f>IFERROR(IF(VLOOKUP(E852,extracto!C:C,1,FALSE)=E852,"pagado","no pagado"),"no pagado")</f>
        <v>pagado</v>
      </c>
      <c r="J852" s="41" t="str">
        <f t="shared" si="438"/>
        <v>pagado</v>
      </c>
      <c r="K852" s="40" t="str">
        <f t="shared" ca="1" si="439"/>
        <v>excluir</v>
      </c>
      <c r="L852" s="40" t="str">
        <f t="shared" ca="1" si="440"/>
        <v>no semana</v>
      </c>
      <c r="M852" s="40" t="str">
        <f>IFERROR(VLOOKUP(E852,'cheques a conf'!A:D,4,FALSE),"no clearing")</f>
        <v>no clearing</v>
      </c>
      <c r="N852" s="40">
        <f t="shared" si="441"/>
        <v>48</v>
      </c>
      <c r="O852" s="42">
        <f t="shared" si="442"/>
        <v>11</v>
      </c>
      <c r="P852" s="42">
        <f t="shared" si="443"/>
        <v>2025</v>
      </c>
    </row>
    <row r="853" spans="1:16" x14ac:dyDescent="0.2">
      <c r="A853" s="21">
        <v>1200002615</v>
      </c>
      <c r="B853" s="22">
        <v>45980</v>
      </c>
      <c r="C853" s="20">
        <v>7513475.2000000002</v>
      </c>
      <c r="D853" s="21" t="s">
        <v>296</v>
      </c>
      <c r="E853" s="21">
        <v>97124042</v>
      </c>
      <c r="F853" s="20">
        <v>7513475.2000000002</v>
      </c>
      <c r="G853" s="22">
        <v>45990</v>
      </c>
      <c r="H853" s="21" t="s">
        <v>61</v>
      </c>
      <c r="I853" s="40" t="str">
        <f>IFERROR(IF(VLOOKUP(E853,extracto!C:C,1,FALSE)=E853,"pagado","no pagado"),"no pagado")</f>
        <v>pagado</v>
      </c>
      <c r="J853" s="41" t="str">
        <f t="shared" si="438"/>
        <v>pagado</v>
      </c>
      <c r="K853" s="40" t="str">
        <f t="shared" ca="1" si="439"/>
        <v>excluir</v>
      </c>
      <c r="L853" s="40" t="str">
        <f t="shared" ca="1" si="440"/>
        <v>no semana</v>
      </c>
      <c r="M853" s="40" t="str">
        <f>IFERROR(VLOOKUP(E853,'cheques a conf'!A:D,4,FALSE),"no clearing")</f>
        <v>no clearing</v>
      </c>
      <c r="N853" s="40">
        <f t="shared" si="441"/>
        <v>48</v>
      </c>
      <c r="O853" s="42">
        <f t="shared" si="442"/>
        <v>11</v>
      </c>
      <c r="P853" s="42">
        <f t="shared" si="443"/>
        <v>2025</v>
      </c>
    </row>
    <row r="854" spans="1:16" x14ac:dyDescent="0.2">
      <c r="A854" s="21">
        <v>3000001664</v>
      </c>
      <c r="B854" s="22">
        <v>45980</v>
      </c>
      <c r="C854" s="20">
        <v>4000985.2</v>
      </c>
      <c r="D854" s="21" t="s">
        <v>297</v>
      </c>
      <c r="E854" s="21">
        <v>97124043</v>
      </c>
      <c r="F854" s="20">
        <v>4000985.2</v>
      </c>
      <c r="G854" s="22">
        <v>45990</v>
      </c>
      <c r="H854" s="21" t="s">
        <v>61</v>
      </c>
      <c r="I854" s="40" t="str">
        <f>IFERROR(IF(VLOOKUP(E854,extracto!C:C,1,FALSE)=E854,"pagado","no pagado"),"no pagado")</f>
        <v>pagado</v>
      </c>
      <c r="J854" s="41" t="str">
        <f t="shared" si="438"/>
        <v>pagado</v>
      </c>
      <c r="K854" s="40" t="str">
        <f t="shared" ca="1" si="439"/>
        <v>excluir</v>
      </c>
      <c r="L854" s="40" t="str">
        <f t="shared" ca="1" si="440"/>
        <v>no semana</v>
      </c>
      <c r="M854" s="40" t="str">
        <f>IFERROR(VLOOKUP(E854,'cheques a conf'!A:D,4,FALSE),"no clearing")</f>
        <v>no clearing</v>
      </c>
      <c r="N854" s="40">
        <f t="shared" si="441"/>
        <v>48</v>
      </c>
      <c r="O854" s="42">
        <f t="shared" si="442"/>
        <v>11</v>
      </c>
      <c r="P854" s="42">
        <f t="shared" si="443"/>
        <v>2025</v>
      </c>
    </row>
    <row r="855" spans="1:16" x14ac:dyDescent="0.2">
      <c r="A855" s="21">
        <v>3000001665</v>
      </c>
      <c r="B855" s="22">
        <v>45980</v>
      </c>
      <c r="C855" s="20">
        <v>2244632.56</v>
      </c>
      <c r="D855" s="21" t="s">
        <v>439</v>
      </c>
      <c r="E855" s="21">
        <v>97124044</v>
      </c>
      <c r="F855" s="20">
        <v>2244632.56</v>
      </c>
      <c r="G855" s="22">
        <v>45990</v>
      </c>
      <c r="H855" s="21" t="s">
        <v>61</v>
      </c>
      <c r="I855" s="40" t="str">
        <f>IFERROR(IF(VLOOKUP(E855,extracto!C:C,1,FALSE)=E855,"pagado","no pagado"),"no pagado")</f>
        <v>pagado</v>
      </c>
      <c r="J855" s="41" t="str">
        <f t="shared" si="438"/>
        <v>pagado</v>
      </c>
      <c r="K855" s="40" t="str">
        <f t="shared" ca="1" si="439"/>
        <v>excluir</v>
      </c>
      <c r="L855" s="40" t="str">
        <f t="shared" ca="1" si="440"/>
        <v>no semana</v>
      </c>
      <c r="M855" s="40" t="str">
        <f>IFERROR(VLOOKUP(E855,'cheques a conf'!A:D,4,FALSE),"no clearing")</f>
        <v>no clearing</v>
      </c>
      <c r="N855" s="40">
        <f t="shared" si="441"/>
        <v>48</v>
      </c>
      <c r="O855" s="42">
        <f t="shared" si="442"/>
        <v>11</v>
      </c>
      <c r="P855" s="42">
        <f t="shared" si="443"/>
        <v>2025</v>
      </c>
    </row>
    <row r="856" spans="1:16" x14ac:dyDescent="0.2">
      <c r="A856" s="21">
        <v>3000001666</v>
      </c>
      <c r="B856" s="22">
        <v>45980</v>
      </c>
      <c r="C856" s="20">
        <v>3672983.02</v>
      </c>
      <c r="D856" s="21" t="s">
        <v>440</v>
      </c>
      <c r="E856" s="21">
        <v>97124045</v>
      </c>
      <c r="F856" s="20">
        <v>3672983.02</v>
      </c>
      <c r="G856" s="22">
        <v>45990</v>
      </c>
      <c r="H856" s="21" t="s">
        <v>61</v>
      </c>
      <c r="I856" s="40" t="str">
        <f>IFERROR(IF(VLOOKUP(E856,extracto!C:C,1,FALSE)=E856,"pagado","no pagado"),"no pagado")</f>
        <v>pagado</v>
      </c>
      <c r="J856" s="41" t="str">
        <f t="shared" si="438"/>
        <v>pagado</v>
      </c>
      <c r="K856" s="40" t="str">
        <f t="shared" ca="1" si="439"/>
        <v>excluir</v>
      </c>
      <c r="L856" s="40" t="str">
        <f t="shared" ca="1" si="440"/>
        <v>no semana</v>
      </c>
      <c r="M856" s="40" t="str">
        <f>IFERROR(VLOOKUP(E856,'cheques a conf'!A:D,4,FALSE),"no clearing")</f>
        <v>no clearing</v>
      </c>
      <c r="N856" s="40">
        <f t="shared" si="441"/>
        <v>48</v>
      </c>
      <c r="O856" s="42">
        <f t="shared" si="442"/>
        <v>11</v>
      </c>
      <c r="P856" s="42">
        <f t="shared" si="443"/>
        <v>2025</v>
      </c>
    </row>
    <row r="857" spans="1:16" x14ac:dyDescent="0.2">
      <c r="A857" s="21">
        <v>3000001667</v>
      </c>
      <c r="B857" s="22">
        <v>45980</v>
      </c>
      <c r="C857" s="20">
        <v>6100578.6900000004</v>
      </c>
      <c r="D857" s="21" t="s">
        <v>441</v>
      </c>
      <c r="E857" s="21">
        <v>97124046</v>
      </c>
      <c r="F857" s="20">
        <v>6100578.6900000004</v>
      </c>
      <c r="G857" s="22">
        <v>45990</v>
      </c>
      <c r="H857" s="21" t="s">
        <v>61</v>
      </c>
      <c r="I857" s="40" t="str">
        <f>IFERROR(IF(VLOOKUP(E857,extracto!C:C,1,FALSE)=E857,"pagado","no pagado"),"no pagado")</f>
        <v>pagado</v>
      </c>
      <c r="J857" s="41" t="str">
        <f t="shared" si="438"/>
        <v>pagado</v>
      </c>
      <c r="K857" s="40" t="str">
        <f t="shared" ca="1" si="439"/>
        <v>excluir</v>
      </c>
      <c r="L857" s="40" t="str">
        <f t="shared" ca="1" si="440"/>
        <v>no semana</v>
      </c>
      <c r="M857" s="40" t="str">
        <f>IFERROR(VLOOKUP(E857,'cheques a conf'!A:D,4,FALSE),"no clearing")</f>
        <v>no clearing</v>
      </c>
      <c r="N857" s="40">
        <f t="shared" si="441"/>
        <v>48</v>
      </c>
      <c r="O857" s="42">
        <f t="shared" si="442"/>
        <v>11</v>
      </c>
      <c r="P857" s="42">
        <f t="shared" si="443"/>
        <v>2025</v>
      </c>
    </row>
    <row r="858" spans="1:16" x14ac:dyDescent="0.2">
      <c r="A858" s="21">
        <v>3000001668</v>
      </c>
      <c r="B858" s="22">
        <v>45980</v>
      </c>
      <c r="C858" s="20">
        <v>5926607.2300000004</v>
      </c>
      <c r="D858" s="21" t="s">
        <v>359</v>
      </c>
      <c r="E858" s="21">
        <v>97124047</v>
      </c>
      <c r="F858" s="20">
        <v>5926607.2300000004</v>
      </c>
      <c r="G858" s="22">
        <v>45990</v>
      </c>
      <c r="H858" s="21" t="s">
        <v>61</v>
      </c>
      <c r="I858" s="40" t="str">
        <f>IFERROR(IF(VLOOKUP(E858,extracto!C:C,1,FALSE)=E858,"pagado","no pagado"),"no pagado")</f>
        <v>pagado</v>
      </c>
      <c r="J858" s="41" t="str">
        <f t="shared" si="438"/>
        <v>pagado</v>
      </c>
      <c r="K858" s="40" t="str">
        <f t="shared" ca="1" si="439"/>
        <v>excluir</v>
      </c>
      <c r="L858" s="40" t="str">
        <f t="shared" ca="1" si="440"/>
        <v>no semana</v>
      </c>
      <c r="M858" s="40" t="str">
        <f>IFERROR(VLOOKUP(E858,'cheques a conf'!A:D,4,FALSE),"no clearing")</f>
        <v>no clearing</v>
      </c>
      <c r="N858" s="40">
        <f t="shared" si="441"/>
        <v>48</v>
      </c>
      <c r="O858" s="42">
        <f t="shared" si="442"/>
        <v>11</v>
      </c>
      <c r="P858" s="42">
        <f t="shared" si="443"/>
        <v>2025</v>
      </c>
    </row>
    <row r="859" spans="1:16" x14ac:dyDescent="0.2">
      <c r="A859" s="21">
        <v>3000001669</v>
      </c>
      <c r="B859" s="22">
        <v>45980</v>
      </c>
      <c r="C859" s="20">
        <v>3708431.34</v>
      </c>
      <c r="D859" s="21" t="s">
        <v>404</v>
      </c>
      <c r="E859" s="21">
        <v>97124048</v>
      </c>
      <c r="F859" s="20">
        <v>3708431.34</v>
      </c>
      <c r="G859" s="22">
        <v>45990</v>
      </c>
      <c r="H859" s="21" t="s">
        <v>61</v>
      </c>
      <c r="I859" s="40" t="str">
        <f>IFERROR(IF(VLOOKUP(E859,extracto!C:C,1,FALSE)=E859,"pagado","no pagado"),"no pagado")</f>
        <v>pagado</v>
      </c>
      <c r="J859" s="41" t="str">
        <f t="shared" si="438"/>
        <v>pagado</v>
      </c>
      <c r="K859" s="40" t="str">
        <f t="shared" ca="1" si="439"/>
        <v>excluir</v>
      </c>
      <c r="L859" s="40" t="str">
        <f t="shared" ca="1" si="440"/>
        <v>no semana</v>
      </c>
      <c r="M859" s="40" t="str">
        <f>IFERROR(VLOOKUP(E859,'cheques a conf'!A:D,4,FALSE),"no clearing")</f>
        <v>no clearing</v>
      </c>
      <c r="N859" s="40">
        <f t="shared" si="441"/>
        <v>48</v>
      </c>
      <c r="O859" s="42">
        <f t="shared" si="442"/>
        <v>11</v>
      </c>
      <c r="P859" s="42">
        <f t="shared" si="443"/>
        <v>2025</v>
      </c>
    </row>
    <row r="860" spans="1:16" x14ac:dyDescent="0.2">
      <c r="A860" s="21">
        <v>3000001695</v>
      </c>
      <c r="B860" s="22">
        <v>45992</v>
      </c>
      <c r="C860" s="20"/>
      <c r="D860" s="21" t="s">
        <v>436</v>
      </c>
      <c r="E860" s="21">
        <v>97124049</v>
      </c>
      <c r="F860" s="20">
        <v>0</v>
      </c>
      <c r="G860" s="22">
        <v>46000</v>
      </c>
      <c r="H860" s="21" t="s">
        <v>61</v>
      </c>
      <c r="I860" s="40" t="str">
        <f>IFERROR(IF(VLOOKUP(E860,extracto!C:C,1,FALSE)=E860,"pagado","no pagado"),"no pagado")</f>
        <v>no pagado</v>
      </c>
      <c r="J860" s="41" t="str">
        <f t="shared" ca="1" si="438"/>
        <v>fuera de fecha</v>
      </c>
      <c r="K860" s="40" t="str">
        <f t="shared" ca="1" si="439"/>
        <v>excluir</v>
      </c>
      <c r="L860" s="40" t="str">
        <f t="shared" ca="1" si="440"/>
        <v>no semana</v>
      </c>
      <c r="M860" s="40" t="str">
        <f>IFERROR(VLOOKUP(E860,'cheques a conf'!A:D,4,FALSE),"no clearing")</f>
        <v>no clearing</v>
      </c>
      <c r="N860" s="40">
        <f t="shared" si="441"/>
        <v>50</v>
      </c>
      <c r="O860" s="42">
        <f t="shared" si="442"/>
        <v>12</v>
      </c>
      <c r="P860" s="42">
        <f t="shared" si="443"/>
        <v>2025</v>
      </c>
    </row>
    <row r="861" spans="1:16" x14ac:dyDescent="0.2">
      <c r="A861" s="21">
        <v>3000001696</v>
      </c>
      <c r="B861" s="22">
        <v>45992</v>
      </c>
      <c r="C861" s="20">
        <v>10615596.67</v>
      </c>
      <c r="D861" s="21" t="s">
        <v>398</v>
      </c>
      <c r="E861" s="21">
        <v>97124050</v>
      </c>
      <c r="F861" s="20">
        <v>10615596.67</v>
      </c>
      <c r="G861" s="22">
        <v>46000</v>
      </c>
      <c r="H861" s="21" t="s">
        <v>61</v>
      </c>
      <c r="I861" s="40" t="str">
        <f>IFERROR(IF(VLOOKUP(E861,extracto!C:C,1,FALSE)=E861,"pagado","no pagado"),"no pagado")</f>
        <v>no pagado</v>
      </c>
      <c r="J861" s="41" t="str">
        <f t="shared" ca="1" si="438"/>
        <v>fuera de fecha</v>
      </c>
      <c r="K861" s="40" t="str">
        <f t="shared" ca="1" si="439"/>
        <v>excluir</v>
      </c>
      <c r="L861" s="40" t="str">
        <f t="shared" ca="1" si="440"/>
        <v>no semana</v>
      </c>
      <c r="M861" s="40" t="str">
        <f>IFERROR(VLOOKUP(E861,'cheques a conf'!A:D,4,FALSE),"no clearing")</f>
        <v>no clearing</v>
      </c>
      <c r="N861" s="40">
        <f t="shared" si="441"/>
        <v>50</v>
      </c>
      <c r="O861" s="42">
        <f t="shared" si="442"/>
        <v>12</v>
      </c>
      <c r="P861" s="42">
        <f t="shared" si="443"/>
        <v>2025</v>
      </c>
    </row>
    <row r="862" spans="1:16" x14ac:dyDescent="0.2">
      <c r="A862" s="21">
        <v>3000001697</v>
      </c>
      <c r="B862" s="22">
        <v>45992</v>
      </c>
      <c r="C862" s="20">
        <v>12703203.82</v>
      </c>
      <c r="D862" s="21" t="s">
        <v>381</v>
      </c>
      <c r="E862" s="21">
        <v>97124051</v>
      </c>
      <c r="F862" s="20">
        <v>12703203.82</v>
      </c>
      <c r="G862" s="22">
        <v>46000</v>
      </c>
      <c r="H862" s="21" t="s">
        <v>61</v>
      </c>
      <c r="I862" s="40" t="str">
        <f>IFERROR(IF(VLOOKUP(E862,extracto!C:C,1,FALSE)=E862,"pagado","no pagado"),"no pagado")</f>
        <v>pagado</v>
      </c>
      <c r="J862" s="41" t="str">
        <f t="shared" si="438"/>
        <v>pagado</v>
      </c>
      <c r="K862" s="40" t="str">
        <f t="shared" ca="1" si="439"/>
        <v>excluir</v>
      </c>
      <c r="L862" s="40" t="str">
        <f t="shared" ca="1" si="440"/>
        <v>no semana</v>
      </c>
      <c r="M862" s="40" t="str">
        <f>IFERROR(VLOOKUP(E862,'cheques a conf'!A:D,4,FALSE),"no clearing")</f>
        <v>no clearing</v>
      </c>
      <c r="N862" s="40">
        <f t="shared" si="441"/>
        <v>50</v>
      </c>
      <c r="O862" s="42">
        <f t="shared" si="442"/>
        <v>12</v>
      </c>
      <c r="P862" s="42">
        <f t="shared" si="443"/>
        <v>2025</v>
      </c>
    </row>
    <row r="863" spans="1:16" x14ac:dyDescent="0.2">
      <c r="A863" s="21">
        <v>3000001698</v>
      </c>
      <c r="B863" s="22">
        <v>45992</v>
      </c>
      <c r="C863" s="20">
        <v>3133343.4</v>
      </c>
      <c r="D863" s="21" t="s">
        <v>426</v>
      </c>
      <c r="E863" s="21">
        <v>97124052</v>
      </c>
      <c r="F863" s="20">
        <v>3133343.4</v>
      </c>
      <c r="G863" s="22">
        <v>46000</v>
      </c>
      <c r="H863" s="21" t="s">
        <v>61</v>
      </c>
      <c r="I863" s="40" t="str">
        <f>IFERROR(IF(VLOOKUP(E863,extracto!C:C,1,FALSE)=E863,"pagado","no pagado"),"no pagado")</f>
        <v>pagado</v>
      </c>
      <c r="J863" s="41" t="str">
        <f t="shared" si="438"/>
        <v>pagado</v>
      </c>
      <c r="K863" s="40" t="str">
        <f t="shared" ca="1" si="439"/>
        <v>excluir</v>
      </c>
      <c r="L863" s="40" t="str">
        <f t="shared" ca="1" si="440"/>
        <v>no semana</v>
      </c>
      <c r="M863" s="40" t="str">
        <f>IFERROR(VLOOKUP(E863,'cheques a conf'!A:D,4,FALSE),"no clearing")</f>
        <v>no clearing</v>
      </c>
      <c r="N863" s="40">
        <f t="shared" si="441"/>
        <v>50</v>
      </c>
      <c r="O863" s="42">
        <f t="shared" si="442"/>
        <v>12</v>
      </c>
      <c r="P863" s="42">
        <f t="shared" si="443"/>
        <v>2025</v>
      </c>
    </row>
    <row r="864" spans="1:16" x14ac:dyDescent="0.2">
      <c r="A864" s="21">
        <v>3000001699</v>
      </c>
      <c r="B864" s="22">
        <v>45992</v>
      </c>
      <c r="C864" s="20">
        <v>3994274.89</v>
      </c>
      <c r="D864" s="21" t="s">
        <v>431</v>
      </c>
      <c r="E864" s="21">
        <v>97124053</v>
      </c>
      <c r="F864" s="20">
        <v>3994274.89</v>
      </c>
      <c r="G864" s="22">
        <v>46000</v>
      </c>
      <c r="H864" s="21" t="s">
        <v>61</v>
      </c>
      <c r="I864" s="40" t="str">
        <f>IFERROR(IF(VLOOKUP(E864,extracto!C:C,1,FALSE)=E864,"pagado","no pagado"),"no pagado")</f>
        <v>pagado</v>
      </c>
      <c r="J864" s="41" t="str">
        <f t="shared" si="438"/>
        <v>pagado</v>
      </c>
      <c r="K864" s="40" t="str">
        <f t="shared" ca="1" si="439"/>
        <v>excluir</v>
      </c>
      <c r="L864" s="40" t="str">
        <f t="shared" ca="1" si="440"/>
        <v>no semana</v>
      </c>
      <c r="M864" s="40" t="str">
        <f>IFERROR(VLOOKUP(E864,'cheques a conf'!A:D,4,FALSE),"no clearing")</f>
        <v>no clearing</v>
      </c>
      <c r="N864" s="40">
        <f t="shared" si="441"/>
        <v>50</v>
      </c>
      <c r="O864" s="42">
        <f t="shared" si="442"/>
        <v>12</v>
      </c>
      <c r="P864" s="42">
        <f t="shared" si="443"/>
        <v>2025</v>
      </c>
    </row>
    <row r="865" spans="1:16" x14ac:dyDescent="0.2">
      <c r="A865" s="21">
        <v>3000001700</v>
      </c>
      <c r="B865" s="22">
        <v>45992</v>
      </c>
      <c r="C865" s="20">
        <v>13302377.59</v>
      </c>
      <c r="D865" s="21" t="s">
        <v>394</v>
      </c>
      <c r="E865" s="21">
        <v>97124054</v>
      </c>
      <c r="F865" s="20">
        <v>13302377.59</v>
      </c>
      <c r="G865" s="22">
        <v>46001</v>
      </c>
      <c r="H865" s="21" t="s">
        <v>61</v>
      </c>
      <c r="I865" s="40" t="str">
        <f>IFERROR(IF(VLOOKUP(E865,extracto!C:C,1,FALSE)=E865,"pagado","no pagado"),"no pagado")</f>
        <v>pagado</v>
      </c>
      <c r="J865" s="41" t="str">
        <f t="shared" si="438"/>
        <v>pagado</v>
      </c>
      <c r="K865" s="40" t="str">
        <f t="shared" ca="1" si="439"/>
        <v>excluir</v>
      </c>
      <c r="L865" s="40" t="str">
        <f t="shared" ca="1" si="440"/>
        <v>no semana</v>
      </c>
      <c r="M865" s="40" t="str">
        <f>IFERROR(VLOOKUP(E865,'cheques a conf'!A:D,4,FALSE),"no clearing")</f>
        <v>no clearing</v>
      </c>
      <c r="N865" s="40">
        <f t="shared" si="441"/>
        <v>50</v>
      </c>
      <c r="O865" s="42">
        <f t="shared" si="442"/>
        <v>12</v>
      </c>
      <c r="P865" s="42">
        <f t="shared" si="443"/>
        <v>2025</v>
      </c>
    </row>
    <row r="866" spans="1:16" x14ac:dyDescent="0.2">
      <c r="A866" s="21">
        <v>3000001701</v>
      </c>
      <c r="B866" s="22">
        <v>45992</v>
      </c>
      <c r="C866" s="20">
        <v>6789793.4000000004</v>
      </c>
      <c r="D866" s="21" t="s">
        <v>357</v>
      </c>
      <c r="E866" s="21">
        <v>97124055</v>
      </c>
      <c r="F866" s="20">
        <v>6789793.4000000004</v>
      </c>
      <c r="G866" s="22">
        <v>46001</v>
      </c>
      <c r="H866" s="21" t="s">
        <v>61</v>
      </c>
      <c r="I866" s="40" t="str">
        <f>IFERROR(IF(VLOOKUP(E866,extracto!C:C,1,FALSE)=E866,"pagado","no pagado"),"no pagado")</f>
        <v>pagado</v>
      </c>
      <c r="J866" s="41" t="str">
        <f t="shared" si="438"/>
        <v>pagado</v>
      </c>
      <c r="K866" s="40" t="str">
        <f t="shared" ca="1" si="439"/>
        <v>excluir</v>
      </c>
      <c r="L866" s="40" t="str">
        <f t="shared" ca="1" si="440"/>
        <v>no semana</v>
      </c>
      <c r="M866" s="40" t="str">
        <f>IFERROR(VLOOKUP(E866,'cheques a conf'!A:D,4,FALSE),"no clearing")</f>
        <v>no clearing</v>
      </c>
      <c r="N866" s="40">
        <f t="shared" si="441"/>
        <v>50</v>
      </c>
      <c r="O866" s="42">
        <f t="shared" si="442"/>
        <v>12</v>
      </c>
      <c r="P866" s="42">
        <f t="shared" si="443"/>
        <v>2025</v>
      </c>
    </row>
    <row r="867" spans="1:16" x14ac:dyDescent="0.2">
      <c r="A867" s="21">
        <v>3000001702</v>
      </c>
      <c r="B867" s="22">
        <v>45992</v>
      </c>
      <c r="C867" s="20">
        <v>4297443.43</v>
      </c>
      <c r="D867" s="21" t="s">
        <v>429</v>
      </c>
      <c r="E867" s="21">
        <v>97124056</v>
      </c>
      <c r="F867" s="20">
        <v>4297443.43</v>
      </c>
      <c r="G867" s="22">
        <v>46001</v>
      </c>
      <c r="H867" s="21" t="s">
        <v>61</v>
      </c>
      <c r="I867" s="40" t="str">
        <f>IFERROR(IF(VLOOKUP(E867,extracto!C:C,1,FALSE)=E867,"pagado","no pagado"),"no pagado")</f>
        <v>pagado</v>
      </c>
      <c r="J867" s="41" t="str">
        <f t="shared" si="438"/>
        <v>pagado</v>
      </c>
      <c r="K867" s="40" t="str">
        <f t="shared" ca="1" si="439"/>
        <v>excluir</v>
      </c>
      <c r="L867" s="40" t="str">
        <f t="shared" ca="1" si="440"/>
        <v>no semana</v>
      </c>
      <c r="M867" s="40" t="str">
        <f>IFERROR(VLOOKUP(E867,'cheques a conf'!A:D,4,FALSE),"no clearing")</f>
        <v>no clearing</v>
      </c>
      <c r="N867" s="40">
        <f t="shared" si="441"/>
        <v>50</v>
      </c>
      <c r="O867" s="42">
        <f t="shared" si="442"/>
        <v>12</v>
      </c>
      <c r="P867" s="42">
        <f t="shared" si="443"/>
        <v>2025</v>
      </c>
    </row>
    <row r="868" spans="1:16" x14ac:dyDescent="0.2">
      <c r="A868" s="21">
        <v>3000001703</v>
      </c>
      <c r="B868" s="22">
        <v>45992</v>
      </c>
      <c r="C868" s="20">
        <v>24755560</v>
      </c>
      <c r="D868" s="21" t="s">
        <v>426</v>
      </c>
      <c r="E868" s="21">
        <v>97124057</v>
      </c>
      <c r="F868" s="20">
        <v>24755560</v>
      </c>
      <c r="G868" s="22">
        <v>46001</v>
      </c>
      <c r="H868" s="21" t="s">
        <v>61</v>
      </c>
      <c r="I868" s="40" t="str">
        <f>IFERROR(IF(VLOOKUP(E868,extracto!C:C,1,FALSE)=E868,"pagado","no pagado"),"no pagado")</f>
        <v>pagado</v>
      </c>
      <c r="J868" s="41" t="str">
        <f t="shared" si="438"/>
        <v>pagado</v>
      </c>
      <c r="K868" s="40" t="str">
        <f t="shared" ca="1" si="439"/>
        <v>excluir</v>
      </c>
      <c r="L868" s="40" t="str">
        <f t="shared" ca="1" si="440"/>
        <v>no semana</v>
      </c>
      <c r="M868" s="40" t="str">
        <f>IFERROR(VLOOKUP(E868,'cheques a conf'!A:D,4,FALSE),"no clearing")</f>
        <v>no clearing</v>
      </c>
      <c r="N868" s="40">
        <f t="shared" si="441"/>
        <v>50</v>
      </c>
      <c r="O868" s="42">
        <f t="shared" si="442"/>
        <v>12</v>
      </c>
      <c r="P868" s="42">
        <f t="shared" si="443"/>
        <v>2025</v>
      </c>
    </row>
    <row r="869" spans="1:16" x14ac:dyDescent="0.2">
      <c r="A869" s="21">
        <v>3000001704</v>
      </c>
      <c r="B869" s="22">
        <v>45992</v>
      </c>
      <c r="C869" s="20">
        <v>4600000</v>
      </c>
      <c r="D869" s="21" t="s">
        <v>287</v>
      </c>
      <c r="E869" s="21">
        <v>97124058</v>
      </c>
      <c r="F869" s="20">
        <v>4600000</v>
      </c>
      <c r="G869" s="22">
        <v>46001</v>
      </c>
      <c r="H869" s="21" t="s">
        <v>61</v>
      </c>
      <c r="I869" s="40" t="str">
        <f>IFERROR(IF(VLOOKUP(E869,extracto!C:C,1,FALSE)=E869,"pagado","no pagado"),"no pagado")</f>
        <v>pagado</v>
      </c>
      <c r="J869" s="41" t="str">
        <f t="shared" si="438"/>
        <v>pagado</v>
      </c>
      <c r="K869" s="40" t="str">
        <f t="shared" ca="1" si="439"/>
        <v>excluir</v>
      </c>
      <c r="L869" s="40" t="str">
        <f t="shared" ca="1" si="440"/>
        <v>no semana</v>
      </c>
      <c r="M869" s="40" t="str">
        <f>IFERROR(VLOOKUP(E869,'cheques a conf'!A:D,4,FALSE),"no clearing")</f>
        <v>no clearing</v>
      </c>
      <c r="N869" s="40">
        <f t="shared" si="441"/>
        <v>50</v>
      </c>
      <c r="O869" s="42">
        <f t="shared" si="442"/>
        <v>12</v>
      </c>
      <c r="P869" s="42">
        <f t="shared" si="443"/>
        <v>2025</v>
      </c>
    </row>
    <row r="870" spans="1:16" x14ac:dyDescent="0.2">
      <c r="A870" s="21">
        <v>3000001704</v>
      </c>
      <c r="B870" s="22">
        <v>45992</v>
      </c>
      <c r="C870" s="20">
        <v>3000000</v>
      </c>
      <c r="D870" s="21" t="s">
        <v>287</v>
      </c>
      <c r="E870" s="21">
        <v>97124059</v>
      </c>
      <c r="F870" s="20">
        <v>3000000</v>
      </c>
      <c r="G870" s="22">
        <v>46001</v>
      </c>
      <c r="H870" s="21" t="s">
        <v>61</v>
      </c>
      <c r="I870" s="40" t="str">
        <f>IFERROR(IF(VLOOKUP(E870,extracto!C:C,1,FALSE)=E870,"pagado","no pagado"),"no pagado")</f>
        <v>pagado</v>
      </c>
      <c r="J870" s="41" t="str">
        <f t="shared" si="438"/>
        <v>pagado</v>
      </c>
      <c r="K870" s="40" t="str">
        <f t="shared" ca="1" si="439"/>
        <v>excluir</v>
      </c>
      <c r="L870" s="40" t="str">
        <f t="shared" ca="1" si="440"/>
        <v>no semana</v>
      </c>
      <c r="M870" s="40" t="str">
        <f>IFERROR(VLOOKUP(E870,'cheques a conf'!A:D,4,FALSE),"no clearing")</f>
        <v>no clearing</v>
      </c>
      <c r="N870" s="40">
        <f t="shared" si="441"/>
        <v>50</v>
      </c>
      <c r="O870" s="42">
        <f t="shared" si="442"/>
        <v>12</v>
      </c>
      <c r="P870" s="42">
        <f t="shared" si="443"/>
        <v>2025</v>
      </c>
    </row>
    <row r="871" spans="1:16" x14ac:dyDescent="0.2">
      <c r="A871" s="21">
        <v>3000001704</v>
      </c>
      <c r="B871" s="22">
        <v>45992</v>
      </c>
      <c r="C871" s="20">
        <v>5000000</v>
      </c>
      <c r="D871" s="21" t="s">
        <v>287</v>
      </c>
      <c r="E871" s="21">
        <v>97124060</v>
      </c>
      <c r="F871" s="20">
        <v>5000000</v>
      </c>
      <c r="G871" s="22">
        <v>46001</v>
      </c>
      <c r="H871" s="21" t="s">
        <v>61</v>
      </c>
      <c r="I871" s="40" t="str">
        <f>IFERROR(IF(VLOOKUP(E871,extracto!C:C,1,FALSE)=E871,"pagado","no pagado"),"no pagado")</f>
        <v>pagado</v>
      </c>
      <c r="J871" s="41" t="str">
        <f t="shared" si="438"/>
        <v>pagado</v>
      </c>
      <c r="K871" s="40" t="str">
        <f t="shared" ca="1" si="439"/>
        <v>excluir</v>
      </c>
      <c r="L871" s="40" t="str">
        <f t="shared" ca="1" si="440"/>
        <v>no semana</v>
      </c>
      <c r="M871" s="40" t="str">
        <f>IFERROR(VLOOKUP(E871,'cheques a conf'!A:D,4,FALSE),"no clearing")</f>
        <v>no clearing</v>
      </c>
      <c r="N871" s="40">
        <f t="shared" si="441"/>
        <v>50</v>
      </c>
      <c r="O871" s="42">
        <f t="shared" si="442"/>
        <v>12</v>
      </c>
      <c r="P871" s="42">
        <f t="shared" si="443"/>
        <v>2025</v>
      </c>
    </row>
    <row r="872" spans="1:16" x14ac:dyDescent="0.2">
      <c r="A872" s="21">
        <v>3000001704</v>
      </c>
      <c r="B872" s="22">
        <v>45992</v>
      </c>
      <c r="C872" s="20">
        <v>5000000</v>
      </c>
      <c r="D872" s="21" t="s">
        <v>287</v>
      </c>
      <c r="E872" s="21">
        <v>97124061</v>
      </c>
      <c r="F872" s="20">
        <v>5000000</v>
      </c>
      <c r="G872" s="22">
        <v>46001</v>
      </c>
      <c r="H872" s="21" t="s">
        <v>61</v>
      </c>
      <c r="I872" s="40" t="str">
        <f>IFERROR(IF(VLOOKUP(E872,extracto!C:C,1,FALSE)=E872,"pagado","no pagado"),"no pagado")</f>
        <v>pagado</v>
      </c>
      <c r="J872" s="41" t="str">
        <f t="shared" si="438"/>
        <v>pagado</v>
      </c>
      <c r="K872" s="40" t="str">
        <f t="shared" ca="1" si="439"/>
        <v>excluir</v>
      </c>
      <c r="L872" s="40" t="str">
        <f t="shared" ca="1" si="440"/>
        <v>no semana</v>
      </c>
      <c r="M872" s="40" t="str">
        <f>IFERROR(VLOOKUP(E872,'cheques a conf'!A:D,4,FALSE),"no clearing")</f>
        <v>no clearing</v>
      </c>
      <c r="N872" s="40">
        <f t="shared" si="441"/>
        <v>50</v>
      </c>
      <c r="O872" s="42">
        <f t="shared" si="442"/>
        <v>12</v>
      </c>
      <c r="P872" s="42">
        <f t="shared" si="443"/>
        <v>2025</v>
      </c>
    </row>
    <row r="873" spans="1:16" x14ac:dyDescent="0.2">
      <c r="A873" s="21">
        <v>3000001704</v>
      </c>
      <c r="B873" s="22">
        <v>45992</v>
      </c>
      <c r="C873" s="20">
        <v>5000000</v>
      </c>
      <c r="D873" s="21" t="s">
        <v>287</v>
      </c>
      <c r="E873" s="21">
        <v>97124062</v>
      </c>
      <c r="F873" s="20">
        <v>5000000</v>
      </c>
      <c r="G873" s="22">
        <v>46001</v>
      </c>
      <c r="H873" s="21" t="s">
        <v>61</v>
      </c>
      <c r="I873" s="40" t="str">
        <f>IFERROR(IF(VLOOKUP(E873,extracto!C:C,1,FALSE)=E873,"pagado","no pagado"),"no pagado")</f>
        <v>pagado</v>
      </c>
      <c r="J873" s="41" t="str">
        <f t="shared" si="438"/>
        <v>pagado</v>
      </c>
      <c r="K873" s="40" t="str">
        <f t="shared" ca="1" si="439"/>
        <v>excluir</v>
      </c>
      <c r="L873" s="40" t="str">
        <f t="shared" ca="1" si="440"/>
        <v>no semana</v>
      </c>
      <c r="M873" s="40" t="str">
        <f>IFERROR(VLOOKUP(E873,'cheques a conf'!A:D,4,FALSE),"no clearing")</f>
        <v>no clearing</v>
      </c>
      <c r="N873" s="40">
        <f t="shared" si="441"/>
        <v>50</v>
      </c>
      <c r="O873" s="42">
        <f t="shared" si="442"/>
        <v>12</v>
      </c>
      <c r="P873" s="42">
        <f t="shared" si="443"/>
        <v>2025</v>
      </c>
    </row>
    <row r="874" spans="1:16" x14ac:dyDescent="0.2">
      <c r="A874" s="21">
        <v>3000001704</v>
      </c>
      <c r="B874" s="22">
        <v>45992</v>
      </c>
      <c r="C874" s="20">
        <v>3136140.4</v>
      </c>
      <c r="D874" s="21" t="s">
        <v>287</v>
      </c>
      <c r="E874" s="21">
        <v>97124063</v>
      </c>
      <c r="F874" s="20">
        <v>3136140.4</v>
      </c>
      <c r="G874" s="22">
        <v>46001</v>
      </c>
      <c r="H874" s="21" t="s">
        <v>61</v>
      </c>
      <c r="I874" s="40" t="str">
        <f>IFERROR(IF(VLOOKUP(E874,extracto!C:C,1,FALSE)=E874,"pagado","no pagado"),"no pagado")</f>
        <v>pagado</v>
      </c>
      <c r="J874" s="41" t="str">
        <f t="shared" si="438"/>
        <v>pagado</v>
      </c>
      <c r="K874" s="40" t="str">
        <f t="shared" ca="1" si="439"/>
        <v>excluir</v>
      </c>
      <c r="L874" s="40" t="str">
        <f t="shared" ca="1" si="440"/>
        <v>no semana</v>
      </c>
      <c r="M874" s="40" t="str">
        <f>IFERROR(VLOOKUP(E874,'cheques a conf'!A:D,4,FALSE),"no clearing")</f>
        <v>no clearing</v>
      </c>
      <c r="N874" s="40">
        <f t="shared" si="441"/>
        <v>50</v>
      </c>
      <c r="O874" s="42">
        <f t="shared" si="442"/>
        <v>12</v>
      </c>
      <c r="P874" s="42">
        <f t="shared" si="443"/>
        <v>2025</v>
      </c>
    </row>
    <row r="875" spans="1:16" x14ac:dyDescent="0.2">
      <c r="A875" s="21">
        <v>3000001706</v>
      </c>
      <c r="B875" s="22">
        <v>45993</v>
      </c>
      <c r="C875" s="20">
        <v>63600000</v>
      </c>
      <c r="D875" s="21" t="s">
        <v>442</v>
      </c>
      <c r="E875" s="21">
        <v>97124064</v>
      </c>
      <c r="F875" s="20">
        <v>63600000</v>
      </c>
      <c r="G875" s="22">
        <v>46043</v>
      </c>
      <c r="H875" s="21" t="s">
        <v>61</v>
      </c>
      <c r="I875" s="40" t="str">
        <f>IFERROR(IF(VLOOKUP(E875,extracto!C:C,1,FALSE)=E875,"pagado","no pagado"),"no pagado")</f>
        <v>pagado</v>
      </c>
      <c r="J875" s="41" t="str">
        <f t="shared" si="438"/>
        <v>pagado</v>
      </c>
      <c r="K875" s="40" t="str">
        <f t="shared" ca="1" si="439"/>
        <v>excluir</v>
      </c>
      <c r="L875" s="40" t="str">
        <f t="shared" ca="1" si="440"/>
        <v>no semana</v>
      </c>
      <c r="M875" s="40" t="str">
        <f>IFERROR(VLOOKUP(E875,'cheques a conf'!A:D,4,FALSE),"no clearing")</f>
        <v>no clearing</v>
      </c>
      <c r="N875" s="40">
        <f t="shared" si="441"/>
        <v>4</v>
      </c>
      <c r="O875" s="42">
        <f t="shared" si="442"/>
        <v>1</v>
      </c>
      <c r="P875" s="42">
        <f t="shared" si="443"/>
        <v>2026</v>
      </c>
    </row>
    <row r="876" spans="1:16" x14ac:dyDescent="0.2">
      <c r="A876" s="21">
        <v>3000001706</v>
      </c>
      <c r="B876" s="22">
        <v>45993</v>
      </c>
      <c r="C876" s="20">
        <v>63601602.25</v>
      </c>
      <c r="D876" s="21" t="s">
        <v>442</v>
      </c>
      <c r="E876" s="21">
        <v>97124065</v>
      </c>
      <c r="F876" s="20">
        <v>63601602.25</v>
      </c>
      <c r="G876" s="22">
        <v>46073</v>
      </c>
      <c r="H876" s="21" t="s">
        <v>61</v>
      </c>
      <c r="I876" s="40" t="str">
        <f>IFERROR(IF(VLOOKUP(E876,extracto!C:C,1,FALSE)=E876,"pagado","no pagado"),"no pagado")</f>
        <v>pagado</v>
      </c>
      <c r="J876" s="41" t="str">
        <f t="shared" si="438"/>
        <v>pagado</v>
      </c>
      <c r="K876" s="40" t="str">
        <f t="shared" ca="1" si="439"/>
        <v>excluir</v>
      </c>
      <c r="L876" s="40" t="str">
        <f t="shared" ca="1" si="440"/>
        <v>no semana</v>
      </c>
      <c r="M876" s="40" t="str">
        <f>IFERROR(VLOOKUP(E876,'cheques a conf'!A:D,4,FALSE),"no clearing")</f>
        <v>no clearing</v>
      </c>
      <c r="N876" s="40">
        <f t="shared" si="441"/>
        <v>8</v>
      </c>
      <c r="O876" s="42">
        <f t="shared" si="442"/>
        <v>2</v>
      </c>
      <c r="P876" s="42">
        <f t="shared" si="443"/>
        <v>2026</v>
      </c>
    </row>
    <row r="877" spans="1:16" x14ac:dyDescent="0.2">
      <c r="A877" s="21">
        <v>3000001709</v>
      </c>
      <c r="B877" s="22">
        <v>45994</v>
      </c>
      <c r="C877" s="20">
        <v>6570120.8600000003</v>
      </c>
      <c r="D877" s="21" t="s">
        <v>419</v>
      </c>
      <c r="E877" s="21">
        <v>97124066</v>
      </c>
      <c r="F877" s="20">
        <v>6570120.8600000003</v>
      </c>
      <c r="G877" s="22">
        <v>46000</v>
      </c>
      <c r="H877" s="21" t="s">
        <v>61</v>
      </c>
      <c r="I877" s="40" t="str">
        <f>IFERROR(IF(VLOOKUP(E877,extracto!C:C,1,FALSE)=E877,"pagado","no pagado"),"no pagado")</f>
        <v>pagado</v>
      </c>
      <c r="J877" s="41" t="str">
        <f t="shared" si="438"/>
        <v>pagado</v>
      </c>
      <c r="K877" s="40" t="str">
        <f t="shared" ca="1" si="439"/>
        <v>excluir</v>
      </c>
      <c r="L877" s="40" t="str">
        <f t="shared" ca="1" si="440"/>
        <v>no semana</v>
      </c>
      <c r="M877" s="40" t="str">
        <f>IFERROR(VLOOKUP(E877,'cheques a conf'!A:D,4,FALSE),"no clearing")</f>
        <v>no clearing</v>
      </c>
      <c r="N877" s="40">
        <f t="shared" si="441"/>
        <v>50</v>
      </c>
      <c r="O877" s="42">
        <f t="shared" si="442"/>
        <v>12</v>
      </c>
      <c r="P877" s="42">
        <f t="shared" si="443"/>
        <v>2025</v>
      </c>
    </row>
    <row r="878" spans="1:16" x14ac:dyDescent="0.2">
      <c r="A878" s="21">
        <v>3000001709</v>
      </c>
      <c r="B878" s="22">
        <v>45994</v>
      </c>
      <c r="C878" s="20">
        <v>12964401.23</v>
      </c>
      <c r="D878" s="21" t="s">
        <v>419</v>
      </c>
      <c r="E878" s="21">
        <v>97124067</v>
      </c>
      <c r="F878" s="20">
        <v>12964401.23</v>
      </c>
      <c r="G878" s="22">
        <v>46001</v>
      </c>
      <c r="H878" s="21" t="s">
        <v>61</v>
      </c>
      <c r="I878" s="40" t="str">
        <f>IFERROR(IF(VLOOKUP(E878,extracto!C:C,1,FALSE)=E878,"pagado","no pagado"),"no pagado")</f>
        <v>pagado</v>
      </c>
      <c r="J878" s="41" t="str">
        <f t="shared" si="438"/>
        <v>pagado</v>
      </c>
      <c r="K878" s="40" t="str">
        <f t="shared" ca="1" si="439"/>
        <v>excluir</v>
      </c>
      <c r="L878" s="40" t="str">
        <f t="shared" ca="1" si="440"/>
        <v>no semana</v>
      </c>
      <c r="M878" s="40" t="str">
        <f>IFERROR(VLOOKUP(E878,'cheques a conf'!A:D,4,FALSE),"no clearing")</f>
        <v>no clearing</v>
      </c>
      <c r="N878" s="40">
        <f t="shared" si="441"/>
        <v>50</v>
      </c>
      <c r="O878" s="42">
        <f t="shared" si="442"/>
        <v>12</v>
      </c>
      <c r="P878" s="42">
        <f t="shared" si="443"/>
        <v>2025</v>
      </c>
    </row>
    <row r="879" spans="1:16" x14ac:dyDescent="0.2">
      <c r="A879" s="21">
        <v>3000001709</v>
      </c>
      <c r="B879" s="22">
        <v>45994</v>
      </c>
      <c r="C879" s="20">
        <v>5854966.75</v>
      </c>
      <c r="D879" s="21" t="s">
        <v>419</v>
      </c>
      <c r="E879" s="21">
        <v>97124068</v>
      </c>
      <c r="F879" s="20">
        <v>5854966.75</v>
      </c>
      <c r="G879" s="22">
        <v>46000</v>
      </c>
      <c r="H879" s="21" t="s">
        <v>61</v>
      </c>
      <c r="I879" s="40" t="str">
        <f>IFERROR(IF(VLOOKUP(E879,extracto!C:C,1,FALSE)=E879,"pagado","no pagado"),"no pagado")</f>
        <v>pagado</v>
      </c>
      <c r="J879" s="41" t="str">
        <f t="shared" si="438"/>
        <v>pagado</v>
      </c>
      <c r="K879" s="40" t="str">
        <f t="shared" ca="1" si="439"/>
        <v>excluir</v>
      </c>
      <c r="L879" s="40" t="str">
        <f t="shared" ca="1" si="440"/>
        <v>no semana</v>
      </c>
      <c r="M879" s="40" t="str">
        <f>IFERROR(VLOOKUP(E879,'cheques a conf'!A:D,4,FALSE),"no clearing")</f>
        <v>no clearing</v>
      </c>
      <c r="N879" s="40">
        <f t="shared" si="441"/>
        <v>50</v>
      </c>
      <c r="O879" s="42">
        <f t="shared" si="442"/>
        <v>12</v>
      </c>
      <c r="P879" s="42">
        <f t="shared" si="443"/>
        <v>2025</v>
      </c>
    </row>
    <row r="880" spans="1:16" x14ac:dyDescent="0.2">
      <c r="A880" s="21">
        <v>1200002672</v>
      </c>
      <c r="B880" s="22">
        <v>45995</v>
      </c>
      <c r="C880" s="20">
        <v>18979810.989999998</v>
      </c>
      <c r="D880" s="21" t="s">
        <v>305</v>
      </c>
      <c r="E880" s="21">
        <v>97124069</v>
      </c>
      <c r="F880" s="20">
        <v>18979810.989999998</v>
      </c>
      <c r="G880" s="22">
        <v>45996</v>
      </c>
      <c r="H880" s="21" t="s">
        <v>61</v>
      </c>
      <c r="I880" s="40" t="str">
        <f>IFERROR(IF(VLOOKUP(E880,extracto!C:C,1,FALSE)=E880,"pagado","no pagado"),"no pagado")</f>
        <v>pagado</v>
      </c>
      <c r="J880" s="41" t="str">
        <f t="shared" si="438"/>
        <v>pagado</v>
      </c>
      <c r="K880" s="40" t="str">
        <f t="shared" ca="1" si="439"/>
        <v>excluir</v>
      </c>
      <c r="L880" s="40" t="str">
        <f t="shared" ca="1" si="440"/>
        <v>no semana</v>
      </c>
      <c r="M880" s="40" t="str">
        <f>IFERROR(VLOOKUP(E880,'cheques a conf'!A:D,4,FALSE),"no clearing")</f>
        <v>no clearing</v>
      </c>
      <c r="N880" s="40">
        <f t="shared" si="441"/>
        <v>49</v>
      </c>
      <c r="O880" s="42">
        <f t="shared" si="442"/>
        <v>12</v>
      </c>
      <c r="P880" s="42">
        <f t="shared" si="443"/>
        <v>2025</v>
      </c>
    </row>
    <row r="881" spans="1:16" x14ac:dyDescent="0.2">
      <c r="A881" s="21">
        <v>3000001720</v>
      </c>
      <c r="B881" s="22">
        <v>45995</v>
      </c>
      <c r="C881" s="20">
        <v>45104674.950000003</v>
      </c>
      <c r="D881" s="21" t="s">
        <v>303</v>
      </c>
      <c r="E881" s="21">
        <v>97124070</v>
      </c>
      <c r="F881" s="20">
        <v>45104674.950000003</v>
      </c>
      <c r="G881" s="22">
        <v>46002</v>
      </c>
      <c r="H881" s="21" t="s">
        <v>61</v>
      </c>
      <c r="I881" s="40" t="str">
        <f>IFERROR(IF(VLOOKUP(E881,extracto!C:C,1,FALSE)=E881,"pagado","no pagado"),"no pagado")</f>
        <v>pagado</v>
      </c>
      <c r="J881" s="41" t="str">
        <f t="shared" si="438"/>
        <v>pagado</v>
      </c>
      <c r="K881" s="40" t="str">
        <f t="shared" ca="1" si="439"/>
        <v>excluir</v>
      </c>
      <c r="L881" s="40" t="str">
        <f t="shared" ca="1" si="440"/>
        <v>no semana</v>
      </c>
      <c r="M881" s="40" t="str">
        <f>IFERROR(VLOOKUP(E881,'cheques a conf'!A:D,4,FALSE),"no clearing")</f>
        <v>no clearing</v>
      </c>
      <c r="N881" s="40">
        <f t="shared" si="441"/>
        <v>50</v>
      </c>
      <c r="O881" s="42">
        <f t="shared" si="442"/>
        <v>12</v>
      </c>
      <c r="P881" s="42">
        <f t="shared" si="443"/>
        <v>2025</v>
      </c>
    </row>
    <row r="882" spans="1:16" x14ac:dyDescent="0.2">
      <c r="A882" s="21">
        <v>3000001721</v>
      </c>
      <c r="B882" s="22">
        <v>45995</v>
      </c>
      <c r="C882" s="20">
        <v>33123719.050000001</v>
      </c>
      <c r="D882" s="21" t="s">
        <v>439</v>
      </c>
      <c r="E882" s="21">
        <v>97124071</v>
      </c>
      <c r="F882" s="20">
        <v>33123719.050000001</v>
      </c>
      <c r="G882" s="22">
        <v>46002</v>
      </c>
      <c r="H882" s="21" t="s">
        <v>61</v>
      </c>
      <c r="I882" s="40" t="str">
        <f>IFERROR(IF(VLOOKUP(E882,extracto!C:C,1,FALSE)=E882,"pagado","no pagado"),"no pagado")</f>
        <v>pagado</v>
      </c>
      <c r="J882" s="41" t="str">
        <f t="shared" si="438"/>
        <v>pagado</v>
      </c>
      <c r="K882" s="40" t="str">
        <f t="shared" ca="1" si="439"/>
        <v>excluir</v>
      </c>
      <c r="L882" s="40" t="str">
        <f t="shared" ca="1" si="440"/>
        <v>no semana</v>
      </c>
      <c r="M882" s="40" t="str">
        <f>IFERROR(VLOOKUP(E882,'cheques a conf'!A:D,4,FALSE),"no clearing")</f>
        <v>no clearing</v>
      </c>
      <c r="N882" s="40">
        <f t="shared" si="441"/>
        <v>50</v>
      </c>
      <c r="O882" s="42">
        <f t="shared" si="442"/>
        <v>12</v>
      </c>
      <c r="P882" s="42">
        <f t="shared" si="443"/>
        <v>2025</v>
      </c>
    </row>
    <row r="883" spans="1:16" x14ac:dyDescent="0.2">
      <c r="A883" s="21">
        <v>3000001722</v>
      </c>
      <c r="B883" s="22">
        <v>45995</v>
      </c>
      <c r="C883" s="20">
        <v>6356476.9000000004</v>
      </c>
      <c r="D883" s="21" t="s">
        <v>338</v>
      </c>
      <c r="E883" s="21">
        <v>97124072</v>
      </c>
      <c r="F883" s="20">
        <v>6356476.9000000004</v>
      </c>
      <c r="G883" s="22">
        <v>46001</v>
      </c>
      <c r="H883" s="21" t="s">
        <v>61</v>
      </c>
      <c r="I883" s="40" t="str">
        <f>IFERROR(IF(VLOOKUP(E883,extracto!C:C,1,FALSE)=E883,"pagado","no pagado"),"no pagado")</f>
        <v>pagado</v>
      </c>
      <c r="J883" s="41" t="str">
        <f t="shared" si="438"/>
        <v>pagado</v>
      </c>
      <c r="K883" s="40" t="str">
        <f t="shared" ca="1" si="439"/>
        <v>excluir</v>
      </c>
      <c r="L883" s="40" t="str">
        <f t="shared" ca="1" si="440"/>
        <v>no semana</v>
      </c>
      <c r="M883" s="40" t="str">
        <f>IFERROR(VLOOKUP(E883,'cheques a conf'!A:D,4,FALSE),"no clearing")</f>
        <v>no clearing</v>
      </c>
      <c r="N883" s="40">
        <f t="shared" si="441"/>
        <v>50</v>
      </c>
      <c r="O883" s="42">
        <f t="shared" si="442"/>
        <v>12</v>
      </c>
      <c r="P883" s="42">
        <f t="shared" si="443"/>
        <v>2025</v>
      </c>
    </row>
    <row r="884" spans="1:16" x14ac:dyDescent="0.2">
      <c r="A884" s="21">
        <v>3000001723</v>
      </c>
      <c r="B884" s="22">
        <v>45995</v>
      </c>
      <c r="C884" s="20">
        <v>5345038.4000000004</v>
      </c>
      <c r="D884" s="21" t="s">
        <v>354</v>
      </c>
      <c r="E884" s="21">
        <v>97124073</v>
      </c>
      <c r="F884" s="20">
        <v>5345038.4000000004</v>
      </c>
      <c r="G884" s="22">
        <v>46002</v>
      </c>
      <c r="H884" s="21" t="s">
        <v>61</v>
      </c>
      <c r="I884" s="40" t="str">
        <f>IFERROR(IF(VLOOKUP(E884,extracto!C:C,1,FALSE)=E884,"pagado","no pagado"),"no pagado")</f>
        <v>pagado</v>
      </c>
      <c r="J884" s="41" t="str">
        <f t="shared" si="438"/>
        <v>pagado</v>
      </c>
      <c r="K884" s="40" t="str">
        <f t="shared" ca="1" si="439"/>
        <v>excluir</v>
      </c>
      <c r="L884" s="40" t="str">
        <f t="shared" ca="1" si="440"/>
        <v>no semana</v>
      </c>
      <c r="M884" s="40" t="str">
        <f>IFERROR(VLOOKUP(E884,'cheques a conf'!A:D,4,FALSE),"no clearing")</f>
        <v>no clearing</v>
      </c>
      <c r="N884" s="40">
        <f t="shared" si="441"/>
        <v>50</v>
      </c>
      <c r="O884" s="42">
        <f t="shared" si="442"/>
        <v>12</v>
      </c>
      <c r="P884" s="42">
        <f t="shared" si="443"/>
        <v>2025</v>
      </c>
    </row>
    <row r="885" spans="1:16" x14ac:dyDescent="0.2">
      <c r="A885" s="21">
        <v>3000001724</v>
      </c>
      <c r="B885" s="22">
        <v>45995</v>
      </c>
      <c r="C885" s="20">
        <v>4999217.92</v>
      </c>
      <c r="D885" s="21" t="s">
        <v>443</v>
      </c>
      <c r="E885" s="21">
        <v>97124074</v>
      </c>
      <c r="F885" s="20">
        <v>4999217.92</v>
      </c>
      <c r="G885" s="22">
        <v>46001</v>
      </c>
      <c r="H885" s="21" t="s">
        <v>61</v>
      </c>
      <c r="I885" s="40" t="str">
        <f>IFERROR(IF(VLOOKUP(E885,extracto!C:C,1,FALSE)=E885,"pagado","no pagado"),"no pagado")</f>
        <v>pagado</v>
      </c>
      <c r="J885" s="41" t="str">
        <f t="shared" si="438"/>
        <v>pagado</v>
      </c>
      <c r="K885" s="40" t="str">
        <f t="shared" ca="1" si="439"/>
        <v>excluir</v>
      </c>
      <c r="L885" s="40" t="str">
        <f t="shared" ca="1" si="440"/>
        <v>no semana</v>
      </c>
      <c r="M885" s="40" t="str">
        <f>IFERROR(VLOOKUP(E885,'cheques a conf'!A:D,4,FALSE),"no clearing")</f>
        <v>no clearing</v>
      </c>
      <c r="N885" s="40">
        <f t="shared" si="441"/>
        <v>50</v>
      </c>
      <c r="O885" s="42">
        <f t="shared" si="442"/>
        <v>12</v>
      </c>
      <c r="P885" s="42">
        <f t="shared" si="443"/>
        <v>2025</v>
      </c>
    </row>
    <row r="886" spans="1:16" x14ac:dyDescent="0.2">
      <c r="A886" s="21">
        <v>3000001725</v>
      </c>
      <c r="B886" s="22">
        <v>45995</v>
      </c>
      <c r="C886" s="20">
        <v>3825767.92</v>
      </c>
      <c r="D886" s="21" t="s">
        <v>371</v>
      </c>
      <c r="E886" s="21">
        <v>97124075</v>
      </c>
      <c r="F886" s="20">
        <v>3825767.92</v>
      </c>
      <c r="G886" s="22">
        <v>46001</v>
      </c>
      <c r="H886" s="21" t="s">
        <v>61</v>
      </c>
      <c r="I886" s="40" t="str">
        <f>IFERROR(IF(VLOOKUP(E886,extracto!C:C,1,FALSE)=E886,"pagado","no pagado"),"no pagado")</f>
        <v>pagado</v>
      </c>
      <c r="J886" s="41" t="str">
        <f t="shared" ref="J886:J912" si="444">IF(I886="pagado","pagado",IF(G886&lt;$V$1-30,"fuera de fecha","en periodo de pago"))</f>
        <v>pagado</v>
      </c>
      <c r="K886" s="40" t="str">
        <f t="shared" ref="K886:K912" ca="1" si="445">+IF(B886&gt;$V$1,"excluir",IF(J886="en periodo de pago",IF($V$1&gt;G886,"a pagar","proximo a vencer"),"excluir"))</f>
        <v>excluir</v>
      </c>
      <c r="L886" s="40" t="str">
        <f t="shared" ref="L886:L912" ca="1" si="446">+IF(K886="proximo a vencer",IF($V$1+5&gt;G886,"para la semana","no semana"),"no semana")</f>
        <v>no semana</v>
      </c>
      <c r="M886" s="40" t="str">
        <f>IFERROR(VLOOKUP(E886,'cheques a conf'!A:D,4,FALSE),"no clearing")</f>
        <v>no clearing</v>
      </c>
      <c r="N886" s="40">
        <f t="shared" ref="N886:N912" si="447">+WEEKNUM(G886,2)</f>
        <v>50</v>
      </c>
      <c r="O886" s="42">
        <f t="shared" ref="O886:O912" si="448">+MONTH(G886)</f>
        <v>12</v>
      </c>
      <c r="P886" s="42">
        <f t="shared" ref="P886:P912" si="449">+YEAR(G886)</f>
        <v>2025</v>
      </c>
    </row>
    <row r="887" spans="1:16" x14ac:dyDescent="0.2">
      <c r="A887" s="21">
        <v>3000001726</v>
      </c>
      <c r="B887" s="22">
        <v>45995</v>
      </c>
      <c r="C887" s="20">
        <v>15051976.699999999</v>
      </c>
      <c r="D887" s="21" t="s">
        <v>384</v>
      </c>
      <c r="E887" s="21">
        <v>97124076</v>
      </c>
      <c r="F887" s="20">
        <v>15051976.699999999</v>
      </c>
      <c r="G887" s="22">
        <v>46002</v>
      </c>
      <c r="H887" s="21" t="s">
        <v>61</v>
      </c>
      <c r="I887" s="40" t="str">
        <f>IFERROR(IF(VLOOKUP(E887,extracto!C:C,1,FALSE)=E887,"pagado","no pagado"),"no pagado")</f>
        <v>pagado</v>
      </c>
      <c r="J887" s="41" t="str">
        <f t="shared" si="444"/>
        <v>pagado</v>
      </c>
      <c r="K887" s="40" t="str">
        <f t="shared" ca="1" si="445"/>
        <v>excluir</v>
      </c>
      <c r="L887" s="40" t="str">
        <f t="shared" ca="1" si="446"/>
        <v>no semana</v>
      </c>
      <c r="M887" s="40" t="str">
        <f>IFERROR(VLOOKUP(E887,'cheques a conf'!A:D,4,FALSE),"no clearing")</f>
        <v>no clearing</v>
      </c>
      <c r="N887" s="40">
        <f t="shared" si="447"/>
        <v>50</v>
      </c>
      <c r="O887" s="42">
        <f t="shared" si="448"/>
        <v>12</v>
      </c>
      <c r="P887" s="42">
        <f t="shared" si="449"/>
        <v>2025</v>
      </c>
    </row>
    <row r="888" spans="1:16" x14ac:dyDescent="0.2">
      <c r="A888" s="21">
        <v>3000001727</v>
      </c>
      <c r="B888" s="22">
        <v>45995</v>
      </c>
      <c r="C888" s="20">
        <v>4547308.76</v>
      </c>
      <c r="D888" s="21" t="s">
        <v>342</v>
      </c>
      <c r="E888" s="21">
        <v>97124077</v>
      </c>
      <c r="F888" s="20">
        <v>4547308.76</v>
      </c>
      <c r="G888" s="22">
        <v>46002</v>
      </c>
      <c r="H888" s="21" t="s">
        <v>61</v>
      </c>
      <c r="I888" s="40" t="str">
        <f>IFERROR(IF(VLOOKUP(E888,extracto!C:C,1,FALSE)=E888,"pagado","no pagado"),"no pagado")</f>
        <v>pagado</v>
      </c>
      <c r="J888" s="41" t="str">
        <f t="shared" si="444"/>
        <v>pagado</v>
      </c>
      <c r="K888" s="40" t="str">
        <f t="shared" ca="1" si="445"/>
        <v>excluir</v>
      </c>
      <c r="L888" s="40" t="str">
        <f t="shared" ca="1" si="446"/>
        <v>no semana</v>
      </c>
      <c r="M888" s="40" t="str">
        <f>IFERROR(VLOOKUP(E888,'cheques a conf'!A:D,4,FALSE),"no clearing")</f>
        <v>no clearing</v>
      </c>
      <c r="N888" s="40">
        <f t="shared" si="447"/>
        <v>50</v>
      </c>
      <c r="O888" s="42">
        <f t="shared" si="448"/>
        <v>12</v>
      </c>
      <c r="P888" s="42">
        <f t="shared" si="449"/>
        <v>2025</v>
      </c>
    </row>
    <row r="889" spans="1:16" x14ac:dyDescent="0.2">
      <c r="A889" s="21">
        <v>3000001728</v>
      </c>
      <c r="B889" s="22">
        <v>45995</v>
      </c>
      <c r="C889" s="20">
        <v>4094116.23</v>
      </c>
      <c r="D889" s="21" t="s">
        <v>306</v>
      </c>
      <c r="E889" s="21">
        <v>97124078</v>
      </c>
      <c r="F889" s="20">
        <v>4094116.23</v>
      </c>
      <c r="G889" s="22">
        <v>46002</v>
      </c>
      <c r="H889" s="21" t="s">
        <v>61</v>
      </c>
      <c r="I889" s="40" t="str">
        <f>IFERROR(IF(VLOOKUP(E889,extracto!C:C,1,FALSE)=E889,"pagado","no pagado"),"no pagado")</f>
        <v>pagado</v>
      </c>
      <c r="J889" s="41" t="str">
        <f t="shared" si="444"/>
        <v>pagado</v>
      </c>
      <c r="K889" s="40" t="str">
        <f t="shared" ca="1" si="445"/>
        <v>excluir</v>
      </c>
      <c r="L889" s="40" t="str">
        <f t="shared" ca="1" si="446"/>
        <v>no semana</v>
      </c>
      <c r="M889" s="40" t="str">
        <f>IFERROR(VLOOKUP(E889,'cheques a conf'!A:D,4,FALSE),"no clearing")</f>
        <v>no clearing</v>
      </c>
      <c r="N889" s="40">
        <f t="shared" si="447"/>
        <v>50</v>
      </c>
      <c r="O889" s="42">
        <f t="shared" si="448"/>
        <v>12</v>
      </c>
      <c r="P889" s="42">
        <f t="shared" si="449"/>
        <v>2025</v>
      </c>
    </row>
    <row r="890" spans="1:16" x14ac:dyDescent="0.2">
      <c r="A890" s="21">
        <v>3000001696</v>
      </c>
      <c r="B890" s="22">
        <v>45995</v>
      </c>
      <c r="C890" s="20">
        <v>10615596.67</v>
      </c>
      <c r="D890" s="21" t="s">
        <v>398</v>
      </c>
      <c r="E890" s="21">
        <v>97124079</v>
      </c>
      <c r="F890" s="20">
        <v>10615596.67</v>
      </c>
      <c r="G890" s="22">
        <v>46000</v>
      </c>
      <c r="H890" s="21" t="s">
        <v>61</v>
      </c>
      <c r="I890" s="40" t="str">
        <f>IFERROR(IF(VLOOKUP(E890,extracto!C:C,1,FALSE)=E890,"pagado","no pagado"),"no pagado")</f>
        <v>pagado</v>
      </c>
      <c r="J890" s="41" t="str">
        <f t="shared" si="444"/>
        <v>pagado</v>
      </c>
      <c r="K890" s="40" t="str">
        <f t="shared" ca="1" si="445"/>
        <v>excluir</v>
      </c>
      <c r="L890" s="40" t="str">
        <f t="shared" ca="1" si="446"/>
        <v>no semana</v>
      </c>
      <c r="M890" s="40" t="str">
        <f>IFERROR(VLOOKUP(E890,'cheques a conf'!A:D,4,FALSE),"no clearing")</f>
        <v>no clearing</v>
      </c>
      <c r="N890" s="40">
        <f t="shared" si="447"/>
        <v>50</v>
      </c>
      <c r="O890" s="42">
        <f t="shared" si="448"/>
        <v>12</v>
      </c>
      <c r="P890" s="42">
        <f t="shared" si="449"/>
        <v>2025</v>
      </c>
    </row>
    <row r="891" spans="1:16" x14ac:dyDescent="0.2">
      <c r="A891" s="21">
        <v>3000001754</v>
      </c>
      <c r="B891" s="22">
        <v>46001</v>
      </c>
      <c r="C891" s="20">
        <v>20900000</v>
      </c>
      <c r="D891" s="21" t="s">
        <v>350</v>
      </c>
      <c r="E891" s="21">
        <v>97124080</v>
      </c>
      <c r="F891" s="20">
        <v>20900000</v>
      </c>
      <c r="G891" s="22">
        <v>46007</v>
      </c>
      <c r="H891" s="21" t="s">
        <v>61</v>
      </c>
      <c r="I891" s="40" t="str">
        <f>IFERROR(IF(VLOOKUP(E891,extracto!C:C,1,FALSE)=E891,"pagado","no pagado"),"no pagado")</f>
        <v>pagado</v>
      </c>
      <c r="J891" s="41" t="str">
        <f t="shared" si="444"/>
        <v>pagado</v>
      </c>
      <c r="K891" s="40" t="str">
        <f t="shared" ca="1" si="445"/>
        <v>excluir</v>
      </c>
      <c r="L891" s="40" t="str">
        <f t="shared" ca="1" si="446"/>
        <v>no semana</v>
      </c>
      <c r="M891" s="40" t="str">
        <f>IFERROR(VLOOKUP(E891,'cheques a conf'!A:D,4,FALSE),"no clearing")</f>
        <v>no clearing</v>
      </c>
      <c r="N891" s="40">
        <f t="shared" si="447"/>
        <v>51</v>
      </c>
      <c r="O891" s="42">
        <f t="shared" si="448"/>
        <v>12</v>
      </c>
      <c r="P891" s="42">
        <f t="shared" si="449"/>
        <v>2025</v>
      </c>
    </row>
    <row r="892" spans="1:16" x14ac:dyDescent="0.2">
      <c r="A892" s="21">
        <v>3000001755</v>
      </c>
      <c r="B892" s="22">
        <v>46001</v>
      </c>
      <c r="C892" s="20">
        <v>24076343.399999999</v>
      </c>
      <c r="D892" s="21" t="s">
        <v>355</v>
      </c>
      <c r="E892" s="21">
        <v>97124081</v>
      </c>
      <c r="F892" s="20">
        <v>24076343.399999999</v>
      </c>
      <c r="G892" s="22">
        <v>46007</v>
      </c>
      <c r="H892" s="21" t="s">
        <v>61</v>
      </c>
      <c r="I892" s="40" t="str">
        <f>IFERROR(IF(VLOOKUP(E892,extracto!C:C,1,FALSE)=E892,"pagado","no pagado"),"no pagado")</f>
        <v>pagado</v>
      </c>
      <c r="J892" s="41" t="str">
        <f t="shared" si="444"/>
        <v>pagado</v>
      </c>
      <c r="K892" s="40" t="str">
        <f t="shared" ca="1" si="445"/>
        <v>excluir</v>
      </c>
      <c r="L892" s="40" t="str">
        <f t="shared" ca="1" si="446"/>
        <v>no semana</v>
      </c>
      <c r="M892" s="40" t="str">
        <f>IFERROR(VLOOKUP(E892,'cheques a conf'!A:D,4,FALSE),"no clearing")</f>
        <v>no clearing</v>
      </c>
      <c r="N892" s="40">
        <f t="shared" si="447"/>
        <v>51</v>
      </c>
      <c r="O892" s="42">
        <f t="shared" si="448"/>
        <v>12</v>
      </c>
      <c r="P892" s="42">
        <f t="shared" si="449"/>
        <v>2025</v>
      </c>
    </row>
    <row r="893" spans="1:16" x14ac:dyDescent="0.2">
      <c r="A893" s="21">
        <v>3000001756</v>
      </c>
      <c r="B893" s="22">
        <v>46001</v>
      </c>
      <c r="C893" s="20">
        <v>18956952.289999999</v>
      </c>
      <c r="D893" s="21" t="s">
        <v>359</v>
      </c>
      <c r="E893" s="21">
        <v>97124082</v>
      </c>
      <c r="F893" s="20">
        <v>18956952.289999999</v>
      </c>
      <c r="G893" s="22">
        <v>46007</v>
      </c>
      <c r="H893" s="21" t="s">
        <v>61</v>
      </c>
      <c r="I893" s="40" t="str">
        <f>IFERROR(IF(VLOOKUP(E893,extracto!C:C,1,FALSE)=E893,"pagado","no pagado"),"no pagado")</f>
        <v>pagado</v>
      </c>
      <c r="J893" s="41" t="str">
        <f t="shared" si="444"/>
        <v>pagado</v>
      </c>
      <c r="K893" s="40" t="str">
        <f t="shared" ca="1" si="445"/>
        <v>excluir</v>
      </c>
      <c r="L893" s="40" t="str">
        <f t="shared" ca="1" si="446"/>
        <v>no semana</v>
      </c>
      <c r="M893" s="40" t="str">
        <f>IFERROR(VLOOKUP(E893,'cheques a conf'!A:D,4,FALSE),"no clearing")</f>
        <v>no clearing</v>
      </c>
      <c r="N893" s="40">
        <f t="shared" si="447"/>
        <v>51</v>
      </c>
      <c r="O893" s="42">
        <f t="shared" si="448"/>
        <v>12</v>
      </c>
      <c r="P893" s="42">
        <f t="shared" si="449"/>
        <v>2025</v>
      </c>
    </row>
    <row r="894" spans="1:16" x14ac:dyDescent="0.2">
      <c r="A894" s="21">
        <v>3000001757</v>
      </c>
      <c r="B894" s="22">
        <v>46001</v>
      </c>
      <c r="C894" s="20">
        <v>8601128.9499999993</v>
      </c>
      <c r="D894" s="21" t="s">
        <v>54</v>
      </c>
      <c r="E894" s="21">
        <v>97124083</v>
      </c>
      <c r="F894" s="20">
        <v>8601128.9499999993</v>
      </c>
      <c r="G894" s="22">
        <v>46007</v>
      </c>
      <c r="H894" s="21" t="s">
        <v>61</v>
      </c>
      <c r="I894" s="40" t="str">
        <f>IFERROR(IF(VLOOKUP(E894,extracto!C:C,1,FALSE)=E894,"pagado","no pagado"),"no pagado")</f>
        <v>pagado</v>
      </c>
      <c r="J894" s="41" t="str">
        <f t="shared" si="444"/>
        <v>pagado</v>
      </c>
      <c r="K894" s="40" t="str">
        <f t="shared" ca="1" si="445"/>
        <v>excluir</v>
      </c>
      <c r="L894" s="40" t="str">
        <f t="shared" ca="1" si="446"/>
        <v>no semana</v>
      </c>
      <c r="M894" s="40" t="str">
        <f>IFERROR(VLOOKUP(E894,'cheques a conf'!A:D,4,FALSE),"no clearing")</f>
        <v>no clearing</v>
      </c>
      <c r="N894" s="40">
        <f t="shared" si="447"/>
        <v>51</v>
      </c>
      <c r="O894" s="42">
        <f t="shared" si="448"/>
        <v>12</v>
      </c>
      <c r="P894" s="42">
        <f t="shared" si="449"/>
        <v>2025</v>
      </c>
    </row>
    <row r="895" spans="1:16" x14ac:dyDescent="0.2">
      <c r="A895" s="21">
        <v>3000001758</v>
      </c>
      <c r="B895" s="22">
        <v>46001</v>
      </c>
      <c r="C895" s="20">
        <v>16796628.82</v>
      </c>
      <c r="D895" s="21" t="s">
        <v>444</v>
      </c>
      <c r="E895" s="21">
        <v>97124084</v>
      </c>
      <c r="F895" s="20">
        <v>16796628.82</v>
      </c>
      <c r="G895" s="22">
        <v>46007</v>
      </c>
      <c r="H895" s="21" t="s">
        <v>61</v>
      </c>
      <c r="I895" s="40" t="str">
        <f>IFERROR(IF(VLOOKUP(E895,extracto!C:C,1,FALSE)=E895,"pagado","no pagado"),"no pagado")</f>
        <v>pagado</v>
      </c>
      <c r="J895" s="41" t="str">
        <f t="shared" si="444"/>
        <v>pagado</v>
      </c>
      <c r="K895" s="40" t="str">
        <f t="shared" ca="1" si="445"/>
        <v>excluir</v>
      </c>
      <c r="L895" s="40" t="str">
        <f t="shared" ca="1" si="446"/>
        <v>no semana</v>
      </c>
      <c r="M895" s="40" t="str">
        <f>IFERROR(VLOOKUP(E895,'cheques a conf'!A:D,4,FALSE),"no clearing")</f>
        <v>no clearing</v>
      </c>
      <c r="N895" s="40">
        <f t="shared" si="447"/>
        <v>51</v>
      </c>
      <c r="O895" s="42">
        <f t="shared" si="448"/>
        <v>12</v>
      </c>
      <c r="P895" s="42">
        <f t="shared" si="449"/>
        <v>2025</v>
      </c>
    </row>
    <row r="896" spans="1:16" x14ac:dyDescent="0.2">
      <c r="A896" s="21">
        <v>3000001759</v>
      </c>
      <c r="B896" s="22">
        <v>46001</v>
      </c>
      <c r="C896" s="20">
        <v>8200167.6100000003</v>
      </c>
      <c r="D896" s="21" t="s">
        <v>357</v>
      </c>
      <c r="E896" s="21">
        <v>97124085</v>
      </c>
      <c r="F896" s="20">
        <v>8200167.6100000003</v>
      </c>
      <c r="G896" s="22">
        <v>46007</v>
      </c>
      <c r="H896" s="21" t="s">
        <v>61</v>
      </c>
      <c r="I896" s="40" t="str">
        <f>IFERROR(IF(VLOOKUP(E896,extracto!C:C,1,FALSE)=E896,"pagado","no pagado"),"no pagado")</f>
        <v>pagado</v>
      </c>
      <c r="J896" s="41" t="str">
        <f t="shared" si="444"/>
        <v>pagado</v>
      </c>
      <c r="K896" s="40" t="str">
        <f t="shared" ca="1" si="445"/>
        <v>excluir</v>
      </c>
      <c r="L896" s="40" t="str">
        <f t="shared" ca="1" si="446"/>
        <v>no semana</v>
      </c>
      <c r="M896" s="40" t="str">
        <f>IFERROR(VLOOKUP(E896,'cheques a conf'!A:D,4,FALSE),"no clearing")</f>
        <v>no clearing</v>
      </c>
      <c r="N896" s="40">
        <f t="shared" si="447"/>
        <v>51</v>
      </c>
      <c r="O896" s="42">
        <f t="shared" si="448"/>
        <v>12</v>
      </c>
      <c r="P896" s="42">
        <f t="shared" si="449"/>
        <v>2025</v>
      </c>
    </row>
    <row r="897" spans="1:16" x14ac:dyDescent="0.2">
      <c r="A897" s="21">
        <v>3000001760</v>
      </c>
      <c r="B897" s="22">
        <v>46001</v>
      </c>
      <c r="C897" s="20">
        <v>6000000</v>
      </c>
      <c r="D897" s="21" t="s">
        <v>346</v>
      </c>
      <c r="E897" s="21">
        <v>97124086</v>
      </c>
      <c r="F897" s="20">
        <v>6000000</v>
      </c>
      <c r="G897" s="22">
        <v>46007</v>
      </c>
      <c r="H897" s="21" t="s">
        <v>61</v>
      </c>
      <c r="I897" s="40" t="str">
        <f>IFERROR(IF(VLOOKUP(E897,extracto!C:C,1,FALSE)=E897,"pagado","no pagado"),"no pagado")</f>
        <v>pagado</v>
      </c>
      <c r="J897" s="41" t="str">
        <f t="shared" si="444"/>
        <v>pagado</v>
      </c>
      <c r="K897" s="40" t="str">
        <f t="shared" ca="1" si="445"/>
        <v>excluir</v>
      </c>
      <c r="L897" s="40" t="str">
        <f t="shared" ca="1" si="446"/>
        <v>no semana</v>
      </c>
      <c r="M897" s="40" t="str">
        <f>IFERROR(VLOOKUP(E897,'cheques a conf'!A:D,4,FALSE),"no clearing")</f>
        <v>no clearing</v>
      </c>
      <c r="N897" s="40">
        <f t="shared" si="447"/>
        <v>51</v>
      </c>
      <c r="O897" s="42">
        <f t="shared" si="448"/>
        <v>12</v>
      </c>
      <c r="P897" s="42">
        <f t="shared" si="449"/>
        <v>2025</v>
      </c>
    </row>
    <row r="898" spans="1:16" x14ac:dyDescent="0.2">
      <c r="A898" s="21">
        <v>3000001760</v>
      </c>
      <c r="B898" s="22">
        <v>46001</v>
      </c>
      <c r="C898" s="20">
        <v>6000000</v>
      </c>
      <c r="D898" s="21" t="s">
        <v>346</v>
      </c>
      <c r="E898" s="21">
        <v>97124087</v>
      </c>
      <c r="F898" s="20">
        <v>6000000</v>
      </c>
      <c r="G898" s="22">
        <v>46007</v>
      </c>
      <c r="H898" s="21" t="s">
        <v>61</v>
      </c>
      <c r="I898" s="40" t="str">
        <f>IFERROR(IF(VLOOKUP(E898,extracto!C:C,1,FALSE)=E898,"pagado","no pagado"),"no pagado")</f>
        <v>pagado</v>
      </c>
      <c r="J898" s="41" t="str">
        <f t="shared" si="444"/>
        <v>pagado</v>
      </c>
      <c r="K898" s="40" t="str">
        <f t="shared" ca="1" si="445"/>
        <v>excluir</v>
      </c>
      <c r="L898" s="40" t="str">
        <f t="shared" ca="1" si="446"/>
        <v>no semana</v>
      </c>
      <c r="M898" s="40" t="str">
        <f>IFERROR(VLOOKUP(E898,'cheques a conf'!A:D,4,FALSE),"no clearing")</f>
        <v>no clearing</v>
      </c>
      <c r="N898" s="40">
        <f t="shared" si="447"/>
        <v>51</v>
      </c>
      <c r="O898" s="42">
        <f t="shared" si="448"/>
        <v>12</v>
      </c>
      <c r="P898" s="42">
        <f t="shared" si="449"/>
        <v>2025</v>
      </c>
    </row>
    <row r="899" spans="1:16" x14ac:dyDescent="0.2">
      <c r="A899" s="21">
        <v>3000001760</v>
      </c>
      <c r="B899" s="22">
        <v>46001</v>
      </c>
      <c r="C899" s="20">
        <v>6000000</v>
      </c>
      <c r="D899" s="21" t="s">
        <v>346</v>
      </c>
      <c r="E899" s="21">
        <v>97124088</v>
      </c>
      <c r="F899" s="20">
        <v>6000000</v>
      </c>
      <c r="G899" s="22">
        <v>46008</v>
      </c>
      <c r="H899" s="21" t="s">
        <v>61</v>
      </c>
      <c r="I899" s="40" t="str">
        <f>IFERROR(IF(VLOOKUP(E899,extracto!C:C,1,FALSE)=E899,"pagado","no pagado"),"no pagado")</f>
        <v>pagado</v>
      </c>
      <c r="J899" s="41" t="str">
        <f t="shared" si="444"/>
        <v>pagado</v>
      </c>
      <c r="K899" s="40" t="str">
        <f t="shared" ca="1" si="445"/>
        <v>excluir</v>
      </c>
      <c r="L899" s="40" t="str">
        <f t="shared" ca="1" si="446"/>
        <v>no semana</v>
      </c>
      <c r="M899" s="40" t="str">
        <f>IFERROR(VLOOKUP(E899,'cheques a conf'!A:D,4,FALSE),"no clearing")</f>
        <v>no clearing</v>
      </c>
      <c r="N899" s="40">
        <f t="shared" si="447"/>
        <v>51</v>
      </c>
      <c r="O899" s="42">
        <f t="shared" si="448"/>
        <v>12</v>
      </c>
      <c r="P899" s="42">
        <f t="shared" si="449"/>
        <v>2025</v>
      </c>
    </row>
    <row r="900" spans="1:16" x14ac:dyDescent="0.2">
      <c r="A900" s="21">
        <v>3000001760</v>
      </c>
      <c r="B900" s="22">
        <v>46001</v>
      </c>
      <c r="C900" s="20">
        <v>8778452.2699999996</v>
      </c>
      <c r="D900" s="21" t="s">
        <v>346</v>
      </c>
      <c r="E900" s="21">
        <v>97124089</v>
      </c>
      <c r="F900" s="20">
        <v>8778452.2699999996</v>
      </c>
      <c r="G900" s="22">
        <v>46008</v>
      </c>
      <c r="H900" s="21" t="s">
        <v>61</v>
      </c>
      <c r="I900" s="40" t="str">
        <f>IFERROR(IF(VLOOKUP(E900,extracto!C:C,1,FALSE)=E900,"pagado","no pagado"),"no pagado")</f>
        <v>pagado</v>
      </c>
      <c r="J900" s="41" t="str">
        <f t="shared" si="444"/>
        <v>pagado</v>
      </c>
      <c r="K900" s="40" t="str">
        <f t="shared" ca="1" si="445"/>
        <v>excluir</v>
      </c>
      <c r="L900" s="40" t="str">
        <f t="shared" ca="1" si="446"/>
        <v>no semana</v>
      </c>
      <c r="M900" s="40" t="str">
        <f>IFERROR(VLOOKUP(E900,'cheques a conf'!A:D,4,FALSE),"no clearing")</f>
        <v>no clearing</v>
      </c>
      <c r="N900" s="40">
        <f t="shared" si="447"/>
        <v>51</v>
      </c>
      <c r="O900" s="42">
        <f t="shared" si="448"/>
        <v>12</v>
      </c>
      <c r="P900" s="42">
        <f t="shared" si="449"/>
        <v>2025</v>
      </c>
    </row>
    <row r="901" spans="1:16" x14ac:dyDescent="0.2">
      <c r="A901" s="21">
        <v>3000001761</v>
      </c>
      <c r="B901" s="22">
        <v>46002</v>
      </c>
      <c r="C901" s="20">
        <v>18400000</v>
      </c>
      <c r="D901" s="21" t="s">
        <v>442</v>
      </c>
      <c r="E901" s="21">
        <v>97124090</v>
      </c>
      <c r="F901" s="20">
        <v>18400000</v>
      </c>
      <c r="G901" s="22">
        <v>46020</v>
      </c>
      <c r="H901" s="21" t="s">
        <v>61</v>
      </c>
      <c r="I901" s="40" t="str">
        <f>IFERROR(IF(VLOOKUP(E901,extracto!C:C,1,FALSE)=E901,"pagado","no pagado"),"no pagado")</f>
        <v>pagado</v>
      </c>
      <c r="J901" s="41" t="str">
        <f t="shared" si="444"/>
        <v>pagado</v>
      </c>
      <c r="K901" s="40" t="str">
        <f t="shared" ca="1" si="445"/>
        <v>excluir</v>
      </c>
      <c r="L901" s="40" t="str">
        <f t="shared" ca="1" si="446"/>
        <v>no semana</v>
      </c>
      <c r="M901" s="40" t="str">
        <f>IFERROR(VLOOKUP(E901,'cheques a conf'!A:D,4,FALSE),"no clearing")</f>
        <v>no clearing</v>
      </c>
      <c r="N901" s="40">
        <f t="shared" si="447"/>
        <v>53</v>
      </c>
      <c r="O901" s="42">
        <f t="shared" si="448"/>
        <v>12</v>
      </c>
      <c r="P901" s="42">
        <f t="shared" si="449"/>
        <v>2025</v>
      </c>
    </row>
    <row r="902" spans="1:16" x14ac:dyDescent="0.2">
      <c r="A902" s="21">
        <v>3000001761</v>
      </c>
      <c r="B902" s="22">
        <v>46002</v>
      </c>
      <c r="C902" s="20">
        <v>18387781.25</v>
      </c>
      <c r="D902" s="21" t="s">
        <v>442</v>
      </c>
      <c r="E902" s="21">
        <v>97124091</v>
      </c>
      <c r="F902" s="20">
        <v>18387781.25</v>
      </c>
      <c r="G902" s="22">
        <v>46049</v>
      </c>
      <c r="H902" s="21" t="s">
        <v>61</v>
      </c>
      <c r="I902" s="40" t="str">
        <f>IFERROR(IF(VLOOKUP(E902,extracto!C:C,1,FALSE)=E902,"pagado","no pagado"),"no pagado")</f>
        <v>pagado</v>
      </c>
      <c r="J902" s="41" t="str">
        <f t="shared" si="444"/>
        <v>pagado</v>
      </c>
      <c r="K902" s="40" t="str">
        <f t="shared" ca="1" si="445"/>
        <v>excluir</v>
      </c>
      <c r="L902" s="40" t="str">
        <f t="shared" ca="1" si="446"/>
        <v>no semana</v>
      </c>
      <c r="M902" s="40" t="str">
        <f>IFERROR(VLOOKUP(E902,'cheques a conf'!A:D,4,FALSE),"no clearing")</f>
        <v>no clearing</v>
      </c>
      <c r="N902" s="40">
        <f t="shared" si="447"/>
        <v>5</v>
      </c>
      <c r="O902" s="42">
        <f t="shared" si="448"/>
        <v>1</v>
      </c>
      <c r="P902" s="42">
        <f t="shared" si="449"/>
        <v>2026</v>
      </c>
    </row>
    <row r="903" spans="1:16" x14ac:dyDescent="0.2">
      <c r="A903" s="21">
        <v>3000001762</v>
      </c>
      <c r="B903" s="22">
        <v>46002</v>
      </c>
      <c r="C903" s="20">
        <v>38500000</v>
      </c>
      <c r="D903" s="21" t="s">
        <v>380</v>
      </c>
      <c r="E903" s="21">
        <v>97124092</v>
      </c>
      <c r="F903" s="20">
        <v>38500000</v>
      </c>
      <c r="G903" s="22">
        <v>46041</v>
      </c>
      <c r="H903" s="21" t="s">
        <v>61</v>
      </c>
      <c r="I903" s="40" t="str">
        <f>IFERROR(IF(VLOOKUP(E903,extracto!C:C,1,FALSE)=E903,"pagado","no pagado"),"no pagado")</f>
        <v>pagado</v>
      </c>
      <c r="J903" s="41" t="str">
        <f t="shared" si="444"/>
        <v>pagado</v>
      </c>
      <c r="K903" s="40" t="str">
        <f t="shared" ca="1" si="445"/>
        <v>excluir</v>
      </c>
      <c r="L903" s="40" t="str">
        <f t="shared" ca="1" si="446"/>
        <v>no semana</v>
      </c>
      <c r="M903" s="40" t="str">
        <f>IFERROR(VLOOKUP(E903,'cheques a conf'!A:D,4,FALSE),"no clearing")</f>
        <v>no clearing</v>
      </c>
      <c r="N903" s="40">
        <f t="shared" si="447"/>
        <v>4</v>
      </c>
      <c r="O903" s="42">
        <f t="shared" si="448"/>
        <v>1</v>
      </c>
      <c r="P903" s="42">
        <f t="shared" si="449"/>
        <v>2026</v>
      </c>
    </row>
    <row r="904" spans="1:16" x14ac:dyDescent="0.2">
      <c r="A904" s="21">
        <v>3000001762</v>
      </c>
      <c r="B904" s="22">
        <v>46002</v>
      </c>
      <c r="C904" s="20">
        <v>38103800</v>
      </c>
      <c r="D904" s="21" t="s">
        <v>380</v>
      </c>
      <c r="E904" s="21">
        <v>97124093</v>
      </c>
      <c r="F904" s="20">
        <v>38103800</v>
      </c>
      <c r="G904" s="22">
        <v>46069</v>
      </c>
      <c r="H904" s="21" t="s">
        <v>61</v>
      </c>
      <c r="I904" s="40" t="str">
        <f>IFERROR(IF(VLOOKUP(E904,extracto!C:C,1,FALSE)=E904,"pagado","no pagado"),"no pagado")</f>
        <v>pagado</v>
      </c>
      <c r="J904" s="41" t="str">
        <f t="shared" si="444"/>
        <v>pagado</v>
      </c>
      <c r="K904" s="40" t="str">
        <f t="shared" ca="1" si="445"/>
        <v>excluir</v>
      </c>
      <c r="L904" s="40" t="str">
        <f t="shared" ca="1" si="446"/>
        <v>no semana</v>
      </c>
      <c r="M904" s="40" t="str">
        <f>IFERROR(VLOOKUP(E904,'cheques a conf'!A:D,4,FALSE),"no clearing")</f>
        <v>no clearing</v>
      </c>
      <c r="N904" s="40">
        <f t="shared" si="447"/>
        <v>8</v>
      </c>
      <c r="O904" s="42">
        <f t="shared" si="448"/>
        <v>2</v>
      </c>
      <c r="P904" s="42">
        <f t="shared" si="449"/>
        <v>2026</v>
      </c>
    </row>
    <row r="905" spans="1:16" x14ac:dyDescent="0.2">
      <c r="A905" s="21">
        <v>3000001770</v>
      </c>
      <c r="B905" s="22">
        <v>46003</v>
      </c>
      <c r="C905" s="20">
        <v>17292780</v>
      </c>
      <c r="D905" s="21" t="s">
        <v>22</v>
      </c>
      <c r="E905" s="21">
        <v>97124094</v>
      </c>
      <c r="F905" s="20">
        <v>17292780</v>
      </c>
      <c r="G905" s="22">
        <v>46006</v>
      </c>
      <c r="H905" s="21" t="s">
        <v>61</v>
      </c>
      <c r="I905" s="40" t="str">
        <f>IFERROR(IF(VLOOKUP(E905,extracto!C:C,1,FALSE)=E905,"pagado","no pagado"),"no pagado")</f>
        <v>pagado</v>
      </c>
      <c r="J905" s="41" t="str">
        <f t="shared" si="444"/>
        <v>pagado</v>
      </c>
      <c r="K905" s="40" t="str">
        <f t="shared" ca="1" si="445"/>
        <v>excluir</v>
      </c>
      <c r="L905" s="40" t="str">
        <f t="shared" ca="1" si="446"/>
        <v>no semana</v>
      </c>
      <c r="M905" s="40" t="str">
        <f>IFERROR(VLOOKUP(E905,'cheques a conf'!A:D,4,FALSE),"no clearing")</f>
        <v>no clearing</v>
      </c>
      <c r="N905" s="40">
        <f t="shared" si="447"/>
        <v>51</v>
      </c>
      <c r="O905" s="42">
        <f t="shared" si="448"/>
        <v>12</v>
      </c>
      <c r="P905" s="42">
        <f t="shared" si="449"/>
        <v>2025</v>
      </c>
    </row>
    <row r="906" spans="1:16" x14ac:dyDescent="0.2">
      <c r="A906" s="21">
        <v>3000001771</v>
      </c>
      <c r="B906" s="22">
        <v>46003</v>
      </c>
      <c r="C906" s="20">
        <v>6260578.0999999996</v>
      </c>
      <c r="D906" s="21" t="s">
        <v>354</v>
      </c>
      <c r="E906" s="21">
        <v>97124095</v>
      </c>
      <c r="F906" s="20">
        <v>6260578.0999999996</v>
      </c>
      <c r="G906" s="22">
        <v>46009</v>
      </c>
      <c r="H906" s="21" t="s">
        <v>61</v>
      </c>
      <c r="I906" s="40" t="str">
        <f>IFERROR(IF(VLOOKUP(E906,extracto!C:C,1,FALSE)=E906,"pagado","no pagado"),"no pagado")</f>
        <v>pagado</v>
      </c>
      <c r="J906" s="41" t="str">
        <f t="shared" si="444"/>
        <v>pagado</v>
      </c>
      <c r="K906" s="40" t="str">
        <f t="shared" ca="1" si="445"/>
        <v>excluir</v>
      </c>
      <c r="L906" s="40" t="str">
        <f t="shared" ca="1" si="446"/>
        <v>no semana</v>
      </c>
      <c r="M906" s="40" t="str">
        <f>IFERROR(VLOOKUP(E906,'cheques a conf'!A:D,4,FALSE),"no clearing")</f>
        <v>no clearing</v>
      </c>
      <c r="N906" s="40">
        <f t="shared" si="447"/>
        <v>51</v>
      </c>
      <c r="O906" s="42">
        <f t="shared" si="448"/>
        <v>12</v>
      </c>
      <c r="P906" s="42">
        <f t="shared" si="449"/>
        <v>2025</v>
      </c>
    </row>
    <row r="907" spans="1:16" x14ac:dyDescent="0.2">
      <c r="A907" s="21">
        <v>3000001776</v>
      </c>
      <c r="B907" s="22">
        <v>46006</v>
      </c>
      <c r="C907" s="20">
        <v>2085598.12</v>
      </c>
      <c r="D907" s="21" t="s">
        <v>395</v>
      </c>
      <c r="E907" s="21">
        <v>12452658</v>
      </c>
      <c r="F907" s="20">
        <v>2085598.12</v>
      </c>
      <c r="G907" s="22">
        <v>46009</v>
      </c>
      <c r="H907" s="21" t="s">
        <v>61</v>
      </c>
      <c r="I907" s="40" t="str">
        <f>IFERROR(IF(VLOOKUP(E907,extracto!C:C,1,FALSE)=E907,"pagado","no pagado"),"no pagado")</f>
        <v>pagado</v>
      </c>
      <c r="J907" s="41" t="str">
        <f t="shared" si="444"/>
        <v>pagado</v>
      </c>
      <c r="K907" s="40" t="str">
        <f t="shared" ca="1" si="445"/>
        <v>excluir</v>
      </c>
      <c r="L907" s="40" t="str">
        <f t="shared" ca="1" si="446"/>
        <v>no semana</v>
      </c>
      <c r="M907" s="40" t="str">
        <f>IFERROR(VLOOKUP(E907,'cheques a conf'!A:D,4,FALSE),"no clearing")</f>
        <v>no clearing</v>
      </c>
      <c r="N907" s="40">
        <f t="shared" si="447"/>
        <v>51</v>
      </c>
      <c r="O907" s="42">
        <f t="shared" si="448"/>
        <v>12</v>
      </c>
      <c r="P907" s="42">
        <f t="shared" si="449"/>
        <v>2025</v>
      </c>
    </row>
    <row r="908" spans="1:16" x14ac:dyDescent="0.2">
      <c r="A908" s="21">
        <v>3000001777</v>
      </c>
      <c r="B908" s="22">
        <v>46006</v>
      </c>
      <c r="C908" s="20">
        <v>10951808.130000001</v>
      </c>
      <c r="D908" s="21" t="s">
        <v>398</v>
      </c>
      <c r="E908" s="21">
        <v>97124096</v>
      </c>
      <c r="F908" s="20">
        <v>10951808.130000001</v>
      </c>
      <c r="G908" s="22">
        <v>46009</v>
      </c>
      <c r="H908" s="21" t="s">
        <v>61</v>
      </c>
      <c r="I908" s="40" t="str">
        <f>IFERROR(IF(VLOOKUP(E908,extracto!C:C,1,FALSE)=E908,"pagado","no pagado"),"no pagado")</f>
        <v>pagado</v>
      </c>
      <c r="J908" s="41" t="str">
        <f t="shared" si="444"/>
        <v>pagado</v>
      </c>
      <c r="K908" s="40" t="str">
        <f t="shared" ca="1" si="445"/>
        <v>excluir</v>
      </c>
      <c r="L908" s="40" t="str">
        <f t="shared" ca="1" si="446"/>
        <v>no semana</v>
      </c>
      <c r="M908" s="40" t="str">
        <f>IFERROR(VLOOKUP(E908,'cheques a conf'!A:D,4,FALSE),"no clearing")</f>
        <v>no clearing</v>
      </c>
      <c r="N908" s="40">
        <f t="shared" si="447"/>
        <v>51</v>
      </c>
      <c r="O908" s="42">
        <f t="shared" si="448"/>
        <v>12</v>
      </c>
      <c r="P908" s="42">
        <f t="shared" si="449"/>
        <v>2025</v>
      </c>
    </row>
    <row r="909" spans="1:16" x14ac:dyDescent="0.2">
      <c r="A909" s="21">
        <v>3000001778</v>
      </c>
      <c r="B909" s="22">
        <v>46006</v>
      </c>
      <c r="C909" s="20">
        <v>7251743.4000000004</v>
      </c>
      <c r="D909" s="21" t="s">
        <v>345</v>
      </c>
      <c r="E909" s="21">
        <v>97124097</v>
      </c>
      <c r="F909" s="20">
        <v>7251743.4000000004</v>
      </c>
      <c r="G909" s="22">
        <v>46009</v>
      </c>
      <c r="H909" s="21" t="s">
        <v>61</v>
      </c>
      <c r="I909" s="40" t="str">
        <f>IFERROR(IF(VLOOKUP(E909,extracto!C:C,1,FALSE)=E909,"pagado","no pagado"),"no pagado")</f>
        <v>pagado</v>
      </c>
      <c r="J909" s="41" t="str">
        <f t="shared" si="444"/>
        <v>pagado</v>
      </c>
      <c r="K909" s="40" t="str">
        <f t="shared" ca="1" si="445"/>
        <v>excluir</v>
      </c>
      <c r="L909" s="40" t="str">
        <f t="shared" ca="1" si="446"/>
        <v>no semana</v>
      </c>
      <c r="M909" s="40" t="str">
        <f>IFERROR(VLOOKUP(E909,'cheques a conf'!A:D,4,FALSE),"no clearing")</f>
        <v>no clearing</v>
      </c>
      <c r="N909" s="40">
        <f t="shared" si="447"/>
        <v>51</v>
      </c>
      <c r="O909" s="42">
        <f t="shared" si="448"/>
        <v>12</v>
      </c>
      <c r="P909" s="42">
        <f t="shared" si="449"/>
        <v>2025</v>
      </c>
    </row>
    <row r="910" spans="1:16" x14ac:dyDescent="0.2">
      <c r="A910" s="21">
        <v>3000001779</v>
      </c>
      <c r="B910" s="22">
        <v>46006</v>
      </c>
      <c r="C910" s="20">
        <v>12552811.640000001</v>
      </c>
      <c r="D910" s="21" t="s">
        <v>288</v>
      </c>
      <c r="E910" s="21">
        <v>97124098</v>
      </c>
      <c r="F910" s="20">
        <v>12552811.640000001</v>
      </c>
      <c r="G910" s="22">
        <v>46009</v>
      </c>
      <c r="H910" s="21" t="s">
        <v>61</v>
      </c>
      <c r="I910" s="40" t="str">
        <f>IFERROR(IF(VLOOKUP(E910,extracto!C:C,1,FALSE)=E910,"pagado","no pagado"),"no pagado")</f>
        <v>pagado</v>
      </c>
      <c r="J910" s="41" t="str">
        <f t="shared" si="444"/>
        <v>pagado</v>
      </c>
      <c r="K910" s="40" t="str">
        <f t="shared" ca="1" si="445"/>
        <v>excluir</v>
      </c>
      <c r="L910" s="40" t="str">
        <f t="shared" ca="1" si="446"/>
        <v>no semana</v>
      </c>
      <c r="M910" s="40" t="str">
        <f>IFERROR(VLOOKUP(E910,'cheques a conf'!A:D,4,FALSE),"no clearing")</f>
        <v>no clearing</v>
      </c>
      <c r="N910" s="40">
        <f t="shared" si="447"/>
        <v>51</v>
      </c>
      <c r="O910" s="42">
        <f t="shared" si="448"/>
        <v>12</v>
      </c>
      <c r="P910" s="42">
        <f t="shared" si="449"/>
        <v>2025</v>
      </c>
    </row>
    <row r="911" spans="1:16" x14ac:dyDescent="0.2">
      <c r="A911" s="21">
        <v>3000001780</v>
      </c>
      <c r="B911" s="22">
        <v>46006</v>
      </c>
      <c r="C911" s="20">
        <v>13569065.949999999</v>
      </c>
      <c r="D911" s="21" t="s">
        <v>348</v>
      </c>
      <c r="E911" s="21">
        <v>97124099</v>
      </c>
      <c r="F911" s="20">
        <v>13569065.949999999</v>
      </c>
      <c r="G911" s="22">
        <v>46009</v>
      </c>
      <c r="H911" s="21" t="s">
        <v>61</v>
      </c>
      <c r="I911" s="40" t="str">
        <f>IFERROR(IF(VLOOKUP(E911,extracto!C:C,1,FALSE)=E911,"pagado","no pagado"),"no pagado")</f>
        <v>pagado</v>
      </c>
      <c r="J911" s="41" t="str">
        <f t="shared" si="444"/>
        <v>pagado</v>
      </c>
      <c r="K911" s="40" t="str">
        <f t="shared" ca="1" si="445"/>
        <v>excluir</v>
      </c>
      <c r="L911" s="40" t="str">
        <f t="shared" ca="1" si="446"/>
        <v>no semana</v>
      </c>
      <c r="M911" s="40" t="str">
        <f>IFERROR(VLOOKUP(E911,'cheques a conf'!A:D,4,FALSE),"no clearing")</f>
        <v>no clearing</v>
      </c>
      <c r="N911" s="40">
        <f t="shared" si="447"/>
        <v>51</v>
      </c>
      <c r="O911" s="42">
        <f t="shared" si="448"/>
        <v>12</v>
      </c>
      <c r="P911" s="42">
        <f t="shared" si="449"/>
        <v>2025</v>
      </c>
    </row>
    <row r="912" spans="1:16" x14ac:dyDescent="0.2">
      <c r="A912" s="21">
        <v>3000001781</v>
      </c>
      <c r="B912" s="22">
        <v>46006</v>
      </c>
      <c r="C912" s="20">
        <v>21000000</v>
      </c>
      <c r="D912" s="21" t="s">
        <v>350</v>
      </c>
      <c r="E912" s="21">
        <v>97124100</v>
      </c>
      <c r="F912" s="20">
        <v>21000000</v>
      </c>
      <c r="G912" s="22">
        <v>46009</v>
      </c>
      <c r="H912" s="21" t="s">
        <v>61</v>
      </c>
      <c r="I912" s="40" t="str">
        <f>IFERROR(IF(VLOOKUP(E912,extracto!C:C,1,FALSE)=E912,"pagado","no pagado"),"no pagado")</f>
        <v>pagado</v>
      </c>
      <c r="J912" s="41" t="str">
        <f t="shared" si="444"/>
        <v>pagado</v>
      </c>
      <c r="K912" s="40" t="str">
        <f t="shared" ca="1" si="445"/>
        <v>excluir</v>
      </c>
      <c r="L912" s="40" t="str">
        <f t="shared" ca="1" si="446"/>
        <v>no semana</v>
      </c>
      <c r="M912" s="40" t="str">
        <f>IFERROR(VLOOKUP(E912,'cheques a conf'!A:D,4,FALSE),"no clearing")</f>
        <v>no clearing</v>
      </c>
      <c r="N912" s="40">
        <f t="shared" si="447"/>
        <v>51</v>
      </c>
      <c r="O912" s="42">
        <f t="shared" si="448"/>
        <v>12</v>
      </c>
      <c r="P912" s="42">
        <f t="shared" si="449"/>
        <v>2025</v>
      </c>
    </row>
    <row r="913" spans="1:16" x14ac:dyDescent="0.2">
      <c r="A913" s="21">
        <v>3000001781</v>
      </c>
      <c r="B913" s="22">
        <v>46006</v>
      </c>
      <c r="C913" s="20">
        <v>21016812.399999999</v>
      </c>
      <c r="D913" s="21" t="s">
        <v>350</v>
      </c>
      <c r="E913" s="21">
        <v>97124101</v>
      </c>
      <c r="F913" s="20">
        <v>21016812.399999999</v>
      </c>
      <c r="G913" s="22">
        <v>46010</v>
      </c>
      <c r="H913" s="21" t="s">
        <v>61</v>
      </c>
      <c r="I913" s="40" t="str">
        <f>IFERROR(IF(VLOOKUP(E913,extracto!C:C,1,FALSE)=E913,"pagado","no pagado"),"no pagado")</f>
        <v>pagado</v>
      </c>
      <c r="J913" s="41" t="str">
        <f t="shared" ref="J913:J945" si="450">IF(I913="pagado","pagado",IF(G913&lt;$V$1-30,"fuera de fecha","en periodo de pago"))</f>
        <v>pagado</v>
      </c>
      <c r="K913" s="40" t="str">
        <f t="shared" ref="K913:K945" ca="1" si="451">+IF(B913&gt;$V$1,"excluir",IF(J913="en periodo de pago",IF($V$1&gt;G913,"a pagar","proximo a vencer"),"excluir"))</f>
        <v>excluir</v>
      </c>
      <c r="L913" s="40" t="str">
        <f t="shared" ref="L913:L945" ca="1" si="452">+IF(K913="proximo a vencer",IF($V$1+5&gt;G913,"para la semana","no semana"),"no semana")</f>
        <v>no semana</v>
      </c>
      <c r="M913" s="40" t="str">
        <f>IFERROR(VLOOKUP(E913,'cheques a conf'!A:D,4,FALSE),"no clearing")</f>
        <v>no clearing</v>
      </c>
      <c r="N913" s="40">
        <f t="shared" ref="N913:N945" si="453">+WEEKNUM(G913,2)</f>
        <v>51</v>
      </c>
      <c r="O913" s="42">
        <f t="shared" ref="O913:O945" si="454">+MONTH(G913)</f>
        <v>12</v>
      </c>
      <c r="P913" s="42">
        <f t="shared" ref="P913:P945" si="455">+YEAR(G913)</f>
        <v>2025</v>
      </c>
    </row>
    <row r="914" spans="1:16" x14ac:dyDescent="0.2">
      <c r="A914" s="21">
        <v>3000001782</v>
      </c>
      <c r="B914" s="22">
        <v>46006</v>
      </c>
      <c r="C914" s="20">
        <v>6564286.2400000002</v>
      </c>
      <c r="D914" s="21" t="s">
        <v>289</v>
      </c>
      <c r="E914" s="21">
        <v>97124102</v>
      </c>
      <c r="F914" s="20">
        <v>6564286.2400000002</v>
      </c>
      <c r="G914" s="22">
        <v>46009</v>
      </c>
      <c r="H914" s="21" t="s">
        <v>61</v>
      </c>
      <c r="I914" s="40" t="str">
        <f>IFERROR(IF(VLOOKUP(E914,extracto!C:C,1,FALSE)=E914,"pagado","no pagado"),"no pagado")</f>
        <v>pagado</v>
      </c>
      <c r="J914" s="41" t="str">
        <f t="shared" si="450"/>
        <v>pagado</v>
      </c>
      <c r="K914" s="40" t="str">
        <f t="shared" ca="1" si="451"/>
        <v>excluir</v>
      </c>
      <c r="L914" s="40" t="str">
        <f t="shared" ca="1" si="452"/>
        <v>no semana</v>
      </c>
      <c r="M914" s="40" t="str">
        <f>IFERROR(VLOOKUP(E914,'cheques a conf'!A:D,4,FALSE),"no clearing")</f>
        <v>no clearing</v>
      </c>
      <c r="N914" s="40">
        <f t="shared" si="453"/>
        <v>51</v>
      </c>
      <c r="O914" s="42">
        <f t="shared" si="454"/>
        <v>12</v>
      </c>
      <c r="P914" s="42">
        <f t="shared" si="455"/>
        <v>2025</v>
      </c>
    </row>
    <row r="915" spans="1:16" x14ac:dyDescent="0.2">
      <c r="A915" s="21">
        <v>3000001783</v>
      </c>
      <c r="B915" s="22">
        <v>46006</v>
      </c>
      <c r="C915" s="20">
        <v>16038063.279999999</v>
      </c>
      <c r="D915" s="21" t="s">
        <v>346</v>
      </c>
      <c r="E915" s="21">
        <v>97124103</v>
      </c>
      <c r="F915" s="20">
        <v>16038063.279999999</v>
      </c>
      <c r="G915" s="22">
        <v>46009</v>
      </c>
      <c r="H915" s="21" t="s">
        <v>61</v>
      </c>
      <c r="I915" s="40" t="str">
        <f>IFERROR(IF(VLOOKUP(E915,extracto!C:C,1,FALSE)=E915,"pagado","no pagado"),"no pagado")</f>
        <v>pagado</v>
      </c>
      <c r="J915" s="41" t="str">
        <f t="shared" si="450"/>
        <v>pagado</v>
      </c>
      <c r="K915" s="40" t="str">
        <f t="shared" ca="1" si="451"/>
        <v>excluir</v>
      </c>
      <c r="L915" s="40" t="str">
        <f t="shared" ca="1" si="452"/>
        <v>no semana</v>
      </c>
      <c r="M915" s="40" t="str">
        <f>IFERROR(VLOOKUP(E915,'cheques a conf'!A:D,4,FALSE),"no clearing")</f>
        <v>no clearing</v>
      </c>
      <c r="N915" s="40">
        <f t="shared" si="453"/>
        <v>51</v>
      </c>
      <c r="O915" s="42">
        <f t="shared" si="454"/>
        <v>12</v>
      </c>
      <c r="P915" s="42">
        <f t="shared" si="455"/>
        <v>2025</v>
      </c>
    </row>
    <row r="916" spans="1:16" x14ac:dyDescent="0.2">
      <c r="A916" s="21">
        <v>3000001784</v>
      </c>
      <c r="B916" s="22">
        <v>46006</v>
      </c>
      <c r="C916" s="20">
        <v>21076936.75</v>
      </c>
      <c r="D916" s="21" t="s">
        <v>347</v>
      </c>
      <c r="E916" s="21">
        <v>97124104</v>
      </c>
      <c r="F916" s="20">
        <v>21076936.75</v>
      </c>
      <c r="G916" s="22">
        <v>46009</v>
      </c>
      <c r="H916" s="21" t="s">
        <v>61</v>
      </c>
      <c r="I916" s="40" t="str">
        <f>IFERROR(IF(VLOOKUP(E916,extracto!C:C,1,FALSE)=E916,"pagado","no pagado"),"no pagado")</f>
        <v>pagado</v>
      </c>
      <c r="J916" s="41" t="str">
        <f t="shared" si="450"/>
        <v>pagado</v>
      </c>
      <c r="K916" s="40" t="str">
        <f t="shared" ca="1" si="451"/>
        <v>excluir</v>
      </c>
      <c r="L916" s="40" t="str">
        <f t="shared" ca="1" si="452"/>
        <v>no semana</v>
      </c>
      <c r="M916" s="40" t="str">
        <f>IFERROR(VLOOKUP(E916,'cheques a conf'!A:D,4,FALSE),"no clearing")</f>
        <v>no clearing</v>
      </c>
      <c r="N916" s="40">
        <f t="shared" si="453"/>
        <v>51</v>
      </c>
      <c r="O916" s="42">
        <f t="shared" si="454"/>
        <v>12</v>
      </c>
      <c r="P916" s="42">
        <f t="shared" si="455"/>
        <v>2025</v>
      </c>
    </row>
    <row r="917" spans="1:16" x14ac:dyDescent="0.2">
      <c r="A917" s="21">
        <v>3000001785</v>
      </c>
      <c r="B917" s="22">
        <v>46006</v>
      </c>
      <c r="C917" s="20">
        <v>22366056.82</v>
      </c>
      <c r="D917" s="21" t="s">
        <v>197</v>
      </c>
      <c r="E917" s="21">
        <v>97124105</v>
      </c>
      <c r="F917" s="20">
        <v>22366056.82</v>
      </c>
      <c r="G917" s="22">
        <v>46009</v>
      </c>
      <c r="H917" s="21" t="s">
        <v>61</v>
      </c>
      <c r="I917" s="40" t="str">
        <f>IFERROR(IF(VLOOKUP(E917,extracto!C:C,1,FALSE)=E917,"pagado","no pagado"),"no pagado")</f>
        <v>pagado</v>
      </c>
      <c r="J917" s="41" t="str">
        <f t="shared" si="450"/>
        <v>pagado</v>
      </c>
      <c r="K917" s="40" t="str">
        <f t="shared" ca="1" si="451"/>
        <v>excluir</v>
      </c>
      <c r="L917" s="40" t="str">
        <f t="shared" ca="1" si="452"/>
        <v>no semana</v>
      </c>
      <c r="M917" s="40" t="str">
        <f>IFERROR(VLOOKUP(E917,'cheques a conf'!A:D,4,FALSE),"no clearing")</f>
        <v>no clearing</v>
      </c>
      <c r="N917" s="40">
        <f t="shared" si="453"/>
        <v>51</v>
      </c>
      <c r="O917" s="42">
        <f t="shared" si="454"/>
        <v>12</v>
      </c>
      <c r="P917" s="42">
        <f t="shared" si="455"/>
        <v>2025</v>
      </c>
    </row>
    <row r="918" spans="1:16" x14ac:dyDescent="0.2">
      <c r="A918" s="21">
        <v>3000001786</v>
      </c>
      <c r="B918" s="22">
        <v>46006</v>
      </c>
      <c r="C918" s="20">
        <v>21000000</v>
      </c>
      <c r="D918" s="21" t="s">
        <v>366</v>
      </c>
      <c r="E918" s="21">
        <v>97124106</v>
      </c>
      <c r="F918" s="20">
        <v>21000000</v>
      </c>
      <c r="G918" s="22">
        <v>46009</v>
      </c>
      <c r="H918" s="21" t="s">
        <v>61</v>
      </c>
      <c r="I918" s="40" t="str">
        <f>IFERROR(IF(VLOOKUP(E918,extracto!C:C,1,FALSE)=E918,"pagado","no pagado"),"no pagado")</f>
        <v>pagado</v>
      </c>
      <c r="J918" s="41" t="str">
        <f t="shared" si="450"/>
        <v>pagado</v>
      </c>
      <c r="K918" s="40" t="str">
        <f t="shared" ca="1" si="451"/>
        <v>excluir</v>
      </c>
      <c r="L918" s="40" t="str">
        <f t="shared" ca="1" si="452"/>
        <v>no semana</v>
      </c>
      <c r="M918" s="40" t="str">
        <f>IFERROR(VLOOKUP(E918,'cheques a conf'!A:D,4,FALSE),"no clearing")</f>
        <v>no clearing</v>
      </c>
      <c r="N918" s="40">
        <f t="shared" si="453"/>
        <v>51</v>
      </c>
      <c r="O918" s="42">
        <f t="shared" si="454"/>
        <v>12</v>
      </c>
      <c r="P918" s="42">
        <f t="shared" si="455"/>
        <v>2025</v>
      </c>
    </row>
    <row r="919" spans="1:16" x14ac:dyDescent="0.2">
      <c r="A919" s="21">
        <v>3000001786</v>
      </c>
      <c r="B919" s="22">
        <v>46006</v>
      </c>
      <c r="C919" s="20">
        <v>21801343.399999999</v>
      </c>
      <c r="D919" s="21" t="s">
        <v>366</v>
      </c>
      <c r="E919" s="21">
        <v>97124107</v>
      </c>
      <c r="F919" s="20">
        <v>21801343.399999999</v>
      </c>
      <c r="G919" s="22">
        <v>46010</v>
      </c>
      <c r="H919" s="21" t="s">
        <v>61</v>
      </c>
      <c r="I919" s="40" t="str">
        <f>IFERROR(IF(VLOOKUP(E919,extracto!C:C,1,FALSE)=E919,"pagado","no pagado"),"no pagado")</f>
        <v>pagado</v>
      </c>
      <c r="J919" s="41" t="str">
        <f t="shared" si="450"/>
        <v>pagado</v>
      </c>
      <c r="K919" s="40" t="str">
        <f t="shared" ca="1" si="451"/>
        <v>excluir</v>
      </c>
      <c r="L919" s="40" t="str">
        <f t="shared" ca="1" si="452"/>
        <v>no semana</v>
      </c>
      <c r="M919" s="40" t="str">
        <f>IFERROR(VLOOKUP(E919,'cheques a conf'!A:D,4,FALSE),"no clearing")</f>
        <v>no clearing</v>
      </c>
      <c r="N919" s="40">
        <f t="shared" si="453"/>
        <v>51</v>
      </c>
      <c r="O919" s="42">
        <f t="shared" si="454"/>
        <v>12</v>
      </c>
      <c r="P919" s="42">
        <f t="shared" si="455"/>
        <v>2025</v>
      </c>
    </row>
    <row r="920" spans="1:16" x14ac:dyDescent="0.2">
      <c r="A920" s="21">
        <v>3000001787</v>
      </c>
      <c r="B920" s="22">
        <v>46006</v>
      </c>
      <c r="C920" s="20">
        <v>1000000</v>
      </c>
      <c r="D920" s="21" t="s">
        <v>287</v>
      </c>
      <c r="E920" s="21">
        <v>97124108</v>
      </c>
      <c r="F920" s="20">
        <v>1000000</v>
      </c>
      <c r="G920" s="22">
        <v>46009</v>
      </c>
      <c r="H920" s="21" t="s">
        <v>61</v>
      </c>
      <c r="I920" s="40" t="str">
        <f>IFERROR(IF(VLOOKUP(E920,extracto!C:C,1,FALSE)=E920,"pagado","no pagado"),"no pagado")</f>
        <v>pagado</v>
      </c>
      <c r="J920" s="41" t="str">
        <f t="shared" si="450"/>
        <v>pagado</v>
      </c>
      <c r="K920" s="40" t="str">
        <f t="shared" ca="1" si="451"/>
        <v>excluir</v>
      </c>
      <c r="L920" s="40" t="str">
        <f t="shared" ca="1" si="452"/>
        <v>no semana</v>
      </c>
      <c r="M920" s="40" t="str">
        <f>IFERROR(VLOOKUP(E920,'cheques a conf'!A:D,4,FALSE),"no clearing")</f>
        <v>no clearing</v>
      </c>
      <c r="N920" s="40">
        <f t="shared" si="453"/>
        <v>51</v>
      </c>
      <c r="O920" s="42">
        <f t="shared" si="454"/>
        <v>12</v>
      </c>
      <c r="P920" s="42">
        <f t="shared" si="455"/>
        <v>2025</v>
      </c>
    </row>
    <row r="921" spans="1:16" x14ac:dyDescent="0.2">
      <c r="A921" s="21">
        <v>3000001787</v>
      </c>
      <c r="B921" s="22">
        <v>46006</v>
      </c>
      <c r="C921" s="20">
        <v>1000000</v>
      </c>
      <c r="D921" s="21" t="s">
        <v>287</v>
      </c>
      <c r="E921" s="21">
        <v>97124109</v>
      </c>
      <c r="F921" s="20">
        <v>1000000</v>
      </c>
      <c r="G921" s="22">
        <v>46009</v>
      </c>
      <c r="H921" s="21" t="s">
        <v>61</v>
      </c>
      <c r="I921" s="40" t="str">
        <f>IFERROR(IF(VLOOKUP(E921,extracto!C:C,1,FALSE)=E921,"pagado","no pagado"),"no pagado")</f>
        <v>pagado</v>
      </c>
      <c r="J921" s="41" t="str">
        <f t="shared" si="450"/>
        <v>pagado</v>
      </c>
      <c r="K921" s="40" t="str">
        <f t="shared" ca="1" si="451"/>
        <v>excluir</v>
      </c>
      <c r="L921" s="40" t="str">
        <f t="shared" ca="1" si="452"/>
        <v>no semana</v>
      </c>
      <c r="M921" s="40" t="str">
        <f>IFERROR(VLOOKUP(E921,'cheques a conf'!A:D,4,FALSE),"no clearing")</f>
        <v>no clearing</v>
      </c>
      <c r="N921" s="40">
        <f t="shared" si="453"/>
        <v>51</v>
      </c>
      <c r="O921" s="42">
        <f t="shared" si="454"/>
        <v>12</v>
      </c>
      <c r="P921" s="42">
        <f t="shared" si="455"/>
        <v>2025</v>
      </c>
    </row>
    <row r="922" spans="1:16" x14ac:dyDescent="0.2">
      <c r="A922" s="21">
        <v>3000001787</v>
      </c>
      <c r="B922" s="22">
        <v>46006</v>
      </c>
      <c r="C922" s="20">
        <v>1000000</v>
      </c>
      <c r="D922" s="21" t="s">
        <v>287</v>
      </c>
      <c r="E922" s="21">
        <v>97124110</v>
      </c>
      <c r="F922" s="20">
        <v>1000000</v>
      </c>
      <c r="G922" s="22">
        <v>46009</v>
      </c>
      <c r="H922" s="21" t="s">
        <v>61</v>
      </c>
      <c r="I922" s="40" t="str">
        <f>IFERROR(IF(VLOOKUP(E922,extracto!C:C,1,FALSE)=E922,"pagado","no pagado"),"no pagado")</f>
        <v>pagado</v>
      </c>
      <c r="J922" s="41" t="str">
        <f t="shared" si="450"/>
        <v>pagado</v>
      </c>
      <c r="K922" s="40" t="str">
        <f t="shared" ca="1" si="451"/>
        <v>excluir</v>
      </c>
      <c r="L922" s="40" t="str">
        <f t="shared" ca="1" si="452"/>
        <v>no semana</v>
      </c>
      <c r="M922" s="40" t="str">
        <f>IFERROR(VLOOKUP(E922,'cheques a conf'!A:D,4,FALSE),"no clearing")</f>
        <v>no clearing</v>
      </c>
      <c r="N922" s="40">
        <f t="shared" si="453"/>
        <v>51</v>
      </c>
      <c r="O922" s="42">
        <f t="shared" si="454"/>
        <v>12</v>
      </c>
      <c r="P922" s="42">
        <f t="shared" si="455"/>
        <v>2025</v>
      </c>
    </row>
    <row r="923" spans="1:16" x14ac:dyDescent="0.2">
      <c r="A923" s="21">
        <v>3000001787</v>
      </c>
      <c r="B923" s="22">
        <v>46006</v>
      </c>
      <c r="C923" s="20">
        <v>2000000</v>
      </c>
      <c r="D923" s="21" t="s">
        <v>287</v>
      </c>
      <c r="E923" s="21">
        <v>97124111</v>
      </c>
      <c r="F923" s="20">
        <v>2000000</v>
      </c>
      <c r="G923" s="22">
        <v>46009</v>
      </c>
      <c r="H923" s="21" t="s">
        <v>61</v>
      </c>
      <c r="I923" s="40" t="str">
        <f>IFERROR(IF(VLOOKUP(E923,extracto!C:C,1,FALSE)=E923,"pagado","no pagado"),"no pagado")</f>
        <v>pagado</v>
      </c>
      <c r="J923" s="41" t="str">
        <f t="shared" si="450"/>
        <v>pagado</v>
      </c>
      <c r="K923" s="40" t="str">
        <f t="shared" ca="1" si="451"/>
        <v>excluir</v>
      </c>
      <c r="L923" s="40" t="str">
        <f t="shared" ca="1" si="452"/>
        <v>no semana</v>
      </c>
      <c r="M923" s="40" t="str">
        <f>IFERROR(VLOOKUP(E923,'cheques a conf'!A:D,4,FALSE),"no clearing")</f>
        <v>no clearing</v>
      </c>
      <c r="N923" s="40">
        <f t="shared" si="453"/>
        <v>51</v>
      </c>
      <c r="O923" s="42">
        <f t="shared" si="454"/>
        <v>12</v>
      </c>
      <c r="P923" s="42">
        <f t="shared" si="455"/>
        <v>2025</v>
      </c>
    </row>
    <row r="924" spans="1:16" x14ac:dyDescent="0.2">
      <c r="A924" s="21">
        <v>3000001787</v>
      </c>
      <c r="B924" s="22">
        <v>46006</v>
      </c>
      <c r="C924" s="20">
        <v>2000000</v>
      </c>
      <c r="D924" s="21" t="s">
        <v>287</v>
      </c>
      <c r="E924" s="21">
        <v>97124112</v>
      </c>
      <c r="F924" s="20">
        <v>2000000</v>
      </c>
      <c r="G924" s="22">
        <v>46009</v>
      </c>
      <c r="H924" s="21" t="s">
        <v>61</v>
      </c>
      <c r="I924" s="40" t="str">
        <f>IFERROR(IF(VLOOKUP(E924,extracto!C:C,1,FALSE)=E924,"pagado","no pagado"),"no pagado")</f>
        <v>pagado</v>
      </c>
      <c r="J924" s="41" t="str">
        <f t="shared" si="450"/>
        <v>pagado</v>
      </c>
      <c r="K924" s="40" t="str">
        <f t="shared" ca="1" si="451"/>
        <v>excluir</v>
      </c>
      <c r="L924" s="40" t="str">
        <f t="shared" ca="1" si="452"/>
        <v>no semana</v>
      </c>
      <c r="M924" s="40" t="str">
        <f>IFERROR(VLOOKUP(E924,'cheques a conf'!A:D,4,FALSE),"no clearing")</f>
        <v>no clearing</v>
      </c>
      <c r="N924" s="40">
        <f t="shared" si="453"/>
        <v>51</v>
      </c>
      <c r="O924" s="42">
        <f t="shared" si="454"/>
        <v>12</v>
      </c>
      <c r="P924" s="42">
        <f t="shared" si="455"/>
        <v>2025</v>
      </c>
    </row>
    <row r="925" spans="1:16" x14ac:dyDescent="0.2">
      <c r="A925" s="21">
        <v>3000001787</v>
      </c>
      <c r="B925" s="22">
        <v>46006</v>
      </c>
      <c r="C925" s="20">
        <v>2000000</v>
      </c>
      <c r="D925" s="21" t="s">
        <v>287</v>
      </c>
      <c r="E925" s="21">
        <v>97124113</v>
      </c>
      <c r="F925" s="20">
        <v>2000000</v>
      </c>
      <c r="G925" s="22">
        <v>46009</v>
      </c>
      <c r="H925" s="21" t="s">
        <v>61</v>
      </c>
      <c r="I925" s="40" t="str">
        <f>IFERROR(IF(VLOOKUP(E925,extracto!C:C,1,FALSE)=E925,"pagado","no pagado"),"no pagado")</f>
        <v>pagado</v>
      </c>
      <c r="J925" s="41" t="str">
        <f t="shared" si="450"/>
        <v>pagado</v>
      </c>
      <c r="K925" s="40" t="str">
        <f t="shared" ca="1" si="451"/>
        <v>excluir</v>
      </c>
      <c r="L925" s="40" t="str">
        <f t="shared" ca="1" si="452"/>
        <v>no semana</v>
      </c>
      <c r="M925" s="40" t="str">
        <f>IFERROR(VLOOKUP(E925,'cheques a conf'!A:D,4,FALSE),"no clearing")</f>
        <v>no clearing</v>
      </c>
      <c r="N925" s="40">
        <f t="shared" si="453"/>
        <v>51</v>
      </c>
      <c r="O925" s="42">
        <f t="shared" si="454"/>
        <v>12</v>
      </c>
      <c r="P925" s="42">
        <f t="shared" si="455"/>
        <v>2025</v>
      </c>
    </row>
    <row r="926" spans="1:16" x14ac:dyDescent="0.2">
      <c r="A926" s="21">
        <v>3000001787</v>
      </c>
      <c r="B926" s="22">
        <v>46006</v>
      </c>
      <c r="C926" s="20">
        <v>2000000</v>
      </c>
      <c r="D926" s="21" t="s">
        <v>287</v>
      </c>
      <c r="E926" s="21">
        <v>97124114</v>
      </c>
      <c r="F926" s="20">
        <v>2000000</v>
      </c>
      <c r="G926" s="22">
        <v>46009</v>
      </c>
      <c r="H926" s="21" t="s">
        <v>61</v>
      </c>
      <c r="I926" s="40" t="str">
        <f>IFERROR(IF(VLOOKUP(E926,extracto!C:C,1,FALSE)=E926,"pagado","no pagado"),"no pagado")</f>
        <v>pagado</v>
      </c>
      <c r="J926" s="41" t="str">
        <f t="shared" si="450"/>
        <v>pagado</v>
      </c>
      <c r="K926" s="40" t="str">
        <f t="shared" ca="1" si="451"/>
        <v>excluir</v>
      </c>
      <c r="L926" s="40" t="str">
        <f t="shared" ca="1" si="452"/>
        <v>no semana</v>
      </c>
      <c r="M926" s="40" t="str">
        <f>IFERROR(VLOOKUP(E926,'cheques a conf'!A:D,4,FALSE),"no clearing")</f>
        <v>no clearing</v>
      </c>
      <c r="N926" s="40">
        <f t="shared" si="453"/>
        <v>51</v>
      </c>
      <c r="O926" s="42">
        <f t="shared" si="454"/>
        <v>12</v>
      </c>
      <c r="P926" s="42">
        <f t="shared" si="455"/>
        <v>2025</v>
      </c>
    </row>
    <row r="927" spans="1:16" x14ac:dyDescent="0.2">
      <c r="A927" s="21">
        <v>3000001787</v>
      </c>
      <c r="B927" s="22">
        <v>46006</v>
      </c>
      <c r="C927" s="20">
        <v>2000000</v>
      </c>
      <c r="D927" s="21" t="s">
        <v>287</v>
      </c>
      <c r="E927" s="21">
        <v>97124115</v>
      </c>
      <c r="F927" s="20">
        <v>2000000</v>
      </c>
      <c r="G927" s="22">
        <v>46009</v>
      </c>
      <c r="H927" s="21" t="s">
        <v>61</v>
      </c>
      <c r="I927" s="40" t="str">
        <f>IFERROR(IF(VLOOKUP(E927,extracto!C:C,1,FALSE)=E927,"pagado","no pagado"),"no pagado")</f>
        <v>pagado</v>
      </c>
      <c r="J927" s="41" t="str">
        <f t="shared" si="450"/>
        <v>pagado</v>
      </c>
      <c r="K927" s="40" t="str">
        <f t="shared" ca="1" si="451"/>
        <v>excluir</v>
      </c>
      <c r="L927" s="40" t="str">
        <f t="shared" ca="1" si="452"/>
        <v>no semana</v>
      </c>
      <c r="M927" s="40" t="str">
        <f>IFERROR(VLOOKUP(E927,'cheques a conf'!A:D,4,FALSE),"no clearing")</f>
        <v>no clearing</v>
      </c>
      <c r="N927" s="40">
        <f t="shared" si="453"/>
        <v>51</v>
      </c>
      <c r="O927" s="42">
        <f t="shared" si="454"/>
        <v>12</v>
      </c>
      <c r="P927" s="42">
        <f t="shared" si="455"/>
        <v>2025</v>
      </c>
    </row>
    <row r="928" spans="1:16" x14ac:dyDescent="0.2">
      <c r="A928" s="21">
        <v>3000001787</v>
      </c>
      <c r="B928" s="22">
        <v>46006</v>
      </c>
      <c r="C928" s="20">
        <v>3300000</v>
      </c>
      <c r="D928" s="21" t="s">
        <v>287</v>
      </c>
      <c r="E928" s="21">
        <v>97124116</v>
      </c>
      <c r="F928" s="20">
        <v>3300000</v>
      </c>
      <c r="G928" s="22">
        <v>46009</v>
      </c>
      <c r="H928" s="21" t="s">
        <v>61</v>
      </c>
      <c r="I928" s="40" t="str">
        <f>IFERROR(IF(VLOOKUP(E928,extracto!C:C,1,FALSE)=E928,"pagado","no pagado"),"no pagado")</f>
        <v>pagado</v>
      </c>
      <c r="J928" s="41" t="str">
        <f t="shared" si="450"/>
        <v>pagado</v>
      </c>
      <c r="K928" s="40" t="str">
        <f t="shared" ca="1" si="451"/>
        <v>excluir</v>
      </c>
      <c r="L928" s="40" t="str">
        <f t="shared" ca="1" si="452"/>
        <v>no semana</v>
      </c>
      <c r="M928" s="40" t="str">
        <f>IFERROR(VLOOKUP(E928,'cheques a conf'!A:D,4,FALSE),"no clearing")</f>
        <v>no clearing</v>
      </c>
      <c r="N928" s="40">
        <f t="shared" si="453"/>
        <v>51</v>
      </c>
      <c r="O928" s="42">
        <f t="shared" si="454"/>
        <v>12</v>
      </c>
      <c r="P928" s="42">
        <f t="shared" si="455"/>
        <v>2025</v>
      </c>
    </row>
    <row r="929" spans="1:16" x14ac:dyDescent="0.2">
      <c r="A929" s="21">
        <v>3000001787</v>
      </c>
      <c r="B929" s="22">
        <v>46006</v>
      </c>
      <c r="C929" s="20">
        <v>3300000</v>
      </c>
      <c r="D929" s="21" t="s">
        <v>287</v>
      </c>
      <c r="E929" s="21">
        <v>97124117</v>
      </c>
      <c r="F929" s="20">
        <v>3300000</v>
      </c>
      <c r="G929" s="22">
        <v>46009</v>
      </c>
      <c r="H929" s="21" t="s">
        <v>61</v>
      </c>
      <c r="I929" s="40" t="str">
        <f>IFERROR(IF(VLOOKUP(E929,extracto!C:C,1,FALSE)=E929,"pagado","no pagado"),"no pagado")</f>
        <v>pagado</v>
      </c>
      <c r="J929" s="41" t="str">
        <f t="shared" si="450"/>
        <v>pagado</v>
      </c>
      <c r="K929" s="40" t="str">
        <f t="shared" ca="1" si="451"/>
        <v>excluir</v>
      </c>
      <c r="L929" s="40" t="str">
        <f t="shared" ca="1" si="452"/>
        <v>no semana</v>
      </c>
      <c r="M929" s="40" t="str">
        <f>IFERROR(VLOOKUP(E929,'cheques a conf'!A:D,4,FALSE),"no clearing")</f>
        <v>no clearing</v>
      </c>
      <c r="N929" s="40">
        <f t="shared" si="453"/>
        <v>51</v>
      </c>
      <c r="O929" s="42">
        <f t="shared" si="454"/>
        <v>12</v>
      </c>
      <c r="P929" s="42">
        <f t="shared" si="455"/>
        <v>2025</v>
      </c>
    </row>
    <row r="930" spans="1:16" x14ac:dyDescent="0.2">
      <c r="A930" s="21">
        <v>3000001787</v>
      </c>
      <c r="B930" s="22">
        <v>46006</v>
      </c>
      <c r="C930" s="20">
        <v>3300000</v>
      </c>
      <c r="D930" s="21" t="s">
        <v>287</v>
      </c>
      <c r="E930" s="21">
        <v>97124118</v>
      </c>
      <c r="F930" s="20">
        <v>3300000</v>
      </c>
      <c r="G930" s="22">
        <v>46009</v>
      </c>
      <c r="H930" s="21" t="s">
        <v>61</v>
      </c>
      <c r="I930" s="40" t="str">
        <f>IFERROR(IF(VLOOKUP(E930,extracto!C:C,1,FALSE)=E930,"pagado","no pagado"),"no pagado")</f>
        <v>pagado</v>
      </c>
      <c r="J930" s="41" t="str">
        <f t="shared" si="450"/>
        <v>pagado</v>
      </c>
      <c r="K930" s="40" t="str">
        <f t="shared" ca="1" si="451"/>
        <v>excluir</v>
      </c>
      <c r="L930" s="40" t="str">
        <f t="shared" ca="1" si="452"/>
        <v>no semana</v>
      </c>
      <c r="M930" s="40" t="str">
        <f>IFERROR(VLOOKUP(E930,'cheques a conf'!A:D,4,FALSE),"no clearing")</f>
        <v>no clearing</v>
      </c>
      <c r="N930" s="40">
        <f t="shared" si="453"/>
        <v>51</v>
      </c>
      <c r="O930" s="42">
        <f t="shared" si="454"/>
        <v>12</v>
      </c>
      <c r="P930" s="42">
        <f t="shared" si="455"/>
        <v>2025</v>
      </c>
    </row>
    <row r="931" spans="1:16" x14ac:dyDescent="0.2">
      <c r="A931" s="21">
        <v>3000001787</v>
      </c>
      <c r="B931" s="22">
        <v>46006</v>
      </c>
      <c r="C931" s="20">
        <v>5000000</v>
      </c>
      <c r="D931" s="21" t="s">
        <v>287</v>
      </c>
      <c r="E931" s="21">
        <v>97124119</v>
      </c>
      <c r="F931" s="20">
        <v>5000000</v>
      </c>
      <c r="G931" s="22">
        <v>46010</v>
      </c>
      <c r="H931" s="21" t="s">
        <v>61</v>
      </c>
      <c r="I931" s="40" t="str">
        <f>IFERROR(IF(VLOOKUP(E931,extracto!C:C,1,FALSE)=E931,"pagado","no pagado"),"no pagado")</f>
        <v>pagado</v>
      </c>
      <c r="J931" s="41" t="str">
        <f t="shared" si="450"/>
        <v>pagado</v>
      </c>
      <c r="K931" s="40" t="str">
        <f t="shared" ca="1" si="451"/>
        <v>excluir</v>
      </c>
      <c r="L931" s="40" t="str">
        <f t="shared" ca="1" si="452"/>
        <v>no semana</v>
      </c>
      <c r="M931" s="40" t="str">
        <f>IFERROR(VLOOKUP(E931,'cheques a conf'!A:D,4,FALSE),"no clearing")</f>
        <v>no clearing</v>
      </c>
      <c r="N931" s="40">
        <f t="shared" si="453"/>
        <v>51</v>
      </c>
      <c r="O931" s="42">
        <f t="shared" si="454"/>
        <v>12</v>
      </c>
      <c r="P931" s="42">
        <f t="shared" si="455"/>
        <v>2025</v>
      </c>
    </row>
    <row r="932" spans="1:16" x14ac:dyDescent="0.2">
      <c r="A932" s="21">
        <v>3000001787</v>
      </c>
      <c r="B932" s="22">
        <v>46006</v>
      </c>
      <c r="C932" s="20">
        <v>5000000</v>
      </c>
      <c r="D932" s="21" t="s">
        <v>287</v>
      </c>
      <c r="E932" s="21">
        <v>97124120</v>
      </c>
      <c r="F932" s="20">
        <v>5000000</v>
      </c>
      <c r="G932" s="22">
        <v>46010</v>
      </c>
      <c r="H932" s="21" t="s">
        <v>61</v>
      </c>
      <c r="I932" s="40" t="str">
        <f>IFERROR(IF(VLOOKUP(E932,extracto!C:C,1,FALSE)=E932,"pagado","no pagado"),"no pagado")</f>
        <v>pagado</v>
      </c>
      <c r="J932" s="41" t="str">
        <f t="shared" si="450"/>
        <v>pagado</v>
      </c>
      <c r="K932" s="40" t="str">
        <f t="shared" ca="1" si="451"/>
        <v>excluir</v>
      </c>
      <c r="L932" s="40" t="str">
        <f t="shared" ca="1" si="452"/>
        <v>no semana</v>
      </c>
      <c r="M932" s="40" t="str">
        <f>IFERROR(VLOOKUP(E932,'cheques a conf'!A:D,4,FALSE),"no clearing")</f>
        <v>no clearing</v>
      </c>
      <c r="N932" s="40">
        <f t="shared" si="453"/>
        <v>51</v>
      </c>
      <c r="O932" s="42">
        <f t="shared" si="454"/>
        <v>12</v>
      </c>
      <c r="P932" s="42">
        <f t="shared" si="455"/>
        <v>2025</v>
      </c>
    </row>
    <row r="933" spans="1:16" x14ac:dyDescent="0.2">
      <c r="A933" s="21">
        <v>3000001787</v>
      </c>
      <c r="B933" s="22">
        <v>46006</v>
      </c>
      <c r="C933" s="20">
        <v>5000000</v>
      </c>
      <c r="D933" s="21" t="s">
        <v>287</v>
      </c>
      <c r="E933" s="21">
        <v>97124121</v>
      </c>
      <c r="F933" s="20">
        <v>5000000</v>
      </c>
      <c r="G933" s="22">
        <v>46010</v>
      </c>
      <c r="H933" s="21" t="s">
        <v>61</v>
      </c>
      <c r="I933" s="40" t="str">
        <f>IFERROR(IF(VLOOKUP(E933,extracto!C:C,1,FALSE)=E933,"pagado","no pagado"),"no pagado")</f>
        <v>pagado</v>
      </c>
      <c r="J933" s="41" t="str">
        <f t="shared" si="450"/>
        <v>pagado</v>
      </c>
      <c r="K933" s="40" t="str">
        <f t="shared" ca="1" si="451"/>
        <v>excluir</v>
      </c>
      <c r="L933" s="40" t="str">
        <f t="shared" ca="1" si="452"/>
        <v>no semana</v>
      </c>
      <c r="M933" s="40" t="str">
        <f>IFERROR(VLOOKUP(E933,'cheques a conf'!A:D,4,FALSE),"no clearing")</f>
        <v>no clearing</v>
      </c>
      <c r="N933" s="40">
        <f t="shared" si="453"/>
        <v>51</v>
      </c>
      <c r="O933" s="42">
        <f t="shared" si="454"/>
        <v>12</v>
      </c>
      <c r="P933" s="42">
        <f t="shared" si="455"/>
        <v>2025</v>
      </c>
    </row>
    <row r="934" spans="1:16" x14ac:dyDescent="0.2">
      <c r="A934" s="21">
        <v>3000001787</v>
      </c>
      <c r="B934" s="22">
        <v>46006</v>
      </c>
      <c r="C934" s="20">
        <v>5000000</v>
      </c>
      <c r="D934" s="21" t="s">
        <v>287</v>
      </c>
      <c r="E934" s="21">
        <v>97124122</v>
      </c>
      <c r="F934" s="20">
        <v>5000000</v>
      </c>
      <c r="G934" s="22">
        <v>46010</v>
      </c>
      <c r="H934" s="21" t="s">
        <v>61</v>
      </c>
      <c r="I934" s="40" t="str">
        <f>IFERROR(IF(VLOOKUP(E934,extracto!C:C,1,FALSE)=E934,"pagado","no pagado"),"no pagado")</f>
        <v>pagado</v>
      </c>
      <c r="J934" s="41" t="str">
        <f t="shared" si="450"/>
        <v>pagado</v>
      </c>
      <c r="K934" s="40" t="str">
        <f t="shared" ca="1" si="451"/>
        <v>excluir</v>
      </c>
      <c r="L934" s="40" t="str">
        <f t="shared" ca="1" si="452"/>
        <v>no semana</v>
      </c>
      <c r="M934" s="40" t="str">
        <f>IFERROR(VLOOKUP(E934,'cheques a conf'!A:D,4,FALSE),"no clearing")</f>
        <v>no clearing</v>
      </c>
      <c r="N934" s="40">
        <f t="shared" si="453"/>
        <v>51</v>
      </c>
      <c r="O934" s="42">
        <f t="shared" si="454"/>
        <v>12</v>
      </c>
      <c r="P934" s="42">
        <f t="shared" si="455"/>
        <v>2025</v>
      </c>
    </row>
    <row r="935" spans="1:16" x14ac:dyDescent="0.2">
      <c r="A935" s="21">
        <v>3000001787</v>
      </c>
      <c r="B935" s="22">
        <v>46006</v>
      </c>
      <c r="C935" s="20">
        <v>5000000</v>
      </c>
      <c r="D935" s="21" t="s">
        <v>287</v>
      </c>
      <c r="E935" s="21">
        <v>97124123</v>
      </c>
      <c r="F935" s="20">
        <v>5000000</v>
      </c>
      <c r="G935" s="22">
        <v>46010</v>
      </c>
      <c r="H935" s="21" t="s">
        <v>61</v>
      </c>
      <c r="I935" s="40" t="str">
        <f>IFERROR(IF(VLOOKUP(E935,extracto!C:C,1,FALSE)=E935,"pagado","no pagado"),"no pagado")</f>
        <v>pagado</v>
      </c>
      <c r="J935" s="41" t="str">
        <f t="shared" si="450"/>
        <v>pagado</v>
      </c>
      <c r="K935" s="40" t="str">
        <f t="shared" ca="1" si="451"/>
        <v>excluir</v>
      </c>
      <c r="L935" s="40" t="str">
        <f t="shared" ca="1" si="452"/>
        <v>no semana</v>
      </c>
      <c r="M935" s="40" t="str">
        <f>IFERROR(VLOOKUP(E935,'cheques a conf'!A:D,4,FALSE),"no clearing")</f>
        <v>no clearing</v>
      </c>
      <c r="N935" s="40">
        <f t="shared" si="453"/>
        <v>51</v>
      </c>
      <c r="O935" s="42">
        <f t="shared" si="454"/>
        <v>12</v>
      </c>
      <c r="P935" s="42">
        <f t="shared" si="455"/>
        <v>2025</v>
      </c>
    </row>
    <row r="936" spans="1:16" x14ac:dyDescent="0.2">
      <c r="A936" s="21">
        <v>3000001787</v>
      </c>
      <c r="B936" s="22">
        <v>46006</v>
      </c>
      <c r="C936" s="20">
        <v>5428324.0099999998</v>
      </c>
      <c r="D936" s="21" t="s">
        <v>287</v>
      </c>
      <c r="E936" s="21">
        <v>97124124</v>
      </c>
      <c r="F936" s="20">
        <v>5428324.0099999998</v>
      </c>
      <c r="G936" s="22">
        <v>46010</v>
      </c>
      <c r="H936" s="21" t="s">
        <v>61</v>
      </c>
      <c r="I936" s="40" t="str">
        <f>IFERROR(IF(VLOOKUP(E936,extracto!C:C,1,FALSE)=E936,"pagado","no pagado"),"no pagado")</f>
        <v>pagado</v>
      </c>
      <c r="J936" s="41" t="str">
        <f t="shared" si="450"/>
        <v>pagado</v>
      </c>
      <c r="K936" s="40" t="str">
        <f t="shared" ca="1" si="451"/>
        <v>excluir</v>
      </c>
      <c r="L936" s="40" t="str">
        <f t="shared" ca="1" si="452"/>
        <v>no semana</v>
      </c>
      <c r="M936" s="40" t="str">
        <f>IFERROR(VLOOKUP(E936,'cheques a conf'!A:D,4,FALSE),"no clearing")</f>
        <v>no clearing</v>
      </c>
      <c r="N936" s="40">
        <f t="shared" si="453"/>
        <v>51</v>
      </c>
      <c r="O936" s="42">
        <f t="shared" si="454"/>
        <v>12</v>
      </c>
      <c r="P936" s="42">
        <f t="shared" si="455"/>
        <v>2025</v>
      </c>
    </row>
    <row r="937" spans="1:16" x14ac:dyDescent="0.2">
      <c r="A937" s="21">
        <v>3000001788</v>
      </c>
      <c r="B937" s="22">
        <v>46007</v>
      </c>
      <c r="C937" s="20">
        <v>17000000</v>
      </c>
      <c r="D937" s="21" t="s">
        <v>442</v>
      </c>
      <c r="E937" s="21">
        <v>97124125</v>
      </c>
      <c r="F937" s="20">
        <v>17000000</v>
      </c>
      <c r="G937" s="22">
        <v>46058</v>
      </c>
      <c r="H937" s="21" t="s">
        <v>61</v>
      </c>
      <c r="I937" s="40" t="str">
        <f>IFERROR(IF(VLOOKUP(E937,extracto!C:C,1,FALSE)=E937,"pagado","no pagado"),"no pagado")</f>
        <v>pagado</v>
      </c>
      <c r="J937" s="41" t="str">
        <f t="shared" si="450"/>
        <v>pagado</v>
      </c>
      <c r="K937" s="40" t="str">
        <f t="shared" ca="1" si="451"/>
        <v>excluir</v>
      </c>
      <c r="L937" s="40" t="str">
        <f t="shared" ca="1" si="452"/>
        <v>no semana</v>
      </c>
      <c r="M937" s="40" t="str">
        <f>IFERROR(VLOOKUP(E937,'cheques a conf'!A:D,4,FALSE),"no clearing")</f>
        <v>no clearing</v>
      </c>
      <c r="N937" s="40">
        <f t="shared" si="453"/>
        <v>6</v>
      </c>
      <c r="O937" s="42">
        <f t="shared" si="454"/>
        <v>2</v>
      </c>
      <c r="P937" s="42">
        <f t="shared" si="455"/>
        <v>2026</v>
      </c>
    </row>
    <row r="938" spans="1:16" x14ac:dyDescent="0.2">
      <c r="A938" s="21">
        <v>3000001788</v>
      </c>
      <c r="B938" s="22">
        <v>46007</v>
      </c>
      <c r="C938" s="20">
        <v>16466702.5</v>
      </c>
      <c r="D938" s="21" t="s">
        <v>442</v>
      </c>
      <c r="E938" s="21">
        <v>97124126</v>
      </c>
      <c r="F938" s="20">
        <v>16466702.5</v>
      </c>
      <c r="G938" s="22">
        <v>46086</v>
      </c>
      <c r="H938" s="21" t="s">
        <v>61</v>
      </c>
      <c r="I938" s="40" t="str">
        <f>IFERROR(IF(VLOOKUP(E938,extracto!C:C,1,FALSE)=E938,"pagado","no pagado"),"no pagado")</f>
        <v>pagado</v>
      </c>
      <c r="J938" s="41" t="str">
        <f t="shared" si="450"/>
        <v>pagado</v>
      </c>
      <c r="K938" s="40" t="str">
        <f t="shared" ca="1" si="451"/>
        <v>excluir</v>
      </c>
      <c r="L938" s="40" t="str">
        <f t="shared" ca="1" si="452"/>
        <v>no semana</v>
      </c>
      <c r="M938" s="40" t="str">
        <f>IFERROR(VLOOKUP(E938,'cheques a conf'!A:D,4,FALSE),"no clearing")</f>
        <v>no clearing</v>
      </c>
      <c r="N938" s="40">
        <f t="shared" si="453"/>
        <v>10</v>
      </c>
      <c r="O938" s="42">
        <f t="shared" si="454"/>
        <v>3</v>
      </c>
      <c r="P938" s="42">
        <f t="shared" si="455"/>
        <v>2026</v>
      </c>
    </row>
    <row r="939" spans="1:16" x14ac:dyDescent="0.2">
      <c r="A939" s="21">
        <v>1200002676</v>
      </c>
      <c r="B939" s="22">
        <v>46008</v>
      </c>
      <c r="C939" s="20">
        <v>17229080.260000002</v>
      </c>
      <c r="D939" s="21" t="s">
        <v>296</v>
      </c>
      <c r="E939" s="21">
        <v>97124131</v>
      </c>
      <c r="F939" s="20">
        <v>17229080.260000002</v>
      </c>
      <c r="G939" s="22">
        <v>46014</v>
      </c>
      <c r="H939" s="21" t="s">
        <v>61</v>
      </c>
      <c r="I939" s="40" t="str">
        <f>IFERROR(IF(VLOOKUP(E939,extracto!C:C,1,FALSE)=E939,"pagado","no pagado"),"no pagado")</f>
        <v>pagado</v>
      </c>
      <c r="J939" s="41" t="str">
        <f t="shared" si="450"/>
        <v>pagado</v>
      </c>
      <c r="K939" s="40" t="str">
        <f t="shared" ca="1" si="451"/>
        <v>excluir</v>
      </c>
      <c r="L939" s="40" t="str">
        <f t="shared" ca="1" si="452"/>
        <v>no semana</v>
      </c>
      <c r="M939" s="40" t="str">
        <f>IFERROR(VLOOKUP(E939,'cheques a conf'!A:D,4,FALSE),"no clearing")</f>
        <v>no clearing</v>
      </c>
      <c r="N939" s="40">
        <f t="shared" si="453"/>
        <v>52</v>
      </c>
      <c r="O939" s="42">
        <f t="shared" si="454"/>
        <v>12</v>
      </c>
      <c r="P939" s="42">
        <f t="shared" si="455"/>
        <v>2025</v>
      </c>
    </row>
    <row r="940" spans="1:16" x14ac:dyDescent="0.2">
      <c r="A940" s="21">
        <v>1200002676</v>
      </c>
      <c r="B940" s="22">
        <v>46008</v>
      </c>
      <c r="C940" s="20">
        <v>27781394.850000001</v>
      </c>
      <c r="D940" s="21" t="s">
        <v>296</v>
      </c>
      <c r="E940" s="21">
        <v>97124132</v>
      </c>
      <c r="F940" s="20">
        <v>27781394.850000001</v>
      </c>
      <c r="G940" s="22">
        <v>46014</v>
      </c>
      <c r="H940" s="21" t="s">
        <v>61</v>
      </c>
      <c r="I940" s="40" t="str">
        <f>IFERROR(IF(VLOOKUP(E940,extracto!C:C,1,FALSE)=E940,"pagado","no pagado"),"no pagado")</f>
        <v>pagado</v>
      </c>
      <c r="J940" s="41" t="str">
        <f t="shared" si="450"/>
        <v>pagado</v>
      </c>
      <c r="K940" s="40" t="str">
        <f t="shared" ca="1" si="451"/>
        <v>excluir</v>
      </c>
      <c r="L940" s="40" t="str">
        <f t="shared" ca="1" si="452"/>
        <v>no semana</v>
      </c>
      <c r="M940" s="40" t="str">
        <f>IFERROR(VLOOKUP(E940,'cheques a conf'!A:D,4,FALSE),"no clearing")</f>
        <v>no clearing</v>
      </c>
      <c r="N940" s="40">
        <f t="shared" si="453"/>
        <v>52</v>
      </c>
      <c r="O940" s="42">
        <f t="shared" si="454"/>
        <v>12</v>
      </c>
      <c r="P940" s="42">
        <f t="shared" si="455"/>
        <v>2025</v>
      </c>
    </row>
    <row r="941" spans="1:16" x14ac:dyDescent="0.2">
      <c r="A941" s="21">
        <v>1200002676</v>
      </c>
      <c r="B941" s="22">
        <v>46008</v>
      </c>
      <c r="C941" s="20">
        <v>31000000</v>
      </c>
      <c r="D941" s="21" t="s">
        <v>296</v>
      </c>
      <c r="E941" s="21">
        <v>97124133</v>
      </c>
      <c r="F941" s="20">
        <v>31000000</v>
      </c>
      <c r="G941" s="22">
        <v>46014</v>
      </c>
      <c r="H941" s="21" t="s">
        <v>61</v>
      </c>
      <c r="I941" s="40" t="str">
        <f>IFERROR(IF(VLOOKUP(E941,extracto!C:C,1,FALSE)=E941,"pagado","no pagado"),"no pagado")</f>
        <v>pagado</v>
      </c>
      <c r="J941" s="41" t="str">
        <f t="shared" si="450"/>
        <v>pagado</v>
      </c>
      <c r="K941" s="40" t="str">
        <f t="shared" ca="1" si="451"/>
        <v>excluir</v>
      </c>
      <c r="L941" s="40" t="str">
        <f t="shared" ca="1" si="452"/>
        <v>no semana</v>
      </c>
      <c r="M941" s="40" t="str">
        <f>IFERROR(VLOOKUP(E941,'cheques a conf'!A:D,4,FALSE),"no clearing")</f>
        <v>no clearing</v>
      </c>
      <c r="N941" s="40">
        <f t="shared" si="453"/>
        <v>52</v>
      </c>
      <c r="O941" s="42">
        <f t="shared" si="454"/>
        <v>12</v>
      </c>
      <c r="P941" s="42">
        <f t="shared" si="455"/>
        <v>2025</v>
      </c>
    </row>
    <row r="942" spans="1:16" x14ac:dyDescent="0.2">
      <c r="A942" s="21">
        <v>1200002676</v>
      </c>
      <c r="B942" s="22">
        <v>46008</v>
      </c>
      <c r="C942" s="20">
        <v>19448681.600000001</v>
      </c>
      <c r="D942" s="21" t="s">
        <v>296</v>
      </c>
      <c r="E942" s="21">
        <v>97124134</v>
      </c>
      <c r="F942" s="20">
        <v>19448681.600000001</v>
      </c>
      <c r="G942" s="22">
        <v>46014</v>
      </c>
      <c r="H942" s="21" t="s">
        <v>61</v>
      </c>
      <c r="I942" s="40" t="str">
        <f>IFERROR(IF(VLOOKUP(E942,extracto!C:C,1,FALSE)=E942,"pagado","no pagado"),"no pagado")</f>
        <v>pagado</v>
      </c>
      <c r="J942" s="41" t="str">
        <f t="shared" si="450"/>
        <v>pagado</v>
      </c>
      <c r="K942" s="40" t="str">
        <f t="shared" ca="1" si="451"/>
        <v>excluir</v>
      </c>
      <c r="L942" s="40" t="str">
        <f t="shared" ca="1" si="452"/>
        <v>no semana</v>
      </c>
      <c r="M942" s="40" t="str">
        <f>IFERROR(VLOOKUP(E942,'cheques a conf'!A:D,4,FALSE),"no clearing")</f>
        <v>no clearing</v>
      </c>
      <c r="N942" s="40">
        <f t="shared" si="453"/>
        <v>52</v>
      </c>
      <c r="O942" s="42">
        <f t="shared" si="454"/>
        <v>12</v>
      </c>
      <c r="P942" s="42">
        <f t="shared" si="455"/>
        <v>2025</v>
      </c>
    </row>
    <row r="943" spans="1:16" x14ac:dyDescent="0.2">
      <c r="A943" s="21">
        <v>1200002676</v>
      </c>
      <c r="B943" s="22">
        <v>46008</v>
      </c>
      <c r="C943" s="20">
        <v>18137576.620000001</v>
      </c>
      <c r="D943" s="21" t="s">
        <v>296</v>
      </c>
      <c r="E943" s="21">
        <v>97124135</v>
      </c>
      <c r="F943" s="20">
        <v>18137576.620000001</v>
      </c>
      <c r="G943" s="22">
        <v>46014</v>
      </c>
      <c r="H943" s="21" t="s">
        <v>61</v>
      </c>
      <c r="I943" s="40" t="str">
        <f>IFERROR(IF(VLOOKUP(E943,extracto!C:C,1,FALSE)=E943,"pagado","no pagado"),"no pagado")</f>
        <v>pagado</v>
      </c>
      <c r="J943" s="41" t="str">
        <f t="shared" si="450"/>
        <v>pagado</v>
      </c>
      <c r="K943" s="40" t="str">
        <f t="shared" ca="1" si="451"/>
        <v>excluir</v>
      </c>
      <c r="L943" s="40" t="str">
        <f t="shared" ca="1" si="452"/>
        <v>no semana</v>
      </c>
      <c r="M943" s="40" t="str">
        <f>IFERROR(VLOOKUP(E943,'cheques a conf'!A:D,4,FALSE),"no clearing")</f>
        <v>no clearing</v>
      </c>
      <c r="N943" s="40">
        <f t="shared" si="453"/>
        <v>52</v>
      </c>
      <c r="O943" s="42">
        <f t="shared" si="454"/>
        <v>12</v>
      </c>
      <c r="P943" s="42">
        <f t="shared" si="455"/>
        <v>2025</v>
      </c>
    </row>
    <row r="944" spans="1:16" x14ac:dyDescent="0.2">
      <c r="A944" s="21">
        <v>1200002676</v>
      </c>
      <c r="B944" s="22">
        <v>46008</v>
      </c>
      <c r="C944" s="20">
        <v>14843933.49</v>
      </c>
      <c r="D944" s="21" t="s">
        <v>296</v>
      </c>
      <c r="E944" s="21">
        <v>97124136</v>
      </c>
      <c r="F944" s="20">
        <v>14843933.49</v>
      </c>
      <c r="G944" s="22">
        <v>46014</v>
      </c>
      <c r="H944" s="21" t="s">
        <v>61</v>
      </c>
      <c r="I944" s="40" t="str">
        <f>IFERROR(IF(VLOOKUP(E944,extracto!C:C,1,FALSE)=E944,"pagado","no pagado"),"no pagado")</f>
        <v>pagado</v>
      </c>
      <c r="J944" s="41" t="str">
        <f t="shared" si="450"/>
        <v>pagado</v>
      </c>
      <c r="K944" s="40" t="str">
        <f t="shared" ca="1" si="451"/>
        <v>excluir</v>
      </c>
      <c r="L944" s="40" t="str">
        <f t="shared" ca="1" si="452"/>
        <v>no semana</v>
      </c>
      <c r="M944" s="40" t="str">
        <f>IFERROR(VLOOKUP(E944,'cheques a conf'!A:D,4,FALSE),"no clearing")</f>
        <v>no clearing</v>
      </c>
      <c r="N944" s="40">
        <f t="shared" si="453"/>
        <v>52</v>
      </c>
      <c r="O944" s="42">
        <f t="shared" si="454"/>
        <v>12</v>
      </c>
      <c r="P944" s="42">
        <f t="shared" si="455"/>
        <v>2025</v>
      </c>
    </row>
    <row r="945" spans="1:16" x14ac:dyDescent="0.2">
      <c r="A945" s="21">
        <v>3000001804</v>
      </c>
      <c r="B945" s="22">
        <v>46008</v>
      </c>
      <c r="C945" s="20">
        <v>4093400.44</v>
      </c>
      <c r="D945" s="21" t="s">
        <v>384</v>
      </c>
      <c r="E945" s="21">
        <v>97124127</v>
      </c>
      <c r="F945" s="20">
        <v>4093400.44</v>
      </c>
      <c r="G945" s="22">
        <v>46013</v>
      </c>
      <c r="H945" s="21" t="s">
        <v>61</v>
      </c>
      <c r="I945" s="40" t="str">
        <f>IFERROR(IF(VLOOKUP(E945,extracto!C:C,1,FALSE)=E945,"pagado","no pagado"),"no pagado")</f>
        <v>pagado</v>
      </c>
      <c r="J945" s="41" t="str">
        <f t="shared" si="450"/>
        <v>pagado</v>
      </c>
      <c r="K945" s="40" t="str">
        <f t="shared" ca="1" si="451"/>
        <v>excluir</v>
      </c>
      <c r="L945" s="40" t="str">
        <f t="shared" ca="1" si="452"/>
        <v>no semana</v>
      </c>
      <c r="M945" s="40" t="str">
        <f>IFERROR(VLOOKUP(E945,'cheques a conf'!A:D,4,FALSE),"no clearing")</f>
        <v>no clearing</v>
      </c>
      <c r="N945" s="40">
        <f t="shared" si="453"/>
        <v>52</v>
      </c>
      <c r="O945" s="42">
        <f t="shared" si="454"/>
        <v>12</v>
      </c>
      <c r="P945" s="42">
        <f t="shared" si="455"/>
        <v>2025</v>
      </c>
    </row>
    <row r="946" spans="1:16" x14ac:dyDescent="0.2">
      <c r="A946" s="21">
        <v>3000001805</v>
      </c>
      <c r="B946" s="22">
        <v>46008</v>
      </c>
      <c r="C946" s="20">
        <v>8410329.9499999993</v>
      </c>
      <c r="D946" s="21" t="s">
        <v>359</v>
      </c>
      <c r="E946" s="21">
        <v>97124128</v>
      </c>
      <c r="F946" s="20">
        <v>8410329.9499999993</v>
      </c>
      <c r="G946" s="22">
        <v>46013</v>
      </c>
      <c r="H946" s="21" t="s">
        <v>61</v>
      </c>
      <c r="I946" s="40" t="str">
        <f>IFERROR(IF(VLOOKUP(E946,extracto!C:C,1,FALSE)=E946,"pagado","no pagado"),"no pagado")</f>
        <v>pagado</v>
      </c>
      <c r="J946" s="41" t="str">
        <f t="shared" ref="J946:J958" si="456">IF(I946="pagado","pagado",IF(G946&lt;$V$1-30,"fuera de fecha","en periodo de pago"))</f>
        <v>pagado</v>
      </c>
      <c r="K946" s="40" t="str">
        <f t="shared" ref="K946:K958" ca="1" si="457">+IF(B946&gt;$V$1,"excluir",IF(J946="en periodo de pago",IF($V$1&gt;G946,"a pagar","proximo a vencer"),"excluir"))</f>
        <v>excluir</v>
      </c>
      <c r="L946" s="40" t="str">
        <f t="shared" ref="L946:L958" ca="1" si="458">+IF(K946="proximo a vencer",IF($V$1+5&gt;G946,"para la semana","no semana"),"no semana")</f>
        <v>no semana</v>
      </c>
      <c r="M946" s="40" t="str">
        <f>IFERROR(VLOOKUP(E946,'cheques a conf'!A:D,4,FALSE),"no clearing")</f>
        <v>no clearing</v>
      </c>
      <c r="N946" s="40">
        <f t="shared" ref="N946:N958" si="459">+WEEKNUM(G946,2)</f>
        <v>52</v>
      </c>
      <c r="O946" s="42">
        <f t="shared" ref="O946:O958" si="460">+MONTH(G946)</f>
        <v>12</v>
      </c>
      <c r="P946" s="42">
        <f t="shared" ref="P946:P958" si="461">+YEAR(G946)</f>
        <v>2025</v>
      </c>
    </row>
    <row r="947" spans="1:16" x14ac:dyDescent="0.2">
      <c r="A947" s="21">
        <v>3000001806</v>
      </c>
      <c r="B947" s="22">
        <v>46008</v>
      </c>
      <c r="C947" s="20">
        <v>4519074.93</v>
      </c>
      <c r="D947" s="21" t="s">
        <v>26</v>
      </c>
      <c r="E947" s="21">
        <v>97124129</v>
      </c>
      <c r="F947" s="20">
        <v>4519074.93</v>
      </c>
      <c r="G947" s="22">
        <v>46013</v>
      </c>
      <c r="H947" s="21" t="s">
        <v>61</v>
      </c>
      <c r="I947" s="40" t="str">
        <f>IFERROR(IF(VLOOKUP(E947,extracto!C:C,1,FALSE)=E947,"pagado","no pagado"),"no pagado")</f>
        <v>pagado</v>
      </c>
      <c r="J947" s="41" t="str">
        <f t="shared" si="456"/>
        <v>pagado</v>
      </c>
      <c r="K947" s="40" t="str">
        <f t="shared" ca="1" si="457"/>
        <v>excluir</v>
      </c>
      <c r="L947" s="40" t="str">
        <f t="shared" ca="1" si="458"/>
        <v>no semana</v>
      </c>
      <c r="M947" s="40" t="str">
        <f>IFERROR(VLOOKUP(E947,'cheques a conf'!A:D,4,FALSE),"no clearing")</f>
        <v>no clearing</v>
      </c>
      <c r="N947" s="40">
        <f t="shared" si="459"/>
        <v>52</v>
      </c>
      <c r="O947" s="42">
        <f t="shared" si="460"/>
        <v>12</v>
      </c>
      <c r="P947" s="42">
        <f t="shared" si="461"/>
        <v>2025</v>
      </c>
    </row>
    <row r="948" spans="1:16" x14ac:dyDescent="0.2">
      <c r="A948" s="21">
        <v>3000001807</v>
      </c>
      <c r="B948" s="22">
        <v>46008</v>
      </c>
      <c r="C948" s="20">
        <v>11036942.439999999</v>
      </c>
      <c r="D948" s="21" t="s">
        <v>338</v>
      </c>
      <c r="E948" s="21">
        <v>97124130</v>
      </c>
      <c r="F948" s="20">
        <v>11036942.439999999</v>
      </c>
      <c r="G948" s="22">
        <v>46013</v>
      </c>
      <c r="H948" s="21" t="s">
        <v>61</v>
      </c>
      <c r="I948" s="40" t="str">
        <f>IFERROR(IF(VLOOKUP(E948,extracto!C:C,1,FALSE)=E948,"pagado","no pagado"),"no pagado")</f>
        <v>pagado</v>
      </c>
      <c r="J948" s="41" t="str">
        <f t="shared" si="456"/>
        <v>pagado</v>
      </c>
      <c r="K948" s="40" t="str">
        <f t="shared" ca="1" si="457"/>
        <v>excluir</v>
      </c>
      <c r="L948" s="40" t="str">
        <f t="shared" ca="1" si="458"/>
        <v>no semana</v>
      </c>
      <c r="M948" s="40" t="str">
        <f>IFERROR(VLOOKUP(E948,'cheques a conf'!A:D,4,FALSE),"no clearing")</f>
        <v>no clearing</v>
      </c>
      <c r="N948" s="40">
        <f t="shared" si="459"/>
        <v>52</v>
      </c>
      <c r="O948" s="42">
        <f t="shared" si="460"/>
        <v>12</v>
      </c>
      <c r="P948" s="42">
        <f t="shared" si="461"/>
        <v>2025</v>
      </c>
    </row>
    <row r="949" spans="1:16" x14ac:dyDescent="0.25">
      <c r="A949">
        <v>1200002680</v>
      </c>
      <c r="B949" s="22">
        <v>46010</v>
      </c>
      <c r="C949" s="9">
        <v>180027680.33000001</v>
      </c>
      <c r="D949" t="s">
        <v>296</v>
      </c>
      <c r="E949" s="21">
        <v>97124137</v>
      </c>
      <c r="F949" s="9">
        <v>180027680.33000001</v>
      </c>
      <c r="G949" s="22">
        <v>46017</v>
      </c>
      <c r="H949" s="21" t="s">
        <v>61</v>
      </c>
      <c r="I949" s="40" t="str">
        <f>IFERROR(IF(VLOOKUP(E949,extracto!C:C,1,FALSE)=E949,"pagado","no pagado"),"no pagado")</f>
        <v>pagado</v>
      </c>
      <c r="J949" s="41" t="str">
        <f t="shared" si="456"/>
        <v>pagado</v>
      </c>
      <c r="K949" s="40" t="str">
        <f t="shared" ca="1" si="457"/>
        <v>excluir</v>
      </c>
      <c r="L949" s="40" t="str">
        <f t="shared" ca="1" si="458"/>
        <v>no semana</v>
      </c>
      <c r="M949" s="40" t="str">
        <f>IFERROR(VLOOKUP(E949,'cheques a conf'!A:D,4,FALSE),"no clearing")</f>
        <v>no clearing</v>
      </c>
      <c r="N949" s="40">
        <f t="shared" si="459"/>
        <v>52</v>
      </c>
      <c r="O949" s="42">
        <f t="shared" si="460"/>
        <v>12</v>
      </c>
      <c r="P949" s="42">
        <f t="shared" si="461"/>
        <v>2025</v>
      </c>
    </row>
    <row r="950" spans="1:16" x14ac:dyDescent="0.2">
      <c r="A950" s="21">
        <v>3000001832</v>
      </c>
      <c r="B950" s="22">
        <v>46014</v>
      </c>
      <c r="C950" s="20">
        <v>6248843.4000000004</v>
      </c>
      <c r="D950" s="21" t="s">
        <v>430</v>
      </c>
      <c r="E950" s="21">
        <v>97124138</v>
      </c>
      <c r="F950" s="20">
        <v>6248843.4000000004</v>
      </c>
      <c r="G950" s="22">
        <v>46030</v>
      </c>
      <c r="H950" s="21" t="s">
        <v>61</v>
      </c>
      <c r="I950" s="40" t="str">
        <f>IFERROR(IF(VLOOKUP(E950,extracto!C:C,1,FALSE)=E950,"pagado","no pagado"),"no pagado")</f>
        <v>pagado</v>
      </c>
      <c r="J950" s="41" t="str">
        <f t="shared" si="456"/>
        <v>pagado</v>
      </c>
      <c r="K950" s="40" t="str">
        <f t="shared" ca="1" si="457"/>
        <v>excluir</v>
      </c>
      <c r="L950" s="40" t="str">
        <f t="shared" ca="1" si="458"/>
        <v>no semana</v>
      </c>
      <c r="M950" s="40" t="str">
        <f>IFERROR(VLOOKUP(E950,'cheques a conf'!A:D,4,FALSE),"no clearing")</f>
        <v>no clearing</v>
      </c>
      <c r="N950" s="40">
        <f t="shared" si="459"/>
        <v>2</v>
      </c>
      <c r="O950" s="42">
        <f t="shared" si="460"/>
        <v>1</v>
      </c>
      <c r="P950" s="42">
        <f t="shared" si="461"/>
        <v>2026</v>
      </c>
    </row>
    <row r="951" spans="1:16" x14ac:dyDescent="0.2">
      <c r="A951" s="21">
        <v>3000001833</v>
      </c>
      <c r="B951" s="22">
        <v>46014</v>
      </c>
      <c r="C951" s="20">
        <v>2584598.85</v>
      </c>
      <c r="D951" s="21" t="s">
        <v>344</v>
      </c>
      <c r="E951" s="21">
        <v>97124139</v>
      </c>
      <c r="F951" s="20">
        <v>2584598.85</v>
      </c>
      <c r="G951" s="22">
        <v>46020</v>
      </c>
      <c r="H951" s="21" t="s">
        <v>61</v>
      </c>
      <c r="I951" s="40" t="str">
        <f>IFERROR(IF(VLOOKUP(E951,extracto!C:C,1,FALSE)=E951,"pagado","no pagado"),"no pagado")</f>
        <v>pagado</v>
      </c>
      <c r="J951" s="41" t="str">
        <f t="shared" si="456"/>
        <v>pagado</v>
      </c>
      <c r="K951" s="40" t="str">
        <f t="shared" ca="1" si="457"/>
        <v>excluir</v>
      </c>
      <c r="L951" s="40" t="str">
        <f t="shared" ca="1" si="458"/>
        <v>no semana</v>
      </c>
      <c r="M951" s="40" t="str">
        <f>IFERROR(VLOOKUP(E951,'cheques a conf'!A:D,4,FALSE),"no clearing")</f>
        <v>no clearing</v>
      </c>
      <c r="N951" s="40">
        <f t="shared" si="459"/>
        <v>53</v>
      </c>
      <c r="O951" s="42">
        <f t="shared" si="460"/>
        <v>12</v>
      </c>
      <c r="P951" s="42">
        <f t="shared" si="461"/>
        <v>2025</v>
      </c>
    </row>
    <row r="952" spans="1:16" x14ac:dyDescent="0.2">
      <c r="A952" s="21">
        <v>3000001833</v>
      </c>
      <c r="B952" s="22">
        <v>46014</v>
      </c>
      <c r="C952" s="20">
        <v>10755712.380000001</v>
      </c>
      <c r="D952" s="21" t="s">
        <v>344</v>
      </c>
      <c r="E952" s="21">
        <v>97124140</v>
      </c>
      <c r="F952" s="20">
        <v>10755712.380000001</v>
      </c>
      <c r="G952" s="22">
        <v>46030</v>
      </c>
      <c r="H952" s="21" t="s">
        <v>61</v>
      </c>
      <c r="I952" s="40" t="str">
        <f>IFERROR(IF(VLOOKUP(E952,extracto!C:C,1,FALSE)=E952,"pagado","no pagado"),"no pagado")</f>
        <v>pagado</v>
      </c>
      <c r="J952" s="41" t="str">
        <f t="shared" si="456"/>
        <v>pagado</v>
      </c>
      <c r="K952" s="40" t="str">
        <f t="shared" ca="1" si="457"/>
        <v>excluir</v>
      </c>
      <c r="L952" s="40" t="str">
        <f t="shared" ca="1" si="458"/>
        <v>no semana</v>
      </c>
      <c r="M952" s="40" t="str">
        <f>IFERROR(VLOOKUP(E952,'cheques a conf'!A:D,4,FALSE),"no clearing")</f>
        <v>no clearing</v>
      </c>
      <c r="N952" s="40">
        <f t="shared" si="459"/>
        <v>2</v>
      </c>
      <c r="O952" s="42">
        <f t="shared" si="460"/>
        <v>1</v>
      </c>
      <c r="P952" s="42">
        <f t="shared" si="461"/>
        <v>2026</v>
      </c>
    </row>
    <row r="953" spans="1:16" x14ac:dyDescent="0.2">
      <c r="A953" s="21">
        <v>3000001834</v>
      </c>
      <c r="B953" s="22">
        <v>46014</v>
      </c>
      <c r="C953" s="20">
        <v>14084236.539999999</v>
      </c>
      <c r="D953" s="21" t="s">
        <v>348</v>
      </c>
      <c r="E953" s="21">
        <v>97124141</v>
      </c>
      <c r="F953" s="20">
        <v>14084236.539999999</v>
      </c>
      <c r="G953" s="22">
        <v>46030</v>
      </c>
      <c r="H953" s="21" t="s">
        <v>61</v>
      </c>
      <c r="I953" s="40" t="str">
        <f>IFERROR(IF(VLOOKUP(E953,extracto!C:C,1,FALSE)=E953,"pagado","no pagado"),"no pagado")</f>
        <v>pagado</v>
      </c>
      <c r="J953" s="41" t="str">
        <f t="shared" si="456"/>
        <v>pagado</v>
      </c>
      <c r="K953" s="40" t="str">
        <f t="shared" ca="1" si="457"/>
        <v>excluir</v>
      </c>
      <c r="L953" s="40" t="str">
        <f t="shared" ca="1" si="458"/>
        <v>no semana</v>
      </c>
      <c r="M953" s="40" t="str">
        <f>IFERROR(VLOOKUP(E953,'cheques a conf'!A:D,4,FALSE),"no clearing")</f>
        <v>no clearing</v>
      </c>
      <c r="N953" s="40">
        <f t="shared" si="459"/>
        <v>2</v>
      </c>
      <c r="O953" s="42">
        <f t="shared" si="460"/>
        <v>1</v>
      </c>
      <c r="P953" s="42">
        <f t="shared" si="461"/>
        <v>2026</v>
      </c>
    </row>
    <row r="954" spans="1:16" x14ac:dyDescent="0.2">
      <c r="A954" s="21">
        <v>3000001835</v>
      </c>
      <c r="B954" s="22">
        <v>46014</v>
      </c>
      <c r="C954" s="20">
        <v>25000000</v>
      </c>
      <c r="D954" s="21" t="s">
        <v>350</v>
      </c>
      <c r="E954" s="21">
        <v>97124142</v>
      </c>
      <c r="F954" s="20">
        <v>25000000</v>
      </c>
      <c r="G954" s="22">
        <v>46030</v>
      </c>
      <c r="H954" s="21" t="s">
        <v>61</v>
      </c>
      <c r="I954" s="40" t="str">
        <f>IFERROR(IF(VLOOKUP(E954,extracto!C:C,1,FALSE)=E954,"pagado","no pagado"),"no pagado")</f>
        <v>pagado</v>
      </c>
      <c r="J954" s="41" t="str">
        <f t="shared" si="456"/>
        <v>pagado</v>
      </c>
      <c r="K954" s="40" t="str">
        <f t="shared" ca="1" si="457"/>
        <v>excluir</v>
      </c>
      <c r="L954" s="40" t="str">
        <f t="shared" ca="1" si="458"/>
        <v>no semana</v>
      </c>
      <c r="M954" s="40" t="str">
        <f>IFERROR(VLOOKUP(E954,'cheques a conf'!A:D,4,FALSE),"no clearing")</f>
        <v>no clearing</v>
      </c>
      <c r="N954" s="40">
        <f t="shared" si="459"/>
        <v>2</v>
      </c>
      <c r="O954" s="42">
        <f t="shared" si="460"/>
        <v>1</v>
      </c>
      <c r="P954" s="42">
        <f t="shared" si="461"/>
        <v>2026</v>
      </c>
    </row>
    <row r="955" spans="1:16" x14ac:dyDescent="0.2">
      <c r="A955" s="21">
        <v>3000001835</v>
      </c>
      <c r="B955" s="22">
        <v>46014</v>
      </c>
      <c r="C955" s="20">
        <v>30752840</v>
      </c>
      <c r="D955" s="21" t="s">
        <v>350</v>
      </c>
      <c r="E955" s="21">
        <v>97124143</v>
      </c>
      <c r="F955" s="20">
        <v>30752840</v>
      </c>
      <c r="G955" s="22">
        <v>46031</v>
      </c>
      <c r="H955" s="21" t="s">
        <v>61</v>
      </c>
      <c r="I955" s="40" t="str">
        <f>IFERROR(IF(VLOOKUP(E955,extracto!C:C,1,FALSE)=E955,"pagado","no pagado"),"no pagado")</f>
        <v>pagado</v>
      </c>
      <c r="J955" s="41" t="str">
        <f t="shared" si="456"/>
        <v>pagado</v>
      </c>
      <c r="K955" s="40" t="str">
        <f t="shared" ca="1" si="457"/>
        <v>excluir</v>
      </c>
      <c r="L955" s="40" t="str">
        <f t="shared" ca="1" si="458"/>
        <v>no semana</v>
      </c>
      <c r="M955" s="40" t="str">
        <f>IFERROR(VLOOKUP(E955,'cheques a conf'!A:D,4,FALSE),"no clearing")</f>
        <v>no clearing</v>
      </c>
      <c r="N955" s="40">
        <f t="shared" si="459"/>
        <v>2</v>
      </c>
      <c r="O955" s="42">
        <f t="shared" si="460"/>
        <v>1</v>
      </c>
      <c r="P955" s="42">
        <f t="shared" si="461"/>
        <v>2026</v>
      </c>
    </row>
    <row r="956" spans="1:16" x14ac:dyDescent="0.2">
      <c r="A956" s="21">
        <v>3000001836</v>
      </c>
      <c r="B956" s="22">
        <v>46014</v>
      </c>
      <c r="C956" s="20">
        <v>25000000</v>
      </c>
      <c r="D956" s="21" t="s">
        <v>361</v>
      </c>
      <c r="E956" s="21">
        <v>97124144</v>
      </c>
      <c r="F956" s="20">
        <v>25000000</v>
      </c>
      <c r="G956" s="22">
        <v>46030</v>
      </c>
      <c r="H956" s="21" t="s">
        <v>61</v>
      </c>
      <c r="I956" s="40" t="str">
        <f>IFERROR(IF(VLOOKUP(E956,extracto!C:C,1,FALSE)=E956,"pagado","no pagado"),"no pagado")</f>
        <v>pagado</v>
      </c>
      <c r="J956" s="41" t="str">
        <f t="shared" si="456"/>
        <v>pagado</v>
      </c>
      <c r="K956" s="40" t="str">
        <f t="shared" ca="1" si="457"/>
        <v>excluir</v>
      </c>
      <c r="L956" s="40" t="str">
        <f t="shared" ca="1" si="458"/>
        <v>no semana</v>
      </c>
      <c r="M956" s="40" t="str">
        <f>IFERROR(VLOOKUP(E956,'cheques a conf'!A:D,4,FALSE),"no clearing")</f>
        <v>no clearing</v>
      </c>
      <c r="N956" s="40">
        <f t="shared" si="459"/>
        <v>2</v>
      </c>
      <c r="O956" s="42">
        <f t="shared" si="460"/>
        <v>1</v>
      </c>
      <c r="P956" s="42">
        <f t="shared" si="461"/>
        <v>2026</v>
      </c>
    </row>
    <row r="957" spans="1:16" x14ac:dyDescent="0.2">
      <c r="A957" s="21">
        <v>3000001836</v>
      </c>
      <c r="B957" s="22">
        <v>46014</v>
      </c>
      <c r="C957" s="20">
        <v>31893947.140000001</v>
      </c>
      <c r="D957" s="21" t="s">
        <v>361</v>
      </c>
      <c r="E957" s="21">
        <v>97124145</v>
      </c>
      <c r="F957" s="20">
        <v>31893947.140000001</v>
      </c>
      <c r="G957" s="22">
        <v>46031</v>
      </c>
      <c r="H957" s="21" t="s">
        <v>61</v>
      </c>
      <c r="I957" s="40" t="str">
        <f>IFERROR(IF(VLOOKUP(E957,extracto!C:C,1,FALSE)=E957,"pagado","no pagado"),"no pagado")</f>
        <v>pagado</v>
      </c>
      <c r="J957" s="41" t="str">
        <f t="shared" si="456"/>
        <v>pagado</v>
      </c>
      <c r="K957" s="40" t="str">
        <f t="shared" ca="1" si="457"/>
        <v>excluir</v>
      </c>
      <c r="L957" s="40" t="str">
        <f t="shared" ca="1" si="458"/>
        <v>no semana</v>
      </c>
      <c r="M957" s="40" t="str">
        <f>IFERROR(VLOOKUP(E957,'cheques a conf'!A:D,4,FALSE),"no clearing")</f>
        <v>no clearing</v>
      </c>
      <c r="N957" s="40">
        <f t="shared" si="459"/>
        <v>2</v>
      </c>
      <c r="O957" s="42">
        <f t="shared" si="460"/>
        <v>1</v>
      </c>
      <c r="P957" s="42">
        <f t="shared" si="461"/>
        <v>2026</v>
      </c>
    </row>
    <row r="958" spans="1:16" x14ac:dyDescent="0.2">
      <c r="A958" s="21">
        <v>3000001837</v>
      </c>
      <c r="B958" s="22">
        <v>46014</v>
      </c>
      <c r="C958" s="20">
        <v>15000000</v>
      </c>
      <c r="D958" s="21" t="s">
        <v>407</v>
      </c>
      <c r="E958" s="21">
        <v>97124146</v>
      </c>
      <c r="F958" s="20">
        <v>15000000</v>
      </c>
      <c r="G958" s="22">
        <v>46030</v>
      </c>
      <c r="H958" s="21" t="s">
        <v>61</v>
      </c>
      <c r="I958" s="40" t="str">
        <f>IFERROR(IF(VLOOKUP(E958,extracto!C:C,1,FALSE)=E958,"pagado","no pagado"),"no pagado")</f>
        <v>pagado</v>
      </c>
      <c r="J958" s="41" t="str">
        <f t="shared" si="456"/>
        <v>pagado</v>
      </c>
      <c r="K958" s="40" t="str">
        <f t="shared" ca="1" si="457"/>
        <v>excluir</v>
      </c>
      <c r="L958" s="40" t="str">
        <f t="shared" ca="1" si="458"/>
        <v>no semana</v>
      </c>
      <c r="M958" s="40" t="str">
        <f>IFERROR(VLOOKUP(E958,'cheques a conf'!A:D,4,FALSE),"no clearing")</f>
        <v>no clearing</v>
      </c>
      <c r="N958" s="40">
        <f t="shared" si="459"/>
        <v>2</v>
      </c>
      <c r="O958" s="42">
        <f t="shared" si="460"/>
        <v>1</v>
      </c>
      <c r="P958" s="42">
        <f t="shared" si="461"/>
        <v>2026</v>
      </c>
    </row>
    <row r="959" spans="1:16" x14ac:dyDescent="0.2">
      <c r="A959" s="21">
        <v>3000001837</v>
      </c>
      <c r="B959" s="22">
        <v>46014</v>
      </c>
      <c r="C959" s="20">
        <v>12565242.27</v>
      </c>
      <c r="D959" s="21" t="s">
        <v>407</v>
      </c>
      <c r="E959" s="21">
        <v>97124147</v>
      </c>
      <c r="F959" s="20">
        <v>12565242.27</v>
      </c>
      <c r="G959" s="22">
        <v>46031</v>
      </c>
      <c r="H959" s="21" t="s">
        <v>61</v>
      </c>
      <c r="I959" s="40" t="str">
        <f>IFERROR(IF(VLOOKUP(E959,extracto!C:C,1,FALSE)=E959,"pagado","no pagado"),"no pagado")</f>
        <v>pagado</v>
      </c>
      <c r="J959" s="41" t="str">
        <f t="shared" ref="J959:J1022" si="462">IF(I959="pagado","pagado",IF(G959&lt;$V$1-30,"fuera de fecha","en periodo de pago"))</f>
        <v>pagado</v>
      </c>
      <c r="K959" s="40" t="str">
        <f t="shared" ref="K959:K1022" ca="1" si="463">+IF(B959&gt;$V$1,"excluir",IF(J959="en periodo de pago",IF($V$1&gt;G959,"a pagar","proximo a vencer"),"excluir"))</f>
        <v>excluir</v>
      </c>
      <c r="L959" s="40" t="str">
        <f t="shared" ref="L959:L1022" ca="1" si="464">+IF(K959="proximo a vencer",IF($V$1+5&gt;G959,"para la semana","no semana"),"no semana")</f>
        <v>no semana</v>
      </c>
      <c r="M959" s="40" t="str">
        <f>IFERROR(VLOOKUP(E959,'cheques a conf'!A:D,4,FALSE),"no clearing")</f>
        <v>no clearing</v>
      </c>
      <c r="N959" s="40">
        <f t="shared" ref="N959:N1022" si="465">+WEEKNUM(G959,2)</f>
        <v>2</v>
      </c>
      <c r="O959" s="42">
        <f t="shared" ref="O959:O1022" si="466">+MONTH(G959)</f>
        <v>1</v>
      </c>
      <c r="P959" s="42">
        <f t="shared" ref="P959:P1022" si="467">+YEAR(G959)</f>
        <v>2026</v>
      </c>
    </row>
    <row r="960" spans="1:16" x14ac:dyDescent="0.2">
      <c r="A960" s="21">
        <v>3000001838</v>
      </c>
      <c r="B960" s="22">
        <v>46014</v>
      </c>
      <c r="C960" s="20">
        <v>25000000</v>
      </c>
      <c r="D960" s="21" t="s">
        <v>365</v>
      </c>
      <c r="E960" s="21">
        <v>97124148</v>
      </c>
      <c r="F960" s="20">
        <v>25000000</v>
      </c>
      <c r="G960" s="22">
        <v>46030</v>
      </c>
      <c r="H960" s="21" t="s">
        <v>61</v>
      </c>
      <c r="I960" s="40" t="str">
        <f>IFERROR(IF(VLOOKUP(E960,extracto!C:C,1,FALSE)=E960,"pagado","no pagado"),"no pagado")</f>
        <v>pagado</v>
      </c>
      <c r="J960" s="41" t="str">
        <f t="shared" si="462"/>
        <v>pagado</v>
      </c>
      <c r="K960" s="40" t="str">
        <f t="shared" ca="1" si="463"/>
        <v>excluir</v>
      </c>
      <c r="L960" s="40" t="str">
        <f t="shared" ca="1" si="464"/>
        <v>no semana</v>
      </c>
      <c r="M960" s="40" t="str">
        <f>IFERROR(VLOOKUP(E960,'cheques a conf'!A:D,4,FALSE),"no clearing")</f>
        <v>no clearing</v>
      </c>
      <c r="N960" s="40">
        <f t="shared" si="465"/>
        <v>2</v>
      </c>
      <c r="O960" s="42">
        <f t="shared" si="466"/>
        <v>1</v>
      </c>
      <c r="P960" s="42">
        <f t="shared" si="467"/>
        <v>2026</v>
      </c>
    </row>
    <row r="961" spans="1:16" x14ac:dyDescent="0.2">
      <c r="A961" s="21">
        <v>3000001838</v>
      </c>
      <c r="B961" s="22">
        <v>46014</v>
      </c>
      <c r="C961" s="20">
        <v>27261846</v>
      </c>
      <c r="D961" s="21" t="s">
        <v>365</v>
      </c>
      <c r="E961" s="21">
        <v>97124149</v>
      </c>
      <c r="F961" s="20">
        <v>27261846</v>
      </c>
      <c r="G961" s="22">
        <v>46031</v>
      </c>
      <c r="H961" s="21" t="s">
        <v>61</v>
      </c>
      <c r="I961" s="40" t="str">
        <f>IFERROR(IF(VLOOKUP(E961,extracto!C:C,1,FALSE)=E961,"pagado","no pagado"),"no pagado")</f>
        <v>pagado</v>
      </c>
      <c r="J961" s="41" t="str">
        <f t="shared" si="462"/>
        <v>pagado</v>
      </c>
      <c r="K961" s="40" t="str">
        <f t="shared" ca="1" si="463"/>
        <v>excluir</v>
      </c>
      <c r="L961" s="40" t="str">
        <f t="shared" ca="1" si="464"/>
        <v>no semana</v>
      </c>
      <c r="M961" s="40" t="str">
        <f>IFERROR(VLOOKUP(E961,'cheques a conf'!A:D,4,FALSE),"no clearing")</f>
        <v>no clearing</v>
      </c>
      <c r="N961" s="40">
        <f t="shared" si="465"/>
        <v>2</v>
      </c>
      <c r="O961" s="42">
        <f t="shared" si="466"/>
        <v>1</v>
      </c>
      <c r="P961" s="42">
        <f t="shared" si="467"/>
        <v>2026</v>
      </c>
    </row>
    <row r="962" spans="1:16" x14ac:dyDescent="0.2">
      <c r="A962" s="21">
        <v>3000001839</v>
      </c>
      <c r="B962" s="22">
        <v>46014</v>
      </c>
      <c r="C962" s="20">
        <v>25000000</v>
      </c>
      <c r="D962" s="21" t="s">
        <v>300</v>
      </c>
      <c r="E962" s="21">
        <v>97124150</v>
      </c>
      <c r="F962" s="20">
        <v>25000000</v>
      </c>
      <c r="G962" s="22">
        <v>46030</v>
      </c>
      <c r="H962" s="21" t="s">
        <v>61</v>
      </c>
      <c r="I962" s="40" t="str">
        <f>IFERROR(IF(VLOOKUP(E962,extracto!C:C,1,FALSE)=E962,"pagado","no pagado"),"no pagado")</f>
        <v>pagado</v>
      </c>
      <c r="J962" s="41" t="str">
        <f t="shared" si="462"/>
        <v>pagado</v>
      </c>
      <c r="K962" s="40" t="str">
        <f t="shared" ca="1" si="463"/>
        <v>excluir</v>
      </c>
      <c r="L962" s="40" t="str">
        <f t="shared" ca="1" si="464"/>
        <v>no semana</v>
      </c>
      <c r="M962" s="40" t="str">
        <f>IFERROR(VLOOKUP(E962,'cheques a conf'!A:D,4,FALSE),"no clearing")</f>
        <v>no clearing</v>
      </c>
      <c r="N962" s="40">
        <f t="shared" si="465"/>
        <v>2</v>
      </c>
      <c r="O962" s="42">
        <f t="shared" si="466"/>
        <v>1</v>
      </c>
      <c r="P962" s="42">
        <f t="shared" si="467"/>
        <v>2026</v>
      </c>
    </row>
    <row r="963" spans="1:16" x14ac:dyDescent="0.2">
      <c r="A963" s="21">
        <v>3000001839</v>
      </c>
      <c r="B963" s="22">
        <v>46014</v>
      </c>
      <c r="C963" s="20">
        <v>25710232.899999999</v>
      </c>
      <c r="D963" s="21" t="s">
        <v>300</v>
      </c>
      <c r="E963" s="21">
        <v>97124151</v>
      </c>
      <c r="F963" s="20">
        <v>25710232.899999999</v>
      </c>
      <c r="G963" s="22">
        <v>46031</v>
      </c>
      <c r="H963" s="21" t="s">
        <v>61</v>
      </c>
      <c r="I963" s="40" t="str">
        <f>IFERROR(IF(VLOOKUP(E963,extracto!C:C,1,FALSE)=E963,"pagado","no pagado"),"no pagado")</f>
        <v>pagado</v>
      </c>
      <c r="J963" s="41" t="str">
        <f t="shared" si="462"/>
        <v>pagado</v>
      </c>
      <c r="K963" s="40" t="str">
        <f t="shared" ca="1" si="463"/>
        <v>excluir</v>
      </c>
      <c r="L963" s="40" t="str">
        <f t="shared" ca="1" si="464"/>
        <v>no semana</v>
      </c>
      <c r="M963" s="40" t="str">
        <f>IFERROR(VLOOKUP(E963,'cheques a conf'!A:D,4,FALSE),"no clearing")</f>
        <v>no clearing</v>
      </c>
      <c r="N963" s="40">
        <f t="shared" si="465"/>
        <v>2</v>
      </c>
      <c r="O963" s="42">
        <f t="shared" si="466"/>
        <v>1</v>
      </c>
      <c r="P963" s="42">
        <f t="shared" si="467"/>
        <v>2026</v>
      </c>
    </row>
    <row r="964" spans="1:16" x14ac:dyDescent="0.2">
      <c r="A964" s="21">
        <v>3000001840</v>
      </c>
      <c r="B964" s="22">
        <v>46014</v>
      </c>
      <c r="C964" s="20">
        <v>12757657.369999999</v>
      </c>
      <c r="D964" s="21" t="s">
        <v>394</v>
      </c>
      <c r="E964" s="21">
        <v>97124152</v>
      </c>
      <c r="F964" s="20">
        <v>12757657.369999999</v>
      </c>
      <c r="G964" s="22">
        <v>46030</v>
      </c>
      <c r="H964" s="21" t="s">
        <v>61</v>
      </c>
      <c r="I964" s="40" t="str">
        <f>IFERROR(IF(VLOOKUP(E964,extracto!C:C,1,FALSE)=E964,"pagado","no pagado"),"no pagado")</f>
        <v>pagado</v>
      </c>
      <c r="J964" s="41" t="str">
        <f t="shared" si="462"/>
        <v>pagado</v>
      </c>
      <c r="K964" s="40" t="str">
        <f t="shared" ca="1" si="463"/>
        <v>excluir</v>
      </c>
      <c r="L964" s="40" t="str">
        <f t="shared" ca="1" si="464"/>
        <v>no semana</v>
      </c>
      <c r="M964" s="40" t="str">
        <f>IFERROR(VLOOKUP(E964,'cheques a conf'!A:D,4,FALSE),"no clearing")</f>
        <v>no clearing</v>
      </c>
      <c r="N964" s="40">
        <f t="shared" si="465"/>
        <v>2</v>
      </c>
      <c r="O964" s="42">
        <f t="shared" si="466"/>
        <v>1</v>
      </c>
      <c r="P964" s="42">
        <f t="shared" si="467"/>
        <v>2026</v>
      </c>
    </row>
    <row r="965" spans="1:16" x14ac:dyDescent="0.2">
      <c r="A965" s="21">
        <v>3000001841</v>
      </c>
      <c r="B965" s="22">
        <v>46014</v>
      </c>
      <c r="C965" s="20">
        <v>15000000</v>
      </c>
      <c r="D965" s="21" t="s">
        <v>303</v>
      </c>
      <c r="E965" s="21">
        <v>97124153</v>
      </c>
      <c r="F965" s="20">
        <v>15000000</v>
      </c>
      <c r="G965" s="22">
        <v>46030</v>
      </c>
      <c r="H965" s="21" t="s">
        <v>61</v>
      </c>
      <c r="I965" s="40" t="str">
        <f>IFERROR(IF(VLOOKUP(E965,extracto!C:C,1,FALSE)=E965,"pagado","no pagado"),"no pagado")</f>
        <v>pagado</v>
      </c>
      <c r="J965" s="41" t="str">
        <f t="shared" si="462"/>
        <v>pagado</v>
      </c>
      <c r="K965" s="40" t="str">
        <f t="shared" ca="1" si="463"/>
        <v>excluir</v>
      </c>
      <c r="L965" s="40" t="str">
        <f t="shared" ca="1" si="464"/>
        <v>no semana</v>
      </c>
      <c r="M965" s="40" t="str">
        <f>IFERROR(VLOOKUP(E965,'cheques a conf'!A:D,4,FALSE),"no clearing")</f>
        <v>no clearing</v>
      </c>
      <c r="N965" s="40">
        <f t="shared" si="465"/>
        <v>2</v>
      </c>
      <c r="O965" s="42">
        <f t="shared" si="466"/>
        <v>1</v>
      </c>
      <c r="P965" s="42">
        <f t="shared" si="467"/>
        <v>2026</v>
      </c>
    </row>
    <row r="966" spans="1:16" x14ac:dyDescent="0.2">
      <c r="A966" s="21">
        <v>3000001841</v>
      </c>
      <c r="B966" s="22">
        <v>46014</v>
      </c>
      <c r="C966" s="20">
        <v>14841630.369999999</v>
      </c>
      <c r="D966" s="21" t="s">
        <v>303</v>
      </c>
      <c r="E966" s="21">
        <v>97124154</v>
      </c>
      <c r="F966" s="20">
        <v>14841630.369999999</v>
      </c>
      <c r="G966" s="22">
        <v>46031</v>
      </c>
      <c r="H966" s="21" t="s">
        <v>61</v>
      </c>
      <c r="I966" s="40" t="str">
        <f>IFERROR(IF(VLOOKUP(E966,extracto!C:C,1,FALSE)=E966,"pagado","no pagado"),"no pagado")</f>
        <v>pagado</v>
      </c>
      <c r="J966" s="41" t="str">
        <f t="shared" si="462"/>
        <v>pagado</v>
      </c>
      <c r="K966" s="40" t="str">
        <f t="shared" ca="1" si="463"/>
        <v>excluir</v>
      </c>
      <c r="L966" s="40" t="str">
        <f t="shared" ca="1" si="464"/>
        <v>no semana</v>
      </c>
      <c r="M966" s="40" t="str">
        <f>IFERROR(VLOOKUP(E966,'cheques a conf'!A:D,4,FALSE),"no clearing")</f>
        <v>no clearing</v>
      </c>
      <c r="N966" s="40">
        <f t="shared" si="465"/>
        <v>2</v>
      </c>
      <c r="O966" s="42">
        <f t="shared" si="466"/>
        <v>1</v>
      </c>
      <c r="P966" s="42">
        <f t="shared" si="467"/>
        <v>2026</v>
      </c>
    </row>
    <row r="967" spans="1:16" x14ac:dyDescent="0.2">
      <c r="A967" s="21">
        <v>3000001842</v>
      </c>
      <c r="B967" s="22">
        <v>46014</v>
      </c>
      <c r="C967" s="20">
        <v>20051653.399999999</v>
      </c>
      <c r="D967" s="21" t="s">
        <v>353</v>
      </c>
      <c r="E967" s="21">
        <v>97124155</v>
      </c>
      <c r="F967" s="20">
        <v>20051653.399999999</v>
      </c>
      <c r="G967" s="22">
        <v>46030</v>
      </c>
      <c r="H967" s="21" t="s">
        <v>61</v>
      </c>
      <c r="I967" s="40" t="str">
        <f>IFERROR(IF(VLOOKUP(E967,extracto!C:C,1,FALSE)=E967,"pagado","no pagado"),"no pagado")</f>
        <v>pagado</v>
      </c>
      <c r="J967" s="41" t="str">
        <f t="shared" si="462"/>
        <v>pagado</v>
      </c>
      <c r="K967" s="40" t="str">
        <f t="shared" ca="1" si="463"/>
        <v>excluir</v>
      </c>
      <c r="L967" s="40" t="str">
        <f t="shared" ca="1" si="464"/>
        <v>no semana</v>
      </c>
      <c r="M967" s="40" t="str">
        <f>IFERROR(VLOOKUP(E967,'cheques a conf'!A:D,4,FALSE),"no clearing")</f>
        <v>no clearing</v>
      </c>
      <c r="N967" s="40">
        <f t="shared" si="465"/>
        <v>2</v>
      </c>
      <c r="O967" s="42">
        <f t="shared" si="466"/>
        <v>1</v>
      </c>
      <c r="P967" s="42">
        <f t="shared" si="467"/>
        <v>2026</v>
      </c>
    </row>
    <row r="968" spans="1:16" x14ac:dyDescent="0.2">
      <c r="A968" s="21">
        <v>3000001843</v>
      </c>
      <c r="B968" s="22">
        <v>46014</v>
      </c>
      <c r="C968" s="20">
        <v>16372888.689999999</v>
      </c>
      <c r="D968" s="21" t="s">
        <v>340</v>
      </c>
      <c r="E968" s="21">
        <v>97124156</v>
      </c>
      <c r="F968" s="20">
        <v>16372888.689999999</v>
      </c>
      <c r="G968" s="22">
        <v>46031</v>
      </c>
      <c r="H968" s="21" t="s">
        <v>61</v>
      </c>
      <c r="I968" s="40" t="str">
        <f>IFERROR(IF(VLOOKUP(E968,extracto!C:C,1,FALSE)=E968,"pagado","no pagado"),"no pagado")</f>
        <v>pagado</v>
      </c>
      <c r="J968" s="41" t="str">
        <f t="shared" si="462"/>
        <v>pagado</v>
      </c>
      <c r="K968" s="40" t="str">
        <f t="shared" ca="1" si="463"/>
        <v>excluir</v>
      </c>
      <c r="L968" s="40" t="str">
        <f t="shared" ca="1" si="464"/>
        <v>no semana</v>
      </c>
      <c r="M968" s="40" t="str">
        <f>IFERROR(VLOOKUP(E968,'cheques a conf'!A:D,4,FALSE),"no clearing")</f>
        <v>no clearing</v>
      </c>
      <c r="N968" s="40">
        <f t="shared" si="465"/>
        <v>2</v>
      </c>
      <c r="O968" s="42">
        <f t="shared" si="466"/>
        <v>1</v>
      </c>
      <c r="P968" s="42">
        <f t="shared" si="467"/>
        <v>2026</v>
      </c>
    </row>
    <row r="969" spans="1:16" x14ac:dyDescent="0.2">
      <c r="A969" s="21">
        <v>3000001844</v>
      </c>
      <c r="B969" s="22">
        <v>46017</v>
      </c>
      <c r="C969" s="20">
        <v>8500000</v>
      </c>
      <c r="D969" s="21" t="s">
        <v>445</v>
      </c>
      <c r="E969" s="21">
        <v>97124157</v>
      </c>
      <c r="F969" s="20">
        <v>8500000</v>
      </c>
      <c r="G969" s="22">
        <v>46034</v>
      </c>
      <c r="H969" s="21" t="s">
        <v>61</v>
      </c>
      <c r="I969" s="40" t="str">
        <f>IFERROR(IF(VLOOKUP(E969,extracto!C:C,1,FALSE)=E969,"pagado","no pagado"),"no pagado")</f>
        <v>pagado</v>
      </c>
      <c r="J969" s="41" t="str">
        <f t="shared" si="462"/>
        <v>pagado</v>
      </c>
      <c r="K969" s="40" t="str">
        <f t="shared" ca="1" si="463"/>
        <v>excluir</v>
      </c>
      <c r="L969" s="40" t="str">
        <f t="shared" ca="1" si="464"/>
        <v>no semana</v>
      </c>
      <c r="M969" s="40" t="str">
        <f>IFERROR(VLOOKUP(E969,'cheques a conf'!A:D,4,FALSE),"no clearing")</f>
        <v>no clearing</v>
      </c>
      <c r="N969" s="40">
        <f t="shared" si="465"/>
        <v>3</v>
      </c>
      <c r="O969" s="42">
        <f t="shared" si="466"/>
        <v>1</v>
      </c>
      <c r="P969" s="42">
        <f t="shared" si="467"/>
        <v>2026</v>
      </c>
    </row>
    <row r="970" spans="1:16" x14ac:dyDescent="0.2">
      <c r="A970" s="21">
        <v>3000001844</v>
      </c>
      <c r="B970" s="22">
        <v>46017</v>
      </c>
      <c r="C970" s="20">
        <v>9222695.3699999992</v>
      </c>
      <c r="D970" s="21" t="s">
        <v>445</v>
      </c>
      <c r="E970" s="21">
        <v>97124158</v>
      </c>
      <c r="F970" s="20">
        <v>9222695.3699999992</v>
      </c>
      <c r="G970" s="22">
        <v>46057</v>
      </c>
      <c r="H970" s="21" t="s">
        <v>61</v>
      </c>
      <c r="I970" s="40" t="str">
        <f>IFERROR(IF(VLOOKUP(E970,extracto!C:C,1,FALSE)=E970,"pagado","no pagado"),"no pagado")</f>
        <v>pagado</v>
      </c>
      <c r="J970" s="41" t="str">
        <f t="shared" si="462"/>
        <v>pagado</v>
      </c>
      <c r="K970" s="40" t="str">
        <f t="shared" ca="1" si="463"/>
        <v>excluir</v>
      </c>
      <c r="L970" s="40" t="str">
        <f t="shared" ca="1" si="464"/>
        <v>no semana</v>
      </c>
      <c r="M970" s="40" t="str">
        <f>IFERROR(VLOOKUP(E970,'cheques a conf'!A:D,4,FALSE),"no clearing")</f>
        <v>no clearing</v>
      </c>
      <c r="N970" s="40">
        <f t="shared" si="465"/>
        <v>6</v>
      </c>
      <c r="O970" s="42">
        <f t="shared" si="466"/>
        <v>2</v>
      </c>
      <c r="P970" s="42">
        <f t="shared" si="467"/>
        <v>2026</v>
      </c>
    </row>
    <row r="971" spans="1:16" x14ac:dyDescent="0.2">
      <c r="A971" s="21">
        <v>3000001855</v>
      </c>
      <c r="B971" s="22">
        <v>46020</v>
      </c>
      <c r="C971" s="20">
        <v>8000000</v>
      </c>
      <c r="D971" s="21" t="s">
        <v>284</v>
      </c>
      <c r="E971" s="21">
        <v>97124159</v>
      </c>
      <c r="F971" s="20">
        <v>8000000</v>
      </c>
      <c r="G971" s="22">
        <v>46034</v>
      </c>
      <c r="H971" s="21" t="s">
        <v>61</v>
      </c>
      <c r="I971" s="40" t="str">
        <f>IFERROR(IF(VLOOKUP(E971,extracto!C:C,1,FALSE)=E971,"pagado","no pagado"),"no pagado")</f>
        <v>pagado</v>
      </c>
      <c r="J971" s="41" t="str">
        <f t="shared" si="462"/>
        <v>pagado</v>
      </c>
      <c r="K971" s="40" t="str">
        <f t="shared" ca="1" si="463"/>
        <v>excluir</v>
      </c>
      <c r="L971" s="40" t="str">
        <f t="shared" ca="1" si="464"/>
        <v>no semana</v>
      </c>
      <c r="M971" s="40" t="str">
        <f>IFERROR(VLOOKUP(E971,'cheques a conf'!A:D,4,FALSE),"no clearing")</f>
        <v>no clearing</v>
      </c>
      <c r="N971" s="40">
        <f t="shared" si="465"/>
        <v>3</v>
      </c>
      <c r="O971" s="42">
        <f t="shared" si="466"/>
        <v>1</v>
      </c>
      <c r="P971" s="42">
        <f t="shared" si="467"/>
        <v>2026</v>
      </c>
    </row>
    <row r="972" spans="1:16" x14ac:dyDescent="0.2">
      <c r="A972" s="21">
        <v>3000001855</v>
      </c>
      <c r="B972" s="22">
        <v>46020</v>
      </c>
      <c r="C972" s="20">
        <v>5920445</v>
      </c>
      <c r="D972" s="21" t="s">
        <v>284</v>
      </c>
      <c r="E972" s="21">
        <v>97124160</v>
      </c>
      <c r="F972" s="20">
        <v>5920445</v>
      </c>
      <c r="G972" s="22">
        <v>46035</v>
      </c>
      <c r="H972" s="21" t="s">
        <v>61</v>
      </c>
      <c r="I972" s="40" t="str">
        <f>IFERROR(IF(VLOOKUP(E972,extracto!C:C,1,FALSE)=E972,"pagado","no pagado"),"no pagado")</f>
        <v>pagado</v>
      </c>
      <c r="J972" s="41" t="str">
        <f t="shared" si="462"/>
        <v>pagado</v>
      </c>
      <c r="K972" s="40" t="str">
        <f t="shared" ca="1" si="463"/>
        <v>excluir</v>
      </c>
      <c r="L972" s="40" t="str">
        <f t="shared" ca="1" si="464"/>
        <v>no semana</v>
      </c>
      <c r="M972" s="40" t="str">
        <f>IFERROR(VLOOKUP(E972,'cheques a conf'!A:D,4,FALSE),"no clearing")</f>
        <v>no clearing</v>
      </c>
      <c r="N972" s="40">
        <f t="shared" si="465"/>
        <v>3</v>
      </c>
      <c r="O972" s="42">
        <f t="shared" si="466"/>
        <v>1</v>
      </c>
      <c r="P972" s="42">
        <f t="shared" si="467"/>
        <v>2026</v>
      </c>
    </row>
    <row r="973" spans="1:16" x14ac:dyDescent="0.2">
      <c r="A973" s="21">
        <v>3000001856</v>
      </c>
      <c r="B973" s="22">
        <v>46020</v>
      </c>
      <c r="C973" s="20">
        <v>10000000</v>
      </c>
      <c r="D973" s="21" t="s">
        <v>407</v>
      </c>
      <c r="E973" s="21">
        <v>97124161</v>
      </c>
      <c r="F973" s="20">
        <v>10000000</v>
      </c>
      <c r="G973" s="22">
        <v>46034</v>
      </c>
      <c r="H973" s="21" t="s">
        <v>61</v>
      </c>
      <c r="I973" s="40" t="str">
        <f>IFERROR(IF(VLOOKUP(E973,extracto!C:C,1,FALSE)=E973,"pagado","no pagado"),"no pagado")</f>
        <v>pagado</v>
      </c>
      <c r="J973" s="41" t="str">
        <f t="shared" si="462"/>
        <v>pagado</v>
      </c>
      <c r="K973" s="40" t="str">
        <f t="shared" ca="1" si="463"/>
        <v>excluir</v>
      </c>
      <c r="L973" s="40" t="str">
        <f t="shared" ca="1" si="464"/>
        <v>no semana</v>
      </c>
      <c r="M973" s="40" t="str">
        <f>IFERROR(VLOOKUP(E973,'cheques a conf'!A:D,4,FALSE),"no clearing")</f>
        <v>no clearing</v>
      </c>
      <c r="N973" s="40">
        <f t="shared" si="465"/>
        <v>3</v>
      </c>
      <c r="O973" s="42">
        <f t="shared" si="466"/>
        <v>1</v>
      </c>
      <c r="P973" s="42">
        <f t="shared" si="467"/>
        <v>2026</v>
      </c>
    </row>
    <row r="974" spans="1:16" x14ac:dyDescent="0.2">
      <c r="A974" s="21">
        <v>3000001856</v>
      </c>
      <c r="B974" s="22">
        <v>46020</v>
      </c>
      <c r="C974" s="20">
        <v>5701870</v>
      </c>
      <c r="D974" s="21" t="s">
        <v>407</v>
      </c>
      <c r="E974" s="21">
        <v>97124162</v>
      </c>
      <c r="F974" s="20">
        <v>5701870</v>
      </c>
      <c r="G974" s="22">
        <v>46035</v>
      </c>
      <c r="H974" s="21" t="s">
        <v>61</v>
      </c>
      <c r="I974" s="40" t="str">
        <f>IFERROR(IF(VLOOKUP(E974,extracto!C:C,1,FALSE)=E974,"pagado","no pagado"),"no pagado")</f>
        <v>pagado</v>
      </c>
      <c r="J974" s="41" t="str">
        <f t="shared" si="462"/>
        <v>pagado</v>
      </c>
      <c r="K974" s="40" t="str">
        <f t="shared" ca="1" si="463"/>
        <v>excluir</v>
      </c>
      <c r="L974" s="40" t="str">
        <f t="shared" ca="1" si="464"/>
        <v>no semana</v>
      </c>
      <c r="M974" s="40" t="str">
        <f>IFERROR(VLOOKUP(E974,'cheques a conf'!A:D,4,FALSE),"no clearing")</f>
        <v>no clearing</v>
      </c>
      <c r="N974" s="40">
        <f t="shared" si="465"/>
        <v>3</v>
      </c>
      <c r="O974" s="42">
        <f t="shared" si="466"/>
        <v>1</v>
      </c>
      <c r="P974" s="42">
        <f t="shared" si="467"/>
        <v>2026</v>
      </c>
    </row>
    <row r="975" spans="1:16" x14ac:dyDescent="0.2">
      <c r="A975" s="21">
        <v>3000001857</v>
      </c>
      <c r="B975" s="22">
        <v>46020</v>
      </c>
      <c r="C975" s="20">
        <v>6000000</v>
      </c>
      <c r="D975" s="21" t="s">
        <v>197</v>
      </c>
      <c r="E975" s="21">
        <v>97124163</v>
      </c>
      <c r="F975" s="20">
        <v>6000000</v>
      </c>
      <c r="G975" s="22">
        <v>46034</v>
      </c>
      <c r="H975" s="21" t="s">
        <v>61</v>
      </c>
      <c r="I975" s="40" t="str">
        <f>IFERROR(IF(VLOOKUP(E975,extracto!C:C,1,FALSE)=E975,"pagado","no pagado"),"no pagado")</f>
        <v>pagado</v>
      </c>
      <c r="J975" s="41" t="str">
        <f t="shared" si="462"/>
        <v>pagado</v>
      </c>
      <c r="K975" s="40" t="str">
        <f t="shared" ca="1" si="463"/>
        <v>excluir</v>
      </c>
      <c r="L975" s="40" t="str">
        <f t="shared" ca="1" si="464"/>
        <v>no semana</v>
      </c>
      <c r="M975" s="40" t="str">
        <f>IFERROR(VLOOKUP(E975,'cheques a conf'!A:D,4,FALSE),"no clearing")</f>
        <v>no clearing</v>
      </c>
      <c r="N975" s="40">
        <f t="shared" si="465"/>
        <v>3</v>
      </c>
      <c r="O975" s="42">
        <f t="shared" si="466"/>
        <v>1</v>
      </c>
      <c r="P975" s="42">
        <f t="shared" si="467"/>
        <v>2026</v>
      </c>
    </row>
    <row r="976" spans="1:16" x14ac:dyDescent="0.2">
      <c r="A976" s="21">
        <v>3000001857</v>
      </c>
      <c r="B976" s="22">
        <v>46020</v>
      </c>
      <c r="C976" s="20">
        <v>6402344.5999999996</v>
      </c>
      <c r="D976" s="21" t="s">
        <v>197</v>
      </c>
      <c r="E976" s="21">
        <v>97124164</v>
      </c>
      <c r="F976" s="20">
        <v>6402344.5999999996</v>
      </c>
      <c r="G976" s="22">
        <v>46035</v>
      </c>
      <c r="H976" s="21" t="s">
        <v>61</v>
      </c>
      <c r="I976" s="40" t="str">
        <f>IFERROR(IF(VLOOKUP(E976,extracto!C:C,1,FALSE)=E976,"pagado","no pagado"),"no pagado")</f>
        <v>pagado</v>
      </c>
      <c r="J976" s="41" t="str">
        <f t="shared" si="462"/>
        <v>pagado</v>
      </c>
      <c r="K976" s="40" t="str">
        <f t="shared" ca="1" si="463"/>
        <v>excluir</v>
      </c>
      <c r="L976" s="40" t="str">
        <f t="shared" ca="1" si="464"/>
        <v>no semana</v>
      </c>
      <c r="M976" s="40" t="str">
        <f>IFERROR(VLOOKUP(E976,'cheques a conf'!A:D,4,FALSE),"no clearing")</f>
        <v>no clearing</v>
      </c>
      <c r="N976" s="40">
        <f t="shared" si="465"/>
        <v>3</v>
      </c>
      <c r="O976" s="42">
        <f t="shared" si="466"/>
        <v>1</v>
      </c>
      <c r="P976" s="42">
        <f t="shared" si="467"/>
        <v>2026</v>
      </c>
    </row>
    <row r="977" spans="1:16" x14ac:dyDescent="0.2">
      <c r="A977" s="21">
        <v>3000001858</v>
      </c>
      <c r="B977" s="22">
        <v>46020</v>
      </c>
      <c r="C977" s="20">
        <v>4030715.5</v>
      </c>
      <c r="D977" s="21" t="s">
        <v>346</v>
      </c>
      <c r="E977" s="21">
        <v>97124165</v>
      </c>
      <c r="F977" s="20">
        <v>4030715.5</v>
      </c>
      <c r="G977" s="22">
        <v>46034</v>
      </c>
      <c r="H977" s="21" t="s">
        <v>61</v>
      </c>
      <c r="I977" s="40" t="str">
        <f>IFERROR(IF(VLOOKUP(E977,extracto!C:C,1,FALSE)=E977,"pagado","no pagado"),"no pagado")</f>
        <v>pagado</v>
      </c>
      <c r="J977" s="41" t="str">
        <f t="shared" si="462"/>
        <v>pagado</v>
      </c>
      <c r="K977" s="40" t="str">
        <f t="shared" ca="1" si="463"/>
        <v>excluir</v>
      </c>
      <c r="L977" s="40" t="str">
        <f t="shared" ca="1" si="464"/>
        <v>no semana</v>
      </c>
      <c r="M977" s="40" t="str">
        <f>IFERROR(VLOOKUP(E977,'cheques a conf'!A:D,4,FALSE),"no clearing")</f>
        <v>no clearing</v>
      </c>
      <c r="N977" s="40">
        <f t="shared" si="465"/>
        <v>3</v>
      </c>
      <c r="O977" s="42">
        <f t="shared" si="466"/>
        <v>1</v>
      </c>
      <c r="P977" s="42">
        <f t="shared" si="467"/>
        <v>2026</v>
      </c>
    </row>
    <row r="978" spans="1:16" x14ac:dyDescent="0.2">
      <c r="A978" s="21">
        <v>3000001859</v>
      </c>
      <c r="B978" s="22">
        <v>46020</v>
      </c>
      <c r="C978" s="20">
        <v>6094396</v>
      </c>
      <c r="D978" s="21" t="s">
        <v>423</v>
      </c>
      <c r="E978" s="21">
        <v>97124166</v>
      </c>
      <c r="F978" s="20">
        <v>6094396</v>
      </c>
      <c r="G978" s="22">
        <v>46034</v>
      </c>
      <c r="H978" s="21" t="s">
        <v>61</v>
      </c>
      <c r="I978" s="40" t="str">
        <f>IFERROR(IF(VLOOKUP(E978,extracto!C:C,1,FALSE)=E978,"pagado","no pagado"),"no pagado")</f>
        <v>pagado</v>
      </c>
      <c r="J978" s="41" t="str">
        <f t="shared" si="462"/>
        <v>pagado</v>
      </c>
      <c r="K978" s="40" t="str">
        <f t="shared" ca="1" si="463"/>
        <v>excluir</v>
      </c>
      <c r="L978" s="40" t="str">
        <f t="shared" ca="1" si="464"/>
        <v>no semana</v>
      </c>
      <c r="M978" s="40" t="str">
        <f>IFERROR(VLOOKUP(E978,'cheques a conf'!A:D,4,FALSE),"no clearing")</f>
        <v>no clearing</v>
      </c>
      <c r="N978" s="40">
        <f t="shared" si="465"/>
        <v>3</v>
      </c>
      <c r="O978" s="42">
        <f t="shared" si="466"/>
        <v>1</v>
      </c>
      <c r="P978" s="42">
        <f t="shared" si="467"/>
        <v>2026</v>
      </c>
    </row>
    <row r="979" spans="1:16" x14ac:dyDescent="0.2">
      <c r="A979" s="21">
        <v>3000000008</v>
      </c>
      <c r="B979" s="22">
        <v>46028</v>
      </c>
      <c r="C979" s="20">
        <v>4023691.09</v>
      </c>
      <c r="D979" s="21" t="s">
        <v>288</v>
      </c>
      <c r="E979" s="21">
        <v>97124167</v>
      </c>
      <c r="F979" s="20">
        <v>4023691.09</v>
      </c>
      <c r="G979" s="22">
        <v>46035</v>
      </c>
      <c r="H979" s="21" t="s">
        <v>61</v>
      </c>
      <c r="I979" s="40" t="str">
        <f>IFERROR(IF(VLOOKUP(E979,extracto!C:C,1,FALSE)=E979,"pagado","no pagado"),"no pagado")</f>
        <v>pagado</v>
      </c>
      <c r="J979" s="41" t="str">
        <f t="shared" si="462"/>
        <v>pagado</v>
      </c>
      <c r="K979" s="40" t="str">
        <f t="shared" ca="1" si="463"/>
        <v>excluir</v>
      </c>
      <c r="L979" s="40" t="str">
        <f t="shared" ca="1" si="464"/>
        <v>no semana</v>
      </c>
      <c r="M979" s="40" t="str">
        <f>IFERROR(VLOOKUP(E979,'cheques a conf'!A:D,4,FALSE),"no clearing")</f>
        <v>no clearing</v>
      </c>
      <c r="N979" s="40">
        <f t="shared" si="465"/>
        <v>3</v>
      </c>
      <c r="O979" s="42">
        <f t="shared" si="466"/>
        <v>1</v>
      </c>
      <c r="P979" s="42">
        <f t="shared" si="467"/>
        <v>2026</v>
      </c>
    </row>
    <row r="980" spans="1:16" x14ac:dyDescent="0.2">
      <c r="A980" s="21">
        <v>3000000009</v>
      </c>
      <c r="B980" s="22">
        <v>46028</v>
      </c>
      <c r="C980" s="20">
        <v>3571343.4</v>
      </c>
      <c r="D980" s="21" t="s">
        <v>430</v>
      </c>
      <c r="E980" s="21">
        <v>97124168</v>
      </c>
      <c r="F980" s="20">
        <v>3571343.4</v>
      </c>
      <c r="G980" s="22">
        <v>46035</v>
      </c>
      <c r="H980" s="21" t="s">
        <v>61</v>
      </c>
      <c r="I980" s="40" t="str">
        <f>IFERROR(IF(VLOOKUP(E980,extracto!C:C,1,FALSE)=E980,"pagado","no pagado"),"no pagado")</f>
        <v>pagado</v>
      </c>
      <c r="J980" s="41" t="str">
        <f t="shared" si="462"/>
        <v>pagado</v>
      </c>
      <c r="K980" s="40" t="str">
        <f t="shared" ca="1" si="463"/>
        <v>excluir</v>
      </c>
      <c r="L980" s="40" t="str">
        <f t="shared" ca="1" si="464"/>
        <v>no semana</v>
      </c>
      <c r="M980" s="40" t="str">
        <f>IFERROR(VLOOKUP(E980,'cheques a conf'!A:D,4,FALSE),"no clearing")</f>
        <v>no clearing</v>
      </c>
      <c r="N980" s="40">
        <f t="shared" si="465"/>
        <v>3</v>
      </c>
      <c r="O980" s="42">
        <f t="shared" si="466"/>
        <v>1</v>
      </c>
      <c r="P980" s="42">
        <f t="shared" si="467"/>
        <v>2026</v>
      </c>
    </row>
    <row r="981" spans="1:16" x14ac:dyDescent="0.2">
      <c r="A981" s="21">
        <v>3000000010</v>
      </c>
      <c r="B981" s="22">
        <v>46028</v>
      </c>
      <c r="C981" s="20">
        <v>16622281.49</v>
      </c>
      <c r="D981" s="21" t="s">
        <v>446</v>
      </c>
      <c r="E981" s="21">
        <v>97124169</v>
      </c>
      <c r="F981" s="20">
        <v>16622281.49</v>
      </c>
      <c r="G981" s="22">
        <v>46035</v>
      </c>
      <c r="H981" s="21" t="s">
        <v>61</v>
      </c>
      <c r="I981" s="40" t="str">
        <f>IFERROR(IF(VLOOKUP(E981,extracto!C:C,1,FALSE)=E981,"pagado","no pagado"),"no pagado")</f>
        <v>pagado</v>
      </c>
      <c r="J981" s="41" t="str">
        <f t="shared" si="462"/>
        <v>pagado</v>
      </c>
      <c r="K981" s="40" t="str">
        <f t="shared" ca="1" si="463"/>
        <v>excluir</v>
      </c>
      <c r="L981" s="40" t="str">
        <f t="shared" ca="1" si="464"/>
        <v>no semana</v>
      </c>
      <c r="M981" s="40" t="str">
        <f>IFERROR(VLOOKUP(E981,'cheques a conf'!A:D,4,FALSE),"no clearing")</f>
        <v>no clearing</v>
      </c>
      <c r="N981" s="40">
        <f t="shared" si="465"/>
        <v>3</v>
      </c>
      <c r="O981" s="42">
        <f t="shared" si="466"/>
        <v>1</v>
      </c>
      <c r="P981" s="42">
        <f t="shared" si="467"/>
        <v>2026</v>
      </c>
    </row>
    <row r="982" spans="1:16" x14ac:dyDescent="0.2">
      <c r="A982" s="21">
        <v>3000000011</v>
      </c>
      <c r="B982" s="22">
        <v>46028</v>
      </c>
      <c r="C982" s="20">
        <v>4987237.59</v>
      </c>
      <c r="D982" s="21" t="s">
        <v>405</v>
      </c>
      <c r="E982" s="21">
        <v>97124170</v>
      </c>
      <c r="F982" s="20">
        <v>4987237.59</v>
      </c>
      <c r="G982" s="22">
        <v>46035</v>
      </c>
      <c r="H982" s="21" t="s">
        <v>61</v>
      </c>
      <c r="I982" s="40" t="str">
        <f>IFERROR(IF(VLOOKUP(E982,extracto!C:C,1,FALSE)=E982,"pagado","no pagado"),"no pagado")</f>
        <v>pagado</v>
      </c>
      <c r="J982" s="41" t="str">
        <f t="shared" si="462"/>
        <v>pagado</v>
      </c>
      <c r="K982" s="40" t="str">
        <f t="shared" ca="1" si="463"/>
        <v>excluir</v>
      </c>
      <c r="L982" s="40" t="str">
        <f t="shared" ca="1" si="464"/>
        <v>no semana</v>
      </c>
      <c r="M982" s="40" t="str">
        <f>IFERROR(VLOOKUP(E982,'cheques a conf'!A:D,4,FALSE),"no clearing")</f>
        <v>no clearing</v>
      </c>
      <c r="N982" s="40">
        <f t="shared" si="465"/>
        <v>3</v>
      </c>
      <c r="O982" s="42">
        <f t="shared" si="466"/>
        <v>1</v>
      </c>
      <c r="P982" s="42">
        <f t="shared" si="467"/>
        <v>2026</v>
      </c>
    </row>
    <row r="983" spans="1:16" x14ac:dyDescent="0.2">
      <c r="A983" s="21">
        <v>3000000012</v>
      </c>
      <c r="B983" s="22">
        <v>46028</v>
      </c>
      <c r="C983" s="20">
        <v>15000000</v>
      </c>
      <c r="D983" s="21" t="s">
        <v>350</v>
      </c>
      <c r="E983" s="21">
        <v>97124171</v>
      </c>
      <c r="F983" s="20">
        <v>15000000</v>
      </c>
      <c r="G983" s="22">
        <v>46035</v>
      </c>
      <c r="H983" s="21" t="s">
        <v>61</v>
      </c>
      <c r="I983" s="40" t="str">
        <f>IFERROR(IF(VLOOKUP(E983,extracto!C:C,1,FALSE)=E983,"pagado","no pagado"),"no pagado")</f>
        <v>pagado</v>
      </c>
      <c r="J983" s="41" t="str">
        <f t="shared" si="462"/>
        <v>pagado</v>
      </c>
      <c r="K983" s="40" t="str">
        <f t="shared" ca="1" si="463"/>
        <v>excluir</v>
      </c>
      <c r="L983" s="40" t="str">
        <f t="shared" ca="1" si="464"/>
        <v>no semana</v>
      </c>
      <c r="M983" s="40" t="str">
        <f>IFERROR(VLOOKUP(E983,'cheques a conf'!A:D,4,FALSE),"no clearing")</f>
        <v>no clearing</v>
      </c>
      <c r="N983" s="40">
        <f t="shared" si="465"/>
        <v>3</v>
      </c>
      <c r="O983" s="42">
        <f t="shared" si="466"/>
        <v>1</v>
      </c>
      <c r="P983" s="42">
        <f t="shared" si="467"/>
        <v>2026</v>
      </c>
    </row>
    <row r="984" spans="1:16" x14ac:dyDescent="0.2">
      <c r="A984" s="21">
        <v>3000000012</v>
      </c>
      <c r="B984" s="22">
        <v>46028</v>
      </c>
      <c r="C984" s="20">
        <v>14152558.9</v>
      </c>
      <c r="D984" s="21" t="s">
        <v>350</v>
      </c>
      <c r="E984" s="21">
        <v>97124172</v>
      </c>
      <c r="F984" s="20">
        <v>14152558.9</v>
      </c>
      <c r="G984" s="22">
        <v>46036</v>
      </c>
      <c r="H984" s="21" t="s">
        <v>61</v>
      </c>
      <c r="I984" s="40" t="str">
        <f>IFERROR(IF(VLOOKUP(E984,extracto!C:C,1,FALSE)=E984,"pagado","no pagado"),"no pagado")</f>
        <v>pagado</v>
      </c>
      <c r="J984" s="41" t="str">
        <f t="shared" si="462"/>
        <v>pagado</v>
      </c>
      <c r="K984" s="40" t="str">
        <f t="shared" ca="1" si="463"/>
        <v>excluir</v>
      </c>
      <c r="L984" s="40" t="str">
        <f t="shared" ca="1" si="464"/>
        <v>no semana</v>
      </c>
      <c r="M984" s="40" t="str">
        <f>IFERROR(VLOOKUP(E984,'cheques a conf'!A:D,4,FALSE),"no clearing")</f>
        <v>no clearing</v>
      </c>
      <c r="N984" s="40">
        <f t="shared" si="465"/>
        <v>3</v>
      </c>
      <c r="O984" s="42">
        <f t="shared" si="466"/>
        <v>1</v>
      </c>
      <c r="P984" s="42">
        <f t="shared" si="467"/>
        <v>2026</v>
      </c>
    </row>
    <row r="985" spans="1:16" x14ac:dyDescent="0.2">
      <c r="A985" s="21">
        <v>3000000013</v>
      </c>
      <c r="B985" s="22">
        <v>46028</v>
      </c>
      <c r="C985" s="20">
        <v>9679654.4100000001</v>
      </c>
      <c r="D985" s="21" t="s">
        <v>301</v>
      </c>
      <c r="E985" s="21">
        <v>97124173</v>
      </c>
      <c r="F985" s="20">
        <v>9679654.4100000001</v>
      </c>
      <c r="G985" s="22">
        <v>46035</v>
      </c>
      <c r="H985" s="21" t="s">
        <v>61</v>
      </c>
      <c r="I985" s="40" t="str">
        <f>IFERROR(IF(VLOOKUP(E985,extracto!C:C,1,FALSE)=E985,"pagado","no pagado"),"no pagado")</f>
        <v>pagado</v>
      </c>
      <c r="J985" s="41" t="str">
        <f t="shared" si="462"/>
        <v>pagado</v>
      </c>
      <c r="K985" s="40" t="str">
        <f t="shared" ca="1" si="463"/>
        <v>excluir</v>
      </c>
      <c r="L985" s="40" t="str">
        <f t="shared" ca="1" si="464"/>
        <v>no semana</v>
      </c>
      <c r="M985" s="40" t="str">
        <f>IFERROR(VLOOKUP(E985,'cheques a conf'!A:D,4,FALSE),"no clearing")</f>
        <v>no clearing</v>
      </c>
      <c r="N985" s="40">
        <f t="shared" si="465"/>
        <v>3</v>
      </c>
      <c r="O985" s="42">
        <f t="shared" si="466"/>
        <v>1</v>
      </c>
      <c r="P985" s="42">
        <f t="shared" si="467"/>
        <v>2026</v>
      </c>
    </row>
    <row r="986" spans="1:16" x14ac:dyDescent="0.2">
      <c r="A986" s="21">
        <v>3000000014</v>
      </c>
      <c r="B986" s="22">
        <v>46028</v>
      </c>
      <c r="C986" s="20">
        <v>4926896.9000000004</v>
      </c>
      <c r="D986" s="21" t="s">
        <v>346</v>
      </c>
      <c r="E986" s="21">
        <v>97124174</v>
      </c>
      <c r="F986" s="20">
        <v>4926896.9000000004</v>
      </c>
      <c r="G986" s="22">
        <v>46035</v>
      </c>
      <c r="H986" s="21" t="s">
        <v>61</v>
      </c>
      <c r="I986" s="40" t="str">
        <f>IFERROR(IF(VLOOKUP(E986,extracto!C:C,1,FALSE)=E986,"pagado","no pagado"),"no pagado")</f>
        <v>pagado</v>
      </c>
      <c r="J986" s="41" t="str">
        <f t="shared" si="462"/>
        <v>pagado</v>
      </c>
      <c r="K986" s="40" t="str">
        <f t="shared" ca="1" si="463"/>
        <v>excluir</v>
      </c>
      <c r="L986" s="40" t="str">
        <f t="shared" ca="1" si="464"/>
        <v>no semana</v>
      </c>
      <c r="M986" s="40" t="str">
        <f>IFERROR(VLOOKUP(E986,'cheques a conf'!A:D,4,FALSE),"no clearing")</f>
        <v>no clearing</v>
      </c>
      <c r="N986" s="40">
        <f t="shared" si="465"/>
        <v>3</v>
      </c>
      <c r="O986" s="42">
        <f t="shared" si="466"/>
        <v>1</v>
      </c>
      <c r="P986" s="42">
        <f t="shared" si="467"/>
        <v>2026</v>
      </c>
    </row>
    <row r="987" spans="1:16" x14ac:dyDescent="0.2">
      <c r="A987" s="21">
        <v>3000000007</v>
      </c>
      <c r="B987" s="22">
        <v>46029</v>
      </c>
      <c r="C987" s="20">
        <v>10000000</v>
      </c>
      <c r="D987" s="21" t="s">
        <v>287</v>
      </c>
      <c r="E987" s="21">
        <v>97124175</v>
      </c>
      <c r="F987" s="20">
        <v>10000000</v>
      </c>
      <c r="G987" s="22">
        <v>46035</v>
      </c>
      <c r="H987" s="21" t="s">
        <v>61</v>
      </c>
      <c r="I987" s="40" t="str">
        <f>IFERROR(IF(VLOOKUP(E987,extracto!C:C,1,FALSE)=E987,"pagado","no pagado"),"no pagado")</f>
        <v>pagado</v>
      </c>
      <c r="J987" s="41" t="str">
        <f t="shared" si="462"/>
        <v>pagado</v>
      </c>
      <c r="K987" s="40" t="str">
        <f t="shared" ca="1" si="463"/>
        <v>excluir</v>
      </c>
      <c r="L987" s="40" t="str">
        <f t="shared" ca="1" si="464"/>
        <v>no semana</v>
      </c>
      <c r="M987" s="40" t="str">
        <f>IFERROR(VLOOKUP(E987,'cheques a conf'!A:D,4,FALSE),"no clearing")</f>
        <v>no clearing</v>
      </c>
      <c r="N987" s="40">
        <f t="shared" si="465"/>
        <v>3</v>
      </c>
      <c r="O987" s="42">
        <f t="shared" si="466"/>
        <v>1</v>
      </c>
      <c r="P987" s="42">
        <f t="shared" si="467"/>
        <v>2026</v>
      </c>
    </row>
    <row r="988" spans="1:16" x14ac:dyDescent="0.2">
      <c r="A988" s="21">
        <v>3000000007</v>
      </c>
      <c r="B988" s="22">
        <v>46029</v>
      </c>
      <c r="C988" s="20">
        <v>10000000</v>
      </c>
      <c r="D988" s="21" t="s">
        <v>287</v>
      </c>
      <c r="E988" s="21">
        <v>97124176</v>
      </c>
      <c r="F988" s="20">
        <v>10000000</v>
      </c>
      <c r="G988" s="22">
        <v>46035</v>
      </c>
      <c r="H988" s="21" t="s">
        <v>61</v>
      </c>
      <c r="I988" s="40" t="str">
        <f>IFERROR(IF(VLOOKUP(E988,extracto!C:C,1,FALSE)=E988,"pagado","no pagado"),"no pagado")</f>
        <v>pagado</v>
      </c>
      <c r="J988" s="41" t="str">
        <f t="shared" si="462"/>
        <v>pagado</v>
      </c>
      <c r="K988" s="40" t="str">
        <f t="shared" ca="1" si="463"/>
        <v>excluir</v>
      </c>
      <c r="L988" s="40" t="str">
        <f t="shared" ca="1" si="464"/>
        <v>no semana</v>
      </c>
      <c r="M988" s="40" t="str">
        <f>IFERROR(VLOOKUP(E988,'cheques a conf'!A:D,4,FALSE),"no clearing")</f>
        <v>no clearing</v>
      </c>
      <c r="N988" s="40">
        <f t="shared" si="465"/>
        <v>3</v>
      </c>
      <c r="O988" s="42">
        <f t="shared" si="466"/>
        <v>1</v>
      </c>
      <c r="P988" s="42">
        <f t="shared" si="467"/>
        <v>2026</v>
      </c>
    </row>
    <row r="989" spans="1:16" x14ac:dyDescent="0.2">
      <c r="A989" s="21">
        <v>3000000007</v>
      </c>
      <c r="B989" s="22">
        <v>46029</v>
      </c>
      <c r="C989" s="20">
        <v>10000000</v>
      </c>
      <c r="D989" s="21" t="s">
        <v>287</v>
      </c>
      <c r="E989" s="21">
        <v>97124177</v>
      </c>
      <c r="F989" s="20">
        <v>10000000</v>
      </c>
      <c r="G989" s="22">
        <v>46035</v>
      </c>
      <c r="H989" s="21" t="s">
        <v>61</v>
      </c>
      <c r="I989" s="40" t="str">
        <f>IFERROR(IF(VLOOKUP(E989,extracto!C:C,1,FALSE)=E989,"pagado","no pagado"),"no pagado")</f>
        <v>pagado</v>
      </c>
      <c r="J989" s="41" t="str">
        <f t="shared" si="462"/>
        <v>pagado</v>
      </c>
      <c r="K989" s="40" t="str">
        <f t="shared" ca="1" si="463"/>
        <v>excluir</v>
      </c>
      <c r="L989" s="40" t="str">
        <f t="shared" ca="1" si="464"/>
        <v>no semana</v>
      </c>
      <c r="M989" s="40" t="str">
        <f>IFERROR(VLOOKUP(E989,'cheques a conf'!A:D,4,FALSE),"no clearing")</f>
        <v>no clearing</v>
      </c>
      <c r="N989" s="40">
        <f t="shared" si="465"/>
        <v>3</v>
      </c>
      <c r="O989" s="42">
        <f t="shared" si="466"/>
        <v>1</v>
      </c>
      <c r="P989" s="42">
        <f t="shared" si="467"/>
        <v>2026</v>
      </c>
    </row>
    <row r="990" spans="1:16" x14ac:dyDescent="0.2">
      <c r="A990" s="21">
        <v>3000000007</v>
      </c>
      <c r="B990" s="22">
        <v>46029</v>
      </c>
      <c r="C990" s="20">
        <v>10000000</v>
      </c>
      <c r="D990" s="21" t="s">
        <v>287</v>
      </c>
      <c r="E990" s="21">
        <v>97124178</v>
      </c>
      <c r="F990" s="20">
        <v>10000000</v>
      </c>
      <c r="G990" s="22">
        <v>46035</v>
      </c>
      <c r="H990" s="21" t="s">
        <v>61</v>
      </c>
      <c r="I990" s="40" t="str">
        <f>IFERROR(IF(VLOOKUP(E990,extracto!C:C,1,FALSE)=E990,"pagado","no pagado"),"no pagado")</f>
        <v>pagado</v>
      </c>
      <c r="J990" s="41" t="str">
        <f t="shared" si="462"/>
        <v>pagado</v>
      </c>
      <c r="K990" s="40" t="str">
        <f t="shared" ca="1" si="463"/>
        <v>excluir</v>
      </c>
      <c r="L990" s="40" t="str">
        <f t="shared" ca="1" si="464"/>
        <v>no semana</v>
      </c>
      <c r="M990" s="40" t="str">
        <f>IFERROR(VLOOKUP(E990,'cheques a conf'!A:D,4,FALSE),"no clearing")</f>
        <v>no clearing</v>
      </c>
      <c r="N990" s="40">
        <f t="shared" si="465"/>
        <v>3</v>
      </c>
      <c r="O990" s="42">
        <f t="shared" si="466"/>
        <v>1</v>
      </c>
      <c r="P990" s="42">
        <f t="shared" si="467"/>
        <v>2026</v>
      </c>
    </row>
    <row r="991" spans="1:16" x14ac:dyDescent="0.2">
      <c r="A991" s="21">
        <v>3000000007</v>
      </c>
      <c r="B991" s="22">
        <v>46029</v>
      </c>
      <c r="C991" s="20">
        <v>5000000</v>
      </c>
      <c r="D991" s="21" t="s">
        <v>287</v>
      </c>
      <c r="E991" s="21">
        <v>97124179</v>
      </c>
      <c r="F991" s="20">
        <v>5000000</v>
      </c>
      <c r="G991" s="22">
        <v>46036</v>
      </c>
      <c r="H991" s="21" t="s">
        <v>61</v>
      </c>
      <c r="I991" s="40" t="str">
        <f>IFERROR(IF(VLOOKUP(E991,extracto!C:C,1,FALSE)=E991,"pagado","no pagado"),"no pagado")</f>
        <v>pagado</v>
      </c>
      <c r="J991" s="41" t="str">
        <f t="shared" si="462"/>
        <v>pagado</v>
      </c>
      <c r="K991" s="40" t="str">
        <f t="shared" ca="1" si="463"/>
        <v>excluir</v>
      </c>
      <c r="L991" s="40" t="str">
        <f t="shared" ca="1" si="464"/>
        <v>no semana</v>
      </c>
      <c r="M991" s="40" t="str">
        <f>IFERROR(VLOOKUP(E991,'cheques a conf'!A:D,4,FALSE),"no clearing")</f>
        <v>no clearing</v>
      </c>
      <c r="N991" s="40">
        <f t="shared" si="465"/>
        <v>3</v>
      </c>
      <c r="O991" s="42">
        <f t="shared" si="466"/>
        <v>1</v>
      </c>
      <c r="P991" s="42">
        <f t="shared" si="467"/>
        <v>2026</v>
      </c>
    </row>
    <row r="992" spans="1:16" x14ac:dyDescent="0.2">
      <c r="A992" s="21">
        <v>3000000007</v>
      </c>
      <c r="B992" s="22">
        <v>46029</v>
      </c>
      <c r="C992" s="20">
        <v>5000000</v>
      </c>
      <c r="D992" s="21" t="s">
        <v>287</v>
      </c>
      <c r="E992" s="21">
        <v>97124180</v>
      </c>
      <c r="F992" s="20">
        <v>5000000</v>
      </c>
      <c r="G992" s="22">
        <v>46036</v>
      </c>
      <c r="H992" s="21" t="s">
        <v>61</v>
      </c>
      <c r="I992" s="40" t="str">
        <f>IFERROR(IF(VLOOKUP(E992,extracto!C:C,1,FALSE)=E992,"pagado","no pagado"),"no pagado")</f>
        <v>pagado</v>
      </c>
      <c r="J992" s="41" t="str">
        <f t="shared" si="462"/>
        <v>pagado</v>
      </c>
      <c r="K992" s="40" t="str">
        <f t="shared" ca="1" si="463"/>
        <v>excluir</v>
      </c>
      <c r="L992" s="40" t="str">
        <f t="shared" ca="1" si="464"/>
        <v>no semana</v>
      </c>
      <c r="M992" s="40" t="str">
        <f>IFERROR(VLOOKUP(E992,'cheques a conf'!A:D,4,FALSE),"no clearing")</f>
        <v>no clearing</v>
      </c>
      <c r="N992" s="40">
        <f t="shared" si="465"/>
        <v>3</v>
      </c>
      <c r="O992" s="42">
        <f t="shared" si="466"/>
        <v>1</v>
      </c>
      <c r="P992" s="42">
        <f t="shared" si="467"/>
        <v>2026</v>
      </c>
    </row>
    <row r="993" spans="1:16" x14ac:dyDescent="0.2">
      <c r="A993" s="21">
        <v>3000000007</v>
      </c>
      <c r="B993" s="22">
        <v>46029</v>
      </c>
      <c r="C993" s="20">
        <v>3350000</v>
      </c>
      <c r="D993" s="21" t="s">
        <v>287</v>
      </c>
      <c r="E993" s="21">
        <v>97124181</v>
      </c>
      <c r="F993" s="20">
        <v>3350000</v>
      </c>
      <c r="G993" s="22">
        <v>46036</v>
      </c>
      <c r="H993" s="21" t="s">
        <v>61</v>
      </c>
      <c r="I993" s="40" t="str">
        <f>IFERROR(IF(VLOOKUP(E993,extracto!C:C,1,FALSE)=E993,"pagado","no pagado"),"no pagado")</f>
        <v>pagado</v>
      </c>
      <c r="J993" s="41" t="str">
        <f t="shared" si="462"/>
        <v>pagado</v>
      </c>
      <c r="K993" s="40" t="str">
        <f t="shared" ca="1" si="463"/>
        <v>excluir</v>
      </c>
      <c r="L993" s="40" t="str">
        <f t="shared" ca="1" si="464"/>
        <v>no semana</v>
      </c>
      <c r="M993" s="40" t="str">
        <f>IFERROR(VLOOKUP(E993,'cheques a conf'!A:D,4,FALSE),"no clearing")</f>
        <v>no clearing</v>
      </c>
      <c r="N993" s="40">
        <f t="shared" si="465"/>
        <v>3</v>
      </c>
      <c r="O993" s="42">
        <f t="shared" si="466"/>
        <v>1</v>
      </c>
      <c r="P993" s="42">
        <f t="shared" si="467"/>
        <v>2026</v>
      </c>
    </row>
    <row r="994" spans="1:16" x14ac:dyDescent="0.2">
      <c r="A994" s="21">
        <v>3000000007</v>
      </c>
      <c r="B994" s="22">
        <v>46029</v>
      </c>
      <c r="C994" s="20">
        <v>3350000</v>
      </c>
      <c r="D994" s="21" t="s">
        <v>287</v>
      </c>
      <c r="E994" s="21">
        <v>97124182</v>
      </c>
      <c r="F994" s="20">
        <v>3350000</v>
      </c>
      <c r="G994" s="22">
        <v>46036</v>
      </c>
      <c r="H994" s="21" t="s">
        <v>61</v>
      </c>
      <c r="I994" s="40" t="str">
        <f>IFERROR(IF(VLOOKUP(E994,extracto!C:C,1,FALSE)=E994,"pagado","no pagado"),"no pagado")</f>
        <v>pagado</v>
      </c>
      <c r="J994" s="41" t="str">
        <f t="shared" si="462"/>
        <v>pagado</v>
      </c>
      <c r="K994" s="40" t="str">
        <f t="shared" ca="1" si="463"/>
        <v>excluir</v>
      </c>
      <c r="L994" s="40" t="str">
        <f t="shared" ca="1" si="464"/>
        <v>no semana</v>
      </c>
      <c r="M994" s="40" t="str">
        <f>IFERROR(VLOOKUP(E994,'cheques a conf'!A:D,4,FALSE),"no clearing")</f>
        <v>no clearing</v>
      </c>
      <c r="N994" s="40">
        <f t="shared" si="465"/>
        <v>3</v>
      </c>
      <c r="O994" s="42">
        <f t="shared" si="466"/>
        <v>1</v>
      </c>
      <c r="P994" s="42">
        <f t="shared" si="467"/>
        <v>2026</v>
      </c>
    </row>
    <row r="995" spans="1:16" x14ac:dyDescent="0.2">
      <c r="A995" s="21">
        <v>3000000007</v>
      </c>
      <c r="B995" s="22">
        <v>46029</v>
      </c>
      <c r="C995" s="20">
        <v>3350000</v>
      </c>
      <c r="D995" s="21" t="s">
        <v>287</v>
      </c>
      <c r="E995" s="21">
        <v>97124183</v>
      </c>
      <c r="F995" s="20">
        <v>3350000</v>
      </c>
      <c r="G995" s="22">
        <v>46036</v>
      </c>
      <c r="H995" s="21" t="s">
        <v>61</v>
      </c>
      <c r="I995" s="40" t="str">
        <f>IFERROR(IF(VLOOKUP(E995,extracto!C:C,1,FALSE)=E995,"pagado","no pagado"),"no pagado")</f>
        <v>pagado</v>
      </c>
      <c r="J995" s="41" t="str">
        <f t="shared" si="462"/>
        <v>pagado</v>
      </c>
      <c r="K995" s="40" t="str">
        <f t="shared" ca="1" si="463"/>
        <v>excluir</v>
      </c>
      <c r="L995" s="40" t="str">
        <f t="shared" ca="1" si="464"/>
        <v>no semana</v>
      </c>
      <c r="M995" s="40" t="str">
        <f>IFERROR(VLOOKUP(E995,'cheques a conf'!A:D,4,FALSE),"no clearing")</f>
        <v>no clearing</v>
      </c>
      <c r="N995" s="40">
        <f t="shared" si="465"/>
        <v>3</v>
      </c>
      <c r="O995" s="42">
        <f t="shared" si="466"/>
        <v>1</v>
      </c>
      <c r="P995" s="42">
        <f t="shared" si="467"/>
        <v>2026</v>
      </c>
    </row>
    <row r="996" spans="1:16" x14ac:dyDescent="0.2">
      <c r="A996" s="21">
        <v>3000000007</v>
      </c>
      <c r="B996" s="22">
        <v>46029</v>
      </c>
      <c r="C996" s="20">
        <v>1318027.8999999999</v>
      </c>
      <c r="D996" s="21" t="s">
        <v>287</v>
      </c>
      <c r="E996" s="21">
        <v>97124184</v>
      </c>
      <c r="F996" s="20">
        <v>1318027.8999999999</v>
      </c>
      <c r="G996" s="22">
        <v>46036</v>
      </c>
      <c r="H996" s="21" t="s">
        <v>61</v>
      </c>
      <c r="I996" s="40" t="str">
        <f>IFERROR(IF(VLOOKUP(E996,extracto!C:C,1,FALSE)=E996,"pagado","no pagado"),"no pagado")</f>
        <v>no pagado</v>
      </c>
      <c r="J996" s="41" t="str">
        <f t="shared" ca="1" si="462"/>
        <v>fuera de fecha</v>
      </c>
      <c r="K996" s="40" t="str">
        <f t="shared" ca="1" si="463"/>
        <v>excluir</v>
      </c>
      <c r="L996" s="40" t="str">
        <f t="shared" ca="1" si="464"/>
        <v>no semana</v>
      </c>
      <c r="M996" s="40" t="str">
        <f>IFERROR(VLOOKUP(E996,'cheques a conf'!A:D,4,FALSE),"no clearing")</f>
        <v>no clearing</v>
      </c>
      <c r="N996" s="40">
        <f t="shared" si="465"/>
        <v>3</v>
      </c>
      <c r="O996" s="42">
        <f t="shared" si="466"/>
        <v>1</v>
      </c>
      <c r="P996" s="42">
        <f t="shared" si="467"/>
        <v>2026</v>
      </c>
    </row>
    <row r="997" spans="1:16" x14ac:dyDescent="0.2">
      <c r="A997" s="21">
        <v>3000000042</v>
      </c>
      <c r="B997" s="22">
        <v>46031</v>
      </c>
      <c r="C997" s="20">
        <v>5000000</v>
      </c>
      <c r="D997" s="21" t="s">
        <v>291</v>
      </c>
      <c r="E997" s="21">
        <v>97124185</v>
      </c>
      <c r="F997" s="20">
        <v>5000000</v>
      </c>
      <c r="G997" s="22">
        <v>46034</v>
      </c>
      <c r="H997" s="21" t="s">
        <v>61</v>
      </c>
      <c r="I997" s="40" t="str">
        <f>IFERROR(IF(VLOOKUP(E997,extracto!C:C,1,FALSE)=E997,"pagado","no pagado"),"no pagado")</f>
        <v>pagado</v>
      </c>
      <c r="J997" s="41" t="str">
        <f t="shared" si="462"/>
        <v>pagado</v>
      </c>
      <c r="K997" s="40" t="str">
        <f t="shared" ca="1" si="463"/>
        <v>excluir</v>
      </c>
      <c r="L997" s="40" t="str">
        <f t="shared" ca="1" si="464"/>
        <v>no semana</v>
      </c>
      <c r="M997" s="40" t="str">
        <f>IFERROR(VLOOKUP(E997,'cheques a conf'!A:D,4,FALSE),"no clearing")</f>
        <v>no clearing</v>
      </c>
      <c r="N997" s="40">
        <f t="shared" si="465"/>
        <v>3</v>
      </c>
      <c r="O997" s="42">
        <f t="shared" si="466"/>
        <v>1</v>
      </c>
      <c r="P997" s="42">
        <f t="shared" si="467"/>
        <v>2026</v>
      </c>
    </row>
    <row r="998" spans="1:16" x14ac:dyDescent="0.2">
      <c r="A998" s="21">
        <v>3000000042</v>
      </c>
      <c r="B998" s="22">
        <v>46031</v>
      </c>
      <c r="C998" s="20">
        <v>5000000</v>
      </c>
      <c r="D998" s="21" t="s">
        <v>291</v>
      </c>
      <c r="E998" s="21">
        <v>97124186</v>
      </c>
      <c r="F998" s="20">
        <v>5000000</v>
      </c>
      <c r="G998" s="22">
        <v>46034</v>
      </c>
      <c r="H998" s="21" t="s">
        <v>61</v>
      </c>
      <c r="I998" s="40" t="str">
        <f>IFERROR(IF(VLOOKUP(E998,extracto!C:C,1,FALSE)=E998,"pagado","no pagado"),"no pagado")</f>
        <v>no pagado</v>
      </c>
      <c r="J998" s="41" t="str">
        <f t="shared" ca="1" si="462"/>
        <v>fuera de fecha</v>
      </c>
      <c r="K998" s="40" t="str">
        <f t="shared" ca="1" si="463"/>
        <v>excluir</v>
      </c>
      <c r="L998" s="40" t="str">
        <f t="shared" ca="1" si="464"/>
        <v>no semana</v>
      </c>
      <c r="M998" s="40" t="str">
        <f>IFERROR(VLOOKUP(E998,'cheques a conf'!A:D,4,FALSE),"no clearing")</f>
        <v>no clearing</v>
      </c>
      <c r="N998" s="40">
        <f t="shared" si="465"/>
        <v>3</v>
      </c>
      <c r="O998" s="42">
        <f t="shared" si="466"/>
        <v>1</v>
      </c>
      <c r="P998" s="42">
        <f t="shared" si="467"/>
        <v>2026</v>
      </c>
    </row>
    <row r="999" spans="1:16" x14ac:dyDescent="0.2">
      <c r="A999" s="21">
        <v>3000000042</v>
      </c>
      <c r="B999" s="22">
        <v>46031</v>
      </c>
      <c r="C999" s="20">
        <v>5000000</v>
      </c>
      <c r="D999" s="21" t="s">
        <v>291</v>
      </c>
      <c r="E999" s="21">
        <v>97124187</v>
      </c>
      <c r="F999" s="20">
        <v>5000000</v>
      </c>
      <c r="G999" s="22">
        <v>46035</v>
      </c>
      <c r="H999" s="21" t="s">
        <v>61</v>
      </c>
      <c r="I999" s="40" t="str">
        <f>IFERROR(IF(VLOOKUP(E999,extracto!C:C,1,FALSE)=E999,"pagado","no pagado"),"no pagado")</f>
        <v>pagado</v>
      </c>
      <c r="J999" s="41" t="str">
        <f t="shared" si="462"/>
        <v>pagado</v>
      </c>
      <c r="K999" s="40" t="str">
        <f t="shared" ca="1" si="463"/>
        <v>excluir</v>
      </c>
      <c r="L999" s="40" t="str">
        <f t="shared" ca="1" si="464"/>
        <v>no semana</v>
      </c>
      <c r="M999" s="40" t="str">
        <f>IFERROR(VLOOKUP(E999,'cheques a conf'!A:D,4,FALSE),"no clearing")</f>
        <v>no clearing</v>
      </c>
      <c r="N999" s="40">
        <f t="shared" si="465"/>
        <v>3</v>
      </c>
      <c r="O999" s="42">
        <f t="shared" si="466"/>
        <v>1</v>
      </c>
      <c r="P999" s="42">
        <f t="shared" si="467"/>
        <v>2026</v>
      </c>
    </row>
    <row r="1000" spans="1:16" x14ac:dyDescent="0.2">
      <c r="A1000" s="21">
        <v>3000000042</v>
      </c>
      <c r="B1000" s="22">
        <v>46031</v>
      </c>
      <c r="C1000" s="20">
        <v>4226252.9000000004</v>
      </c>
      <c r="D1000" s="21" t="s">
        <v>291</v>
      </c>
      <c r="E1000" s="21">
        <v>97124188</v>
      </c>
      <c r="F1000" s="20">
        <v>4226252.9000000004</v>
      </c>
      <c r="G1000" s="22">
        <v>46035</v>
      </c>
      <c r="H1000" s="21" t="s">
        <v>61</v>
      </c>
      <c r="I1000" s="40" t="str">
        <f>IFERROR(IF(VLOOKUP(E1000,extracto!C:C,1,FALSE)=E1000,"pagado","no pagado"),"no pagado")</f>
        <v>pagado</v>
      </c>
      <c r="J1000" s="41" t="str">
        <f t="shared" si="462"/>
        <v>pagado</v>
      </c>
      <c r="K1000" s="40" t="str">
        <f t="shared" ca="1" si="463"/>
        <v>excluir</v>
      </c>
      <c r="L1000" s="40" t="str">
        <f t="shared" ca="1" si="464"/>
        <v>no semana</v>
      </c>
      <c r="M1000" s="40" t="str">
        <f>IFERROR(VLOOKUP(E1000,'cheques a conf'!A:D,4,FALSE),"no clearing")</f>
        <v>no clearing</v>
      </c>
      <c r="N1000" s="40">
        <f t="shared" si="465"/>
        <v>3</v>
      </c>
      <c r="O1000" s="42">
        <f t="shared" si="466"/>
        <v>1</v>
      </c>
      <c r="P1000" s="42">
        <f t="shared" si="467"/>
        <v>2026</v>
      </c>
    </row>
    <row r="1001" spans="1:16" x14ac:dyDescent="0.2">
      <c r="A1001" s="21">
        <v>3000000047</v>
      </c>
      <c r="B1001" s="22">
        <v>46034</v>
      </c>
      <c r="C1001" s="20">
        <v>10000000</v>
      </c>
      <c r="D1001" s="21" t="s">
        <v>423</v>
      </c>
      <c r="E1001" s="21">
        <v>97124192</v>
      </c>
      <c r="F1001" s="20">
        <v>10000000</v>
      </c>
      <c r="G1001" s="22">
        <v>46041</v>
      </c>
      <c r="H1001" s="21" t="s">
        <v>61</v>
      </c>
      <c r="I1001" s="40" t="str">
        <f>IFERROR(IF(VLOOKUP(E1001,extracto!C:C,1,FALSE)=E1001,"pagado","no pagado"),"no pagado")</f>
        <v>pagado</v>
      </c>
      <c r="J1001" s="41" t="str">
        <f t="shared" si="462"/>
        <v>pagado</v>
      </c>
      <c r="K1001" s="40" t="str">
        <f t="shared" ca="1" si="463"/>
        <v>excluir</v>
      </c>
      <c r="L1001" s="40" t="str">
        <f t="shared" ca="1" si="464"/>
        <v>no semana</v>
      </c>
      <c r="M1001" s="40" t="str">
        <f>IFERROR(VLOOKUP(E1001,'cheques a conf'!A:D,4,FALSE),"no clearing")</f>
        <v>no clearing</v>
      </c>
      <c r="N1001" s="40">
        <f t="shared" si="465"/>
        <v>4</v>
      </c>
      <c r="O1001" s="42">
        <f t="shared" si="466"/>
        <v>1</v>
      </c>
      <c r="P1001" s="42">
        <f t="shared" si="467"/>
        <v>2026</v>
      </c>
    </row>
    <row r="1002" spans="1:16" x14ac:dyDescent="0.2">
      <c r="A1002" s="21">
        <v>3000000047</v>
      </c>
      <c r="B1002" s="22">
        <v>46034</v>
      </c>
      <c r="C1002" s="20">
        <v>8794783.4000000004</v>
      </c>
      <c r="D1002" s="21" t="s">
        <v>423</v>
      </c>
      <c r="E1002" s="21">
        <v>97124193</v>
      </c>
      <c r="F1002" s="20">
        <v>8794783.4000000004</v>
      </c>
      <c r="G1002" s="22">
        <v>46042</v>
      </c>
      <c r="H1002" s="21" t="s">
        <v>61</v>
      </c>
      <c r="I1002" s="40" t="str">
        <f>IFERROR(IF(VLOOKUP(E1002,extracto!C:C,1,FALSE)=E1002,"pagado","no pagado"),"no pagado")</f>
        <v>pagado</v>
      </c>
      <c r="J1002" s="41" t="str">
        <f t="shared" si="462"/>
        <v>pagado</v>
      </c>
      <c r="K1002" s="40" t="str">
        <f t="shared" ca="1" si="463"/>
        <v>excluir</v>
      </c>
      <c r="L1002" s="40" t="str">
        <f t="shared" ca="1" si="464"/>
        <v>no semana</v>
      </c>
      <c r="M1002" s="40" t="str">
        <f>IFERROR(VLOOKUP(E1002,'cheques a conf'!A:D,4,FALSE),"no clearing")</f>
        <v>no clearing</v>
      </c>
      <c r="N1002" s="40">
        <f t="shared" si="465"/>
        <v>4</v>
      </c>
      <c r="O1002" s="42">
        <f t="shared" si="466"/>
        <v>1</v>
      </c>
      <c r="P1002" s="42">
        <f t="shared" si="467"/>
        <v>2026</v>
      </c>
    </row>
    <row r="1003" spans="1:16" x14ac:dyDescent="0.2">
      <c r="A1003" s="21">
        <v>3000000048</v>
      </c>
      <c r="B1003" s="22">
        <v>46034</v>
      </c>
      <c r="C1003" s="20">
        <v>10000000</v>
      </c>
      <c r="D1003" s="21" t="s">
        <v>347</v>
      </c>
      <c r="E1003" s="21">
        <v>97124194</v>
      </c>
      <c r="F1003" s="20">
        <v>10000000</v>
      </c>
      <c r="G1003" s="22">
        <v>46041</v>
      </c>
      <c r="H1003" s="21" t="s">
        <v>61</v>
      </c>
      <c r="I1003" s="40" t="str">
        <f>IFERROR(IF(VLOOKUP(E1003,extracto!C:C,1,FALSE)=E1003,"pagado","no pagado"),"no pagado")</f>
        <v>pagado</v>
      </c>
      <c r="J1003" s="41" t="str">
        <f t="shared" si="462"/>
        <v>pagado</v>
      </c>
      <c r="K1003" s="40" t="str">
        <f t="shared" ca="1" si="463"/>
        <v>excluir</v>
      </c>
      <c r="L1003" s="40" t="str">
        <f t="shared" ca="1" si="464"/>
        <v>no semana</v>
      </c>
      <c r="M1003" s="40" t="str">
        <f>IFERROR(VLOOKUP(E1003,'cheques a conf'!A:D,4,FALSE),"no clearing")</f>
        <v>no clearing</v>
      </c>
      <c r="N1003" s="40">
        <f t="shared" si="465"/>
        <v>4</v>
      </c>
      <c r="O1003" s="42">
        <f t="shared" si="466"/>
        <v>1</v>
      </c>
      <c r="P1003" s="42">
        <f t="shared" si="467"/>
        <v>2026</v>
      </c>
    </row>
    <row r="1004" spans="1:16" x14ac:dyDescent="0.2">
      <c r="A1004" s="21">
        <v>3000000048</v>
      </c>
      <c r="B1004" s="22">
        <v>46034</v>
      </c>
      <c r="C1004" s="20">
        <v>7646047.4000000004</v>
      </c>
      <c r="D1004" s="21" t="s">
        <v>347</v>
      </c>
      <c r="E1004" s="21">
        <v>97124195</v>
      </c>
      <c r="F1004" s="20">
        <v>7646047.4000000004</v>
      </c>
      <c r="G1004" s="22">
        <v>46042</v>
      </c>
      <c r="H1004" s="21" t="s">
        <v>61</v>
      </c>
      <c r="I1004" s="40" t="str">
        <f>IFERROR(IF(VLOOKUP(E1004,extracto!C:C,1,FALSE)=E1004,"pagado","no pagado"),"no pagado")</f>
        <v>pagado</v>
      </c>
      <c r="J1004" s="41" t="str">
        <f t="shared" si="462"/>
        <v>pagado</v>
      </c>
      <c r="K1004" s="40" t="str">
        <f t="shared" ca="1" si="463"/>
        <v>excluir</v>
      </c>
      <c r="L1004" s="40" t="str">
        <f t="shared" ca="1" si="464"/>
        <v>no semana</v>
      </c>
      <c r="M1004" s="40" t="str">
        <f>IFERROR(VLOOKUP(E1004,'cheques a conf'!A:D,4,FALSE),"no clearing")</f>
        <v>no clearing</v>
      </c>
      <c r="N1004" s="40">
        <f t="shared" si="465"/>
        <v>4</v>
      </c>
      <c r="O1004" s="42">
        <f t="shared" si="466"/>
        <v>1</v>
      </c>
      <c r="P1004" s="42">
        <f t="shared" si="467"/>
        <v>2026</v>
      </c>
    </row>
    <row r="1005" spans="1:16" x14ac:dyDescent="0.2">
      <c r="A1005" s="21">
        <v>3000000052</v>
      </c>
      <c r="B1005" s="22">
        <v>46034</v>
      </c>
      <c r="C1005" s="20">
        <v>10000000</v>
      </c>
      <c r="D1005" s="21" t="s">
        <v>284</v>
      </c>
      <c r="E1005" s="21">
        <v>97124199</v>
      </c>
      <c r="F1005" s="20">
        <v>10000000</v>
      </c>
      <c r="G1005" s="22">
        <v>46041</v>
      </c>
      <c r="H1005" s="21" t="s">
        <v>61</v>
      </c>
      <c r="I1005" s="40" t="str">
        <f>IFERROR(IF(VLOOKUP(E1005,extracto!C:C,1,FALSE)=E1005,"pagado","no pagado"),"no pagado")</f>
        <v>pagado</v>
      </c>
      <c r="J1005" s="41" t="str">
        <f t="shared" si="462"/>
        <v>pagado</v>
      </c>
      <c r="K1005" s="40" t="str">
        <f t="shared" ca="1" si="463"/>
        <v>excluir</v>
      </c>
      <c r="L1005" s="40" t="str">
        <f t="shared" ca="1" si="464"/>
        <v>no semana</v>
      </c>
      <c r="M1005" s="40" t="str">
        <f>IFERROR(VLOOKUP(E1005,'cheques a conf'!A:D,4,FALSE),"no clearing")</f>
        <v>no clearing</v>
      </c>
      <c r="N1005" s="40">
        <f t="shared" si="465"/>
        <v>4</v>
      </c>
      <c r="O1005" s="42">
        <f t="shared" si="466"/>
        <v>1</v>
      </c>
      <c r="P1005" s="42">
        <f t="shared" si="467"/>
        <v>2026</v>
      </c>
    </row>
    <row r="1006" spans="1:16" x14ac:dyDescent="0.2">
      <c r="A1006" s="21">
        <v>3000000052</v>
      </c>
      <c r="B1006" s="22">
        <v>46034</v>
      </c>
      <c r="C1006" s="20">
        <v>10447097</v>
      </c>
      <c r="D1006" s="21" t="s">
        <v>284</v>
      </c>
      <c r="E1006" s="21">
        <v>97124200</v>
      </c>
      <c r="F1006" s="20">
        <v>10447097</v>
      </c>
      <c r="G1006" s="22">
        <v>46042</v>
      </c>
      <c r="H1006" s="21" t="s">
        <v>61</v>
      </c>
      <c r="I1006" s="40" t="str">
        <f>IFERROR(IF(VLOOKUP(E1006,extracto!C:C,1,FALSE)=E1006,"pagado","no pagado"),"no pagado")</f>
        <v>pagado</v>
      </c>
      <c r="J1006" s="41" t="str">
        <f t="shared" si="462"/>
        <v>pagado</v>
      </c>
      <c r="K1006" s="40" t="str">
        <f t="shared" ca="1" si="463"/>
        <v>excluir</v>
      </c>
      <c r="L1006" s="40" t="str">
        <f t="shared" ca="1" si="464"/>
        <v>no semana</v>
      </c>
      <c r="M1006" s="40" t="str">
        <f>IFERROR(VLOOKUP(E1006,'cheques a conf'!A:D,4,FALSE),"no clearing")</f>
        <v>no clearing</v>
      </c>
      <c r="N1006" s="40">
        <f t="shared" si="465"/>
        <v>4</v>
      </c>
      <c r="O1006" s="42">
        <f t="shared" si="466"/>
        <v>1</v>
      </c>
      <c r="P1006" s="42">
        <f t="shared" si="467"/>
        <v>2026</v>
      </c>
    </row>
    <row r="1007" spans="1:16" x14ac:dyDescent="0.2">
      <c r="A1007" s="21">
        <v>3000000054</v>
      </c>
      <c r="B1007" s="22">
        <v>46034</v>
      </c>
      <c r="C1007" s="20">
        <v>10000000</v>
      </c>
      <c r="D1007" s="21" t="s">
        <v>346</v>
      </c>
      <c r="E1007" s="21">
        <v>97124202</v>
      </c>
      <c r="F1007" s="20">
        <v>10000000</v>
      </c>
      <c r="G1007" s="22">
        <v>46041</v>
      </c>
      <c r="H1007" s="21" t="s">
        <v>61</v>
      </c>
      <c r="I1007" s="40" t="str">
        <f>IFERROR(IF(VLOOKUP(E1007,extracto!C:C,1,FALSE)=E1007,"pagado","no pagado"),"no pagado")</f>
        <v>pagado</v>
      </c>
      <c r="J1007" s="41" t="str">
        <f t="shared" si="462"/>
        <v>pagado</v>
      </c>
      <c r="K1007" s="40" t="str">
        <f t="shared" ca="1" si="463"/>
        <v>excluir</v>
      </c>
      <c r="L1007" s="40" t="str">
        <f t="shared" ca="1" si="464"/>
        <v>no semana</v>
      </c>
      <c r="M1007" s="40" t="str">
        <f>IFERROR(VLOOKUP(E1007,'cheques a conf'!A:D,4,FALSE),"no clearing")</f>
        <v>no clearing</v>
      </c>
      <c r="N1007" s="40">
        <f t="shared" si="465"/>
        <v>4</v>
      </c>
      <c r="O1007" s="42">
        <f t="shared" si="466"/>
        <v>1</v>
      </c>
      <c r="P1007" s="42">
        <f t="shared" si="467"/>
        <v>2026</v>
      </c>
    </row>
    <row r="1008" spans="1:16" x14ac:dyDescent="0.2">
      <c r="A1008" s="21">
        <v>3000000054</v>
      </c>
      <c r="B1008" s="22">
        <v>46034</v>
      </c>
      <c r="C1008" s="20">
        <v>13526153.74</v>
      </c>
      <c r="D1008" s="21" t="s">
        <v>346</v>
      </c>
      <c r="E1008" s="21">
        <v>97124203</v>
      </c>
      <c r="F1008" s="20">
        <v>13526153.74</v>
      </c>
      <c r="G1008" s="22">
        <v>46042</v>
      </c>
      <c r="H1008" s="21" t="s">
        <v>61</v>
      </c>
      <c r="I1008" s="40" t="str">
        <f>IFERROR(IF(VLOOKUP(E1008,extracto!C:C,1,FALSE)=E1008,"pagado","no pagado"),"no pagado")</f>
        <v>pagado</v>
      </c>
      <c r="J1008" s="41" t="str">
        <f t="shared" si="462"/>
        <v>pagado</v>
      </c>
      <c r="K1008" s="40" t="str">
        <f t="shared" ca="1" si="463"/>
        <v>excluir</v>
      </c>
      <c r="L1008" s="40" t="str">
        <f t="shared" ca="1" si="464"/>
        <v>no semana</v>
      </c>
      <c r="M1008" s="40" t="str">
        <f>IFERROR(VLOOKUP(E1008,'cheques a conf'!A:D,4,FALSE),"no clearing")</f>
        <v>no clearing</v>
      </c>
      <c r="N1008" s="40">
        <f t="shared" si="465"/>
        <v>4</v>
      </c>
      <c r="O1008" s="42">
        <f t="shared" si="466"/>
        <v>1</v>
      </c>
      <c r="P1008" s="42">
        <f t="shared" si="467"/>
        <v>2026</v>
      </c>
    </row>
    <row r="1009" spans="1:16" x14ac:dyDescent="0.2">
      <c r="A1009" s="21">
        <v>3000000055</v>
      </c>
      <c r="B1009" s="22">
        <v>46034</v>
      </c>
      <c r="C1009" s="20">
        <v>10000000</v>
      </c>
      <c r="D1009" s="21" t="s">
        <v>286</v>
      </c>
      <c r="E1009" s="21">
        <v>97124204</v>
      </c>
      <c r="F1009" s="20">
        <v>10000000</v>
      </c>
      <c r="G1009" s="22">
        <v>46041</v>
      </c>
      <c r="H1009" s="21" t="s">
        <v>61</v>
      </c>
      <c r="I1009" s="40" t="str">
        <f>IFERROR(IF(VLOOKUP(E1009,extracto!C:C,1,FALSE)=E1009,"pagado","no pagado"),"no pagado")</f>
        <v>pagado</v>
      </c>
      <c r="J1009" s="41" t="str">
        <f t="shared" si="462"/>
        <v>pagado</v>
      </c>
      <c r="K1009" s="40" t="str">
        <f t="shared" ca="1" si="463"/>
        <v>excluir</v>
      </c>
      <c r="L1009" s="40" t="str">
        <f t="shared" ca="1" si="464"/>
        <v>no semana</v>
      </c>
      <c r="M1009" s="40" t="str">
        <f>IFERROR(VLOOKUP(E1009,'cheques a conf'!A:D,4,FALSE),"no clearing")</f>
        <v>no clearing</v>
      </c>
      <c r="N1009" s="40">
        <f t="shared" si="465"/>
        <v>4</v>
      </c>
      <c r="O1009" s="42">
        <f t="shared" si="466"/>
        <v>1</v>
      </c>
      <c r="P1009" s="42">
        <f t="shared" si="467"/>
        <v>2026</v>
      </c>
    </row>
    <row r="1010" spans="1:16" x14ac:dyDescent="0.2">
      <c r="A1010" s="21">
        <v>3000000055</v>
      </c>
      <c r="B1010" s="22">
        <v>46034</v>
      </c>
      <c r="C1010" s="20">
        <v>8545078.4000000004</v>
      </c>
      <c r="D1010" s="21" t="s">
        <v>286</v>
      </c>
      <c r="E1010" s="21">
        <v>97124205</v>
      </c>
      <c r="F1010" s="20">
        <v>8545078.4000000004</v>
      </c>
      <c r="G1010" s="22">
        <v>46042</v>
      </c>
      <c r="H1010" s="21" t="s">
        <v>61</v>
      </c>
      <c r="I1010" s="40" t="str">
        <f>IFERROR(IF(VLOOKUP(E1010,extracto!C:C,1,FALSE)=E1010,"pagado","no pagado"),"no pagado")</f>
        <v>pagado</v>
      </c>
      <c r="J1010" s="41" t="str">
        <f t="shared" si="462"/>
        <v>pagado</v>
      </c>
      <c r="K1010" s="40" t="str">
        <f t="shared" ca="1" si="463"/>
        <v>excluir</v>
      </c>
      <c r="L1010" s="40" t="str">
        <f t="shared" ca="1" si="464"/>
        <v>no semana</v>
      </c>
      <c r="M1010" s="40" t="str">
        <f>IFERROR(VLOOKUP(E1010,'cheques a conf'!A:D,4,FALSE),"no clearing")</f>
        <v>no clearing</v>
      </c>
      <c r="N1010" s="40">
        <f t="shared" si="465"/>
        <v>4</v>
      </c>
      <c r="O1010" s="42">
        <f t="shared" si="466"/>
        <v>1</v>
      </c>
      <c r="P1010" s="42">
        <f t="shared" si="467"/>
        <v>2026</v>
      </c>
    </row>
    <row r="1011" spans="1:16" x14ac:dyDescent="0.2">
      <c r="A1011" s="21">
        <v>3000000057</v>
      </c>
      <c r="B1011" s="22">
        <v>46034</v>
      </c>
      <c r="C1011" s="20">
        <v>20000000</v>
      </c>
      <c r="D1011" s="21" t="s">
        <v>350</v>
      </c>
      <c r="E1011" s="21">
        <v>97124207</v>
      </c>
      <c r="F1011" s="20">
        <v>20000000</v>
      </c>
      <c r="G1011" s="22">
        <v>46041</v>
      </c>
      <c r="H1011" s="21" t="s">
        <v>61</v>
      </c>
      <c r="I1011" s="40" t="str">
        <f>IFERROR(IF(VLOOKUP(E1011,extracto!C:C,1,FALSE)=E1011,"pagado","no pagado"),"no pagado")</f>
        <v>pagado</v>
      </c>
      <c r="J1011" s="41" t="str">
        <f t="shared" si="462"/>
        <v>pagado</v>
      </c>
      <c r="K1011" s="40" t="str">
        <f t="shared" ca="1" si="463"/>
        <v>excluir</v>
      </c>
      <c r="L1011" s="40" t="str">
        <f t="shared" ca="1" si="464"/>
        <v>no semana</v>
      </c>
      <c r="M1011" s="40" t="str">
        <f>IFERROR(VLOOKUP(E1011,'cheques a conf'!A:D,4,FALSE),"no clearing")</f>
        <v>no clearing</v>
      </c>
      <c r="N1011" s="40">
        <f t="shared" si="465"/>
        <v>4</v>
      </c>
      <c r="O1011" s="42">
        <f t="shared" si="466"/>
        <v>1</v>
      </c>
      <c r="P1011" s="42">
        <f t="shared" si="467"/>
        <v>2026</v>
      </c>
    </row>
    <row r="1012" spans="1:16" x14ac:dyDescent="0.2">
      <c r="A1012" s="21">
        <v>3000000057</v>
      </c>
      <c r="B1012" s="22">
        <v>46034</v>
      </c>
      <c r="C1012" s="20">
        <v>20797531.5</v>
      </c>
      <c r="D1012" s="21" t="s">
        <v>350</v>
      </c>
      <c r="E1012" s="21">
        <v>97124208</v>
      </c>
      <c r="F1012" s="20">
        <v>20797531.5</v>
      </c>
      <c r="G1012" s="22">
        <v>46042</v>
      </c>
      <c r="H1012" s="21" t="s">
        <v>61</v>
      </c>
      <c r="I1012" s="40" t="str">
        <f>IFERROR(IF(VLOOKUP(E1012,extracto!C:C,1,FALSE)=E1012,"pagado","no pagado"),"no pagado")</f>
        <v>pagado</v>
      </c>
      <c r="J1012" s="41" t="str">
        <f t="shared" si="462"/>
        <v>pagado</v>
      </c>
      <c r="K1012" s="40" t="str">
        <f t="shared" ca="1" si="463"/>
        <v>excluir</v>
      </c>
      <c r="L1012" s="40" t="str">
        <f t="shared" ca="1" si="464"/>
        <v>no semana</v>
      </c>
      <c r="M1012" s="40" t="str">
        <f>IFERROR(VLOOKUP(E1012,'cheques a conf'!A:D,4,FALSE),"no clearing")</f>
        <v>no clearing</v>
      </c>
      <c r="N1012" s="40">
        <f t="shared" si="465"/>
        <v>4</v>
      </c>
      <c r="O1012" s="42">
        <f t="shared" si="466"/>
        <v>1</v>
      </c>
      <c r="P1012" s="42">
        <f t="shared" si="467"/>
        <v>2026</v>
      </c>
    </row>
    <row r="1013" spans="1:16" x14ac:dyDescent="0.2">
      <c r="A1013" s="21">
        <v>3000000044</v>
      </c>
      <c r="B1013" s="22">
        <v>46034</v>
      </c>
      <c r="C1013" s="20">
        <v>2217261.04</v>
      </c>
      <c r="D1013" s="21" t="s">
        <v>439</v>
      </c>
      <c r="E1013" s="21">
        <v>97124189</v>
      </c>
      <c r="F1013" s="20">
        <v>2217261.04</v>
      </c>
      <c r="G1013" s="22">
        <v>46041</v>
      </c>
      <c r="H1013" s="21" t="s">
        <v>61</v>
      </c>
      <c r="I1013" s="40" t="str">
        <f>IFERROR(IF(VLOOKUP(E1013,extracto!C:C,1,FALSE)=E1013,"pagado","no pagado"),"no pagado")</f>
        <v>pagado</v>
      </c>
      <c r="J1013" s="41" t="str">
        <f t="shared" si="462"/>
        <v>pagado</v>
      </c>
      <c r="K1013" s="40" t="str">
        <f t="shared" ca="1" si="463"/>
        <v>excluir</v>
      </c>
      <c r="L1013" s="40" t="str">
        <f t="shared" ca="1" si="464"/>
        <v>no semana</v>
      </c>
      <c r="M1013" s="40" t="str">
        <f>IFERROR(VLOOKUP(E1013,'cheques a conf'!A:D,4,FALSE),"no clearing")</f>
        <v>no clearing</v>
      </c>
      <c r="N1013" s="40">
        <f t="shared" si="465"/>
        <v>4</v>
      </c>
      <c r="O1013" s="42">
        <f t="shared" si="466"/>
        <v>1</v>
      </c>
      <c r="P1013" s="42">
        <f t="shared" si="467"/>
        <v>2026</v>
      </c>
    </row>
    <row r="1014" spans="1:16" x14ac:dyDescent="0.2">
      <c r="A1014" s="21">
        <v>3000000045</v>
      </c>
      <c r="B1014" s="22">
        <v>46034</v>
      </c>
      <c r="C1014" s="20">
        <v>2245699.48</v>
      </c>
      <c r="D1014" s="21" t="s">
        <v>447</v>
      </c>
      <c r="E1014" s="21">
        <v>97124190</v>
      </c>
      <c r="F1014" s="20">
        <v>2245699.48</v>
      </c>
      <c r="G1014" s="22">
        <v>46041</v>
      </c>
      <c r="H1014" s="21" t="s">
        <v>61</v>
      </c>
      <c r="I1014" s="40" t="str">
        <f>IFERROR(IF(VLOOKUP(E1014,extracto!C:C,1,FALSE)=E1014,"pagado","no pagado"),"no pagado")</f>
        <v>pagado</v>
      </c>
      <c r="J1014" s="41" t="str">
        <f t="shared" si="462"/>
        <v>pagado</v>
      </c>
      <c r="K1014" s="40" t="str">
        <f t="shared" ca="1" si="463"/>
        <v>excluir</v>
      </c>
      <c r="L1014" s="40" t="str">
        <f t="shared" ca="1" si="464"/>
        <v>no semana</v>
      </c>
      <c r="M1014" s="40" t="str">
        <f>IFERROR(VLOOKUP(E1014,'cheques a conf'!A:D,4,FALSE),"no clearing")</f>
        <v>no clearing</v>
      </c>
      <c r="N1014" s="40">
        <f t="shared" si="465"/>
        <v>4</v>
      </c>
      <c r="O1014" s="42">
        <f t="shared" si="466"/>
        <v>1</v>
      </c>
      <c r="P1014" s="42">
        <f t="shared" si="467"/>
        <v>2026</v>
      </c>
    </row>
    <row r="1015" spans="1:16" x14ac:dyDescent="0.2">
      <c r="A1015" s="21">
        <v>3000000046</v>
      </c>
      <c r="B1015" s="22">
        <v>46034</v>
      </c>
      <c r="C1015" s="20">
        <v>5783786.5999999996</v>
      </c>
      <c r="D1015" s="21" t="s">
        <v>401</v>
      </c>
      <c r="E1015" s="21">
        <v>97124191</v>
      </c>
      <c r="F1015" s="20">
        <v>5783786.5999999996</v>
      </c>
      <c r="G1015" s="22">
        <v>46041</v>
      </c>
      <c r="H1015" s="21" t="s">
        <v>61</v>
      </c>
      <c r="I1015" s="40" t="str">
        <f>IFERROR(IF(VLOOKUP(E1015,extracto!C:C,1,FALSE)=E1015,"pagado","no pagado"),"no pagado")</f>
        <v>pagado</v>
      </c>
      <c r="J1015" s="41" t="str">
        <f t="shared" si="462"/>
        <v>pagado</v>
      </c>
      <c r="K1015" s="40" t="str">
        <f t="shared" ca="1" si="463"/>
        <v>excluir</v>
      </c>
      <c r="L1015" s="40" t="str">
        <f t="shared" ca="1" si="464"/>
        <v>no semana</v>
      </c>
      <c r="M1015" s="40" t="str">
        <f>IFERROR(VLOOKUP(E1015,'cheques a conf'!A:D,4,FALSE),"no clearing")</f>
        <v>no clearing</v>
      </c>
      <c r="N1015" s="40">
        <f t="shared" si="465"/>
        <v>4</v>
      </c>
      <c r="O1015" s="42">
        <f t="shared" si="466"/>
        <v>1</v>
      </c>
      <c r="P1015" s="42">
        <f t="shared" si="467"/>
        <v>2026</v>
      </c>
    </row>
    <row r="1016" spans="1:16" x14ac:dyDescent="0.2">
      <c r="A1016" s="21">
        <v>3000000049</v>
      </c>
      <c r="B1016" s="22">
        <v>46034</v>
      </c>
      <c r="C1016" s="20">
        <v>4946688.4000000004</v>
      </c>
      <c r="D1016" s="21" t="s">
        <v>138</v>
      </c>
      <c r="E1016" s="21">
        <v>97124196</v>
      </c>
      <c r="F1016" s="20">
        <v>4946688.4000000004</v>
      </c>
      <c r="G1016" s="22">
        <v>46041</v>
      </c>
      <c r="H1016" s="21" t="s">
        <v>61</v>
      </c>
      <c r="I1016" s="40" t="str">
        <f>IFERROR(IF(VLOOKUP(E1016,extracto!C:C,1,FALSE)=E1016,"pagado","no pagado"),"no pagado")</f>
        <v>pagado</v>
      </c>
      <c r="J1016" s="41" t="str">
        <f t="shared" si="462"/>
        <v>pagado</v>
      </c>
      <c r="K1016" s="40" t="str">
        <f t="shared" ca="1" si="463"/>
        <v>excluir</v>
      </c>
      <c r="L1016" s="40" t="str">
        <f t="shared" ca="1" si="464"/>
        <v>no semana</v>
      </c>
      <c r="M1016" s="40" t="str">
        <f>IFERROR(VLOOKUP(E1016,'cheques a conf'!A:D,4,FALSE),"no clearing")</f>
        <v>no clearing</v>
      </c>
      <c r="N1016" s="40">
        <f t="shared" si="465"/>
        <v>4</v>
      </c>
      <c r="O1016" s="42">
        <f t="shared" si="466"/>
        <v>1</v>
      </c>
      <c r="P1016" s="42">
        <f t="shared" si="467"/>
        <v>2026</v>
      </c>
    </row>
    <row r="1017" spans="1:16" x14ac:dyDescent="0.2">
      <c r="A1017" s="21">
        <v>3000000050</v>
      </c>
      <c r="B1017" s="22">
        <v>46034</v>
      </c>
      <c r="C1017" s="20">
        <v>4435333.4000000004</v>
      </c>
      <c r="D1017" s="21" t="s">
        <v>408</v>
      </c>
      <c r="E1017" s="21">
        <v>97124197</v>
      </c>
      <c r="F1017" s="20">
        <v>4435333.4000000004</v>
      </c>
      <c r="G1017" s="22">
        <v>46041</v>
      </c>
      <c r="H1017" s="21" t="s">
        <v>61</v>
      </c>
      <c r="I1017" s="40" t="str">
        <f>IFERROR(IF(VLOOKUP(E1017,extracto!C:C,1,FALSE)=E1017,"pagado","no pagado"),"no pagado")</f>
        <v>pagado</v>
      </c>
      <c r="J1017" s="41" t="str">
        <f t="shared" si="462"/>
        <v>pagado</v>
      </c>
      <c r="K1017" s="40" t="str">
        <f t="shared" ca="1" si="463"/>
        <v>excluir</v>
      </c>
      <c r="L1017" s="40" t="str">
        <f t="shared" ca="1" si="464"/>
        <v>no semana</v>
      </c>
      <c r="M1017" s="40" t="str">
        <f>IFERROR(VLOOKUP(E1017,'cheques a conf'!A:D,4,FALSE),"no clearing")</f>
        <v>no clearing</v>
      </c>
      <c r="N1017" s="40">
        <f t="shared" si="465"/>
        <v>4</v>
      </c>
      <c r="O1017" s="42">
        <f t="shared" si="466"/>
        <v>1</v>
      </c>
      <c r="P1017" s="42">
        <f t="shared" si="467"/>
        <v>2026</v>
      </c>
    </row>
    <row r="1018" spans="1:16" x14ac:dyDescent="0.2">
      <c r="A1018" s="21">
        <v>3000000051</v>
      </c>
      <c r="B1018" s="22">
        <v>46034</v>
      </c>
      <c r="C1018" s="20">
        <v>6675943.4000000004</v>
      </c>
      <c r="D1018" s="21" t="s">
        <v>357</v>
      </c>
      <c r="E1018" s="21">
        <v>97124198</v>
      </c>
      <c r="F1018" s="20">
        <v>6675943.4000000004</v>
      </c>
      <c r="G1018" s="22">
        <v>46041</v>
      </c>
      <c r="H1018" s="21" t="s">
        <v>61</v>
      </c>
      <c r="I1018" s="40" t="str">
        <f>IFERROR(IF(VLOOKUP(E1018,extracto!C:C,1,FALSE)=E1018,"pagado","no pagado"),"no pagado")</f>
        <v>pagado</v>
      </c>
      <c r="J1018" s="41" t="str">
        <f t="shared" si="462"/>
        <v>pagado</v>
      </c>
      <c r="K1018" s="40" t="str">
        <f t="shared" ca="1" si="463"/>
        <v>excluir</v>
      </c>
      <c r="L1018" s="40" t="str">
        <f t="shared" ca="1" si="464"/>
        <v>no semana</v>
      </c>
      <c r="M1018" s="40" t="str">
        <f>IFERROR(VLOOKUP(E1018,'cheques a conf'!A:D,4,FALSE),"no clearing")</f>
        <v>no clearing</v>
      </c>
      <c r="N1018" s="40">
        <f t="shared" si="465"/>
        <v>4</v>
      </c>
      <c r="O1018" s="42">
        <f t="shared" si="466"/>
        <v>1</v>
      </c>
      <c r="P1018" s="42">
        <f t="shared" si="467"/>
        <v>2026</v>
      </c>
    </row>
    <row r="1019" spans="1:16" x14ac:dyDescent="0.2">
      <c r="A1019" s="21">
        <v>3000000053</v>
      </c>
      <c r="B1019" s="22">
        <v>46034</v>
      </c>
      <c r="C1019" s="20">
        <v>11405697.9</v>
      </c>
      <c r="D1019" s="21" t="s">
        <v>356</v>
      </c>
      <c r="E1019" s="21">
        <v>97124201</v>
      </c>
      <c r="F1019" s="20">
        <v>11405697.9</v>
      </c>
      <c r="G1019" s="22">
        <v>46041</v>
      </c>
      <c r="H1019" s="21" t="s">
        <v>61</v>
      </c>
      <c r="I1019" s="40" t="str">
        <f>IFERROR(IF(VLOOKUP(E1019,extracto!C:C,1,FALSE)=E1019,"pagado","no pagado"),"no pagado")</f>
        <v>pagado</v>
      </c>
      <c r="J1019" s="41" t="str">
        <f t="shared" si="462"/>
        <v>pagado</v>
      </c>
      <c r="K1019" s="40" t="str">
        <f t="shared" ca="1" si="463"/>
        <v>excluir</v>
      </c>
      <c r="L1019" s="40" t="str">
        <f t="shared" ca="1" si="464"/>
        <v>no semana</v>
      </c>
      <c r="M1019" s="40" t="str">
        <f>IFERROR(VLOOKUP(E1019,'cheques a conf'!A:D,4,FALSE),"no clearing")</f>
        <v>no clearing</v>
      </c>
      <c r="N1019" s="40">
        <f t="shared" si="465"/>
        <v>4</v>
      </c>
      <c r="O1019" s="42">
        <f t="shared" si="466"/>
        <v>1</v>
      </c>
      <c r="P1019" s="42">
        <f t="shared" si="467"/>
        <v>2026</v>
      </c>
    </row>
    <row r="1020" spans="1:16" x14ac:dyDescent="0.2">
      <c r="A1020" s="21">
        <v>3000000056</v>
      </c>
      <c r="B1020" s="22">
        <v>46034</v>
      </c>
      <c r="C1020" s="20">
        <v>13279207.4</v>
      </c>
      <c r="D1020" s="21" t="s">
        <v>345</v>
      </c>
      <c r="E1020" s="21">
        <v>97124206</v>
      </c>
      <c r="F1020" s="20">
        <v>13279207.4</v>
      </c>
      <c r="G1020" s="22">
        <v>46042</v>
      </c>
      <c r="H1020" s="21" t="s">
        <v>61</v>
      </c>
      <c r="I1020" s="40" t="str">
        <f>IFERROR(IF(VLOOKUP(E1020,extracto!C:C,1,FALSE)=E1020,"pagado","no pagado"),"no pagado")</f>
        <v>pagado</v>
      </c>
      <c r="J1020" s="41" t="str">
        <f t="shared" si="462"/>
        <v>pagado</v>
      </c>
      <c r="K1020" s="40" t="str">
        <f t="shared" ca="1" si="463"/>
        <v>excluir</v>
      </c>
      <c r="L1020" s="40" t="str">
        <f t="shared" ca="1" si="464"/>
        <v>no semana</v>
      </c>
      <c r="M1020" s="40" t="str">
        <f>IFERROR(VLOOKUP(E1020,'cheques a conf'!A:D,4,FALSE),"no clearing")</f>
        <v>no clearing</v>
      </c>
      <c r="N1020" s="40">
        <f t="shared" si="465"/>
        <v>4</v>
      </c>
      <c r="O1020" s="42">
        <f t="shared" si="466"/>
        <v>1</v>
      </c>
      <c r="P1020" s="42">
        <f t="shared" si="467"/>
        <v>2026</v>
      </c>
    </row>
    <row r="1021" spans="1:16" x14ac:dyDescent="0.2">
      <c r="A1021" s="21">
        <v>3000000071</v>
      </c>
      <c r="B1021" s="22">
        <v>46036</v>
      </c>
      <c r="C1021" s="20">
        <v>4124789.59</v>
      </c>
      <c r="D1021" s="21" t="s">
        <v>394</v>
      </c>
      <c r="E1021" s="21">
        <v>97124209</v>
      </c>
      <c r="F1021" s="20">
        <v>4124789.59</v>
      </c>
      <c r="G1021" s="22">
        <v>46042</v>
      </c>
      <c r="H1021" s="21" t="s">
        <v>61</v>
      </c>
      <c r="I1021" s="40" t="str">
        <f>IFERROR(IF(VLOOKUP(E1021,extracto!C:C,1,FALSE)=E1021,"pagado","no pagado"),"no pagado")</f>
        <v>pagado</v>
      </c>
      <c r="J1021" s="41" t="str">
        <f t="shared" si="462"/>
        <v>pagado</v>
      </c>
      <c r="K1021" s="40" t="str">
        <f t="shared" ca="1" si="463"/>
        <v>excluir</v>
      </c>
      <c r="L1021" s="40" t="str">
        <f t="shared" ca="1" si="464"/>
        <v>no semana</v>
      </c>
      <c r="M1021" s="40" t="str">
        <f>IFERROR(VLOOKUP(E1021,'cheques a conf'!A:D,4,FALSE),"no clearing")</f>
        <v>no clearing</v>
      </c>
      <c r="N1021" s="40">
        <f t="shared" si="465"/>
        <v>4</v>
      </c>
      <c r="O1021" s="42">
        <f t="shared" si="466"/>
        <v>1</v>
      </c>
      <c r="P1021" s="42">
        <f t="shared" si="467"/>
        <v>2026</v>
      </c>
    </row>
    <row r="1022" spans="1:16" x14ac:dyDescent="0.2">
      <c r="A1022" s="21">
        <v>3000000072</v>
      </c>
      <c r="B1022" s="22">
        <v>46036</v>
      </c>
      <c r="C1022" s="20">
        <v>1582963.44</v>
      </c>
      <c r="D1022" s="21" t="s">
        <v>298</v>
      </c>
      <c r="E1022" s="21">
        <v>97124210</v>
      </c>
      <c r="F1022" s="20">
        <v>1582963.44</v>
      </c>
      <c r="G1022" s="22">
        <v>46042</v>
      </c>
      <c r="H1022" s="21" t="s">
        <v>61</v>
      </c>
      <c r="I1022" s="40" t="str">
        <f>IFERROR(IF(VLOOKUP(E1022,extracto!C:C,1,FALSE)=E1022,"pagado","no pagado"),"no pagado")</f>
        <v>pagado</v>
      </c>
      <c r="J1022" s="41" t="str">
        <f t="shared" si="462"/>
        <v>pagado</v>
      </c>
      <c r="K1022" s="40" t="str">
        <f t="shared" ca="1" si="463"/>
        <v>excluir</v>
      </c>
      <c r="L1022" s="40" t="str">
        <f t="shared" ca="1" si="464"/>
        <v>no semana</v>
      </c>
      <c r="M1022" s="40" t="str">
        <f>IFERROR(VLOOKUP(E1022,'cheques a conf'!A:D,4,FALSE),"no clearing")</f>
        <v>no clearing</v>
      </c>
      <c r="N1022" s="40">
        <f t="shared" si="465"/>
        <v>4</v>
      </c>
      <c r="O1022" s="42">
        <f t="shared" si="466"/>
        <v>1</v>
      </c>
      <c r="P1022" s="42">
        <f t="shared" si="467"/>
        <v>2026</v>
      </c>
    </row>
    <row r="1023" spans="1:16" x14ac:dyDescent="0.2">
      <c r="A1023" s="21">
        <v>3000000077</v>
      </c>
      <c r="B1023" s="22">
        <v>46038</v>
      </c>
      <c r="C1023" s="20">
        <v>15379140</v>
      </c>
      <c r="D1023" s="21" t="s">
        <v>22</v>
      </c>
      <c r="E1023" s="21">
        <v>97121396</v>
      </c>
      <c r="F1023" s="20">
        <v>15379140</v>
      </c>
      <c r="G1023" s="22">
        <v>46038</v>
      </c>
      <c r="H1023" s="21" t="s">
        <v>61</v>
      </c>
      <c r="I1023" s="40" t="str">
        <f>IFERROR(IF(VLOOKUP(E1023,extracto!C:C,1,FALSE)=E1023,"pagado","no pagado"),"no pagado")</f>
        <v>pagado</v>
      </c>
      <c r="J1023" s="41" t="str">
        <f t="shared" ref="J1023" si="468">IF(I1023="pagado","pagado",IF(G1023&lt;$V$1-30,"fuera de fecha","en periodo de pago"))</f>
        <v>pagado</v>
      </c>
      <c r="K1023" s="40" t="str">
        <f t="shared" ref="K1023" ca="1" si="469">+IF(B1023&gt;$V$1,"excluir",IF(J1023="en periodo de pago",IF($V$1&gt;G1023,"a pagar","proximo a vencer"),"excluir"))</f>
        <v>excluir</v>
      </c>
      <c r="L1023" s="40" t="str">
        <f t="shared" ref="L1023" ca="1" si="470">+IF(K1023="proximo a vencer",IF($V$1+5&gt;G1023,"para la semana","no semana"),"no semana")</f>
        <v>no semana</v>
      </c>
      <c r="M1023" s="40" t="str">
        <f>IFERROR(VLOOKUP(E1023,'cheques a conf'!A:D,4,FALSE),"no clearing")</f>
        <v>no clearing</v>
      </c>
      <c r="N1023" s="40">
        <f t="shared" ref="N1023" si="471">+WEEKNUM(G1023,2)</f>
        <v>3</v>
      </c>
      <c r="O1023" s="42">
        <f t="shared" ref="O1023" si="472">+MONTH(G1023)</f>
        <v>1</v>
      </c>
      <c r="P1023" s="42">
        <f t="shared" ref="P1023" si="473">+YEAR(G1023)</f>
        <v>2026</v>
      </c>
    </row>
    <row r="1024" spans="1:16" x14ac:dyDescent="0.25">
      <c r="A1024">
        <v>3000000083</v>
      </c>
      <c r="B1024" s="3">
        <v>46042</v>
      </c>
      <c r="C1024" s="9">
        <v>20000000</v>
      </c>
      <c r="D1024" t="s">
        <v>366</v>
      </c>
      <c r="E1024">
        <v>97124211</v>
      </c>
      <c r="F1024" s="9">
        <v>20000000</v>
      </c>
      <c r="G1024" s="3">
        <v>46049</v>
      </c>
      <c r="H1024" s="21" t="s">
        <v>61</v>
      </c>
      <c r="I1024" s="40" t="str">
        <f>IFERROR(IF(VLOOKUP(E1024,extracto!C:C,1,FALSE)=E1024,"pagado","no pagado"),"no pagado")</f>
        <v>pagado</v>
      </c>
      <c r="J1024" s="41" t="str">
        <f t="shared" ref="J1024:J1025" si="474">IF(I1024="pagado","pagado",IF(G1024&lt;$V$1-30,"fuera de fecha","en periodo de pago"))</f>
        <v>pagado</v>
      </c>
      <c r="K1024" s="40" t="str">
        <f t="shared" ref="K1024:K1025" ca="1" si="475">+IF(B1024&gt;$V$1,"excluir",IF(J1024="en periodo de pago",IF($V$1&gt;G1024,"a pagar","proximo a vencer"),"excluir"))</f>
        <v>excluir</v>
      </c>
      <c r="L1024" s="40" t="str">
        <f t="shared" ref="L1024:L1025" ca="1" si="476">+IF(K1024="proximo a vencer",IF($V$1+5&gt;G1024,"para la semana","no semana"),"no semana")</f>
        <v>no semana</v>
      </c>
      <c r="M1024" s="40" t="str">
        <f>IFERROR(VLOOKUP(E1024,'cheques a conf'!A:D,4,FALSE),"no clearing")</f>
        <v>no clearing</v>
      </c>
      <c r="N1024" s="40">
        <f t="shared" ref="N1024:N1025" si="477">+WEEKNUM(G1024,2)</f>
        <v>5</v>
      </c>
      <c r="O1024" s="42">
        <f t="shared" ref="O1024:O1025" si="478">+MONTH(G1024)</f>
        <v>1</v>
      </c>
      <c r="P1024" s="42">
        <f t="shared" ref="P1024:P1025" si="479">+YEAR(G1024)</f>
        <v>2026</v>
      </c>
    </row>
    <row r="1025" spans="1:16" x14ac:dyDescent="0.25">
      <c r="A1025">
        <v>3000000083</v>
      </c>
      <c r="B1025" s="3">
        <v>46042</v>
      </c>
      <c r="C1025" s="9">
        <v>16591976</v>
      </c>
      <c r="D1025" t="s">
        <v>366</v>
      </c>
      <c r="E1025">
        <v>97124212</v>
      </c>
      <c r="F1025" s="9">
        <v>16591976</v>
      </c>
      <c r="G1025" s="3">
        <v>46050</v>
      </c>
      <c r="H1025" s="21" t="s">
        <v>61</v>
      </c>
      <c r="I1025" s="40" t="str">
        <f>IFERROR(IF(VLOOKUP(E1025,extracto!C:C,1,FALSE)=E1025,"pagado","no pagado"),"no pagado")</f>
        <v>pagado</v>
      </c>
      <c r="J1025" s="41" t="str">
        <f t="shared" si="474"/>
        <v>pagado</v>
      </c>
      <c r="K1025" s="40" t="str">
        <f t="shared" ca="1" si="475"/>
        <v>excluir</v>
      </c>
      <c r="L1025" s="40" t="str">
        <f t="shared" ca="1" si="476"/>
        <v>no semana</v>
      </c>
      <c r="M1025" s="40" t="str">
        <f>IFERROR(VLOOKUP(E1025,'cheques a conf'!A:D,4,FALSE),"no clearing")</f>
        <v>no clearing</v>
      </c>
      <c r="N1025" s="40">
        <f t="shared" si="477"/>
        <v>5</v>
      </c>
      <c r="O1025" s="42">
        <f t="shared" si="478"/>
        <v>1</v>
      </c>
      <c r="P1025" s="42">
        <f t="shared" si="479"/>
        <v>2026</v>
      </c>
    </row>
    <row r="1026" spans="1:16" x14ac:dyDescent="0.25">
      <c r="A1026">
        <v>3000000084</v>
      </c>
      <c r="B1026" s="3">
        <v>46042</v>
      </c>
      <c r="C1026" s="9">
        <v>22000000</v>
      </c>
      <c r="D1026" t="s">
        <v>286</v>
      </c>
      <c r="E1026">
        <v>97124213</v>
      </c>
      <c r="F1026" s="9">
        <v>22000000</v>
      </c>
      <c r="G1026" s="3">
        <v>46049</v>
      </c>
      <c r="H1026" s="21" t="s">
        <v>61</v>
      </c>
      <c r="I1026" s="40" t="str">
        <f>IFERROR(IF(VLOOKUP(E1026,extracto!C:C,1,FALSE)=E1026,"pagado","no pagado"),"no pagado")</f>
        <v>pagado</v>
      </c>
      <c r="J1026" s="41" t="str">
        <f t="shared" ref="J1026:J1081" si="480">IF(I1026="pagado","pagado",IF(G1026&lt;$V$1-30,"fuera de fecha","en periodo de pago"))</f>
        <v>pagado</v>
      </c>
      <c r="K1026" s="40" t="str">
        <f t="shared" ref="K1026:K1081" ca="1" si="481">+IF(B1026&gt;$V$1,"excluir",IF(J1026="en periodo de pago",IF($V$1&gt;G1026,"a pagar","proximo a vencer"),"excluir"))</f>
        <v>excluir</v>
      </c>
      <c r="L1026" s="40" t="str">
        <f t="shared" ref="L1026:L1081" ca="1" si="482">+IF(K1026="proximo a vencer",IF($V$1+5&gt;G1026,"para la semana","no semana"),"no semana")</f>
        <v>no semana</v>
      </c>
      <c r="M1026" s="40" t="str">
        <f>IFERROR(VLOOKUP(E1026,'cheques a conf'!A:D,4,FALSE),"no clearing")</f>
        <v>no clearing</v>
      </c>
      <c r="N1026" s="40">
        <f t="shared" ref="N1026:N1081" si="483">+WEEKNUM(G1026,2)</f>
        <v>5</v>
      </c>
      <c r="O1026" s="42">
        <f t="shared" ref="O1026:O1081" si="484">+MONTH(G1026)</f>
        <v>1</v>
      </c>
      <c r="P1026" s="42">
        <f t="shared" ref="P1026:P1081" si="485">+YEAR(G1026)</f>
        <v>2026</v>
      </c>
    </row>
    <row r="1027" spans="1:16" x14ac:dyDescent="0.25">
      <c r="A1027">
        <v>3000000084</v>
      </c>
      <c r="B1027" s="3">
        <v>46042</v>
      </c>
      <c r="C1027" s="9">
        <v>22546191</v>
      </c>
      <c r="D1027" t="s">
        <v>286</v>
      </c>
      <c r="E1027">
        <v>97124214</v>
      </c>
      <c r="F1027" s="9">
        <v>22546191</v>
      </c>
      <c r="G1027" s="3">
        <v>46050</v>
      </c>
      <c r="H1027" s="21" t="s">
        <v>61</v>
      </c>
      <c r="I1027" s="40" t="str">
        <f>IFERROR(IF(VLOOKUP(E1027,extracto!C:C,1,FALSE)=E1027,"pagado","no pagado"),"no pagado")</f>
        <v>pagado</v>
      </c>
      <c r="J1027" s="41" t="str">
        <f t="shared" si="480"/>
        <v>pagado</v>
      </c>
      <c r="K1027" s="40" t="str">
        <f t="shared" ca="1" si="481"/>
        <v>excluir</v>
      </c>
      <c r="L1027" s="40" t="str">
        <f t="shared" ca="1" si="482"/>
        <v>no semana</v>
      </c>
      <c r="M1027" s="40" t="str">
        <f>IFERROR(VLOOKUP(E1027,'cheques a conf'!A:D,4,FALSE),"no clearing")</f>
        <v>no clearing</v>
      </c>
      <c r="N1027" s="40">
        <f t="shared" si="483"/>
        <v>5</v>
      </c>
      <c r="O1027" s="42">
        <f t="shared" si="484"/>
        <v>1</v>
      </c>
      <c r="P1027" s="42">
        <f t="shared" si="485"/>
        <v>2026</v>
      </c>
    </row>
    <row r="1028" spans="1:16" x14ac:dyDescent="0.25">
      <c r="A1028">
        <v>3000000085</v>
      </c>
      <c r="B1028" s="3">
        <v>46042</v>
      </c>
      <c r="C1028" s="9">
        <v>20000000</v>
      </c>
      <c r="D1028" t="s">
        <v>383</v>
      </c>
      <c r="E1028">
        <v>97124215</v>
      </c>
      <c r="F1028" s="9">
        <v>20000000</v>
      </c>
      <c r="G1028" s="3">
        <v>46049</v>
      </c>
      <c r="H1028" s="21" t="s">
        <v>61</v>
      </c>
      <c r="I1028" s="40" t="str">
        <f>IFERROR(IF(VLOOKUP(E1028,extracto!C:C,1,FALSE)=E1028,"pagado","no pagado"),"no pagado")</f>
        <v>pagado</v>
      </c>
      <c r="J1028" s="41" t="str">
        <f t="shared" si="480"/>
        <v>pagado</v>
      </c>
      <c r="K1028" s="40" t="str">
        <f t="shared" ca="1" si="481"/>
        <v>excluir</v>
      </c>
      <c r="L1028" s="40" t="str">
        <f t="shared" ca="1" si="482"/>
        <v>no semana</v>
      </c>
      <c r="M1028" s="40" t="str">
        <f>IFERROR(VLOOKUP(E1028,'cheques a conf'!A:D,4,FALSE),"no clearing")</f>
        <v>no clearing</v>
      </c>
      <c r="N1028" s="40">
        <f t="shared" si="483"/>
        <v>5</v>
      </c>
      <c r="O1028" s="42">
        <f t="shared" si="484"/>
        <v>1</v>
      </c>
      <c r="P1028" s="42">
        <f t="shared" si="485"/>
        <v>2026</v>
      </c>
    </row>
    <row r="1029" spans="1:16" x14ac:dyDescent="0.25">
      <c r="A1029">
        <v>3000000085</v>
      </c>
      <c r="B1029" s="3">
        <v>46042</v>
      </c>
      <c r="C1029" s="9">
        <v>17008449.239999998</v>
      </c>
      <c r="D1029" t="s">
        <v>383</v>
      </c>
      <c r="E1029">
        <v>97124216</v>
      </c>
      <c r="F1029" s="9">
        <v>17008449.239999998</v>
      </c>
      <c r="G1029" s="3">
        <v>46050</v>
      </c>
      <c r="H1029" s="21" t="s">
        <v>61</v>
      </c>
      <c r="I1029" s="40" t="str">
        <f>IFERROR(IF(VLOOKUP(E1029,extracto!C:C,1,FALSE)=E1029,"pagado","no pagado"),"no pagado")</f>
        <v>pagado</v>
      </c>
      <c r="J1029" s="41" t="str">
        <f t="shared" si="480"/>
        <v>pagado</v>
      </c>
      <c r="K1029" s="40" t="str">
        <f t="shared" ca="1" si="481"/>
        <v>excluir</v>
      </c>
      <c r="L1029" s="40" t="str">
        <f t="shared" ca="1" si="482"/>
        <v>no semana</v>
      </c>
      <c r="M1029" s="40" t="str">
        <f>IFERROR(VLOOKUP(E1029,'cheques a conf'!A:D,4,FALSE),"no clearing")</f>
        <v>no clearing</v>
      </c>
      <c r="N1029" s="40">
        <f t="shared" si="483"/>
        <v>5</v>
      </c>
      <c r="O1029" s="42">
        <f t="shared" si="484"/>
        <v>1</v>
      </c>
      <c r="P1029" s="42">
        <f t="shared" si="485"/>
        <v>2026</v>
      </c>
    </row>
    <row r="1030" spans="1:16" x14ac:dyDescent="0.25">
      <c r="A1030">
        <v>3000000086</v>
      </c>
      <c r="B1030" s="3">
        <v>46042</v>
      </c>
      <c r="C1030" s="9">
        <v>10000000</v>
      </c>
      <c r="D1030" t="s">
        <v>353</v>
      </c>
      <c r="E1030">
        <v>97124217</v>
      </c>
      <c r="F1030" s="9">
        <v>10000000</v>
      </c>
      <c r="G1030" s="3">
        <v>46049</v>
      </c>
      <c r="H1030" s="21" t="s">
        <v>61</v>
      </c>
      <c r="I1030" s="40" t="str">
        <f>IFERROR(IF(VLOOKUP(E1030,extracto!C:C,1,FALSE)=E1030,"pagado","no pagado"),"no pagado")</f>
        <v>pagado</v>
      </c>
      <c r="J1030" s="41" t="str">
        <f t="shared" si="480"/>
        <v>pagado</v>
      </c>
      <c r="K1030" s="40" t="str">
        <f t="shared" ca="1" si="481"/>
        <v>excluir</v>
      </c>
      <c r="L1030" s="40" t="str">
        <f t="shared" ca="1" si="482"/>
        <v>no semana</v>
      </c>
      <c r="M1030" s="40" t="str">
        <f>IFERROR(VLOOKUP(E1030,'cheques a conf'!A:D,4,FALSE),"no clearing")</f>
        <v>no clearing</v>
      </c>
      <c r="N1030" s="40">
        <f t="shared" si="483"/>
        <v>5</v>
      </c>
      <c r="O1030" s="42">
        <f t="shared" si="484"/>
        <v>1</v>
      </c>
      <c r="P1030" s="42">
        <f t="shared" si="485"/>
        <v>2026</v>
      </c>
    </row>
    <row r="1031" spans="1:16" x14ac:dyDescent="0.25">
      <c r="A1031">
        <v>3000000086</v>
      </c>
      <c r="B1031" s="3">
        <v>46042</v>
      </c>
      <c r="C1031" s="9">
        <v>11302343.4</v>
      </c>
      <c r="D1031" t="s">
        <v>353</v>
      </c>
      <c r="E1031">
        <v>97124218</v>
      </c>
      <c r="F1031" s="9">
        <v>11302343.4</v>
      </c>
      <c r="G1031" s="3">
        <v>46050</v>
      </c>
      <c r="H1031" s="21" t="s">
        <v>61</v>
      </c>
      <c r="I1031" s="40" t="str">
        <f>IFERROR(IF(VLOOKUP(E1031,extracto!C:C,1,FALSE)=E1031,"pagado","no pagado"),"no pagado")</f>
        <v>pagado</v>
      </c>
      <c r="J1031" s="41" t="str">
        <f t="shared" si="480"/>
        <v>pagado</v>
      </c>
      <c r="K1031" s="40" t="str">
        <f t="shared" ca="1" si="481"/>
        <v>excluir</v>
      </c>
      <c r="L1031" s="40" t="str">
        <f t="shared" ca="1" si="482"/>
        <v>no semana</v>
      </c>
      <c r="M1031" s="40" t="str">
        <f>IFERROR(VLOOKUP(E1031,'cheques a conf'!A:D,4,FALSE),"no clearing")</f>
        <v>no clearing</v>
      </c>
      <c r="N1031" s="40">
        <f t="shared" si="483"/>
        <v>5</v>
      </c>
      <c r="O1031" s="42">
        <f t="shared" si="484"/>
        <v>1</v>
      </c>
      <c r="P1031" s="42">
        <f t="shared" si="485"/>
        <v>2026</v>
      </c>
    </row>
    <row r="1032" spans="1:16" x14ac:dyDescent="0.25">
      <c r="A1032">
        <v>3000000087</v>
      </c>
      <c r="B1032" s="3">
        <v>46042</v>
      </c>
      <c r="C1032" s="9">
        <v>15000000</v>
      </c>
      <c r="D1032" t="s">
        <v>287</v>
      </c>
      <c r="E1032">
        <v>97124219</v>
      </c>
      <c r="F1032" s="9">
        <v>15000000</v>
      </c>
      <c r="G1032" s="3">
        <v>46049</v>
      </c>
      <c r="H1032" s="21" t="s">
        <v>61</v>
      </c>
      <c r="I1032" s="40" t="str">
        <f>IFERROR(IF(VLOOKUP(E1032,extracto!C:C,1,FALSE)=E1032,"pagado","no pagado"),"no pagado")</f>
        <v>pagado</v>
      </c>
      <c r="J1032" s="41" t="str">
        <f t="shared" si="480"/>
        <v>pagado</v>
      </c>
      <c r="K1032" s="40" t="str">
        <f t="shared" ca="1" si="481"/>
        <v>excluir</v>
      </c>
      <c r="L1032" s="40" t="str">
        <f t="shared" ca="1" si="482"/>
        <v>no semana</v>
      </c>
      <c r="M1032" s="40" t="str">
        <f>IFERROR(VLOOKUP(E1032,'cheques a conf'!A:D,4,FALSE),"no clearing")</f>
        <v>no clearing</v>
      </c>
      <c r="N1032" s="40">
        <f t="shared" si="483"/>
        <v>5</v>
      </c>
      <c r="O1032" s="42">
        <f t="shared" si="484"/>
        <v>1</v>
      </c>
      <c r="P1032" s="42">
        <f t="shared" si="485"/>
        <v>2026</v>
      </c>
    </row>
    <row r="1033" spans="1:16" x14ac:dyDescent="0.25">
      <c r="A1033">
        <v>3000000087</v>
      </c>
      <c r="B1033" s="3">
        <v>46042</v>
      </c>
      <c r="C1033" s="9">
        <v>15000000</v>
      </c>
      <c r="D1033" t="s">
        <v>287</v>
      </c>
      <c r="E1033">
        <v>97124220</v>
      </c>
      <c r="F1033" s="9">
        <v>15000000</v>
      </c>
      <c r="G1033" s="3">
        <v>46050</v>
      </c>
      <c r="H1033" s="21" t="s">
        <v>61</v>
      </c>
      <c r="I1033" s="40" t="str">
        <f>IFERROR(IF(VLOOKUP(E1033,extracto!C:C,1,FALSE)=E1033,"pagado","no pagado"),"no pagado")</f>
        <v>pagado</v>
      </c>
      <c r="J1033" s="41" t="str">
        <f t="shared" si="480"/>
        <v>pagado</v>
      </c>
      <c r="K1033" s="40" t="str">
        <f t="shared" ca="1" si="481"/>
        <v>excluir</v>
      </c>
      <c r="L1033" s="40" t="str">
        <f t="shared" ca="1" si="482"/>
        <v>no semana</v>
      </c>
      <c r="M1033" s="40" t="str">
        <f>IFERROR(VLOOKUP(E1033,'cheques a conf'!A:D,4,FALSE),"no clearing")</f>
        <v>no clearing</v>
      </c>
      <c r="N1033" s="40">
        <f t="shared" si="483"/>
        <v>5</v>
      </c>
      <c r="O1033" s="42">
        <f t="shared" si="484"/>
        <v>1</v>
      </c>
      <c r="P1033" s="42">
        <f t="shared" si="485"/>
        <v>2026</v>
      </c>
    </row>
    <row r="1034" spans="1:16" x14ac:dyDescent="0.25">
      <c r="A1034">
        <v>3000000087</v>
      </c>
      <c r="B1034" s="3">
        <v>46042</v>
      </c>
      <c r="C1034" s="9">
        <v>15398065.869999999</v>
      </c>
      <c r="D1034" t="s">
        <v>287</v>
      </c>
      <c r="E1034">
        <v>97124221</v>
      </c>
      <c r="F1034" s="9">
        <v>15398065.869999999</v>
      </c>
      <c r="G1034" s="3">
        <v>46051</v>
      </c>
      <c r="H1034" s="21" t="s">
        <v>61</v>
      </c>
      <c r="I1034" s="40" t="str">
        <f>IFERROR(IF(VLOOKUP(E1034,extracto!C:C,1,FALSE)=E1034,"pagado","no pagado"),"no pagado")</f>
        <v>pagado</v>
      </c>
      <c r="J1034" s="41" t="str">
        <f t="shared" si="480"/>
        <v>pagado</v>
      </c>
      <c r="K1034" s="40" t="str">
        <f t="shared" ca="1" si="481"/>
        <v>excluir</v>
      </c>
      <c r="L1034" s="40" t="str">
        <f t="shared" ca="1" si="482"/>
        <v>no semana</v>
      </c>
      <c r="M1034" s="40" t="str">
        <f>IFERROR(VLOOKUP(E1034,'cheques a conf'!A:D,4,FALSE),"no clearing")</f>
        <v>no clearing</v>
      </c>
      <c r="N1034" s="40">
        <f t="shared" si="483"/>
        <v>5</v>
      </c>
      <c r="O1034" s="42">
        <f t="shared" si="484"/>
        <v>1</v>
      </c>
      <c r="P1034" s="42">
        <f t="shared" si="485"/>
        <v>2026</v>
      </c>
    </row>
    <row r="1035" spans="1:16" x14ac:dyDescent="0.25">
      <c r="A1035">
        <v>1200002351</v>
      </c>
      <c r="B1035" s="3">
        <v>46045</v>
      </c>
      <c r="C1035" s="9">
        <v>4432607.3</v>
      </c>
      <c r="D1035" t="s">
        <v>305</v>
      </c>
      <c r="E1035">
        <v>97124222</v>
      </c>
      <c r="F1035" s="9">
        <v>4432607.3</v>
      </c>
      <c r="G1035" s="3">
        <v>46049</v>
      </c>
      <c r="H1035" s="21" t="s">
        <v>61</v>
      </c>
      <c r="I1035" s="40" t="str">
        <f>IFERROR(IF(VLOOKUP(E1035,extracto!C:C,1,FALSE)=E1035,"pagado","no pagado"),"no pagado")</f>
        <v>pagado</v>
      </c>
      <c r="J1035" s="41" t="str">
        <f t="shared" si="480"/>
        <v>pagado</v>
      </c>
      <c r="K1035" s="40" t="str">
        <f t="shared" ca="1" si="481"/>
        <v>excluir</v>
      </c>
      <c r="L1035" s="40" t="str">
        <f t="shared" ca="1" si="482"/>
        <v>no semana</v>
      </c>
      <c r="M1035" s="40" t="str">
        <f>IFERROR(VLOOKUP(E1035,'cheques a conf'!A:D,4,FALSE),"no clearing")</f>
        <v>no clearing</v>
      </c>
      <c r="N1035" s="40">
        <f t="shared" si="483"/>
        <v>5</v>
      </c>
      <c r="O1035" s="42">
        <f t="shared" si="484"/>
        <v>1</v>
      </c>
      <c r="P1035" s="42">
        <f t="shared" si="485"/>
        <v>2026</v>
      </c>
    </row>
    <row r="1036" spans="1:16" x14ac:dyDescent="0.25">
      <c r="A1036" s="21">
        <v>3000000112</v>
      </c>
      <c r="B1036" s="22">
        <v>46049</v>
      </c>
      <c r="C1036" s="20">
        <v>20000000</v>
      </c>
      <c r="D1036" t="s">
        <v>448</v>
      </c>
      <c r="E1036" s="21">
        <v>97124225</v>
      </c>
      <c r="F1036" s="20">
        <v>20000000</v>
      </c>
      <c r="G1036" s="22">
        <v>46056</v>
      </c>
      <c r="H1036" s="21" t="s">
        <v>61</v>
      </c>
      <c r="I1036" s="40" t="str">
        <f>IFERROR(IF(VLOOKUP(E1036,extracto!C:C,1,FALSE)=E1036,"pagado","no pagado"),"no pagado")</f>
        <v>pagado</v>
      </c>
      <c r="J1036" s="41" t="str">
        <f t="shared" si="480"/>
        <v>pagado</v>
      </c>
      <c r="K1036" s="40" t="str">
        <f t="shared" ca="1" si="481"/>
        <v>excluir</v>
      </c>
      <c r="L1036" s="40" t="str">
        <f t="shared" ca="1" si="482"/>
        <v>no semana</v>
      </c>
      <c r="M1036" s="40" t="str">
        <f>IFERROR(VLOOKUP(E1036,'cheques a conf'!A:D,4,FALSE),"no clearing")</f>
        <v>no clearing</v>
      </c>
      <c r="N1036" s="40">
        <f t="shared" si="483"/>
        <v>6</v>
      </c>
      <c r="O1036" s="42">
        <f t="shared" si="484"/>
        <v>2</v>
      </c>
      <c r="P1036" s="42">
        <f t="shared" si="485"/>
        <v>2026</v>
      </c>
    </row>
    <row r="1037" spans="1:16" x14ac:dyDescent="0.25">
      <c r="A1037" s="21">
        <v>3000000112</v>
      </c>
      <c r="B1037" s="22">
        <v>46049</v>
      </c>
      <c r="C1037" s="20">
        <v>18478720.75</v>
      </c>
      <c r="D1037" t="s">
        <v>448</v>
      </c>
      <c r="E1037" s="21">
        <v>97124226</v>
      </c>
      <c r="F1037" s="20">
        <v>18478720.75</v>
      </c>
      <c r="G1037" s="22">
        <v>46057</v>
      </c>
      <c r="H1037" s="21" t="s">
        <v>61</v>
      </c>
      <c r="I1037" s="40" t="str">
        <f>IFERROR(IF(VLOOKUP(E1037,extracto!C:C,1,FALSE)=E1037,"pagado","no pagado"),"no pagado")</f>
        <v>pagado</v>
      </c>
      <c r="J1037" s="41" t="str">
        <f t="shared" si="480"/>
        <v>pagado</v>
      </c>
      <c r="K1037" s="40" t="str">
        <f t="shared" ca="1" si="481"/>
        <v>excluir</v>
      </c>
      <c r="L1037" s="40" t="str">
        <f t="shared" ca="1" si="482"/>
        <v>no semana</v>
      </c>
      <c r="M1037" s="40" t="str">
        <f>IFERROR(VLOOKUP(E1037,'cheques a conf'!A:D,4,FALSE),"no clearing")</f>
        <v>no clearing</v>
      </c>
      <c r="N1037" s="40">
        <f t="shared" si="483"/>
        <v>6</v>
      </c>
      <c r="O1037" s="42">
        <f t="shared" si="484"/>
        <v>2</v>
      </c>
      <c r="P1037" s="42">
        <f t="shared" si="485"/>
        <v>2026</v>
      </c>
    </row>
    <row r="1038" spans="1:16" x14ac:dyDescent="0.25">
      <c r="A1038" s="21">
        <v>3000000119</v>
      </c>
      <c r="B1038" s="22">
        <v>46049</v>
      </c>
      <c r="C1038" s="20">
        <v>10000000</v>
      </c>
      <c r="D1038" t="s">
        <v>449</v>
      </c>
      <c r="E1038" s="21">
        <v>97124233</v>
      </c>
      <c r="F1038" s="20">
        <v>10000000</v>
      </c>
      <c r="G1038" s="22">
        <v>46056</v>
      </c>
      <c r="H1038" s="21" t="s">
        <v>61</v>
      </c>
      <c r="I1038" s="40" t="str">
        <f>IFERROR(IF(VLOOKUP(E1038,extracto!C:C,1,FALSE)=E1038,"pagado","no pagado"),"no pagado")</f>
        <v>pagado</v>
      </c>
      <c r="J1038" s="41" t="str">
        <f t="shared" si="480"/>
        <v>pagado</v>
      </c>
      <c r="K1038" s="40" t="str">
        <f t="shared" ca="1" si="481"/>
        <v>excluir</v>
      </c>
      <c r="L1038" s="40" t="str">
        <f t="shared" ca="1" si="482"/>
        <v>no semana</v>
      </c>
      <c r="M1038" s="40" t="str">
        <f>IFERROR(VLOOKUP(E1038,'cheques a conf'!A:D,4,FALSE),"no clearing")</f>
        <v>no clearing</v>
      </c>
      <c r="N1038" s="40">
        <f t="shared" si="483"/>
        <v>6</v>
      </c>
      <c r="O1038" s="42">
        <f t="shared" si="484"/>
        <v>2</v>
      </c>
      <c r="P1038" s="42">
        <f t="shared" si="485"/>
        <v>2026</v>
      </c>
    </row>
    <row r="1039" spans="1:16" x14ac:dyDescent="0.25">
      <c r="A1039" s="21">
        <v>3000000119</v>
      </c>
      <c r="B1039" s="22">
        <v>46049</v>
      </c>
      <c r="C1039" s="20">
        <v>6817914.9800000004</v>
      </c>
      <c r="D1039" t="s">
        <v>449</v>
      </c>
      <c r="E1039" s="21">
        <v>97124234</v>
      </c>
      <c r="F1039" s="20">
        <v>6817914.9800000004</v>
      </c>
      <c r="G1039" s="22">
        <v>46057</v>
      </c>
      <c r="H1039" s="21" t="s">
        <v>61</v>
      </c>
      <c r="I1039" s="40" t="str">
        <f>IFERROR(IF(VLOOKUP(E1039,extracto!C:C,1,FALSE)=E1039,"pagado","no pagado"),"no pagado")</f>
        <v>pagado</v>
      </c>
      <c r="J1039" s="41" t="str">
        <f t="shared" si="480"/>
        <v>pagado</v>
      </c>
      <c r="K1039" s="40" t="str">
        <f t="shared" ca="1" si="481"/>
        <v>excluir</v>
      </c>
      <c r="L1039" s="40" t="str">
        <f t="shared" ca="1" si="482"/>
        <v>no semana</v>
      </c>
      <c r="M1039" s="40" t="str">
        <f>IFERROR(VLOOKUP(E1039,'cheques a conf'!A:D,4,FALSE),"no clearing")</f>
        <v>no clearing</v>
      </c>
      <c r="N1039" s="40">
        <f t="shared" si="483"/>
        <v>6</v>
      </c>
      <c r="O1039" s="42">
        <f t="shared" si="484"/>
        <v>2</v>
      </c>
      <c r="P1039" s="42">
        <f t="shared" si="485"/>
        <v>2026</v>
      </c>
    </row>
    <row r="1040" spans="1:16" x14ac:dyDescent="0.25">
      <c r="A1040" s="21">
        <v>3000000124</v>
      </c>
      <c r="B1040" s="22">
        <v>46049</v>
      </c>
      <c r="C1040" s="20">
        <v>15000000</v>
      </c>
      <c r="D1040" t="s">
        <v>450</v>
      </c>
      <c r="E1040" s="21">
        <v>97124239</v>
      </c>
      <c r="F1040" s="20">
        <v>15000000</v>
      </c>
      <c r="G1040" s="22">
        <v>46056</v>
      </c>
      <c r="H1040" s="21" t="s">
        <v>61</v>
      </c>
      <c r="I1040" s="40" t="str">
        <f>IFERROR(IF(VLOOKUP(E1040,extracto!C:C,1,FALSE)=E1040,"pagado","no pagado"),"no pagado")</f>
        <v>pagado</v>
      </c>
      <c r="J1040" s="41" t="str">
        <f t="shared" si="480"/>
        <v>pagado</v>
      </c>
      <c r="K1040" s="40" t="str">
        <f t="shared" ca="1" si="481"/>
        <v>excluir</v>
      </c>
      <c r="L1040" s="40" t="str">
        <f t="shared" ca="1" si="482"/>
        <v>no semana</v>
      </c>
      <c r="M1040" s="40" t="str">
        <f>IFERROR(VLOOKUP(E1040,'cheques a conf'!A:D,4,FALSE),"no clearing")</f>
        <v>no clearing</v>
      </c>
      <c r="N1040" s="40">
        <f t="shared" si="483"/>
        <v>6</v>
      </c>
      <c r="O1040" s="42">
        <f t="shared" si="484"/>
        <v>2</v>
      </c>
      <c r="P1040" s="42">
        <f t="shared" si="485"/>
        <v>2026</v>
      </c>
    </row>
    <row r="1041" spans="1:16" x14ac:dyDescent="0.25">
      <c r="A1041" s="21">
        <v>3000000124</v>
      </c>
      <c r="B1041" s="22">
        <v>46049</v>
      </c>
      <c r="C1041" s="20">
        <v>13473668.17</v>
      </c>
      <c r="D1041" t="s">
        <v>450</v>
      </c>
      <c r="E1041" s="21">
        <v>97124240</v>
      </c>
      <c r="F1041" s="20">
        <v>13473668.17</v>
      </c>
      <c r="G1041" s="22">
        <v>46057</v>
      </c>
      <c r="H1041" s="21" t="s">
        <v>61</v>
      </c>
      <c r="I1041" s="40" t="str">
        <f>IFERROR(IF(VLOOKUP(E1041,extracto!C:C,1,FALSE)=E1041,"pagado","no pagado"),"no pagado")</f>
        <v>pagado</v>
      </c>
      <c r="J1041" s="41" t="str">
        <f t="shared" si="480"/>
        <v>pagado</v>
      </c>
      <c r="K1041" s="40" t="str">
        <f t="shared" ca="1" si="481"/>
        <v>excluir</v>
      </c>
      <c r="L1041" s="40" t="str">
        <f t="shared" ca="1" si="482"/>
        <v>no semana</v>
      </c>
      <c r="M1041" s="40" t="str">
        <f>IFERROR(VLOOKUP(E1041,'cheques a conf'!A:D,4,FALSE),"no clearing")</f>
        <v>no clearing</v>
      </c>
      <c r="N1041" s="40">
        <f t="shared" si="483"/>
        <v>6</v>
      </c>
      <c r="O1041" s="42">
        <f t="shared" si="484"/>
        <v>2</v>
      </c>
      <c r="P1041" s="42">
        <f t="shared" si="485"/>
        <v>2026</v>
      </c>
    </row>
    <row r="1042" spans="1:16" x14ac:dyDescent="0.25">
      <c r="A1042" s="21">
        <v>3000000110</v>
      </c>
      <c r="B1042" s="22">
        <v>46049</v>
      </c>
      <c r="C1042" s="20">
        <v>15211936.24</v>
      </c>
      <c r="D1042" t="s">
        <v>451</v>
      </c>
      <c r="E1042" s="21">
        <v>97124223</v>
      </c>
      <c r="F1042" s="20">
        <v>15211936.24</v>
      </c>
      <c r="G1042" s="22">
        <v>46056</v>
      </c>
      <c r="H1042" s="21" t="s">
        <v>61</v>
      </c>
      <c r="I1042" s="40" t="str">
        <f>IFERROR(IF(VLOOKUP(E1042,extracto!C:C,1,FALSE)=E1042,"pagado","no pagado"),"no pagado")</f>
        <v>pagado</v>
      </c>
      <c r="J1042" s="41" t="str">
        <f t="shared" si="480"/>
        <v>pagado</v>
      </c>
      <c r="K1042" s="40" t="str">
        <f t="shared" ca="1" si="481"/>
        <v>excluir</v>
      </c>
      <c r="L1042" s="40" t="str">
        <f t="shared" ca="1" si="482"/>
        <v>no semana</v>
      </c>
      <c r="M1042" s="40" t="str">
        <f>IFERROR(VLOOKUP(E1042,'cheques a conf'!A:D,4,FALSE),"no clearing")</f>
        <v>no clearing</v>
      </c>
      <c r="N1042" s="40">
        <f t="shared" si="483"/>
        <v>6</v>
      </c>
      <c r="O1042" s="42">
        <f t="shared" si="484"/>
        <v>2</v>
      </c>
      <c r="P1042" s="42">
        <f t="shared" si="485"/>
        <v>2026</v>
      </c>
    </row>
    <row r="1043" spans="1:16" x14ac:dyDescent="0.25">
      <c r="A1043" s="21">
        <v>3000000111</v>
      </c>
      <c r="B1043" s="22">
        <v>46049</v>
      </c>
      <c r="C1043" s="20">
        <v>2751100</v>
      </c>
      <c r="D1043" t="s">
        <v>452</v>
      </c>
      <c r="E1043" s="21">
        <v>97124224</v>
      </c>
      <c r="F1043" s="20">
        <v>2751100</v>
      </c>
      <c r="G1043" s="22">
        <v>46056</v>
      </c>
      <c r="H1043" s="21" t="s">
        <v>61</v>
      </c>
      <c r="I1043" s="40" t="str">
        <f>IFERROR(IF(VLOOKUP(E1043,extracto!C:C,1,FALSE)=E1043,"pagado","no pagado"),"no pagado")</f>
        <v>pagado</v>
      </c>
      <c r="J1043" s="41" t="str">
        <f t="shared" si="480"/>
        <v>pagado</v>
      </c>
      <c r="K1043" s="40" t="str">
        <f t="shared" ca="1" si="481"/>
        <v>excluir</v>
      </c>
      <c r="L1043" s="40" t="str">
        <f t="shared" ca="1" si="482"/>
        <v>no semana</v>
      </c>
      <c r="M1043" s="40" t="str">
        <f>IFERROR(VLOOKUP(E1043,'cheques a conf'!A:D,4,FALSE),"no clearing")</f>
        <v>no clearing</v>
      </c>
      <c r="N1043" s="40">
        <f t="shared" si="483"/>
        <v>6</v>
      </c>
      <c r="O1043" s="42">
        <f t="shared" si="484"/>
        <v>2</v>
      </c>
      <c r="P1043" s="42">
        <f t="shared" si="485"/>
        <v>2026</v>
      </c>
    </row>
    <row r="1044" spans="1:16" x14ac:dyDescent="0.25">
      <c r="A1044" s="21">
        <v>3000000113</v>
      </c>
      <c r="B1044" s="22">
        <v>46049</v>
      </c>
      <c r="C1044" s="20">
        <v>9442273.5399999991</v>
      </c>
      <c r="D1044" t="s">
        <v>453</v>
      </c>
      <c r="E1044" s="21">
        <v>97124227</v>
      </c>
      <c r="F1044" s="20">
        <v>9442273.5399999991</v>
      </c>
      <c r="G1044" s="22">
        <v>46056</v>
      </c>
      <c r="H1044" s="21" t="s">
        <v>61</v>
      </c>
      <c r="I1044" s="40" t="str">
        <f>IFERROR(IF(VLOOKUP(E1044,extracto!C:C,1,FALSE)=E1044,"pagado","no pagado"),"no pagado")</f>
        <v>pagado</v>
      </c>
      <c r="J1044" s="41" t="str">
        <f t="shared" si="480"/>
        <v>pagado</v>
      </c>
      <c r="K1044" s="40" t="str">
        <f t="shared" ca="1" si="481"/>
        <v>excluir</v>
      </c>
      <c r="L1044" s="40" t="str">
        <f t="shared" ca="1" si="482"/>
        <v>no semana</v>
      </c>
      <c r="M1044" s="40" t="str">
        <f>IFERROR(VLOOKUP(E1044,'cheques a conf'!A:D,4,FALSE),"no clearing")</f>
        <v>no clearing</v>
      </c>
      <c r="N1044" s="40">
        <f t="shared" si="483"/>
        <v>6</v>
      </c>
      <c r="O1044" s="42">
        <f t="shared" si="484"/>
        <v>2</v>
      </c>
      <c r="P1044" s="42">
        <f t="shared" si="485"/>
        <v>2026</v>
      </c>
    </row>
    <row r="1045" spans="1:16" x14ac:dyDescent="0.25">
      <c r="A1045" s="21">
        <v>3000000114</v>
      </c>
      <c r="B1045" s="22">
        <v>46049</v>
      </c>
      <c r="C1045" s="20">
        <v>4040144.98</v>
      </c>
      <c r="D1045" t="s">
        <v>454</v>
      </c>
      <c r="E1045" s="21">
        <v>97124228</v>
      </c>
      <c r="F1045" s="20">
        <v>4040144.98</v>
      </c>
      <c r="G1045" s="22">
        <v>46056</v>
      </c>
      <c r="H1045" s="21" t="s">
        <v>61</v>
      </c>
      <c r="I1045" s="40" t="str">
        <f>IFERROR(IF(VLOOKUP(E1045,extracto!C:C,1,FALSE)=E1045,"pagado","no pagado"),"no pagado")</f>
        <v>pagado</v>
      </c>
      <c r="J1045" s="41" t="str">
        <f t="shared" si="480"/>
        <v>pagado</v>
      </c>
      <c r="K1045" s="40" t="str">
        <f t="shared" ca="1" si="481"/>
        <v>excluir</v>
      </c>
      <c r="L1045" s="40" t="str">
        <f t="shared" ca="1" si="482"/>
        <v>no semana</v>
      </c>
      <c r="M1045" s="40" t="str">
        <f>IFERROR(VLOOKUP(E1045,'cheques a conf'!A:D,4,FALSE),"no clearing")</f>
        <v>no clearing</v>
      </c>
      <c r="N1045" s="40">
        <f t="shared" si="483"/>
        <v>6</v>
      </c>
      <c r="O1045" s="42">
        <f t="shared" si="484"/>
        <v>2</v>
      </c>
      <c r="P1045" s="42">
        <f t="shared" si="485"/>
        <v>2026</v>
      </c>
    </row>
    <row r="1046" spans="1:16" x14ac:dyDescent="0.25">
      <c r="A1046" s="21">
        <v>3000000115</v>
      </c>
      <c r="B1046" s="22">
        <v>46049</v>
      </c>
      <c r="C1046" s="20">
        <v>2392650.34</v>
      </c>
      <c r="D1046" t="s">
        <v>455</v>
      </c>
      <c r="E1046" s="21">
        <v>97124229</v>
      </c>
      <c r="F1046" s="20">
        <v>2392650.34</v>
      </c>
      <c r="G1046" s="22">
        <v>46056</v>
      </c>
      <c r="H1046" s="21" t="s">
        <v>61</v>
      </c>
      <c r="I1046" s="40" t="str">
        <f>IFERROR(IF(VLOOKUP(E1046,extracto!C:C,1,FALSE)=E1046,"pagado","no pagado"),"no pagado")</f>
        <v>pagado</v>
      </c>
      <c r="J1046" s="41" t="str">
        <f t="shared" si="480"/>
        <v>pagado</v>
      </c>
      <c r="K1046" s="40" t="str">
        <f t="shared" ca="1" si="481"/>
        <v>excluir</v>
      </c>
      <c r="L1046" s="40" t="str">
        <f t="shared" ca="1" si="482"/>
        <v>no semana</v>
      </c>
      <c r="M1046" s="40" t="str">
        <f>IFERROR(VLOOKUP(E1046,'cheques a conf'!A:D,4,FALSE),"no clearing")</f>
        <v>no clearing</v>
      </c>
      <c r="N1046" s="40">
        <f t="shared" si="483"/>
        <v>6</v>
      </c>
      <c r="O1046" s="42">
        <f t="shared" si="484"/>
        <v>2</v>
      </c>
      <c r="P1046" s="42">
        <f t="shared" si="485"/>
        <v>2026</v>
      </c>
    </row>
    <row r="1047" spans="1:16" x14ac:dyDescent="0.25">
      <c r="A1047" s="21">
        <v>3000000116</v>
      </c>
      <c r="B1047" s="22">
        <v>46049</v>
      </c>
      <c r="C1047" s="20">
        <v>3559796.7</v>
      </c>
      <c r="D1047" t="s">
        <v>456</v>
      </c>
      <c r="E1047" s="21">
        <v>97124230</v>
      </c>
      <c r="F1047" s="20">
        <v>3559796.7</v>
      </c>
      <c r="G1047" s="22">
        <v>46056</v>
      </c>
      <c r="H1047" s="21" t="s">
        <v>61</v>
      </c>
      <c r="I1047" s="40" t="str">
        <f>IFERROR(IF(VLOOKUP(E1047,extracto!C:C,1,FALSE)=E1047,"pagado","no pagado"),"no pagado")</f>
        <v>pagado</v>
      </c>
      <c r="J1047" s="41" t="str">
        <f t="shared" si="480"/>
        <v>pagado</v>
      </c>
      <c r="K1047" s="40" t="str">
        <f t="shared" ca="1" si="481"/>
        <v>excluir</v>
      </c>
      <c r="L1047" s="40" t="str">
        <f t="shared" ca="1" si="482"/>
        <v>no semana</v>
      </c>
      <c r="M1047" s="40" t="str">
        <f>IFERROR(VLOOKUP(E1047,'cheques a conf'!A:D,4,FALSE),"no clearing")</f>
        <v>no clearing</v>
      </c>
      <c r="N1047" s="40">
        <f t="shared" si="483"/>
        <v>6</v>
      </c>
      <c r="O1047" s="42">
        <f t="shared" si="484"/>
        <v>2</v>
      </c>
      <c r="P1047" s="42">
        <f t="shared" si="485"/>
        <v>2026</v>
      </c>
    </row>
    <row r="1048" spans="1:16" x14ac:dyDescent="0.25">
      <c r="A1048" s="21">
        <v>3000000117</v>
      </c>
      <c r="B1048" s="22">
        <v>46049</v>
      </c>
      <c r="C1048" s="20">
        <v>2321666.25</v>
      </c>
      <c r="D1048" t="s">
        <v>457</v>
      </c>
      <c r="E1048" s="21">
        <v>97124231</v>
      </c>
      <c r="F1048" s="20">
        <v>2321666.25</v>
      </c>
      <c r="G1048" s="22">
        <v>46056</v>
      </c>
      <c r="H1048" s="21" t="s">
        <v>61</v>
      </c>
      <c r="I1048" s="40" t="str">
        <f>IFERROR(IF(VLOOKUP(E1048,extracto!C:C,1,FALSE)=E1048,"pagado","no pagado"),"no pagado")</f>
        <v>pagado</v>
      </c>
      <c r="J1048" s="41" t="str">
        <f t="shared" si="480"/>
        <v>pagado</v>
      </c>
      <c r="K1048" s="40" t="str">
        <f t="shared" ca="1" si="481"/>
        <v>excluir</v>
      </c>
      <c r="L1048" s="40" t="str">
        <f t="shared" ca="1" si="482"/>
        <v>no semana</v>
      </c>
      <c r="M1048" s="40" t="str">
        <f>IFERROR(VLOOKUP(E1048,'cheques a conf'!A:D,4,FALSE),"no clearing")</f>
        <v>no clearing</v>
      </c>
      <c r="N1048" s="40">
        <f t="shared" si="483"/>
        <v>6</v>
      </c>
      <c r="O1048" s="42">
        <f t="shared" si="484"/>
        <v>2</v>
      </c>
      <c r="P1048" s="42">
        <f t="shared" si="485"/>
        <v>2026</v>
      </c>
    </row>
    <row r="1049" spans="1:16" x14ac:dyDescent="0.25">
      <c r="A1049" s="21">
        <v>3000000118</v>
      </c>
      <c r="B1049" s="22">
        <v>46049</v>
      </c>
      <c r="C1049" s="20">
        <v>4942810.8600000003</v>
      </c>
      <c r="D1049" t="s">
        <v>458</v>
      </c>
      <c r="E1049" s="21">
        <v>97124232</v>
      </c>
      <c r="F1049" s="20">
        <v>4942810.8600000003</v>
      </c>
      <c r="G1049" s="22">
        <v>46056</v>
      </c>
      <c r="H1049" s="21" t="s">
        <v>61</v>
      </c>
      <c r="I1049" s="40" t="str">
        <f>IFERROR(IF(VLOOKUP(E1049,extracto!C:C,1,FALSE)=E1049,"pagado","no pagado"),"no pagado")</f>
        <v>pagado</v>
      </c>
      <c r="J1049" s="41" t="str">
        <f t="shared" si="480"/>
        <v>pagado</v>
      </c>
      <c r="K1049" s="40" t="str">
        <f t="shared" ca="1" si="481"/>
        <v>excluir</v>
      </c>
      <c r="L1049" s="40" t="str">
        <f t="shared" ca="1" si="482"/>
        <v>no semana</v>
      </c>
      <c r="M1049" s="40" t="str">
        <f>IFERROR(VLOOKUP(E1049,'cheques a conf'!A:D,4,FALSE),"no clearing")</f>
        <v>no clearing</v>
      </c>
      <c r="N1049" s="40">
        <f t="shared" si="483"/>
        <v>6</v>
      </c>
      <c r="O1049" s="42">
        <f t="shared" si="484"/>
        <v>2</v>
      </c>
      <c r="P1049" s="42">
        <f t="shared" si="485"/>
        <v>2026</v>
      </c>
    </row>
    <row r="1050" spans="1:16" x14ac:dyDescent="0.25">
      <c r="A1050" s="21">
        <v>3000000120</v>
      </c>
      <c r="B1050" s="22">
        <v>46049</v>
      </c>
      <c r="C1050" s="20">
        <v>7890673.6200000001</v>
      </c>
      <c r="D1050" t="s">
        <v>459</v>
      </c>
      <c r="E1050" s="21">
        <v>97124235</v>
      </c>
      <c r="F1050" s="20">
        <v>7890673.6200000001</v>
      </c>
      <c r="G1050" s="22">
        <v>46056</v>
      </c>
      <c r="H1050" s="21" t="s">
        <v>61</v>
      </c>
      <c r="I1050" s="40" t="str">
        <f>IFERROR(IF(VLOOKUP(E1050,extracto!C:C,1,FALSE)=E1050,"pagado","no pagado"),"no pagado")</f>
        <v>pagado</v>
      </c>
      <c r="J1050" s="41" t="str">
        <f t="shared" si="480"/>
        <v>pagado</v>
      </c>
      <c r="K1050" s="40" t="str">
        <f t="shared" ca="1" si="481"/>
        <v>excluir</v>
      </c>
      <c r="L1050" s="40" t="str">
        <f t="shared" ca="1" si="482"/>
        <v>no semana</v>
      </c>
      <c r="M1050" s="40" t="str">
        <f>IFERROR(VLOOKUP(E1050,'cheques a conf'!A:D,4,FALSE),"no clearing")</f>
        <v>no clearing</v>
      </c>
      <c r="N1050" s="40">
        <f t="shared" si="483"/>
        <v>6</v>
      </c>
      <c r="O1050" s="42">
        <f t="shared" si="484"/>
        <v>2</v>
      </c>
      <c r="P1050" s="42">
        <f t="shared" si="485"/>
        <v>2026</v>
      </c>
    </row>
    <row r="1051" spans="1:16" x14ac:dyDescent="0.25">
      <c r="A1051" s="21">
        <v>3000000121</v>
      </c>
      <c r="B1051" s="22">
        <v>46049</v>
      </c>
      <c r="C1051" s="20">
        <v>1964304.33</v>
      </c>
      <c r="D1051" t="s">
        <v>460</v>
      </c>
      <c r="E1051" s="21">
        <v>97124236</v>
      </c>
      <c r="F1051" s="20">
        <v>1964304.33</v>
      </c>
      <c r="G1051" s="22">
        <v>46056</v>
      </c>
      <c r="H1051" s="21" t="s">
        <v>61</v>
      </c>
      <c r="I1051" s="40" t="str">
        <f>IFERROR(IF(VLOOKUP(E1051,extracto!C:C,1,FALSE)=E1051,"pagado","no pagado"),"no pagado")</f>
        <v>pagado</v>
      </c>
      <c r="J1051" s="41" t="str">
        <f t="shared" si="480"/>
        <v>pagado</v>
      </c>
      <c r="K1051" s="40" t="str">
        <f t="shared" ca="1" si="481"/>
        <v>excluir</v>
      </c>
      <c r="L1051" s="40" t="str">
        <f t="shared" ca="1" si="482"/>
        <v>no semana</v>
      </c>
      <c r="M1051" s="40" t="str">
        <f>IFERROR(VLOOKUP(E1051,'cheques a conf'!A:D,4,FALSE),"no clearing")</f>
        <v>no clearing</v>
      </c>
      <c r="N1051" s="40">
        <f t="shared" si="483"/>
        <v>6</v>
      </c>
      <c r="O1051" s="42">
        <f t="shared" si="484"/>
        <v>2</v>
      </c>
      <c r="P1051" s="42">
        <f t="shared" si="485"/>
        <v>2026</v>
      </c>
    </row>
    <row r="1052" spans="1:16" x14ac:dyDescent="0.25">
      <c r="A1052" s="21">
        <v>3000000122</v>
      </c>
      <c r="B1052" s="22">
        <v>46049</v>
      </c>
      <c r="C1052" s="20">
        <v>1916336.22</v>
      </c>
      <c r="D1052" t="s">
        <v>461</v>
      </c>
      <c r="E1052" s="21">
        <v>97124237</v>
      </c>
      <c r="F1052" s="20">
        <v>1916336.22</v>
      </c>
      <c r="G1052" s="22">
        <v>46056</v>
      </c>
      <c r="H1052" s="21" t="s">
        <v>61</v>
      </c>
      <c r="I1052" s="40" t="str">
        <f>IFERROR(IF(VLOOKUP(E1052,extracto!C:C,1,FALSE)=E1052,"pagado","no pagado"),"no pagado")</f>
        <v>pagado</v>
      </c>
      <c r="J1052" s="41" t="str">
        <f t="shared" si="480"/>
        <v>pagado</v>
      </c>
      <c r="K1052" s="40" t="str">
        <f t="shared" ca="1" si="481"/>
        <v>excluir</v>
      </c>
      <c r="L1052" s="40" t="str">
        <f t="shared" ca="1" si="482"/>
        <v>no semana</v>
      </c>
      <c r="M1052" s="40" t="str">
        <f>IFERROR(VLOOKUP(E1052,'cheques a conf'!A:D,4,FALSE),"no clearing")</f>
        <v>no clearing</v>
      </c>
      <c r="N1052" s="40">
        <f t="shared" si="483"/>
        <v>6</v>
      </c>
      <c r="O1052" s="42">
        <f t="shared" si="484"/>
        <v>2</v>
      </c>
      <c r="P1052" s="42">
        <f t="shared" si="485"/>
        <v>2026</v>
      </c>
    </row>
    <row r="1053" spans="1:16" x14ac:dyDescent="0.25">
      <c r="A1053" s="21">
        <v>3000000123</v>
      </c>
      <c r="B1053" s="22">
        <v>46049</v>
      </c>
      <c r="C1053" s="20">
        <v>5750565.1600000001</v>
      </c>
      <c r="D1053" t="s">
        <v>462</v>
      </c>
      <c r="E1053" s="21">
        <v>97124238</v>
      </c>
      <c r="F1053" s="20">
        <v>5750565.1600000001</v>
      </c>
      <c r="G1053" s="22">
        <v>46056</v>
      </c>
      <c r="H1053" s="21" t="s">
        <v>61</v>
      </c>
      <c r="I1053" s="40" t="str">
        <f>IFERROR(IF(VLOOKUP(E1053,extracto!C:C,1,FALSE)=E1053,"pagado","no pagado"),"no pagado")</f>
        <v>pagado</v>
      </c>
      <c r="J1053" s="41" t="str">
        <f t="shared" si="480"/>
        <v>pagado</v>
      </c>
      <c r="K1053" s="40" t="str">
        <f t="shared" ca="1" si="481"/>
        <v>excluir</v>
      </c>
      <c r="L1053" s="40" t="str">
        <f t="shared" ca="1" si="482"/>
        <v>no semana</v>
      </c>
      <c r="M1053" s="40" t="str">
        <f>IFERROR(VLOOKUP(E1053,'cheques a conf'!A:D,4,FALSE),"no clearing")</f>
        <v>no clearing</v>
      </c>
      <c r="N1053" s="40">
        <f t="shared" si="483"/>
        <v>6</v>
      </c>
      <c r="O1053" s="42">
        <f t="shared" si="484"/>
        <v>2</v>
      </c>
      <c r="P1053" s="42">
        <f t="shared" si="485"/>
        <v>2026</v>
      </c>
    </row>
    <row r="1054" spans="1:16" x14ac:dyDescent="0.25">
      <c r="A1054" s="21">
        <v>3000000125</v>
      </c>
      <c r="B1054" s="22">
        <v>46049</v>
      </c>
      <c r="C1054" s="20">
        <v>2374800.98</v>
      </c>
      <c r="D1054" t="s">
        <v>463</v>
      </c>
      <c r="E1054" s="21">
        <v>97124241</v>
      </c>
      <c r="F1054" s="20">
        <v>2374800.98</v>
      </c>
      <c r="G1054" s="22">
        <v>46056</v>
      </c>
      <c r="H1054" s="21" t="s">
        <v>61</v>
      </c>
      <c r="I1054" s="40" t="str">
        <f>IFERROR(IF(VLOOKUP(E1054,extracto!C:C,1,FALSE)=E1054,"pagado","no pagado"),"no pagado")</f>
        <v>pagado</v>
      </c>
      <c r="J1054" s="41" t="str">
        <f t="shared" si="480"/>
        <v>pagado</v>
      </c>
      <c r="K1054" s="40" t="str">
        <f t="shared" ca="1" si="481"/>
        <v>excluir</v>
      </c>
      <c r="L1054" s="40" t="str">
        <f t="shared" ca="1" si="482"/>
        <v>no semana</v>
      </c>
      <c r="M1054" s="40" t="str">
        <f>IFERROR(VLOOKUP(E1054,'cheques a conf'!A:D,4,FALSE),"no clearing")</f>
        <v>no clearing</v>
      </c>
      <c r="N1054" s="40">
        <f t="shared" si="483"/>
        <v>6</v>
      </c>
      <c r="O1054" s="42">
        <f t="shared" si="484"/>
        <v>2</v>
      </c>
      <c r="P1054" s="42">
        <f t="shared" si="485"/>
        <v>2026</v>
      </c>
    </row>
    <row r="1055" spans="1:16" x14ac:dyDescent="0.25">
      <c r="A1055" s="21">
        <v>3000000126</v>
      </c>
      <c r="B1055" s="22">
        <v>46049</v>
      </c>
      <c r="C1055" s="20">
        <v>4348143.24</v>
      </c>
      <c r="D1055" t="s">
        <v>464</v>
      </c>
      <c r="E1055" s="21">
        <v>97124242</v>
      </c>
      <c r="F1055" s="20">
        <v>4348143.24</v>
      </c>
      <c r="G1055" s="22">
        <v>46056</v>
      </c>
      <c r="H1055" s="21" t="s">
        <v>61</v>
      </c>
      <c r="I1055" s="40" t="str">
        <f>IFERROR(IF(VLOOKUP(E1055,extracto!C:C,1,FALSE)=E1055,"pagado","no pagado"),"no pagado")</f>
        <v>pagado</v>
      </c>
      <c r="J1055" s="41" t="str">
        <f t="shared" si="480"/>
        <v>pagado</v>
      </c>
      <c r="K1055" s="40" t="str">
        <f t="shared" ca="1" si="481"/>
        <v>excluir</v>
      </c>
      <c r="L1055" s="40" t="str">
        <f t="shared" ca="1" si="482"/>
        <v>no semana</v>
      </c>
      <c r="M1055" s="40" t="str">
        <f>IFERROR(VLOOKUP(E1055,'cheques a conf'!A:D,4,FALSE),"no clearing")</f>
        <v>no clearing</v>
      </c>
      <c r="N1055" s="40">
        <f t="shared" si="483"/>
        <v>6</v>
      </c>
      <c r="O1055" s="42">
        <f t="shared" si="484"/>
        <v>2</v>
      </c>
      <c r="P1055" s="42">
        <f t="shared" si="485"/>
        <v>2026</v>
      </c>
    </row>
    <row r="1056" spans="1:16" x14ac:dyDescent="0.25">
      <c r="A1056" s="21">
        <v>3000000127</v>
      </c>
      <c r="B1056" s="22">
        <v>46049</v>
      </c>
      <c r="C1056" s="20">
        <v>2478343.7799999998</v>
      </c>
      <c r="D1056" t="s">
        <v>465</v>
      </c>
      <c r="E1056" s="21">
        <v>97124243</v>
      </c>
      <c r="F1056" s="20">
        <v>2478343.7799999998</v>
      </c>
      <c r="G1056" s="22">
        <v>46056</v>
      </c>
      <c r="H1056" s="21" t="s">
        <v>61</v>
      </c>
      <c r="I1056" s="40" t="str">
        <f>IFERROR(IF(VLOOKUP(E1056,extracto!C:C,1,FALSE)=E1056,"pagado","no pagado"),"no pagado")</f>
        <v>pagado</v>
      </c>
      <c r="J1056" s="41" t="str">
        <f t="shared" si="480"/>
        <v>pagado</v>
      </c>
      <c r="K1056" s="40" t="str">
        <f t="shared" ca="1" si="481"/>
        <v>excluir</v>
      </c>
      <c r="L1056" s="40" t="str">
        <f t="shared" ca="1" si="482"/>
        <v>no semana</v>
      </c>
      <c r="M1056" s="40" t="str">
        <f>IFERROR(VLOOKUP(E1056,'cheques a conf'!A:D,4,FALSE),"no clearing")</f>
        <v>no clearing</v>
      </c>
      <c r="N1056" s="40">
        <f t="shared" si="483"/>
        <v>6</v>
      </c>
      <c r="O1056" s="42">
        <f t="shared" si="484"/>
        <v>2</v>
      </c>
      <c r="P1056" s="42">
        <f t="shared" si="485"/>
        <v>2026</v>
      </c>
    </row>
    <row r="1057" spans="1:16" x14ac:dyDescent="0.2">
      <c r="A1057" s="21">
        <v>3000000147</v>
      </c>
      <c r="B1057" s="22">
        <v>46056</v>
      </c>
      <c r="C1057" s="20">
        <v>11000000</v>
      </c>
      <c r="D1057" s="21" t="s">
        <v>291</v>
      </c>
      <c r="E1057" s="21">
        <v>97124245</v>
      </c>
      <c r="F1057" s="20">
        <v>11000000</v>
      </c>
      <c r="G1057" s="22">
        <v>46059</v>
      </c>
      <c r="H1057" s="21" t="s">
        <v>61</v>
      </c>
      <c r="I1057" s="40" t="str">
        <f>IFERROR(IF(VLOOKUP(E1057,extracto!C:C,1,FALSE)=E1057,"pagado","no pagado"),"no pagado")</f>
        <v>pagado</v>
      </c>
      <c r="J1057" s="41" t="str">
        <f t="shared" si="480"/>
        <v>pagado</v>
      </c>
      <c r="K1057" s="40" t="str">
        <f t="shared" ca="1" si="481"/>
        <v>excluir</v>
      </c>
      <c r="L1057" s="40" t="str">
        <f t="shared" ca="1" si="482"/>
        <v>no semana</v>
      </c>
      <c r="M1057" s="40" t="str">
        <f>IFERROR(VLOOKUP(E1057,'cheques a conf'!A:D,4,FALSE),"no clearing")</f>
        <v>no clearing</v>
      </c>
      <c r="N1057" s="40">
        <f t="shared" si="483"/>
        <v>6</v>
      </c>
      <c r="O1057" s="42">
        <f t="shared" si="484"/>
        <v>2</v>
      </c>
      <c r="P1057" s="42">
        <f t="shared" si="485"/>
        <v>2026</v>
      </c>
    </row>
    <row r="1058" spans="1:16" x14ac:dyDescent="0.2">
      <c r="A1058" s="21">
        <v>3000000147</v>
      </c>
      <c r="B1058" s="22">
        <v>46056</v>
      </c>
      <c r="C1058" s="20">
        <v>11000000</v>
      </c>
      <c r="D1058" s="21" t="s">
        <v>291</v>
      </c>
      <c r="E1058" s="21">
        <v>97124246</v>
      </c>
      <c r="F1058" s="20">
        <v>11000000</v>
      </c>
      <c r="G1058" s="22">
        <v>46059</v>
      </c>
      <c r="H1058" s="21" t="s">
        <v>61</v>
      </c>
      <c r="I1058" s="40" t="str">
        <f>IFERROR(IF(VLOOKUP(E1058,extracto!C:C,1,FALSE)=E1058,"pagado","no pagado"),"no pagado")</f>
        <v>pagado</v>
      </c>
      <c r="J1058" s="41" t="str">
        <f t="shared" si="480"/>
        <v>pagado</v>
      </c>
      <c r="K1058" s="40" t="str">
        <f t="shared" ca="1" si="481"/>
        <v>excluir</v>
      </c>
      <c r="L1058" s="40" t="str">
        <f t="shared" ca="1" si="482"/>
        <v>no semana</v>
      </c>
      <c r="M1058" s="40" t="str">
        <f>IFERROR(VLOOKUP(E1058,'cheques a conf'!A:D,4,FALSE),"no clearing")</f>
        <v>no clearing</v>
      </c>
      <c r="N1058" s="40">
        <f t="shared" si="483"/>
        <v>6</v>
      </c>
      <c r="O1058" s="42">
        <f t="shared" si="484"/>
        <v>2</v>
      </c>
      <c r="P1058" s="42">
        <f t="shared" si="485"/>
        <v>2026</v>
      </c>
    </row>
    <row r="1059" spans="1:16" x14ac:dyDescent="0.2">
      <c r="A1059" s="21">
        <v>3000000147</v>
      </c>
      <c r="B1059" s="22">
        <v>46056</v>
      </c>
      <c r="C1059" s="20">
        <v>11000000</v>
      </c>
      <c r="D1059" s="21" t="s">
        <v>291</v>
      </c>
      <c r="E1059" s="21">
        <v>97124247</v>
      </c>
      <c r="F1059" s="20">
        <v>11000000</v>
      </c>
      <c r="G1059" s="22">
        <v>46062</v>
      </c>
      <c r="H1059" s="21" t="s">
        <v>61</v>
      </c>
      <c r="I1059" s="40" t="str">
        <f>IFERROR(IF(VLOOKUP(E1059,extracto!C:C,1,FALSE)=E1059,"pagado","no pagado"),"no pagado")</f>
        <v>pagado</v>
      </c>
      <c r="J1059" s="41" t="str">
        <f t="shared" si="480"/>
        <v>pagado</v>
      </c>
      <c r="K1059" s="40" t="str">
        <f t="shared" ca="1" si="481"/>
        <v>excluir</v>
      </c>
      <c r="L1059" s="40" t="str">
        <f t="shared" ca="1" si="482"/>
        <v>no semana</v>
      </c>
      <c r="M1059" s="40" t="str">
        <f>IFERROR(VLOOKUP(E1059,'cheques a conf'!A:D,4,FALSE),"no clearing")</f>
        <v>no clearing</v>
      </c>
      <c r="N1059" s="40">
        <f t="shared" si="483"/>
        <v>7</v>
      </c>
      <c r="O1059" s="42">
        <f t="shared" si="484"/>
        <v>2</v>
      </c>
      <c r="P1059" s="42">
        <f t="shared" si="485"/>
        <v>2026</v>
      </c>
    </row>
    <row r="1060" spans="1:16" x14ac:dyDescent="0.2">
      <c r="A1060" s="21">
        <v>3000000147</v>
      </c>
      <c r="B1060" s="22">
        <v>46056</v>
      </c>
      <c r="C1060" s="20">
        <v>11073173.4</v>
      </c>
      <c r="D1060" s="21" t="s">
        <v>291</v>
      </c>
      <c r="E1060" s="21">
        <v>97124248</v>
      </c>
      <c r="F1060" s="20">
        <v>11073173.4</v>
      </c>
      <c r="G1060" s="22">
        <v>46062</v>
      </c>
      <c r="H1060" s="21" t="s">
        <v>61</v>
      </c>
      <c r="I1060" s="40" t="str">
        <f>IFERROR(IF(VLOOKUP(E1060,extracto!C:C,1,FALSE)=E1060,"pagado","no pagado"),"no pagado")</f>
        <v>pagado</v>
      </c>
      <c r="J1060" s="41" t="str">
        <f t="shared" si="480"/>
        <v>pagado</v>
      </c>
      <c r="K1060" s="40" t="str">
        <f t="shared" ca="1" si="481"/>
        <v>excluir</v>
      </c>
      <c r="L1060" s="40" t="str">
        <f t="shared" ca="1" si="482"/>
        <v>no semana</v>
      </c>
      <c r="M1060" s="40" t="str">
        <f>IFERROR(VLOOKUP(E1060,'cheques a conf'!A:D,4,FALSE),"no clearing")</f>
        <v>no clearing</v>
      </c>
      <c r="N1060" s="40">
        <f t="shared" si="483"/>
        <v>7</v>
      </c>
      <c r="O1060" s="42">
        <f t="shared" si="484"/>
        <v>2</v>
      </c>
      <c r="P1060" s="42">
        <f t="shared" si="485"/>
        <v>2026</v>
      </c>
    </row>
    <row r="1061" spans="1:16" x14ac:dyDescent="0.2">
      <c r="A1061" s="21">
        <v>3000000154</v>
      </c>
      <c r="B1061" s="22">
        <v>46056</v>
      </c>
      <c r="C1061" s="20">
        <v>10000000</v>
      </c>
      <c r="D1061" s="21" t="s">
        <v>287</v>
      </c>
      <c r="E1061" s="21">
        <v>97124255</v>
      </c>
      <c r="F1061" s="20">
        <v>10000000</v>
      </c>
      <c r="G1061" s="22">
        <v>46059</v>
      </c>
      <c r="H1061" s="21" t="s">
        <v>61</v>
      </c>
      <c r="I1061" s="40" t="str">
        <f>IFERROR(IF(VLOOKUP(E1061,extracto!C:C,1,FALSE)=E1061,"pagado","no pagado"),"no pagado")</f>
        <v>pagado</v>
      </c>
      <c r="J1061" s="41" t="str">
        <f t="shared" si="480"/>
        <v>pagado</v>
      </c>
      <c r="K1061" s="40" t="str">
        <f t="shared" ca="1" si="481"/>
        <v>excluir</v>
      </c>
      <c r="L1061" s="40" t="str">
        <f t="shared" ca="1" si="482"/>
        <v>no semana</v>
      </c>
      <c r="M1061" s="40" t="str">
        <f>IFERROR(VLOOKUP(E1061,'cheques a conf'!A:D,4,FALSE),"no clearing")</f>
        <v>no clearing</v>
      </c>
      <c r="N1061" s="40">
        <f t="shared" si="483"/>
        <v>6</v>
      </c>
      <c r="O1061" s="42">
        <f t="shared" si="484"/>
        <v>2</v>
      </c>
      <c r="P1061" s="42">
        <f t="shared" si="485"/>
        <v>2026</v>
      </c>
    </row>
    <row r="1062" spans="1:16" x14ac:dyDescent="0.2">
      <c r="A1062" s="21">
        <v>3000000154</v>
      </c>
      <c r="B1062" s="22">
        <v>46056</v>
      </c>
      <c r="C1062" s="20">
        <v>10000000</v>
      </c>
      <c r="D1062" s="21" t="s">
        <v>287</v>
      </c>
      <c r="E1062" s="21">
        <v>97124256</v>
      </c>
      <c r="F1062" s="20">
        <v>10000000</v>
      </c>
      <c r="G1062" s="22">
        <v>46059</v>
      </c>
      <c r="H1062" s="21" t="s">
        <v>61</v>
      </c>
      <c r="I1062" s="40" t="str">
        <f>IFERROR(IF(VLOOKUP(E1062,extracto!C:C,1,FALSE)=E1062,"pagado","no pagado"),"no pagado")</f>
        <v>pagado</v>
      </c>
      <c r="J1062" s="41" t="str">
        <f t="shared" si="480"/>
        <v>pagado</v>
      </c>
      <c r="K1062" s="40" t="str">
        <f t="shared" ca="1" si="481"/>
        <v>excluir</v>
      </c>
      <c r="L1062" s="40" t="str">
        <f t="shared" ca="1" si="482"/>
        <v>no semana</v>
      </c>
      <c r="M1062" s="40" t="str">
        <f>IFERROR(VLOOKUP(E1062,'cheques a conf'!A:D,4,FALSE),"no clearing")</f>
        <v>no clearing</v>
      </c>
      <c r="N1062" s="40">
        <f t="shared" si="483"/>
        <v>6</v>
      </c>
      <c r="O1062" s="42">
        <f t="shared" si="484"/>
        <v>2</v>
      </c>
      <c r="P1062" s="42">
        <f t="shared" si="485"/>
        <v>2026</v>
      </c>
    </row>
    <row r="1063" spans="1:16" x14ac:dyDescent="0.2">
      <c r="A1063" s="21">
        <v>3000000154</v>
      </c>
      <c r="B1063" s="22">
        <v>46056</v>
      </c>
      <c r="C1063" s="20">
        <v>10000000</v>
      </c>
      <c r="D1063" s="21" t="s">
        <v>287</v>
      </c>
      <c r="E1063" s="21">
        <v>97124257</v>
      </c>
      <c r="F1063" s="20">
        <v>10000000</v>
      </c>
      <c r="G1063" s="22">
        <v>46059</v>
      </c>
      <c r="H1063" s="21" t="s">
        <v>61</v>
      </c>
      <c r="I1063" s="40" t="str">
        <f>IFERROR(IF(VLOOKUP(E1063,extracto!C:C,1,FALSE)=E1063,"pagado","no pagado"),"no pagado")</f>
        <v>pagado</v>
      </c>
      <c r="J1063" s="41" t="str">
        <f t="shared" si="480"/>
        <v>pagado</v>
      </c>
      <c r="K1063" s="40" t="str">
        <f t="shared" ca="1" si="481"/>
        <v>excluir</v>
      </c>
      <c r="L1063" s="40" t="str">
        <f t="shared" ca="1" si="482"/>
        <v>no semana</v>
      </c>
      <c r="M1063" s="40" t="str">
        <f>IFERROR(VLOOKUP(E1063,'cheques a conf'!A:D,4,FALSE),"no clearing")</f>
        <v>no clearing</v>
      </c>
      <c r="N1063" s="40">
        <f t="shared" si="483"/>
        <v>6</v>
      </c>
      <c r="O1063" s="42">
        <f t="shared" si="484"/>
        <v>2</v>
      </c>
      <c r="P1063" s="42">
        <f t="shared" si="485"/>
        <v>2026</v>
      </c>
    </row>
    <row r="1064" spans="1:16" x14ac:dyDescent="0.2">
      <c r="A1064" s="21">
        <v>3000000154</v>
      </c>
      <c r="B1064" s="22">
        <v>46056</v>
      </c>
      <c r="C1064" s="20">
        <v>5000000</v>
      </c>
      <c r="D1064" s="21" t="s">
        <v>287</v>
      </c>
      <c r="E1064" s="21">
        <v>97124258</v>
      </c>
      <c r="F1064" s="20">
        <v>5000000</v>
      </c>
      <c r="G1064" s="22">
        <v>46062</v>
      </c>
      <c r="H1064" s="21" t="s">
        <v>61</v>
      </c>
      <c r="I1064" s="40" t="str">
        <f>IFERROR(IF(VLOOKUP(E1064,extracto!C:C,1,FALSE)=E1064,"pagado","no pagado"),"no pagado")</f>
        <v>pagado</v>
      </c>
      <c r="J1064" s="41" t="str">
        <f t="shared" si="480"/>
        <v>pagado</v>
      </c>
      <c r="K1064" s="40" t="str">
        <f t="shared" ca="1" si="481"/>
        <v>excluir</v>
      </c>
      <c r="L1064" s="40" t="str">
        <f t="shared" ca="1" si="482"/>
        <v>no semana</v>
      </c>
      <c r="M1064" s="40" t="str">
        <f>IFERROR(VLOOKUP(E1064,'cheques a conf'!A:D,4,FALSE),"no clearing")</f>
        <v>no clearing</v>
      </c>
      <c r="N1064" s="40">
        <f t="shared" si="483"/>
        <v>7</v>
      </c>
      <c r="O1064" s="42">
        <f t="shared" si="484"/>
        <v>2</v>
      </c>
      <c r="P1064" s="42">
        <f t="shared" si="485"/>
        <v>2026</v>
      </c>
    </row>
    <row r="1065" spans="1:16" x14ac:dyDescent="0.2">
      <c r="A1065" s="21">
        <v>3000000154</v>
      </c>
      <c r="B1065" s="22">
        <v>46056</v>
      </c>
      <c r="C1065" s="20">
        <v>5000000</v>
      </c>
      <c r="D1065" s="21" t="s">
        <v>287</v>
      </c>
      <c r="E1065" s="21">
        <v>97124259</v>
      </c>
      <c r="F1065" s="20">
        <v>5000000</v>
      </c>
      <c r="G1065" s="22">
        <v>46062</v>
      </c>
      <c r="H1065" s="21" t="s">
        <v>61</v>
      </c>
      <c r="I1065" s="40" t="str">
        <f>IFERROR(IF(VLOOKUP(E1065,extracto!C:C,1,FALSE)=E1065,"pagado","no pagado"),"no pagado")</f>
        <v>pagado</v>
      </c>
      <c r="J1065" s="41" t="str">
        <f t="shared" si="480"/>
        <v>pagado</v>
      </c>
      <c r="K1065" s="40" t="str">
        <f t="shared" ca="1" si="481"/>
        <v>excluir</v>
      </c>
      <c r="L1065" s="40" t="str">
        <f t="shared" ca="1" si="482"/>
        <v>no semana</v>
      </c>
      <c r="M1065" s="40" t="str">
        <f>IFERROR(VLOOKUP(E1065,'cheques a conf'!A:D,4,FALSE),"no clearing")</f>
        <v>no clearing</v>
      </c>
      <c r="N1065" s="40">
        <f t="shared" si="483"/>
        <v>7</v>
      </c>
      <c r="O1065" s="42">
        <f t="shared" si="484"/>
        <v>2</v>
      </c>
      <c r="P1065" s="42">
        <f t="shared" si="485"/>
        <v>2026</v>
      </c>
    </row>
    <row r="1066" spans="1:16" x14ac:dyDescent="0.2">
      <c r="A1066" s="21">
        <v>3000000154</v>
      </c>
      <c r="B1066" s="22">
        <v>46056</v>
      </c>
      <c r="C1066" s="20">
        <v>3000000</v>
      </c>
      <c r="D1066" s="21" t="s">
        <v>287</v>
      </c>
      <c r="E1066" s="21">
        <v>97124260</v>
      </c>
      <c r="F1066" s="20">
        <v>3000000</v>
      </c>
      <c r="G1066" s="22">
        <v>46062</v>
      </c>
      <c r="H1066" s="21" t="s">
        <v>61</v>
      </c>
      <c r="I1066" s="40" t="str">
        <f>IFERROR(IF(VLOOKUP(E1066,extracto!C:C,1,FALSE)=E1066,"pagado","no pagado"),"no pagado")</f>
        <v>pagado</v>
      </c>
      <c r="J1066" s="41" t="str">
        <f t="shared" si="480"/>
        <v>pagado</v>
      </c>
      <c r="K1066" s="40" t="str">
        <f t="shared" ca="1" si="481"/>
        <v>excluir</v>
      </c>
      <c r="L1066" s="40" t="str">
        <f t="shared" ca="1" si="482"/>
        <v>no semana</v>
      </c>
      <c r="M1066" s="40" t="str">
        <f>IFERROR(VLOOKUP(E1066,'cheques a conf'!A:D,4,FALSE),"no clearing")</f>
        <v>no clearing</v>
      </c>
      <c r="N1066" s="40">
        <f t="shared" si="483"/>
        <v>7</v>
      </c>
      <c r="O1066" s="42">
        <f t="shared" si="484"/>
        <v>2</v>
      </c>
      <c r="P1066" s="42">
        <f t="shared" si="485"/>
        <v>2026</v>
      </c>
    </row>
    <row r="1067" spans="1:16" x14ac:dyDescent="0.2">
      <c r="A1067" s="21">
        <v>3000000154</v>
      </c>
      <c r="B1067" s="22">
        <v>46056</v>
      </c>
      <c r="C1067" s="20">
        <v>3000000</v>
      </c>
      <c r="D1067" s="21" t="s">
        <v>287</v>
      </c>
      <c r="E1067" s="21">
        <v>97124261</v>
      </c>
      <c r="F1067" s="20">
        <v>3000000</v>
      </c>
      <c r="G1067" s="22">
        <v>46062</v>
      </c>
      <c r="H1067" s="21" t="s">
        <v>61</v>
      </c>
      <c r="I1067" s="40" t="str">
        <f>IFERROR(IF(VLOOKUP(E1067,extracto!C:C,1,FALSE)=E1067,"pagado","no pagado"),"no pagado")</f>
        <v>pagado</v>
      </c>
      <c r="J1067" s="41" t="str">
        <f t="shared" si="480"/>
        <v>pagado</v>
      </c>
      <c r="K1067" s="40" t="str">
        <f t="shared" ca="1" si="481"/>
        <v>excluir</v>
      </c>
      <c r="L1067" s="40" t="str">
        <f t="shared" ca="1" si="482"/>
        <v>no semana</v>
      </c>
      <c r="M1067" s="40" t="str">
        <f>IFERROR(VLOOKUP(E1067,'cheques a conf'!A:D,4,FALSE),"no clearing")</f>
        <v>no clearing</v>
      </c>
      <c r="N1067" s="40">
        <f t="shared" si="483"/>
        <v>7</v>
      </c>
      <c r="O1067" s="42">
        <f t="shared" si="484"/>
        <v>2</v>
      </c>
      <c r="P1067" s="42">
        <f t="shared" si="485"/>
        <v>2026</v>
      </c>
    </row>
    <row r="1068" spans="1:16" x14ac:dyDescent="0.2">
      <c r="A1068" s="21">
        <v>3000000154</v>
      </c>
      <c r="B1068" s="22">
        <v>46056</v>
      </c>
      <c r="C1068" s="20">
        <v>3459730.4</v>
      </c>
      <c r="D1068" s="21" t="s">
        <v>287</v>
      </c>
      <c r="E1068" s="21">
        <v>97124262</v>
      </c>
      <c r="F1068" s="20">
        <v>3459730.4</v>
      </c>
      <c r="G1068" s="22">
        <v>46062</v>
      </c>
      <c r="H1068" s="21" t="s">
        <v>61</v>
      </c>
      <c r="I1068" s="40" t="str">
        <f>IFERROR(IF(VLOOKUP(E1068,extracto!C:C,1,FALSE)=E1068,"pagado","no pagado"),"no pagado")</f>
        <v>pagado</v>
      </c>
      <c r="J1068" s="41" t="str">
        <f t="shared" si="480"/>
        <v>pagado</v>
      </c>
      <c r="K1068" s="40" t="str">
        <f t="shared" ca="1" si="481"/>
        <v>excluir</v>
      </c>
      <c r="L1068" s="40" t="str">
        <f t="shared" ca="1" si="482"/>
        <v>no semana</v>
      </c>
      <c r="M1068" s="40" t="str">
        <f>IFERROR(VLOOKUP(E1068,'cheques a conf'!A:D,4,FALSE),"no clearing")</f>
        <v>no clearing</v>
      </c>
      <c r="N1068" s="40">
        <f t="shared" si="483"/>
        <v>7</v>
      </c>
      <c r="O1068" s="42">
        <f t="shared" si="484"/>
        <v>2</v>
      </c>
      <c r="P1068" s="42">
        <f t="shared" si="485"/>
        <v>2026</v>
      </c>
    </row>
    <row r="1069" spans="1:16" x14ac:dyDescent="0.2">
      <c r="A1069" s="21">
        <v>3000000146</v>
      </c>
      <c r="B1069" s="22">
        <v>46056</v>
      </c>
      <c r="C1069" s="20">
        <v>10642233.449999999</v>
      </c>
      <c r="D1069" s="21" t="s">
        <v>466</v>
      </c>
      <c r="E1069" s="21">
        <v>97124244</v>
      </c>
      <c r="F1069" s="20">
        <v>10642233.449999999</v>
      </c>
      <c r="G1069" s="22">
        <v>46059</v>
      </c>
      <c r="H1069" s="21" t="s">
        <v>61</v>
      </c>
      <c r="I1069" s="40" t="str">
        <f>IFERROR(IF(VLOOKUP(E1069,extracto!C:C,1,FALSE)=E1069,"pagado","no pagado"),"no pagado")</f>
        <v>pagado</v>
      </c>
      <c r="J1069" s="41" t="str">
        <f t="shared" si="480"/>
        <v>pagado</v>
      </c>
      <c r="K1069" s="40" t="str">
        <f t="shared" ca="1" si="481"/>
        <v>excluir</v>
      </c>
      <c r="L1069" s="40" t="str">
        <f t="shared" ca="1" si="482"/>
        <v>no semana</v>
      </c>
      <c r="M1069" s="40" t="str">
        <f>IFERROR(VLOOKUP(E1069,'cheques a conf'!A:D,4,FALSE),"no clearing")</f>
        <v>no clearing</v>
      </c>
      <c r="N1069" s="40">
        <f t="shared" si="483"/>
        <v>6</v>
      </c>
      <c r="O1069" s="42">
        <f t="shared" si="484"/>
        <v>2</v>
      </c>
      <c r="P1069" s="42">
        <f t="shared" si="485"/>
        <v>2026</v>
      </c>
    </row>
    <row r="1070" spans="1:16" x14ac:dyDescent="0.2">
      <c r="A1070" s="21">
        <v>3000000148</v>
      </c>
      <c r="B1070" s="22">
        <v>46056</v>
      </c>
      <c r="C1070" s="20">
        <v>13586447.9</v>
      </c>
      <c r="D1070" s="21" t="s">
        <v>350</v>
      </c>
      <c r="E1070" s="21">
        <v>97124249</v>
      </c>
      <c r="F1070" s="20">
        <v>13586447.9</v>
      </c>
      <c r="G1070" s="22">
        <v>46062</v>
      </c>
      <c r="H1070" s="21" t="s">
        <v>61</v>
      </c>
      <c r="I1070" s="40" t="str">
        <f>IFERROR(IF(VLOOKUP(E1070,extracto!C:C,1,FALSE)=E1070,"pagado","no pagado"),"no pagado")</f>
        <v>pagado</v>
      </c>
      <c r="J1070" s="41" t="str">
        <f t="shared" si="480"/>
        <v>pagado</v>
      </c>
      <c r="K1070" s="40" t="str">
        <f t="shared" ca="1" si="481"/>
        <v>excluir</v>
      </c>
      <c r="L1070" s="40" t="str">
        <f t="shared" ca="1" si="482"/>
        <v>no semana</v>
      </c>
      <c r="M1070" s="40" t="str">
        <f>IFERROR(VLOOKUP(E1070,'cheques a conf'!A:D,4,FALSE),"no clearing")</f>
        <v>no clearing</v>
      </c>
      <c r="N1070" s="40">
        <f t="shared" si="483"/>
        <v>7</v>
      </c>
      <c r="O1070" s="42">
        <f t="shared" si="484"/>
        <v>2</v>
      </c>
      <c r="P1070" s="42">
        <f t="shared" si="485"/>
        <v>2026</v>
      </c>
    </row>
    <row r="1071" spans="1:16" x14ac:dyDescent="0.2">
      <c r="A1071" s="21">
        <v>3000000149</v>
      </c>
      <c r="B1071" s="22">
        <v>46056</v>
      </c>
      <c r="C1071" s="20">
        <v>28110285.800000001</v>
      </c>
      <c r="D1071" s="21" t="s">
        <v>348</v>
      </c>
      <c r="E1071" s="21">
        <v>97124250</v>
      </c>
      <c r="F1071" s="20">
        <v>28110285.800000001</v>
      </c>
      <c r="G1071" s="22">
        <v>46063</v>
      </c>
      <c r="H1071" s="21" t="s">
        <v>61</v>
      </c>
      <c r="I1071" s="40" t="str">
        <f>IFERROR(IF(VLOOKUP(E1071,extracto!C:C,1,FALSE)=E1071,"pagado","no pagado"),"no pagado")</f>
        <v>pagado</v>
      </c>
      <c r="J1071" s="41" t="str">
        <f t="shared" si="480"/>
        <v>pagado</v>
      </c>
      <c r="K1071" s="40" t="str">
        <f t="shared" ca="1" si="481"/>
        <v>excluir</v>
      </c>
      <c r="L1071" s="40" t="str">
        <f t="shared" ca="1" si="482"/>
        <v>no semana</v>
      </c>
      <c r="M1071" s="40" t="str">
        <f>IFERROR(VLOOKUP(E1071,'cheques a conf'!A:D,4,FALSE),"no clearing")</f>
        <v>no clearing</v>
      </c>
      <c r="N1071" s="40">
        <f t="shared" si="483"/>
        <v>7</v>
      </c>
      <c r="O1071" s="42">
        <f t="shared" si="484"/>
        <v>2</v>
      </c>
      <c r="P1071" s="42">
        <f t="shared" si="485"/>
        <v>2026</v>
      </c>
    </row>
    <row r="1072" spans="1:16" x14ac:dyDescent="0.2">
      <c r="A1072" s="21">
        <v>3000000150</v>
      </c>
      <c r="B1072" s="22">
        <v>46056</v>
      </c>
      <c r="C1072" s="20">
        <v>26281870.199999999</v>
      </c>
      <c r="D1072" s="21" t="s">
        <v>366</v>
      </c>
      <c r="E1072" s="21">
        <v>97124251</v>
      </c>
      <c r="F1072" s="20">
        <v>26281870.199999999</v>
      </c>
      <c r="G1072" s="22">
        <v>46063</v>
      </c>
      <c r="H1072" s="21" t="s">
        <v>61</v>
      </c>
      <c r="I1072" s="40" t="str">
        <f>IFERROR(IF(VLOOKUP(E1072,extracto!C:C,1,FALSE)=E1072,"pagado","no pagado"),"no pagado")</f>
        <v>pagado</v>
      </c>
      <c r="J1072" s="41" t="str">
        <f t="shared" si="480"/>
        <v>pagado</v>
      </c>
      <c r="K1072" s="40" t="str">
        <f t="shared" ca="1" si="481"/>
        <v>excluir</v>
      </c>
      <c r="L1072" s="40" t="str">
        <f t="shared" ca="1" si="482"/>
        <v>no semana</v>
      </c>
      <c r="M1072" s="40" t="str">
        <f>IFERROR(VLOOKUP(E1072,'cheques a conf'!A:D,4,FALSE),"no clearing")</f>
        <v>no clearing</v>
      </c>
      <c r="N1072" s="40">
        <f t="shared" si="483"/>
        <v>7</v>
      </c>
      <c r="O1072" s="42">
        <f t="shared" si="484"/>
        <v>2</v>
      </c>
      <c r="P1072" s="42">
        <f t="shared" si="485"/>
        <v>2026</v>
      </c>
    </row>
    <row r="1073" spans="1:16" x14ac:dyDescent="0.2">
      <c r="A1073" s="21">
        <v>3000000151</v>
      </c>
      <c r="B1073" s="22">
        <v>46056</v>
      </c>
      <c r="C1073" s="20">
        <v>14889062.4</v>
      </c>
      <c r="D1073" s="21" t="s">
        <v>347</v>
      </c>
      <c r="E1073" s="21">
        <v>97124252</v>
      </c>
      <c r="F1073" s="20">
        <v>14889062.4</v>
      </c>
      <c r="G1073" s="22">
        <v>46062</v>
      </c>
      <c r="H1073" s="21" t="s">
        <v>61</v>
      </c>
      <c r="I1073" s="40" t="str">
        <f>IFERROR(IF(VLOOKUP(E1073,extracto!C:C,1,FALSE)=E1073,"pagado","no pagado"),"no pagado")</f>
        <v>pagado</v>
      </c>
      <c r="J1073" s="41" t="str">
        <f t="shared" si="480"/>
        <v>pagado</v>
      </c>
      <c r="K1073" s="40" t="str">
        <f t="shared" ca="1" si="481"/>
        <v>excluir</v>
      </c>
      <c r="L1073" s="40" t="str">
        <f t="shared" ca="1" si="482"/>
        <v>no semana</v>
      </c>
      <c r="M1073" s="40" t="str">
        <f>IFERROR(VLOOKUP(E1073,'cheques a conf'!A:D,4,FALSE),"no clearing")</f>
        <v>no clearing</v>
      </c>
      <c r="N1073" s="40">
        <f t="shared" si="483"/>
        <v>7</v>
      </c>
      <c r="O1073" s="42">
        <f t="shared" si="484"/>
        <v>2</v>
      </c>
      <c r="P1073" s="42">
        <f t="shared" si="485"/>
        <v>2026</v>
      </c>
    </row>
    <row r="1074" spans="1:16" x14ac:dyDescent="0.2">
      <c r="A1074" s="21">
        <v>3000000152</v>
      </c>
      <c r="B1074" s="22">
        <v>46056</v>
      </c>
      <c r="C1074" s="20">
        <v>14791343.4</v>
      </c>
      <c r="D1074" s="21" t="s">
        <v>426</v>
      </c>
      <c r="E1074" s="21">
        <v>97124253</v>
      </c>
      <c r="F1074" s="20">
        <v>14791343.4</v>
      </c>
      <c r="G1074" s="22">
        <v>46062</v>
      </c>
      <c r="H1074" s="21" t="s">
        <v>61</v>
      </c>
      <c r="I1074" s="40" t="str">
        <f>IFERROR(IF(VLOOKUP(E1074,extracto!C:C,1,FALSE)=E1074,"pagado","no pagado"),"no pagado")</f>
        <v>pagado</v>
      </c>
      <c r="J1074" s="41" t="str">
        <f t="shared" si="480"/>
        <v>pagado</v>
      </c>
      <c r="K1074" s="40" t="str">
        <f t="shared" ca="1" si="481"/>
        <v>excluir</v>
      </c>
      <c r="L1074" s="40" t="str">
        <f t="shared" ca="1" si="482"/>
        <v>no semana</v>
      </c>
      <c r="M1074" s="40" t="str">
        <f>IFERROR(VLOOKUP(E1074,'cheques a conf'!A:D,4,FALSE),"no clearing")</f>
        <v>no clearing</v>
      </c>
      <c r="N1074" s="40">
        <f t="shared" si="483"/>
        <v>7</v>
      </c>
      <c r="O1074" s="42">
        <f t="shared" si="484"/>
        <v>2</v>
      </c>
      <c r="P1074" s="42">
        <f t="shared" si="485"/>
        <v>2026</v>
      </c>
    </row>
    <row r="1075" spans="1:16" x14ac:dyDescent="0.2">
      <c r="A1075" s="21">
        <v>3000000153</v>
      </c>
      <c r="B1075" s="22">
        <v>46056</v>
      </c>
      <c r="C1075" s="20">
        <v>7085959.4000000004</v>
      </c>
      <c r="D1075" s="21" t="s">
        <v>365</v>
      </c>
      <c r="E1075" s="21">
        <v>97124254</v>
      </c>
      <c r="F1075" s="20">
        <v>7085959.4000000004</v>
      </c>
      <c r="G1075" s="22">
        <v>46062</v>
      </c>
      <c r="H1075" s="21" t="s">
        <v>61</v>
      </c>
      <c r="I1075" s="40" t="str">
        <f>IFERROR(IF(VLOOKUP(E1075,extracto!C:C,1,FALSE)=E1075,"pagado","no pagado"),"no pagado")</f>
        <v>pagado</v>
      </c>
      <c r="J1075" s="41" t="str">
        <f t="shared" si="480"/>
        <v>pagado</v>
      </c>
      <c r="K1075" s="40" t="str">
        <f t="shared" ca="1" si="481"/>
        <v>excluir</v>
      </c>
      <c r="L1075" s="40" t="str">
        <f t="shared" ca="1" si="482"/>
        <v>no semana</v>
      </c>
      <c r="M1075" s="40" t="str">
        <f>IFERROR(VLOOKUP(E1075,'cheques a conf'!A:D,4,FALSE),"no clearing")</f>
        <v>no clearing</v>
      </c>
      <c r="N1075" s="40">
        <f t="shared" si="483"/>
        <v>7</v>
      </c>
      <c r="O1075" s="42">
        <f t="shared" si="484"/>
        <v>2</v>
      </c>
      <c r="P1075" s="42">
        <f t="shared" si="485"/>
        <v>2026</v>
      </c>
    </row>
    <row r="1076" spans="1:16" x14ac:dyDescent="0.2">
      <c r="A1076" s="21">
        <v>3000000155</v>
      </c>
      <c r="B1076" s="22">
        <v>46056</v>
      </c>
      <c r="C1076" s="20">
        <v>9609301.8200000003</v>
      </c>
      <c r="D1076" s="21" t="s">
        <v>430</v>
      </c>
      <c r="E1076" s="21">
        <v>97124263</v>
      </c>
      <c r="F1076" s="20">
        <v>9609301.8200000003</v>
      </c>
      <c r="G1076" s="22">
        <v>46059</v>
      </c>
      <c r="H1076" s="21" t="s">
        <v>61</v>
      </c>
      <c r="I1076" s="40" t="str">
        <f>IFERROR(IF(VLOOKUP(E1076,extracto!C:C,1,FALSE)=E1076,"pagado","no pagado"),"no pagado")</f>
        <v>pagado</v>
      </c>
      <c r="J1076" s="41" t="str">
        <f t="shared" si="480"/>
        <v>pagado</v>
      </c>
      <c r="K1076" s="40" t="str">
        <f t="shared" ca="1" si="481"/>
        <v>excluir</v>
      </c>
      <c r="L1076" s="40" t="str">
        <f t="shared" ca="1" si="482"/>
        <v>no semana</v>
      </c>
      <c r="M1076" s="40" t="str">
        <f>IFERROR(VLOOKUP(E1076,'cheques a conf'!A:D,4,FALSE),"no clearing")</f>
        <v>no clearing</v>
      </c>
      <c r="N1076" s="40">
        <f t="shared" si="483"/>
        <v>6</v>
      </c>
      <c r="O1076" s="42">
        <f t="shared" si="484"/>
        <v>2</v>
      </c>
      <c r="P1076" s="42">
        <f t="shared" si="485"/>
        <v>2026</v>
      </c>
    </row>
    <row r="1077" spans="1:16" x14ac:dyDescent="0.2">
      <c r="A1077" s="21">
        <v>3000000156</v>
      </c>
      <c r="B1077" s="22">
        <v>46056</v>
      </c>
      <c r="C1077" s="20">
        <v>12506622.779999999</v>
      </c>
      <c r="D1077" s="21" t="s">
        <v>357</v>
      </c>
      <c r="E1077" s="21">
        <v>97124264</v>
      </c>
      <c r="F1077" s="20">
        <v>12506622.779999999</v>
      </c>
      <c r="G1077" s="22">
        <v>46063</v>
      </c>
      <c r="H1077" s="21" t="s">
        <v>61</v>
      </c>
      <c r="I1077" s="40" t="str">
        <f>IFERROR(IF(VLOOKUP(E1077,extracto!C:C,1,FALSE)=E1077,"pagado","no pagado"),"no pagado")</f>
        <v>pagado</v>
      </c>
      <c r="J1077" s="41" t="str">
        <f t="shared" si="480"/>
        <v>pagado</v>
      </c>
      <c r="K1077" s="40" t="str">
        <f t="shared" ca="1" si="481"/>
        <v>excluir</v>
      </c>
      <c r="L1077" s="40" t="str">
        <f t="shared" ca="1" si="482"/>
        <v>no semana</v>
      </c>
      <c r="M1077" s="40" t="str">
        <f>IFERROR(VLOOKUP(E1077,'cheques a conf'!A:D,4,FALSE),"no clearing")</f>
        <v>no clearing</v>
      </c>
      <c r="N1077" s="40">
        <f t="shared" si="483"/>
        <v>7</v>
      </c>
      <c r="O1077" s="42">
        <f t="shared" si="484"/>
        <v>2</v>
      </c>
      <c r="P1077" s="42">
        <f t="shared" si="485"/>
        <v>2026</v>
      </c>
    </row>
    <row r="1078" spans="1:16" x14ac:dyDescent="0.2">
      <c r="A1078" s="21">
        <v>3000000157</v>
      </c>
      <c r="B1078" s="22">
        <v>46056</v>
      </c>
      <c r="C1078" s="20">
        <v>1923658.72</v>
      </c>
      <c r="D1078" s="21" t="s">
        <v>467</v>
      </c>
      <c r="E1078" s="21">
        <v>97124265</v>
      </c>
      <c r="F1078" s="20">
        <v>1923658.72</v>
      </c>
      <c r="G1078" s="22">
        <v>46059</v>
      </c>
      <c r="H1078" s="21" t="s">
        <v>61</v>
      </c>
      <c r="I1078" s="40" t="str">
        <f>IFERROR(IF(VLOOKUP(E1078,extracto!C:C,1,FALSE)=E1078,"pagado","no pagado"),"no pagado")</f>
        <v>pagado</v>
      </c>
      <c r="J1078" s="41" t="str">
        <f t="shared" si="480"/>
        <v>pagado</v>
      </c>
      <c r="K1078" s="40" t="str">
        <f t="shared" ca="1" si="481"/>
        <v>excluir</v>
      </c>
      <c r="L1078" s="40" t="str">
        <f t="shared" ca="1" si="482"/>
        <v>no semana</v>
      </c>
      <c r="M1078" s="40" t="str">
        <f>IFERROR(VLOOKUP(E1078,'cheques a conf'!A:D,4,FALSE),"no clearing")</f>
        <v>no clearing</v>
      </c>
      <c r="N1078" s="40">
        <f t="shared" si="483"/>
        <v>6</v>
      </c>
      <c r="O1078" s="42">
        <f t="shared" si="484"/>
        <v>2</v>
      </c>
      <c r="P1078" s="42">
        <f t="shared" si="485"/>
        <v>2026</v>
      </c>
    </row>
    <row r="1079" spans="1:16" x14ac:dyDescent="0.2">
      <c r="A1079" s="21">
        <v>3000000158</v>
      </c>
      <c r="B1079" s="22">
        <v>46056</v>
      </c>
      <c r="C1079" s="20">
        <v>1931528.73</v>
      </c>
      <c r="D1079" s="21" t="s">
        <v>397</v>
      </c>
      <c r="E1079" s="21">
        <v>97124266</v>
      </c>
      <c r="F1079" s="20">
        <v>1931528.73</v>
      </c>
      <c r="G1079" s="22">
        <v>46059</v>
      </c>
      <c r="H1079" s="21" t="s">
        <v>61</v>
      </c>
      <c r="I1079" s="40" t="str">
        <f>IFERROR(IF(VLOOKUP(E1079,extracto!C:C,1,FALSE)=E1079,"pagado","no pagado"),"no pagado")</f>
        <v>pagado</v>
      </c>
      <c r="J1079" s="41" t="str">
        <f t="shared" si="480"/>
        <v>pagado</v>
      </c>
      <c r="K1079" s="40" t="str">
        <f t="shared" ca="1" si="481"/>
        <v>excluir</v>
      </c>
      <c r="L1079" s="40" t="str">
        <f t="shared" ca="1" si="482"/>
        <v>no semana</v>
      </c>
      <c r="M1079" s="40" t="str">
        <f>IFERROR(VLOOKUP(E1079,'cheques a conf'!A:D,4,FALSE),"no clearing")</f>
        <v>no clearing</v>
      </c>
      <c r="N1079" s="40">
        <f t="shared" si="483"/>
        <v>6</v>
      </c>
      <c r="O1079" s="42">
        <f t="shared" si="484"/>
        <v>2</v>
      </c>
      <c r="P1079" s="42">
        <f t="shared" si="485"/>
        <v>2026</v>
      </c>
    </row>
    <row r="1080" spans="1:16" x14ac:dyDescent="0.2">
      <c r="A1080" s="21">
        <v>3000000159</v>
      </c>
      <c r="B1080" s="22">
        <v>46056</v>
      </c>
      <c r="C1080" s="20">
        <v>8367460.4699999997</v>
      </c>
      <c r="D1080" s="21" t="s">
        <v>16</v>
      </c>
      <c r="E1080" s="21">
        <v>97124267</v>
      </c>
      <c r="F1080" s="20">
        <v>8367460.4699999997</v>
      </c>
      <c r="G1080" s="22">
        <v>46062</v>
      </c>
      <c r="H1080" s="21" t="s">
        <v>61</v>
      </c>
      <c r="I1080" s="40" t="str">
        <f>IFERROR(IF(VLOOKUP(E1080,extracto!C:C,1,FALSE)=E1080,"pagado","no pagado"),"no pagado")</f>
        <v>pagado</v>
      </c>
      <c r="J1080" s="41" t="str">
        <f t="shared" si="480"/>
        <v>pagado</v>
      </c>
      <c r="K1080" s="40" t="str">
        <f t="shared" ca="1" si="481"/>
        <v>excluir</v>
      </c>
      <c r="L1080" s="40" t="str">
        <f t="shared" ca="1" si="482"/>
        <v>no semana</v>
      </c>
      <c r="M1080" s="40" t="str">
        <f>IFERROR(VLOOKUP(E1080,'cheques a conf'!A:D,4,FALSE),"no clearing")</f>
        <v>no clearing</v>
      </c>
      <c r="N1080" s="40">
        <f t="shared" si="483"/>
        <v>7</v>
      </c>
      <c r="O1080" s="42">
        <f t="shared" si="484"/>
        <v>2</v>
      </c>
      <c r="P1080" s="42">
        <f t="shared" si="485"/>
        <v>2026</v>
      </c>
    </row>
    <row r="1081" spans="1:16" x14ac:dyDescent="0.25">
      <c r="A1081">
        <v>3000000184</v>
      </c>
      <c r="B1081" s="3">
        <v>46063</v>
      </c>
      <c r="C1081" s="9">
        <v>9407167</v>
      </c>
      <c r="D1081" t="s">
        <v>347</v>
      </c>
      <c r="E1081">
        <v>97124279</v>
      </c>
      <c r="F1081" s="9">
        <v>9407167</v>
      </c>
      <c r="G1081" s="3">
        <v>46072</v>
      </c>
      <c r="H1081" s="21" t="s">
        <v>61</v>
      </c>
      <c r="I1081" s="40" t="str">
        <f>IFERROR(IF(VLOOKUP(E1081,extracto!C:C,1,FALSE)=E1081,"pagado","no pagado"),"no pagado")</f>
        <v>pagado</v>
      </c>
      <c r="J1081" s="41" t="str">
        <f t="shared" si="480"/>
        <v>pagado</v>
      </c>
      <c r="K1081" s="40" t="str">
        <f t="shared" ca="1" si="481"/>
        <v>excluir</v>
      </c>
      <c r="L1081" s="40" t="str">
        <f t="shared" ca="1" si="482"/>
        <v>no semana</v>
      </c>
      <c r="M1081" s="40" t="str">
        <f>IFERROR(VLOOKUP(E1081,'cheques a conf'!A:D,4,FALSE),"no clearing")</f>
        <v>no clearing</v>
      </c>
      <c r="N1081" s="40">
        <f t="shared" si="483"/>
        <v>8</v>
      </c>
      <c r="O1081" s="42">
        <f t="shared" si="484"/>
        <v>2</v>
      </c>
      <c r="P1081" s="42">
        <f t="shared" si="485"/>
        <v>2026</v>
      </c>
    </row>
    <row r="1082" spans="1:16" x14ac:dyDescent="0.25">
      <c r="A1082">
        <v>3000000185</v>
      </c>
      <c r="B1082" s="3">
        <v>46063</v>
      </c>
      <c r="C1082" s="9">
        <v>3603557.4</v>
      </c>
      <c r="D1082" t="s">
        <v>356</v>
      </c>
      <c r="E1082">
        <v>97124280</v>
      </c>
      <c r="F1082" s="9">
        <v>3603557.4</v>
      </c>
      <c r="G1082" s="3">
        <v>46071</v>
      </c>
      <c r="H1082" s="21" t="s">
        <v>61</v>
      </c>
      <c r="I1082" s="40" t="str">
        <f>IFERROR(IF(VLOOKUP(E1082,extracto!C:C,1,FALSE)=E1082,"pagado","no pagado"),"no pagado")</f>
        <v>pagado</v>
      </c>
      <c r="J1082" s="41" t="str">
        <f t="shared" ref="J1082" si="486">IF(I1082="pagado","pagado",IF(G1082&lt;$V$1-30,"fuera de fecha","en periodo de pago"))</f>
        <v>pagado</v>
      </c>
      <c r="K1082" s="40" t="str">
        <f t="shared" ref="K1082" ca="1" si="487">+IF(B1082&gt;$V$1,"excluir",IF(J1082="en periodo de pago",IF($V$1&gt;G1082,"a pagar","proximo a vencer"),"excluir"))</f>
        <v>excluir</v>
      </c>
      <c r="L1082" s="40" t="str">
        <f t="shared" ref="L1082" ca="1" si="488">+IF(K1082="proximo a vencer",IF($V$1+5&gt;G1082,"para la semana","no semana"),"no semana")</f>
        <v>no semana</v>
      </c>
      <c r="M1082" s="40" t="str">
        <f>IFERROR(VLOOKUP(E1082,'cheques a conf'!A:D,4,FALSE),"no clearing")</f>
        <v>no clearing</v>
      </c>
      <c r="N1082" s="40">
        <f t="shared" ref="N1082" si="489">+WEEKNUM(G1082,2)</f>
        <v>8</v>
      </c>
      <c r="O1082" s="42">
        <f t="shared" ref="O1082" si="490">+MONTH(G1082)</f>
        <v>2</v>
      </c>
      <c r="P1082" s="42">
        <f t="shared" ref="P1082" si="491">+YEAR(G1082)</f>
        <v>2026</v>
      </c>
    </row>
    <row r="1083" spans="1:16" x14ac:dyDescent="0.25">
      <c r="A1083">
        <v>3000000186</v>
      </c>
      <c r="B1083" s="3">
        <v>46063</v>
      </c>
      <c r="C1083" s="9">
        <v>5863484.4000000004</v>
      </c>
      <c r="D1083" t="s">
        <v>345</v>
      </c>
      <c r="E1083">
        <v>97124281</v>
      </c>
      <c r="F1083" s="9">
        <v>5863484.4000000004</v>
      </c>
      <c r="G1083" s="3">
        <v>46071</v>
      </c>
      <c r="H1083" s="21" t="s">
        <v>61</v>
      </c>
      <c r="I1083" s="40" t="str">
        <f>IFERROR(IF(VLOOKUP(E1083,extracto!C:C,1,FALSE)=E1083,"pagado","no pagado"),"no pagado")</f>
        <v>pagado</v>
      </c>
      <c r="J1083" s="41" t="str">
        <f t="shared" ref="J1083:J1103" si="492">IF(I1083="pagado","pagado",IF(G1083&lt;$V$1-30,"fuera de fecha","en periodo de pago"))</f>
        <v>pagado</v>
      </c>
      <c r="K1083" s="40" t="str">
        <f t="shared" ref="K1083:K1103" ca="1" si="493">+IF(B1083&gt;$V$1,"excluir",IF(J1083="en periodo de pago",IF($V$1&gt;G1083,"a pagar","proximo a vencer"),"excluir"))</f>
        <v>excluir</v>
      </c>
      <c r="L1083" s="40" t="str">
        <f t="shared" ref="L1083:L1103" ca="1" si="494">+IF(K1083="proximo a vencer",IF($V$1+5&gt;G1083,"para la semana","no semana"),"no semana")</f>
        <v>no semana</v>
      </c>
      <c r="M1083" s="40" t="str">
        <f>IFERROR(VLOOKUP(E1083,'cheques a conf'!A:D,4,FALSE),"no clearing")</f>
        <v>no clearing</v>
      </c>
      <c r="N1083" s="40">
        <f t="shared" ref="N1083:N1103" si="495">+WEEKNUM(G1083,2)</f>
        <v>8</v>
      </c>
      <c r="O1083" s="42">
        <f t="shared" ref="O1083:O1103" si="496">+MONTH(G1083)</f>
        <v>2</v>
      </c>
      <c r="P1083" s="42">
        <f t="shared" ref="P1083:P1103" si="497">+YEAR(G1083)</f>
        <v>2026</v>
      </c>
    </row>
    <row r="1084" spans="1:16" x14ac:dyDescent="0.25">
      <c r="A1084">
        <v>3000000187</v>
      </c>
      <c r="B1084" s="3">
        <v>46063</v>
      </c>
      <c r="C1084" s="9">
        <v>15931309.16</v>
      </c>
      <c r="D1084" t="s">
        <v>286</v>
      </c>
      <c r="E1084">
        <v>97124282</v>
      </c>
      <c r="F1084" s="9">
        <v>15931309.16</v>
      </c>
      <c r="G1084" s="3">
        <v>46072</v>
      </c>
      <c r="H1084" s="21" t="s">
        <v>61</v>
      </c>
      <c r="I1084" s="40" t="str">
        <f>IFERROR(IF(VLOOKUP(E1084,extracto!C:C,1,FALSE)=E1084,"pagado","no pagado"),"no pagado")</f>
        <v>pagado</v>
      </c>
      <c r="J1084" s="41" t="str">
        <f t="shared" si="492"/>
        <v>pagado</v>
      </c>
      <c r="K1084" s="40" t="str">
        <f t="shared" ca="1" si="493"/>
        <v>excluir</v>
      </c>
      <c r="L1084" s="40" t="str">
        <f t="shared" ca="1" si="494"/>
        <v>no semana</v>
      </c>
      <c r="M1084" s="40" t="str">
        <f>IFERROR(VLOOKUP(E1084,'cheques a conf'!A:D,4,FALSE),"no clearing")</f>
        <v>no clearing</v>
      </c>
      <c r="N1084" s="40">
        <f t="shared" si="495"/>
        <v>8</v>
      </c>
      <c r="O1084" s="42">
        <f t="shared" si="496"/>
        <v>2</v>
      </c>
      <c r="P1084" s="42">
        <f t="shared" si="497"/>
        <v>2026</v>
      </c>
    </row>
    <row r="1085" spans="1:16" x14ac:dyDescent="0.25">
      <c r="A1085">
        <v>3000000188</v>
      </c>
      <c r="B1085" s="3">
        <v>46063</v>
      </c>
      <c r="C1085" s="9">
        <v>3287874.21</v>
      </c>
      <c r="D1085" t="s">
        <v>307</v>
      </c>
      <c r="E1085">
        <v>97124283</v>
      </c>
      <c r="F1085" s="9">
        <v>3287874.21</v>
      </c>
      <c r="G1085" s="3">
        <v>46071</v>
      </c>
      <c r="H1085" s="21" t="s">
        <v>61</v>
      </c>
      <c r="I1085" s="40" t="str">
        <f>IFERROR(IF(VLOOKUP(E1085,extracto!C:C,1,FALSE)=E1085,"pagado","no pagado"),"no pagado")</f>
        <v>pagado</v>
      </c>
      <c r="J1085" s="41" t="str">
        <f t="shared" si="492"/>
        <v>pagado</v>
      </c>
      <c r="K1085" s="40" t="str">
        <f t="shared" ca="1" si="493"/>
        <v>excluir</v>
      </c>
      <c r="L1085" s="40" t="str">
        <f t="shared" ca="1" si="494"/>
        <v>no semana</v>
      </c>
      <c r="M1085" s="40" t="str">
        <f>IFERROR(VLOOKUP(E1085,'cheques a conf'!A:D,4,FALSE),"no clearing")</f>
        <v>no clearing</v>
      </c>
      <c r="N1085" s="40">
        <f t="shared" si="495"/>
        <v>8</v>
      </c>
      <c r="O1085" s="42">
        <f t="shared" si="496"/>
        <v>2</v>
      </c>
      <c r="P1085" s="42">
        <f t="shared" si="497"/>
        <v>2026</v>
      </c>
    </row>
    <row r="1086" spans="1:16" x14ac:dyDescent="0.25">
      <c r="A1086">
        <v>3000000176</v>
      </c>
      <c r="B1086" s="3">
        <v>46063</v>
      </c>
      <c r="C1086" s="9">
        <v>47910699</v>
      </c>
      <c r="D1086" t="s">
        <v>300</v>
      </c>
      <c r="E1086">
        <v>97124268</v>
      </c>
      <c r="F1086" s="9">
        <v>47910699</v>
      </c>
      <c r="G1086" s="3">
        <v>46072</v>
      </c>
      <c r="H1086" s="21" t="s">
        <v>61</v>
      </c>
      <c r="I1086" s="40" t="str">
        <f>IFERROR(IF(VLOOKUP(E1086,extracto!C:C,1,FALSE)=E1086,"pagado","no pagado"),"no pagado")</f>
        <v>pagado</v>
      </c>
      <c r="J1086" s="41" t="str">
        <f t="shared" si="492"/>
        <v>pagado</v>
      </c>
      <c r="K1086" s="40" t="str">
        <f t="shared" ca="1" si="493"/>
        <v>excluir</v>
      </c>
      <c r="L1086" s="40" t="str">
        <f t="shared" ca="1" si="494"/>
        <v>no semana</v>
      </c>
      <c r="M1086" s="40" t="str">
        <f>IFERROR(VLOOKUP(E1086,'cheques a conf'!A:D,4,FALSE),"no clearing")</f>
        <v>no clearing</v>
      </c>
      <c r="N1086" s="40">
        <f t="shared" si="495"/>
        <v>8</v>
      </c>
      <c r="O1086" s="42">
        <f t="shared" si="496"/>
        <v>2</v>
      </c>
      <c r="P1086" s="42">
        <f t="shared" si="497"/>
        <v>2026</v>
      </c>
    </row>
    <row r="1087" spans="1:16" x14ac:dyDescent="0.25">
      <c r="A1087">
        <v>3000000176</v>
      </c>
      <c r="B1087" s="3">
        <v>46063</v>
      </c>
      <c r="C1087" s="9">
        <v>509669.81</v>
      </c>
      <c r="D1087" t="s">
        <v>300</v>
      </c>
      <c r="E1087">
        <v>97124269</v>
      </c>
      <c r="F1087" s="9">
        <v>509669.81</v>
      </c>
      <c r="G1087" s="3">
        <v>46071</v>
      </c>
      <c r="H1087" s="21" t="s">
        <v>61</v>
      </c>
      <c r="I1087" s="40" t="str">
        <f>IFERROR(IF(VLOOKUP(E1087,extracto!C:C,1,FALSE)=E1087,"pagado","no pagado"),"no pagado")</f>
        <v>pagado</v>
      </c>
      <c r="J1087" s="41" t="str">
        <f t="shared" si="492"/>
        <v>pagado</v>
      </c>
      <c r="K1087" s="40" t="str">
        <f t="shared" ca="1" si="493"/>
        <v>excluir</v>
      </c>
      <c r="L1087" s="40" t="str">
        <f t="shared" ca="1" si="494"/>
        <v>no semana</v>
      </c>
      <c r="M1087" s="40" t="str">
        <f>IFERROR(VLOOKUP(E1087,'cheques a conf'!A:D,4,FALSE),"no clearing")</f>
        <v>no clearing</v>
      </c>
      <c r="N1087" s="40">
        <f t="shared" si="495"/>
        <v>8</v>
      </c>
      <c r="O1087" s="42">
        <f t="shared" si="496"/>
        <v>2</v>
      </c>
      <c r="P1087" s="42">
        <f t="shared" si="497"/>
        <v>2026</v>
      </c>
    </row>
    <row r="1088" spans="1:16" x14ac:dyDescent="0.25">
      <c r="A1088">
        <v>3000000177</v>
      </c>
      <c r="B1088" s="3">
        <v>46063</v>
      </c>
      <c r="C1088" s="9">
        <v>672767.27</v>
      </c>
      <c r="D1088" t="s">
        <v>289</v>
      </c>
      <c r="E1088">
        <v>97124270</v>
      </c>
      <c r="F1088" s="9">
        <v>672767.27</v>
      </c>
      <c r="G1088" s="3">
        <v>46071</v>
      </c>
      <c r="H1088" s="21" t="s">
        <v>61</v>
      </c>
      <c r="I1088" s="40" t="str">
        <f>IFERROR(IF(VLOOKUP(E1088,extracto!C:C,1,FALSE)=E1088,"pagado","no pagado"),"no pagado")</f>
        <v>pagado</v>
      </c>
      <c r="J1088" s="41" t="str">
        <f t="shared" si="492"/>
        <v>pagado</v>
      </c>
      <c r="K1088" s="40" t="str">
        <f t="shared" ca="1" si="493"/>
        <v>excluir</v>
      </c>
      <c r="L1088" s="40" t="str">
        <f t="shared" ca="1" si="494"/>
        <v>no semana</v>
      </c>
      <c r="M1088" s="40" t="str">
        <f>IFERROR(VLOOKUP(E1088,'cheques a conf'!A:D,4,FALSE),"no clearing")</f>
        <v>no clearing</v>
      </c>
      <c r="N1088" s="40">
        <f t="shared" si="495"/>
        <v>8</v>
      </c>
      <c r="O1088" s="42">
        <f t="shared" si="496"/>
        <v>2</v>
      </c>
      <c r="P1088" s="42">
        <f t="shared" si="497"/>
        <v>2026</v>
      </c>
    </row>
    <row r="1089" spans="1:16" x14ac:dyDescent="0.25">
      <c r="A1089">
        <v>3000000178</v>
      </c>
      <c r="B1089" s="3">
        <v>46063</v>
      </c>
      <c r="C1089" s="9">
        <v>2551354.7999999998</v>
      </c>
      <c r="D1089" t="s">
        <v>366</v>
      </c>
      <c r="E1089">
        <v>97124271</v>
      </c>
      <c r="F1089" s="9">
        <v>2551354.7999999998</v>
      </c>
      <c r="G1089" s="3">
        <v>46071</v>
      </c>
      <c r="H1089" s="21" t="s">
        <v>61</v>
      </c>
      <c r="I1089" s="40" t="str">
        <f>IFERROR(IF(VLOOKUP(E1089,extracto!C:C,1,FALSE)=E1089,"pagado","no pagado"),"no pagado")</f>
        <v>pagado</v>
      </c>
      <c r="J1089" s="41" t="str">
        <f t="shared" si="492"/>
        <v>pagado</v>
      </c>
      <c r="K1089" s="40" t="str">
        <f t="shared" ca="1" si="493"/>
        <v>excluir</v>
      </c>
      <c r="L1089" s="40" t="str">
        <f t="shared" ca="1" si="494"/>
        <v>no semana</v>
      </c>
      <c r="M1089" s="40" t="str">
        <f>IFERROR(VLOOKUP(E1089,'cheques a conf'!A:D,4,FALSE),"no clearing")</f>
        <v>no clearing</v>
      </c>
      <c r="N1089" s="40">
        <f t="shared" si="495"/>
        <v>8</v>
      </c>
      <c r="O1089" s="42">
        <f t="shared" si="496"/>
        <v>2</v>
      </c>
      <c r="P1089" s="42">
        <f t="shared" si="497"/>
        <v>2026</v>
      </c>
    </row>
    <row r="1090" spans="1:16" x14ac:dyDescent="0.25">
      <c r="A1090">
        <v>3000000179</v>
      </c>
      <c r="B1090" s="3">
        <v>46063</v>
      </c>
      <c r="C1090" s="9">
        <v>1268765.8899999999</v>
      </c>
      <c r="D1090" t="s">
        <v>346</v>
      </c>
      <c r="E1090">
        <v>97124272</v>
      </c>
      <c r="F1090" s="9">
        <v>1268765.8899999999</v>
      </c>
      <c r="G1090" s="3">
        <v>46071</v>
      </c>
      <c r="H1090" s="21" t="s">
        <v>61</v>
      </c>
      <c r="I1090" s="40" t="str">
        <f>IFERROR(IF(VLOOKUP(E1090,extracto!C:C,1,FALSE)=E1090,"pagado","no pagado"),"no pagado")</f>
        <v>pagado</v>
      </c>
      <c r="J1090" s="41" t="str">
        <f t="shared" si="492"/>
        <v>pagado</v>
      </c>
      <c r="K1090" s="40" t="str">
        <f t="shared" ca="1" si="493"/>
        <v>excluir</v>
      </c>
      <c r="L1090" s="40" t="str">
        <f t="shared" ca="1" si="494"/>
        <v>no semana</v>
      </c>
      <c r="M1090" s="40" t="str">
        <f>IFERROR(VLOOKUP(E1090,'cheques a conf'!A:D,4,FALSE),"no clearing")</f>
        <v>no clearing</v>
      </c>
      <c r="N1090" s="40">
        <f t="shared" si="495"/>
        <v>8</v>
      </c>
      <c r="O1090" s="42">
        <f t="shared" si="496"/>
        <v>2</v>
      </c>
      <c r="P1090" s="42">
        <f t="shared" si="497"/>
        <v>2026</v>
      </c>
    </row>
    <row r="1091" spans="1:16" x14ac:dyDescent="0.25">
      <c r="A1091">
        <v>3000000189</v>
      </c>
      <c r="B1091" s="3">
        <v>46063</v>
      </c>
      <c r="C1091" s="9">
        <v>2150233.5499999998</v>
      </c>
      <c r="D1091" t="s">
        <v>355</v>
      </c>
      <c r="E1091">
        <v>97124273</v>
      </c>
      <c r="F1091" s="9">
        <v>2150233.5499999998</v>
      </c>
      <c r="G1091" s="3">
        <v>46071</v>
      </c>
      <c r="H1091" s="21" t="s">
        <v>61</v>
      </c>
      <c r="I1091" s="40" t="str">
        <f>IFERROR(IF(VLOOKUP(E1091,extracto!C:C,1,FALSE)=E1091,"pagado","no pagado"),"no pagado")</f>
        <v>pagado</v>
      </c>
      <c r="J1091" s="41" t="str">
        <f t="shared" si="492"/>
        <v>pagado</v>
      </c>
      <c r="K1091" s="40" t="str">
        <f t="shared" ca="1" si="493"/>
        <v>excluir</v>
      </c>
      <c r="L1091" s="40" t="str">
        <f t="shared" ca="1" si="494"/>
        <v>no semana</v>
      </c>
      <c r="M1091" s="40" t="str">
        <f>IFERROR(VLOOKUP(E1091,'cheques a conf'!A:D,4,FALSE),"no clearing")</f>
        <v>no clearing</v>
      </c>
      <c r="N1091" s="40">
        <f t="shared" si="495"/>
        <v>8</v>
      </c>
      <c r="O1091" s="42">
        <f t="shared" si="496"/>
        <v>2</v>
      </c>
      <c r="P1091" s="42">
        <f t="shared" si="497"/>
        <v>2026</v>
      </c>
    </row>
    <row r="1092" spans="1:16" x14ac:dyDescent="0.25">
      <c r="A1092">
        <v>3000000190</v>
      </c>
      <c r="B1092" s="3">
        <v>46063</v>
      </c>
      <c r="C1092" s="9">
        <v>2531323.7400000002</v>
      </c>
      <c r="D1092" t="s">
        <v>303</v>
      </c>
      <c r="E1092">
        <v>97124274</v>
      </c>
      <c r="F1092" s="9">
        <v>2531323.7400000002</v>
      </c>
      <c r="G1092" s="3">
        <v>46071</v>
      </c>
      <c r="H1092" s="21" t="s">
        <v>61</v>
      </c>
      <c r="I1092" s="40" t="str">
        <f>IFERROR(IF(VLOOKUP(E1092,extracto!C:C,1,FALSE)=E1092,"pagado","no pagado"),"no pagado")</f>
        <v>pagado</v>
      </c>
      <c r="J1092" s="41" t="str">
        <f t="shared" si="492"/>
        <v>pagado</v>
      </c>
      <c r="K1092" s="40" t="str">
        <f t="shared" ca="1" si="493"/>
        <v>excluir</v>
      </c>
      <c r="L1092" s="40" t="str">
        <f t="shared" ca="1" si="494"/>
        <v>no semana</v>
      </c>
      <c r="M1092" s="40" t="str">
        <f>IFERROR(VLOOKUP(E1092,'cheques a conf'!A:D,4,FALSE),"no clearing")</f>
        <v>no clearing</v>
      </c>
      <c r="N1092" s="40">
        <f t="shared" si="495"/>
        <v>8</v>
      </c>
      <c r="O1092" s="42">
        <f t="shared" si="496"/>
        <v>2</v>
      </c>
      <c r="P1092" s="42">
        <f t="shared" si="497"/>
        <v>2026</v>
      </c>
    </row>
    <row r="1093" spans="1:16" x14ac:dyDescent="0.25">
      <c r="A1093">
        <v>3000000191</v>
      </c>
      <c r="B1093" s="3">
        <v>46063</v>
      </c>
      <c r="C1093" s="9">
        <v>13554778.1</v>
      </c>
      <c r="D1093" t="s">
        <v>288</v>
      </c>
      <c r="E1093">
        <v>97124275</v>
      </c>
      <c r="F1093" s="9">
        <v>13554778.1</v>
      </c>
      <c r="G1093" s="3">
        <v>46072</v>
      </c>
      <c r="H1093" s="21" t="s">
        <v>61</v>
      </c>
      <c r="I1093" s="40" t="str">
        <f>IFERROR(IF(VLOOKUP(E1093,extracto!C:C,1,FALSE)=E1093,"pagado","no pagado"),"no pagado")</f>
        <v>pagado</v>
      </c>
      <c r="J1093" s="41" t="str">
        <f t="shared" si="492"/>
        <v>pagado</v>
      </c>
      <c r="K1093" s="40" t="str">
        <f t="shared" ca="1" si="493"/>
        <v>excluir</v>
      </c>
      <c r="L1093" s="40" t="str">
        <f t="shared" ca="1" si="494"/>
        <v>no semana</v>
      </c>
      <c r="M1093" s="40" t="str">
        <f>IFERROR(VLOOKUP(E1093,'cheques a conf'!A:D,4,FALSE),"no clearing")</f>
        <v>no clearing</v>
      </c>
      <c r="N1093" s="40">
        <f t="shared" si="495"/>
        <v>8</v>
      </c>
      <c r="O1093" s="42">
        <f t="shared" si="496"/>
        <v>2</v>
      </c>
      <c r="P1093" s="42">
        <f t="shared" si="497"/>
        <v>2026</v>
      </c>
    </row>
    <row r="1094" spans="1:16" x14ac:dyDescent="0.25">
      <c r="A1094">
        <v>3000000181</v>
      </c>
      <c r="B1094" s="3">
        <v>46063</v>
      </c>
      <c r="C1094" s="9">
        <v>19373762.399999999</v>
      </c>
      <c r="D1094" t="s">
        <v>284</v>
      </c>
      <c r="E1094">
        <v>97124276</v>
      </c>
      <c r="F1094" s="9">
        <v>19373762.399999999</v>
      </c>
      <c r="G1094" s="3">
        <v>46072</v>
      </c>
      <c r="H1094" s="21" t="s">
        <v>61</v>
      </c>
      <c r="I1094" s="40" t="str">
        <f>IFERROR(IF(VLOOKUP(E1094,extracto!C:C,1,FALSE)=E1094,"pagado","no pagado"),"no pagado")</f>
        <v>pagado</v>
      </c>
      <c r="J1094" s="41" t="str">
        <f t="shared" si="492"/>
        <v>pagado</v>
      </c>
      <c r="K1094" s="40" t="str">
        <f t="shared" ca="1" si="493"/>
        <v>excluir</v>
      </c>
      <c r="L1094" s="40" t="str">
        <f t="shared" ca="1" si="494"/>
        <v>no semana</v>
      </c>
      <c r="M1094" s="40" t="str">
        <f>IFERROR(VLOOKUP(E1094,'cheques a conf'!A:D,4,FALSE),"no clearing")</f>
        <v>no clearing</v>
      </c>
      <c r="N1094" s="40">
        <f t="shared" si="495"/>
        <v>8</v>
      </c>
      <c r="O1094" s="42">
        <f t="shared" si="496"/>
        <v>2</v>
      </c>
      <c r="P1094" s="42">
        <f t="shared" si="497"/>
        <v>2026</v>
      </c>
    </row>
    <row r="1095" spans="1:16" x14ac:dyDescent="0.25">
      <c r="A1095">
        <v>3000000182</v>
      </c>
      <c r="B1095" s="3">
        <v>46063</v>
      </c>
      <c r="C1095" s="9">
        <v>7730178.5</v>
      </c>
      <c r="D1095" t="s">
        <v>350</v>
      </c>
      <c r="E1095">
        <v>97124277</v>
      </c>
      <c r="F1095" s="9">
        <v>7730178.5</v>
      </c>
      <c r="G1095" s="3">
        <v>46072</v>
      </c>
      <c r="H1095" s="21" t="s">
        <v>61</v>
      </c>
      <c r="I1095" s="40" t="str">
        <f>IFERROR(IF(VLOOKUP(E1095,extracto!C:C,1,FALSE)=E1095,"pagado","no pagado"),"no pagado")</f>
        <v>pagado</v>
      </c>
      <c r="J1095" s="41" t="str">
        <f t="shared" si="492"/>
        <v>pagado</v>
      </c>
      <c r="K1095" s="40" t="str">
        <f t="shared" ca="1" si="493"/>
        <v>excluir</v>
      </c>
      <c r="L1095" s="40" t="str">
        <f t="shared" ca="1" si="494"/>
        <v>no semana</v>
      </c>
      <c r="M1095" s="40" t="str">
        <f>IFERROR(VLOOKUP(E1095,'cheques a conf'!A:D,4,FALSE),"no clearing")</f>
        <v>no clearing</v>
      </c>
      <c r="N1095" s="40">
        <f t="shared" si="495"/>
        <v>8</v>
      </c>
      <c r="O1095" s="42">
        <f t="shared" si="496"/>
        <v>2</v>
      </c>
      <c r="P1095" s="42">
        <f t="shared" si="497"/>
        <v>2026</v>
      </c>
    </row>
    <row r="1096" spans="1:16" x14ac:dyDescent="0.25">
      <c r="A1096">
        <v>3000000183</v>
      </c>
      <c r="B1096" s="3">
        <v>46063</v>
      </c>
      <c r="C1096" s="9">
        <v>12521883.4</v>
      </c>
      <c r="D1096" t="s">
        <v>423</v>
      </c>
      <c r="E1096">
        <v>97124278</v>
      </c>
      <c r="F1096" s="9">
        <v>12521883.4</v>
      </c>
      <c r="G1096" s="3">
        <v>46072</v>
      </c>
      <c r="H1096" s="21" t="s">
        <v>61</v>
      </c>
      <c r="I1096" s="40" t="str">
        <f>IFERROR(IF(VLOOKUP(E1096,extracto!C:C,1,FALSE)=E1096,"pagado","no pagado"),"no pagado")</f>
        <v>pagado</v>
      </c>
      <c r="J1096" s="41" t="str">
        <f t="shared" si="492"/>
        <v>pagado</v>
      </c>
      <c r="K1096" s="40" t="str">
        <f t="shared" ca="1" si="493"/>
        <v>excluir</v>
      </c>
      <c r="L1096" s="40" t="str">
        <f t="shared" ca="1" si="494"/>
        <v>no semana</v>
      </c>
      <c r="M1096" s="40" t="str">
        <f>IFERROR(VLOOKUP(E1096,'cheques a conf'!A:D,4,FALSE),"no clearing")</f>
        <v>no clearing</v>
      </c>
      <c r="N1096" s="40">
        <f t="shared" si="495"/>
        <v>8</v>
      </c>
      <c r="O1096" s="42">
        <f t="shared" si="496"/>
        <v>2</v>
      </c>
      <c r="P1096" s="42">
        <f t="shared" si="497"/>
        <v>2026</v>
      </c>
    </row>
    <row r="1097" spans="1:16" x14ac:dyDescent="0.25">
      <c r="A1097">
        <v>3000000213</v>
      </c>
      <c r="B1097" s="3">
        <v>46065</v>
      </c>
      <c r="C1097" s="9">
        <v>8357788.8700000001</v>
      </c>
      <c r="D1097" t="s">
        <v>302</v>
      </c>
      <c r="E1097">
        <v>97124284</v>
      </c>
      <c r="F1097" s="9">
        <v>8357788.8700000001</v>
      </c>
      <c r="G1097" s="3">
        <v>46073</v>
      </c>
      <c r="H1097" s="21" t="s">
        <v>61</v>
      </c>
      <c r="I1097" s="40" t="str">
        <f>IFERROR(IF(VLOOKUP(E1097,extracto!C:C,1,FALSE)=E1097,"pagado","no pagado"),"no pagado")</f>
        <v>pagado</v>
      </c>
      <c r="J1097" s="41" t="str">
        <f t="shared" si="492"/>
        <v>pagado</v>
      </c>
      <c r="K1097" s="40" t="str">
        <f t="shared" ca="1" si="493"/>
        <v>excluir</v>
      </c>
      <c r="L1097" s="40" t="str">
        <f t="shared" ca="1" si="494"/>
        <v>no semana</v>
      </c>
      <c r="M1097" s="40" t="str">
        <f>IFERROR(VLOOKUP(E1097,'cheques a conf'!A:D,4,FALSE),"no clearing")</f>
        <v>no clearing</v>
      </c>
      <c r="N1097" s="40">
        <f t="shared" si="495"/>
        <v>8</v>
      </c>
      <c r="O1097" s="42">
        <f t="shared" si="496"/>
        <v>2</v>
      </c>
      <c r="P1097" s="42">
        <f t="shared" si="497"/>
        <v>2026</v>
      </c>
    </row>
    <row r="1098" spans="1:16" x14ac:dyDescent="0.25">
      <c r="A1098">
        <v>3000000214</v>
      </c>
      <c r="B1098" s="3">
        <v>46065</v>
      </c>
      <c r="C1098" s="9">
        <v>2510717.92</v>
      </c>
      <c r="D1098" t="s">
        <v>401</v>
      </c>
      <c r="E1098">
        <v>97124285</v>
      </c>
      <c r="F1098" s="9">
        <v>2510717.92</v>
      </c>
      <c r="G1098" s="3">
        <v>46072</v>
      </c>
      <c r="H1098" s="21" t="s">
        <v>61</v>
      </c>
      <c r="I1098" s="40" t="str">
        <f>IFERROR(IF(VLOOKUP(E1098,extracto!C:C,1,FALSE)=E1098,"pagado","no pagado"),"no pagado")</f>
        <v>pagado</v>
      </c>
      <c r="J1098" s="41" t="str">
        <f t="shared" si="492"/>
        <v>pagado</v>
      </c>
      <c r="K1098" s="40" t="str">
        <f t="shared" ca="1" si="493"/>
        <v>excluir</v>
      </c>
      <c r="L1098" s="40" t="str">
        <f t="shared" ca="1" si="494"/>
        <v>no semana</v>
      </c>
      <c r="M1098" s="40" t="str">
        <f>IFERROR(VLOOKUP(E1098,'cheques a conf'!A:D,4,FALSE),"no clearing")</f>
        <v>no clearing</v>
      </c>
      <c r="N1098" s="40">
        <f t="shared" si="495"/>
        <v>8</v>
      </c>
      <c r="O1098" s="42">
        <f t="shared" si="496"/>
        <v>2</v>
      </c>
      <c r="P1098" s="42">
        <f t="shared" si="497"/>
        <v>2026</v>
      </c>
    </row>
    <row r="1099" spans="1:16" x14ac:dyDescent="0.25">
      <c r="A1099">
        <v>3000000215</v>
      </c>
      <c r="B1099" s="3">
        <v>46065</v>
      </c>
      <c r="C1099" s="9">
        <v>7531817.9199999999</v>
      </c>
      <c r="D1099" t="s">
        <v>402</v>
      </c>
      <c r="E1099">
        <v>97124286</v>
      </c>
      <c r="F1099" s="9">
        <v>7531817.9199999999</v>
      </c>
      <c r="G1099" s="3">
        <v>46073</v>
      </c>
      <c r="H1099" s="21" t="s">
        <v>61</v>
      </c>
      <c r="I1099" s="40" t="str">
        <f>IFERROR(IF(VLOOKUP(E1099,extracto!C:C,1,FALSE)=E1099,"pagado","no pagado"),"no pagado")</f>
        <v>pagado</v>
      </c>
      <c r="J1099" s="41" t="str">
        <f t="shared" si="492"/>
        <v>pagado</v>
      </c>
      <c r="K1099" s="40" t="str">
        <f t="shared" ca="1" si="493"/>
        <v>excluir</v>
      </c>
      <c r="L1099" s="40" t="str">
        <f t="shared" ca="1" si="494"/>
        <v>no semana</v>
      </c>
      <c r="M1099" s="40" t="str">
        <f>IFERROR(VLOOKUP(E1099,'cheques a conf'!A:D,4,FALSE),"no clearing")</f>
        <v>no clearing</v>
      </c>
      <c r="N1099" s="40">
        <f t="shared" si="495"/>
        <v>8</v>
      </c>
      <c r="O1099" s="42">
        <f t="shared" si="496"/>
        <v>2</v>
      </c>
      <c r="P1099" s="42">
        <f t="shared" si="497"/>
        <v>2026</v>
      </c>
    </row>
    <row r="1100" spans="1:16" x14ac:dyDescent="0.25">
      <c r="A1100">
        <v>3000000216</v>
      </c>
      <c r="B1100" s="3">
        <v>46065</v>
      </c>
      <c r="C1100" s="9">
        <v>11285687.92</v>
      </c>
      <c r="D1100" t="s">
        <v>359</v>
      </c>
      <c r="E1100">
        <v>97124287</v>
      </c>
      <c r="F1100" s="9">
        <v>11285687.92</v>
      </c>
      <c r="G1100" s="3">
        <v>46073</v>
      </c>
      <c r="H1100" s="21" t="s">
        <v>61</v>
      </c>
      <c r="I1100" s="40" t="str">
        <f>IFERROR(IF(VLOOKUP(E1100,extracto!C:C,1,FALSE)=E1100,"pagado","no pagado"),"no pagado")</f>
        <v>pagado</v>
      </c>
      <c r="J1100" s="41" t="str">
        <f t="shared" si="492"/>
        <v>pagado</v>
      </c>
      <c r="K1100" s="40" t="str">
        <f t="shared" ca="1" si="493"/>
        <v>excluir</v>
      </c>
      <c r="L1100" s="40" t="str">
        <f t="shared" ca="1" si="494"/>
        <v>no semana</v>
      </c>
      <c r="M1100" s="40" t="str">
        <f>IFERROR(VLOOKUP(E1100,'cheques a conf'!A:D,4,FALSE),"no clearing")</f>
        <v>no clearing</v>
      </c>
      <c r="N1100" s="40">
        <f t="shared" si="495"/>
        <v>8</v>
      </c>
      <c r="O1100" s="42">
        <f t="shared" si="496"/>
        <v>2</v>
      </c>
      <c r="P1100" s="42">
        <f t="shared" si="497"/>
        <v>2026</v>
      </c>
    </row>
    <row r="1101" spans="1:16" x14ac:dyDescent="0.25">
      <c r="A1101">
        <v>3000000218</v>
      </c>
      <c r="B1101" s="3">
        <v>46065</v>
      </c>
      <c r="C1101" s="9">
        <v>2333903.17</v>
      </c>
      <c r="D1101" t="s">
        <v>468</v>
      </c>
      <c r="E1101">
        <v>97124288</v>
      </c>
      <c r="F1101" s="9">
        <v>2333903.17</v>
      </c>
      <c r="G1101" s="3">
        <v>46072</v>
      </c>
      <c r="H1101" s="21" t="s">
        <v>61</v>
      </c>
      <c r="I1101" s="40" t="str">
        <f>IFERROR(IF(VLOOKUP(E1101,extracto!C:C,1,FALSE)=E1101,"pagado","no pagado"),"no pagado")</f>
        <v>pagado</v>
      </c>
      <c r="J1101" s="41" t="str">
        <f t="shared" si="492"/>
        <v>pagado</v>
      </c>
      <c r="K1101" s="40" t="str">
        <f t="shared" ca="1" si="493"/>
        <v>excluir</v>
      </c>
      <c r="L1101" s="40" t="str">
        <f t="shared" ca="1" si="494"/>
        <v>no semana</v>
      </c>
      <c r="M1101" s="40" t="str">
        <f>IFERROR(VLOOKUP(E1101,'cheques a conf'!A:D,4,FALSE),"no clearing")</f>
        <v>no clearing</v>
      </c>
      <c r="N1101" s="40">
        <f t="shared" si="495"/>
        <v>8</v>
      </c>
      <c r="O1101" s="42">
        <f t="shared" si="496"/>
        <v>2</v>
      </c>
      <c r="P1101" s="42">
        <f t="shared" si="497"/>
        <v>2026</v>
      </c>
    </row>
    <row r="1102" spans="1:16" x14ac:dyDescent="0.2">
      <c r="A1102" s="21">
        <v>3000000221</v>
      </c>
      <c r="B1102" s="22">
        <v>46071</v>
      </c>
      <c r="C1102" s="20">
        <v>15958400</v>
      </c>
      <c r="D1102" s="21" t="s">
        <v>22</v>
      </c>
      <c r="E1102" s="21">
        <v>97121397</v>
      </c>
      <c r="F1102" s="20">
        <v>15958400</v>
      </c>
      <c r="G1102" s="22">
        <v>46071</v>
      </c>
      <c r="H1102" s="21" t="s">
        <v>61</v>
      </c>
      <c r="I1102" s="40" t="str">
        <f>IFERROR(IF(VLOOKUP(E1102,extracto!C:C,1,FALSE)=E1102,"pagado","no pagado"),"no pagado")</f>
        <v>pagado</v>
      </c>
      <c r="J1102" s="41" t="str">
        <f t="shared" si="492"/>
        <v>pagado</v>
      </c>
      <c r="K1102" s="40" t="str">
        <f t="shared" ca="1" si="493"/>
        <v>excluir</v>
      </c>
      <c r="L1102" s="40" t="str">
        <f t="shared" ca="1" si="494"/>
        <v>no semana</v>
      </c>
      <c r="M1102" s="40" t="str">
        <f>IFERROR(VLOOKUP(E1102,'cheques a conf'!A:D,4,FALSE),"no clearing")</f>
        <v>no clearing</v>
      </c>
      <c r="N1102" s="40">
        <f t="shared" si="495"/>
        <v>8</v>
      </c>
      <c r="O1102" s="42">
        <f t="shared" si="496"/>
        <v>2</v>
      </c>
      <c r="P1102" s="42">
        <f t="shared" si="497"/>
        <v>2026</v>
      </c>
    </row>
    <row r="1103" spans="1:16" x14ac:dyDescent="0.2">
      <c r="A1103" s="21">
        <v>3000000227</v>
      </c>
      <c r="B1103" s="22">
        <v>46071</v>
      </c>
      <c r="C1103" s="20">
        <v>5453317.1100000003</v>
      </c>
      <c r="D1103" s="21" t="s">
        <v>469</v>
      </c>
      <c r="E1103" s="21">
        <v>97124289</v>
      </c>
      <c r="F1103" s="20">
        <v>5453317.1100000003</v>
      </c>
      <c r="G1103" s="22">
        <v>46076</v>
      </c>
      <c r="H1103" s="21" t="s">
        <v>61</v>
      </c>
      <c r="I1103" s="40" t="str">
        <f>IFERROR(IF(VLOOKUP(E1103,extracto!C:C,1,FALSE)=E1103,"pagado","no pagado"),"no pagado")</f>
        <v>pagado</v>
      </c>
      <c r="J1103" s="41" t="str">
        <f t="shared" si="492"/>
        <v>pagado</v>
      </c>
      <c r="K1103" s="40" t="str">
        <f t="shared" ca="1" si="493"/>
        <v>excluir</v>
      </c>
      <c r="L1103" s="40" t="str">
        <f t="shared" ca="1" si="494"/>
        <v>no semana</v>
      </c>
      <c r="M1103" s="40" t="str">
        <f>IFERROR(VLOOKUP(E1103,'cheques a conf'!A:D,4,FALSE),"no clearing")</f>
        <v>no clearing</v>
      </c>
      <c r="N1103" s="40">
        <f t="shared" si="495"/>
        <v>9</v>
      </c>
      <c r="O1103" s="42">
        <f t="shared" si="496"/>
        <v>2</v>
      </c>
      <c r="P1103" s="42">
        <f t="shared" si="497"/>
        <v>2026</v>
      </c>
    </row>
    <row r="1104" spans="1:16" x14ac:dyDescent="0.2">
      <c r="A1104" s="21">
        <v>3000000228</v>
      </c>
      <c r="B1104" s="22">
        <v>46071</v>
      </c>
      <c r="C1104" s="20">
        <v>4907492.3</v>
      </c>
      <c r="D1104" s="21" t="s">
        <v>470</v>
      </c>
      <c r="E1104" s="21">
        <v>97124290</v>
      </c>
      <c r="F1104" s="20">
        <v>4907492.3</v>
      </c>
      <c r="G1104" s="22">
        <v>46076</v>
      </c>
      <c r="H1104" s="21" t="s">
        <v>61</v>
      </c>
      <c r="I1104" s="40" t="str">
        <f>IFERROR(IF(VLOOKUP(E1104,extracto!C:C,1,FALSE)=E1104,"pagado","no pagado"),"no pagado")</f>
        <v>pagado</v>
      </c>
      <c r="J1104" s="41" t="str">
        <f t="shared" ref="J1104:J1108" si="498">IF(I1104="pagado","pagado",IF(G1104&lt;$V$1-30,"fuera de fecha","en periodo de pago"))</f>
        <v>pagado</v>
      </c>
      <c r="K1104" s="40" t="str">
        <f t="shared" ref="K1104:K1108" ca="1" si="499">+IF(B1104&gt;$V$1,"excluir",IF(J1104="en periodo de pago",IF($V$1&gt;G1104,"a pagar","proximo a vencer"),"excluir"))</f>
        <v>excluir</v>
      </c>
      <c r="L1104" s="40" t="str">
        <f t="shared" ref="L1104:L1108" ca="1" si="500">+IF(K1104="proximo a vencer",IF($V$1+5&gt;G1104,"para la semana","no semana"),"no semana")</f>
        <v>no semana</v>
      </c>
      <c r="M1104" s="40" t="str">
        <f>IFERROR(VLOOKUP(E1104,'cheques a conf'!A:D,4,FALSE),"no clearing")</f>
        <v>no clearing</v>
      </c>
      <c r="N1104" s="40">
        <f t="shared" ref="N1104:N1108" si="501">+WEEKNUM(G1104,2)</f>
        <v>9</v>
      </c>
      <c r="O1104" s="42">
        <f t="shared" ref="O1104:O1108" si="502">+MONTH(G1104)</f>
        <v>2</v>
      </c>
      <c r="P1104" s="42">
        <f t="shared" ref="P1104:P1108" si="503">+YEAR(G1104)</f>
        <v>2026</v>
      </c>
    </row>
    <row r="1105" spans="1:16" x14ac:dyDescent="0.2">
      <c r="A1105" s="21">
        <v>3000000229</v>
      </c>
      <c r="B1105" s="22">
        <v>46071</v>
      </c>
      <c r="C1105" s="20">
        <v>12558679.5</v>
      </c>
      <c r="D1105" s="21" t="s">
        <v>30</v>
      </c>
      <c r="E1105" s="21">
        <v>97124291</v>
      </c>
      <c r="F1105" s="20">
        <v>12558679.5</v>
      </c>
      <c r="G1105" s="22">
        <v>46076</v>
      </c>
      <c r="H1105" s="21" t="s">
        <v>61</v>
      </c>
      <c r="I1105" s="40" t="str">
        <f>IFERROR(IF(VLOOKUP(E1105,extracto!C:C,1,FALSE)=E1105,"pagado","no pagado"),"no pagado")</f>
        <v>pagado</v>
      </c>
      <c r="J1105" s="41" t="str">
        <f t="shared" si="498"/>
        <v>pagado</v>
      </c>
      <c r="K1105" s="40" t="str">
        <f t="shared" ca="1" si="499"/>
        <v>excluir</v>
      </c>
      <c r="L1105" s="40" t="str">
        <f t="shared" ca="1" si="500"/>
        <v>no semana</v>
      </c>
      <c r="M1105" s="40" t="str">
        <f>IFERROR(VLOOKUP(E1105,'cheques a conf'!A:D,4,FALSE),"no clearing")</f>
        <v>no clearing</v>
      </c>
      <c r="N1105" s="40">
        <f t="shared" si="501"/>
        <v>9</v>
      </c>
      <c r="O1105" s="42">
        <f t="shared" si="502"/>
        <v>2</v>
      </c>
      <c r="P1105" s="42">
        <f t="shared" si="503"/>
        <v>2026</v>
      </c>
    </row>
    <row r="1106" spans="1:16" x14ac:dyDescent="0.2">
      <c r="A1106" s="21">
        <v>3000000230</v>
      </c>
      <c r="B1106" s="22">
        <v>46071</v>
      </c>
      <c r="C1106" s="20">
        <v>6090000</v>
      </c>
      <c r="D1106" s="21" t="s">
        <v>426</v>
      </c>
      <c r="E1106" s="21">
        <v>97124292</v>
      </c>
      <c r="F1106" s="20">
        <v>6090000</v>
      </c>
      <c r="G1106" s="22">
        <v>46073</v>
      </c>
      <c r="H1106" s="21" t="s">
        <v>61</v>
      </c>
      <c r="I1106" s="40" t="str">
        <f>IFERROR(IF(VLOOKUP(E1106,extracto!C:C,1,FALSE)=E1106,"pagado","no pagado"),"no pagado")</f>
        <v>pagado</v>
      </c>
      <c r="J1106" s="41" t="str">
        <f t="shared" si="498"/>
        <v>pagado</v>
      </c>
      <c r="K1106" s="40" t="str">
        <f t="shared" ca="1" si="499"/>
        <v>excluir</v>
      </c>
      <c r="L1106" s="40" t="str">
        <f t="shared" ca="1" si="500"/>
        <v>no semana</v>
      </c>
      <c r="M1106" s="40" t="str">
        <f>IFERROR(VLOOKUP(E1106,'cheques a conf'!A:D,4,FALSE),"no clearing")</f>
        <v>no clearing</v>
      </c>
      <c r="N1106" s="40">
        <f t="shared" si="501"/>
        <v>8</v>
      </c>
      <c r="O1106" s="42">
        <f t="shared" si="502"/>
        <v>2</v>
      </c>
      <c r="P1106" s="42">
        <f t="shared" si="503"/>
        <v>2026</v>
      </c>
    </row>
    <row r="1107" spans="1:16" x14ac:dyDescent="0.2">
      <c r="A1107" s="21">
        <v>3000000231</v>
      </c>
      <c r="B1107" s="22">
        <v>46071</v>
      </c>
      <c r="C1107" s="20">
        <v>12614034.4</v>
      </c>
      <c r="D1107" s="21" t="s">
        <v>471</v>
      </c>
      <c r="E1107" s="21">
        <v>97124293</v>
      </c>
      <c r="F1107" s="20">
        <v>12614034.4</v>
      </c>
      <c r="G1107" s="22">
        <v>46073</v>
      </c>
      <c r="H1107" s="21" t="s">
        <v>61</v>
      </c>
      <c r="I1107" s="40" t="str">
        <f>IFERROR(IF(VLOOKUP(E1107,extracto!C:C,1,FALSE)=E1107,"pagado","no pagado"),"no pagado")</f>
        <v>pagado</v>
      </c>
      <c r="J1107" s="41" t="str">
        <f t="shared" si="498"/>
        <v>pagado</v>
      </c>
      <c r="K1107" s="40" t="str">
        <f t="shared" ca="1" si="499"/>
        <v>excluir</v>
      </c>
      <c r="L1107" s="40" t="str">
        <f t="shared" ca="1" si="500"/>
        <v>no semana</v>
      </c>
      <c r="M1107" s="40" t="str">
        <f>IFERROR(VLOOKUP(E1107,'cheques a conf'!A:D,4,FALSE),"no clearing")</f>
        <v>no clearing</v>
      </c>
      <c r="N1107" s="40">
        <f t="shared" si="501"/>
        <v>8</v>
      </c>
      <c r="O1107" s="42">
        <f t="shared" si="502"/>
        <v>2</v>
      </c>
      <c r="P1107" s="42">
        <f t="shared" si="503"/>
        <v>2026</v>
      </c>
    </row>
    <row r="1108" spans="1:16" x14ac:dyDescent="0.2">
      <c r="A1108" s="21">
        <v>3000000232</v>
      </c>
      <c r="B1108" s="22">
        <v>46071</v>
      </c>
      <c r="C1108" s="20">
        <v>7230543.4000000004</v>
      </c>
      <c r="D1108" s="21" t="s">
        <v>383</v>
      </c>
      <c r="E1108" s="21">
        <v>97124294</v>
      </c>
      <c r="F1108" s="20">
        <v>7230543.4000000004</v>
      </c>
      <c r="G1108" s="22">
        <v>46076</v>
      </c>
      <c r="H1108" s="21" t="s">
        <v>61</v>
      </c>
      <c r="I1108" s="40" t="str">
        <f>IFERROR(IF(VLOOKUP(E1108,extracto!C:C,1,FALSE)=E1108,"pagado","no pagado"),"no pagado")</f>
        <v>pagado</v>
      </c>
      <c r="J1108" s="41" t="str">
        <f t="shared" si="498"/>
        <v>pagado</v>
      </c>
      <c r="K1108" s="40" t="str">
        <f t="shared" ca="1" si="499"/>
        <v>excluir</v>
      </c>
      <c r="L1108" s="40" t="str">
        <f t="shared" ca="1" si="500"/>
        <v>no semana</v>
      </c>
      <c r="M1108" s="40" t="str">
        <f>IFERROR(VLOOKUP(E1108,'cheques a conf'!A:D,4,FALSE),"no clearing")</f>
        <v>no clearing</v>
      </c>
      <c r="N1108" s="40">
        <f t="shared" si="501"/>
        <v>9</v>
      </c>
      <c r="O1108" s="42">
        <f t="shared" si="502"/>
        <v>2</v>
      </c>
      <c r="P1108" s="42">
        <f t="shared" si="503"/>
        <v>2026</v>
      </c>
    </row>
    <row r="1109" spans="1:16" x14ac:dyDescent="0.2">
      <c r="A1109" s="21">
        <v>3000001695</v>
      </c>
      <c r="B1109" s="22">
        <v>46071</v>
      </c>
      <c r="C1109" s="20">
        <v>5542675.0199999996</v>
      </c>
      <c r="D1109" s="21" t="s">
        <v>350</v>
      </c>
      <c r="E1109" s="21">
        <v>97124295</v>
      </c>
      <c r="F1109" s="20">
        <v>5542675.0199999996</v>
      </c>
      <c r="G1109" s="22">
        <v>46073</v>
      </c>
      <c r="H1109" s="21" t="s">
        <v>61</v>
      </c>
      <c r="I1109" s="40" t="str">
        <f>IFERROR(IF(VLOOKUP(E1109,extracto!C:C,1,FALSE)=E1109,"pagado","no pagado"),"no pagado")</f>
        <v>pagado</v>
      </c>
      <c r="J1109" s="41" t="str">
        <f t="shared" ref="J1109:J1110" si="504">IF(I1109="pagado","pagado",IF(G1109&lt;$V$1-30,"fuera de fecha","en periodo de pago"))</f>
        <v>pagado</v>
      </c>
      <c r="K1109" s="40" t="str">
        <f t="shared" ref="K1109:K1110" ca="1" si="505">+IF(B1109&gt;$V$1,"excluir",IF(J1109="en periodo de pago",IF($V$1&gt;G1109,"a pagar","proximo a vencer"),"excluir"))</f>
        <v>excluir</v>
      </c>
      <c r="L1109" s="40" t="str">
        <f t="shared" ref="L1109:L1110" ca="1" si="506">+IF(K1109="proximo a vencer",IF($V$1+5&gt;G1109,"para la semana","no semana"),"no semana")</f>
        <v>no semana</v>
      </c>
      <c r="M1109" s="40" t="str">
        <f>IFERROR(VLOOKUP(E1109,'cheques a conf'!A:D,4,FALSE),"no clearing")</f>
        <v>no clearing</v>
      </c>
      <c r="N1109" s="40">
        <f t="shared" ref="N1109:N1110" si="507">+WEEKNUM(G1109,2)</f>
        <v>8</v>
      </c>
      <c r="O1109" s="42">
        <f t="shared" ref="O1109:O1110" si="508">+MONTH(G1109)</f>
        <v>2</v>
      </c>
      <c r="P1109" s="42">
        <f t="shared" ref="P1109:P1110" si="509">+YEAR(G1109)</f>
        <v>2026</v>
      </c>
    </row>
    <row r="1110" spans="1:16" x14ac:dyDescent="0.2">
      <c r="A1110" s="21">
        <v>3000000254</v>
      </c>
      <c r="B1110" s="22">
        <v>46076</v>
      </c>
      <c r="C1110" s="20">
        <v>9559194.0500000007</v>
      </c>
      <c r="D1110" s="21" t="s">
        <v>394</v>
      </c>
      <c r="E1110" s="21">
        <v>97124296</v>
      </c>
      <c r="F1110" s="20">
        <v>9559194.0500000007</v>
      </c>
      <c r="G1110" s="22">
        <v>46078</v>
      </c>
      <c r="H1110" s="21" t="s">
        <v>61</v>
      </c>
      <c r="I1110" s="40" t="str">
        <f>IFERROR(IF(VLOOKUP(E1110,extracto!C:C,1,FALSE)=E1110,"pagado","no pagado"),"no pagado")</f>
        <v>pagado</v>
      </c>
      <c r="J1110" s="41" t="str">
        <f t="shared" si="504"/>
        <v>pagado</v>
      </c>
      <c r="K1110" s="40" t="str">
        <f t="shared" ca="1" si="505"/>
        <v>excluir</v>
      </c>
      <c r="L1110" s="40" t="str">
        <f t="shared" ca="1" si="506"/>
        <v>no semana</v>
      </c>
      <c r="M1110" s="40" t="str">
        <f>IFERROR(VLOOKUP(E1110,'cheques a conf'!A:D,4,FALSE),"no clearing")</f>
        <v>no clearing</v>
      </c>
      <c r="N1110" s="40">
        <f t="shared" si="507"/>
        <v>9</v>
      </c>
      <c r="O1110" s="42">
        <f t="shared" si="508"/>
        <v>2</v>
      </c>
      <c r="P1110" s="42">
        <f t="shared" si="509"/>
        <v>2026</v>
      </c>
    </row>
    <row r="1111" spans="1:16" x14ac:dyDescent="0.2">
      <c r="A1111" s="21">
        <v>3000000255</v>
      </c>
      <c r="B1111" s="22">
        <v>46076</v>
      </c>
      <c r="C1111" s="20">
        <v>6185979.0300000003</v>
      </c>
      <c r="D1111" s="21" t="s">
        <v>344</v>
      </c>
      <c r="E1111" s="21">
        <v>97124297</v>
      </c>
      <c r="F1111" s="20">
        <v>6185979.0300000003</v>
      </c>
      <c r="G1111" s="22">
        <v>46078</v>
      </c>
      <c r="H1111" s="21" t="s">
        <v>61</v>
      </c>
      <c r="I1111" s="40" t="str">
        <f>IFERROR(IF(VLOOKUP(E1111,extracto!C:C,1,FALSE)=E1111,"pagado","no pagado"),"no pagado")</f>
        <v>pagado</v>
      </c>
      <c r="J1111" s="41" t="str">
        <f t="shared" ref="J1111:J1131" si="510">IF(I1111="pagado","pagado",IF(G1111&lt;$V$1-30,"fuera de fecha","en periodo de pago"))</f>
        <v>pagado</v>
      </c>
      <c r="K1111" s="40" t="str">
        <f t="shared" ref="K1111:K1131" ca="1" si="511">+IF(B1111&gt;$V$1,"excluir",IF(J1111="en periodo de pago",IF($V$1&gt;G1111,"a pagar","proximo a vencer"),"excluir"))</f>
        <v>excluir</v>
      </c>
      <c r="L1111" s="40" t="str">
        <f t="shared" ref="L1111:L1131" ca="1" si="512">+IF(K1111="proximo a vencer",IF($V$1+5&gt;G1111,"para la semana","no semana"),"no semana")</f>
        <v>no semana</v>
      </c>
      <c r="M1111" s="40" t="str">
        <f>IFERROR(VLOOKUP(E1111,'cheques a conf'!A:D,4,FALSE),"no clearing")</f>
        <v>no clearing</v>
      </c>
      <c r="N1111" s="40">
        <f t="shared" ref="N1111:N1131" si="513">+WEEKNUM(G1111,2)</f>
        <v>9</v>
      </c>
      <c r="O1111" s="42">
        <f t="shared" ref="O1111:O1131" si="514">+MONTH(G1111)</f>
        <v>2</v>
      </c>
      <c r="P1111" s="42">
        <f t="shared" ref="P1111:P1131" si="515">+YEAR(G1111)</f>
        <v>2026</v>
      </c>
    </row>
    <row r="1112" spans="1:16" x14ac:dyDescent="0.2">
      <c r="A1112" s="21">
        <v>3000000255</v>
      </c>
      <c r="B1112" s="22">
        <v>46076</v>
      </c>
      <c r="C1112" s="20">
        <v>7897178.8899999997</v>
      </c>
      <c r="D1112" s="21" t="s">
        <v>344</v>
      </c>
      <c r="E1112" s="21">
        <v>97124298</v>
      </c>
      <c r="F1112" s="20">
        <v>7897178.8899999997</v>
      </c>
      <c r="G1112" s="22">
        <v>46079</v>
      </c>
      <c r="H1112" s="21" t="s">
        <v>61</v>
      </c>
      <c r="I1112" s="40" t="str">
        <f>IFERROR(IF(VLOOKUP(E1112,extracto!C:C,1,FALSE)=E1112,"pagado","no pagado"),"no pagado")</f>
        <v>pagado</v>
      </c>
      <c r="J1112" s="41" t="str">
        <f t="shared" si="510"/>
        <v>pagado</v>
      </c>
      <c r="K1112" s="40" t="str">
        <f t="shared" ca="1" si="511"/>
        <v>excluir</v>
      </c>
      <c r="L1112" s="40" t="str">
        <f t="shared" ca="1" si="512"/>
        <v>no semana</v>
      </c>
      <c r="M1112" s="40" t="str">
        <f>IFERROR(VLOOKUP(E1112,'cheques a conf'!A:D,4,FALSE),"no clearing")</f>
        <v>no clearing</v>
      </c>
      <c r="N1112" s="40">
        <f t="shared" si="513"/>
        <v>9</v>
      </c>
      <c r="O1112" s="42">
        <f t="shared" si="514"/>
        <v>2</v>
      </c>
      <c r="P1112" s="42">
        <f t="shared" si="515"/>
        <v>2026</v>
      </c>
    </row>
    <row r="1113" spans="1:16" x14ac:dyDescent="0.2">
      <c r="A1113" s="21">
        <v>3000000256</v>
      </c>
      <c r="B1113" s="22">
        <v>46076</v>
      </c>
      <c r="C1113" s="20">
        <v>24339630.539999999</v>
      </c>
      <c r="D1113" s="21" t="s">
        <v>340</v>
      </c>
      <c r="E1113" s="21">
        <v>97124299</v>
      </c>
      <c r="F1113" s="20">
        <v>24339630.539999999</v>
      </c>
      <c r="G1113" s="22">
        <v>46079</v>
      </c>
      <c r="H1113" s="21" t="s">
        <v>61</v>
      </c>
      <c r="I1113" s="40" t="str">
        <f>IFERROR(IF(VLOOKUP(E1113,extracto!C:C,1,FALSE)=E1113,"pagado","no pagado"),"no pagado")</f>
        <v>pagado</v>
      </c>
      <c r="J1113" s="41" t="str">
        <f t="shared" si="510"/>
        <v>pagado</v>
      </c>
      <c r="K1113" s="40" t="str">
        <f t="shared" ca="1" si="511"/>
        <v>excluir</v>
      </c>
      <c r="L1113" s="40" t="str">
        <f t="shared" ca="1" si="512"/>
        <v>no semana</v>
      </c>
      <c r="M1113" s="40" t="str">
        <f>IFERROR(VLOOKUP(E1113,'cheques a conf'!A:D,4,FALSE),"no clearing")</f>
        <v>no clearing</v>
      </c>
      <c r="N1113" s="40">
        <f t="shared" si="513"/>
        <v>9</v>
      </c>
      <c r="O1113" s="42">
        <f t="shared" si="514"/>
        <v>2</v>
      </c>
      <c r="P1113" s="42">
        <f t="shared" si="515"/>
        <v>2026</v>
      </c>
    </row>
    <row r="1114" spans="1:16" x14ac:dyDescent="0.2">
      <c r="A1114" s="21">
        <v>3000000257</v>
      </c>
      <c r="B1114" s="22">
        <v>46076</v>
      </c>
      <c r="C1114" s="20">
        <v>20000000</v>
      </c>
      <c r="D1114" s="21" t="s">
        <v>300</v>
      </c>
      <c r="E1114" s="21">
        <v>97124300</v>
      </c>
      <c r="F1114" s="20">
        <v>20000000</v>
      </c>
      <c r="G1114" s="22">
        <v>46078</v>
      </c>
      <c r="H1114" s="21" t="s">
        <v>61</v>
      </c>
      <c r="I1114" s="40" t="str">
        <f>IFERROR(IF(VLOOKUP(E1114,extracto!C:C,1,FALSE)=E1114,"pagado","no pagado"),"no pagado")</f>
        <v>pagado</v>
      </c>
      <c r="J1114" s="41" t="str">
        <f t="shared" si="510"/>
        <v>pagado</v>
      </c>
      <c r="K1114" s="40" t="str">
        <f t="shared" ca="1" si="511"/>
        <v>excluir</v>
      </c>
      <c r="L1114" s="40" t="str">
        <f t="shared" ca="1" si="512"/>
        <v>no semana</v>
      </c>
      <c r="M1114" s="40" t="str">
        <f>IFERROR(VLOOKUP(E1114,'cheques a conf'!A:D,4,FALSE),"no clearing")</f>
        <v>no clearing</v>
      </c>
      <c r="N1114" s="40">
        <f t="shared" si="513"/>
        <v>9</v>
      </c>
      <c r="O1114" s="42">
        <f t="shared" si="514"/>
        <v>2</v>
      </c>
      <c r="P1114" s="42">
        <f t="shared" si="515"/>
        <v>2026</v>
      </c>
    </row>
    <row r="1115" spans="1:16" x14ac:dyDescent="0.2">
      <c r="A1115" s="21">
        <v>3000000257</v>
      </c>
      <c r="B1115" s="22">
        <v>46076</v>
      </c>
      <c r="C1115" s="20">
        <v>21726475.579999998</v>
      </c>
      <c r="D1115" s="21" t="s">
        <v>300</v>
      </c>
      <c r="E1115" s="21">
        <v>97124301</v>
      </c>
      <c r="F1115" s="20">
        <v>21726475.579999998</v>
      </c>
      <c r="G1115" s="22">
        <v>46079</v>
      </c>
      <c r="H1115" s="21" t="s">
        <v>61</v>
      </c>
      <c r="I1115" s="40" t="str">
        <f>IFERROR(IF(VLOOKUP(E1115,extracto!C:C,1,FALSE)=E1115,"pagado","no pagado"),"no pagado")</f>
        <v>pagado</v>
      </c>
      <c r="J1115" s="41" t="str">
        <f t="shared" si="510"/>
        <v>pagado</v>
      </c>
      <c r="K1115" s="40" t="str">
        <f t="shared" ca="1" si="511"/>
        <v>excluir</v>
      </c>
      <c r="L1115" s="40" t="str">
        <f t="shared" ca="1" si="512"/>
        <v>no semana</v>
      </c>
      <c r="M1115" s="40" t="str">
        <f>IFERROR(VLOOKUP(E1115,'cheques a conf'!A:D,4,FALSE),"no clearing")</f>
        <v>no clearing</v>
      </c>
      <c r="N1115" s="40">
        <f t="shared" si="513"/>
        <v>9</v>
      </c>
      <c r="O1115" s="42">
        <f t="shared" si="514"/>
        <v>2</v>
      </c>
      <c r="P1115" s="42">
        <f t="shared" si="515"/>
        <v>2026</v>
      </c>
    </row>
    <row r="1116" spans="1:16" x14ac:dyDescent="0.2">
      <c r="A1116" s="21">
        <v>3000000258</v>
      </c>
      <c r="B1116" s="22">
        <v>46076</v>
      </c>
      <c r="C1116" s="20">
        <v>4300000</v>
      </c>
      <c r="D1116" s="21" t="s">
        <v>472</v>
      </c>
      <c r="E1116" s="21">
        <v>97124302</v>
      </c>
      <c r="F1116" s="20">
        <v>4300000</v>
      </c>
      <c r="G1116" s="22">
        <v>46078</v>
      </c>
      <c r="H1116" s="21" t="s">
        <v>61</v>
      </c>
      <c r="I1116" s="40" t="str">
        <f>IFERROR(IF(VLOOKUP(E1116,extracto!C:C,1,FALSE)=E1116,"pagado","no pagado"),"no pagado")</f>
        <v>pagado</v>
      </c>
      <c r="J1116" s="41" t="str">
        <f t="shared" si="510"/>
        <v>pagado</v>
      </c>
      <c r="K1116" s="40" t="str">
        <f t="shared" ca="1" si="511"/>
        <v>excluir</v>
      </c>
      <c r="L1116" s="40" t="str">
        <f t="shared" ca="1" si="512"/>
        <v>no semana</v>
      </c>
      <c r="M1116" s="40" t="str">
        <f>IFERROR(VLOOKUP(E1116,'cheques a conf'!A:D,4,FALSE),"no clearing")</f>
        <v>no clearing</v>
      </c>
      <c r="N1116" s="40">
        <f t="shared" si="513"/>
        <v>9</v>
      </c>
      <c r="O1116" s="42">
        <f t="shared" si="514"/>
        <v>2</v>
      </c>
      <c r="P1116" s="42">
        <f t="shared" si="515"/>
        <v>2026</v>
      </c>
    </row>
    <row r="1117" spans="1:16" x14ac:dyDescent="0.2">
      <c r="A1117" s="21">
        <v>3000000259</v>
      </c>
      <c r="B1117" s="22">
        <v>46076</v>
      </c>
      <c r="C1117" s="20">
        <v>12225023.4</v>
      </c>
      <c r="D1117" s="21" t="s">
        <v>353</v>
      </c>
      <c r="E1117" s="21">
        <v>97124303</v>
      </c>
      <c r="F1117" s="20">
        <v>12225023.4</v>
      </c>
      <c r="G1117" s="22">
        <v>46079</v>
      </c>
      <c r="H1117" s="21" t="s">
        <v>61</v>
      </c>
      <c r="I1117" s="40" t="str">
        <f>IFERROR(IF(VLOOKUP(E1117,extracto!C:C,1,FALSE)=E1117,"pagado","no pagado"),"no pagado")</f>
        <v>pagado</v>
      </c>
      <c r="J1117" s="41" t="str">
        <f t="shared" si="510"/>
        <v>pagado</v>
      </c>
      <c r="K1117" s="40" t="str">
        <f t="shared" ca="1" si="511"/>
        <v>excluir</v>
      </c>
      <c r="L1117" s="40" t="str">
        <f t="shared" ca="1" si="512"/>
        <v>no semana</v>
      </c>
      <c r="M1117" s="40" t="str">
        <f>IFERROR(VLOOKUP(E1117,'cheques a conf'!A:D,4,FALSE),"no clearing")</f>
        <v>no clearing</v>
      </c>
      <c r="N1117" s="40">
        <f t="shared" si="513"/>
        <v>9</v>
      </c>
      <c r="O1117" s="42">
        <f t="shared" si="514"/>
        <v>2</v>
      </c>
      <c r="P1117" s="42">
        <f t="shared" si="515"/>
        <v>2026</v>
      </c>
    </row>
    <row r="1118" spans="1:16" x14ac:dyDescent="0.2">
      <c r="A1118" s="21">
        <v>3000000260</v>
      </c>
      <c r="B1118" s="22">
        <v>46076</v>
      </c>
      <c r="C1118" s="20">
        <v>5364298.5</v>
      </c>
      <c r="D1118" s="21" t="s">
        <v>350</v>
      </c>
      <c r="E1118" s="21">
        <v>97124304</v>
      </c>
      <c r="F1118" s="20">
        <v>5364298.5</v>
      </c>
      <c r="G1118" s="22">
        <v>46078</v>
      </c>
      <c r="H1118" s="21" t="s">
        <v>61</v>
      </c>
      <c r="I1118" s="40" t="str">
        <f>IFERROR(IF(VLOOKUP(E1118,extracto!C:C,1,FALSE)=E1118,"pagado","no pagado"),"no pagado")</f>
        <v>pagado</v>
      </c>
      <c r="J1118" s="41" t="str">
        <f t="shared" si="510"/>
        <v>pagado</v>
      </c>
      <c r="K1118" s="40" t="str">
        <f t="shared" ca="1" si="511"/>
        <v>excluir</v>
      </c>
      <c r="L1118" s="40" t="str">
        <f t="shared" ca="1" si="512"/>
        <v>no semana</v>
      </c>
      <c r="M1118" s="40" t="str">
        <f>IFERROR(VLOOKUP(E1118,'cheques a conf'!A:D,4,FALSE),"no clearing")</f>
        <v>no clearing</v>
      </c>
      <c r="N1118" s="40">
        <f t="shared" si="513"/>
        <v>9</v>
      </c>
      <c r="O1118" s="42">
        <f t="shared" si="514"/>
        <v>2</v>
      </c>
      <c r="P1118" s="42">
        <f t="shared" si="515"/>
        <v>2026</v>
      </c>
    </row>
    <row r="1119" spans="1:16" x14ac:dyDescent="0.2">
      <c r="A1119" s="21">
        <v>3000000261</v>
      </c>
      <c r="B1119" s="22">
        <v>46076</v>
      </c>
      <c r="C1119" s="20">
        <v>4653456.5</v>
      </c>
      <c r="D1119" s="21" t="s">
        <v>347</v>
      </c>
      <c r="E1119" s="21">
        <v>97124305</v>
      </c>
      <c r="F1119" s="20">
        <v>4653456.5</v>
      </c>
      <c r="G1119" s="22">
        <v>46078</v>
      </c>
      <c r="H1119" s="21" t="s">
        <v>61</v>
      </c>
      <c r="I1119" s="40" t="str">
        <f>IFERROR(IF(VLOOKUP(E1119,extracto!C:C,1,FALSE)=E1119,"pagado","no pagado"),"no pagado")</f>
        <v>pagado</v>
      </c>
      <c r="J1119" s="41" t="str">
        <f t="shared" si="510"/>
        <v>pagado</v>
      </c>
      <c r="K1119" s="40" t="str">
        <f t="shared" ca="1" si="511"/>
        <v>excluir</v>
      </c>
      <c r="L1119" s="40" t="str">
        <f t="shared" ca="1" si="512"/>
        <v>no semana</v>
      </c>
      <c r="M1119" s="40" t="str">
        <f>IFERROR(VLOOKUP(E1119,'cheques a conf'!A:D,4,FALSE),"no clearing")</f>
        <v>no clearing</v>
      </c>
      <c r="N1119" s="40">
        <f t="shared" si="513"/>
        <v>9</v>
      </c>
      <c r="O1119" s="42">
        <f t="shared" si="514"/>
        <v>2</v>
      </c>
      <c r="P1119" s="42">
        <f t="shared" si="515"/>
        <v>2026</v>
      </c>
    </row>
    <row r="1120" spans="1:16" x14ac:dyDescent="0.2">
      <c r="A1120" s="21">
        <v>3000000262</v>
      </c>
      <c r="B1120" s="22">
        <v>46076</v>
      </c>
      <c r="C1120" s="20">
        <v>5000000</v>
      </c>
      <c r="D1120" s="21" t="s">
        <v>287</v>
      </c>
      <c r="E1120" s="21">
        <v>97124306</v>
      </c>
      <c r="F1120" s="20">
        <v>5000000</v>
      </c>
      <c r="G1120" s="22">
        <v>46078</v>
      </c>
      <c r="H1120" s="21" t="s">
        <v>61</v>
      </c>
      <c r="I1120" s="40" t="str">
        <f>IFERROR(IF(VLOOKUP(E1120,extracto!C:C,1,FALSE)=E1120,"pagado","no pagado"),"no pagado")</f>
        <v>pagado</v>
      </c>
      <c r="J1120" s="41" t="str">
        <f t="shared" si="510"/>
        <v>pagado</v>
      </c>
      <c r="K1120" s="40" t="str">
        <f t="shared" ca="1" si="511"/>
        <v>excluir</v>
      </c>
      <c r="L1120" s="40" t="str">
        <f t="shared" ca="1" si="512"/>
        <v>no semana</v>
      </c>
      <c r="M1120" s="40" t="str">
        <f>IFERROR(VLOOKUP(E1120,'cheques a conf'!A:D,4,FALSE),"no clearing")</f>
        <v>no clearing</v>
      </c>
      <c r="N1120" s="40">
        <f t="shared" si="513"/>
        <v>9</v>
      </c>
      <c r="O1120" s="42">
        <f t="shared" si="514"/>
        <v>2</v>
      </c>
      <c r="P1120" s="42">
        <f t="shared" si="515"/>
        <v>2026</v>
      </c>
    </row>
    <row r="1121" spans="1:16" x14ac:dyDescent="0.2">
      <c r="A1121" s="21">
        <v>3000000262</v>
      </c>
      <c r="B1121" s="22">
        <v>46076</v>
      </c>
      <c r="C1121" s="20">
        <v>5000000</v>
      </c>
      <c r="D1121" s="21" t="s">
        <v>287</v>
      </c>
      <c r="E1121" s="21">
        <v>97124307</v>
      </c>
      <c r="F1121" s="20">
        <v>5000000</v>
      </c>
      <c r="G1121" s="22">
        <v>46079</v>
      </c>
      <c r="H1121" s="21" t="s">
        <v>61</v>
      </c>
      <c r="I1121" s="40" t="str">
        <f>IFERROR(IF(VLOOKUP(E1121,extracto!C:C,1,FALSE)=E1121,"pagado","no pagado"),"no pagado")</f>
        <v>pagado</v>
      </c>
      <c r="J1121" s="41" t="str">
        <f t="shared" si="510"/>
        <v>pagado</v>
      </c>
      <c r="K1121" s="40" t="str">
        <f t="shared" ca="1" si="511"/>
        <v>excluir</v>
      </c>
      <c r="L1121" s="40" t="str">
        <f t="shared" ca="1" si="512"/>
        <v>no semana</v>
      </c>
      <c r="M1121" s="40" t="str">
        <f>IFERROR(VLOOKUP(E1121,'cheques a conf'!A:D,4,FALSE),"no clearing")</f>
        <v>no clearing</v>
      </c>
      <c r="N1121" s="40">
        <f t="shared" si="513"/>
        <v>9</v>
      </c>
      <c r="O1121" s="42">
        <f t="shared" si="514"/>
        <v>2</v>
      </c>
      <c r="P1121" s="42">
        <f t="shared" si="515"/>
        <v>2026</v>
      </c>
    </row>
    <row r="1122" spans="1:16" x14ac:dyDescent="0.2">
      <c r="A1122" s="21">
        <v>3000000262</v>
      </c>
      <c r="B1122" s="22">
        <v>46076</v>
      </c>
      <c r="C1122" s="20">
        <v>6894201.5</v>
      </c>
      <c r="D1122" s="21" t="s">
        <v>287</v>
      </c>
      <c r="E1122" s="21">
        <v>97124308</v>
      </c>
      <c r="F1122" s="20">
        <v>6894201.5</v>
      </c>
      <c r="G1122" s="22">
        <v>46080</v>
      </c>
      <c r="H1122" s="21" t="s">
        <v>61</v>
      </c>
      <c r="I1122" s="40" t="str">
        <f>IFERROR(IF(VLOOKUP(E1122,extracto!C:C,1,FALSE)=E1122,"pagado","no pagado"),"no pagado")</f>
        <v>pagado</v>
      </c>
      <c r="J1122" s="41" t="str">
        <f t="shared" si="510"/>
        <v>pagado</v>
      </c>
      <c r="K1122" s="40" t="str">
        <f t="shared" ca="1" si="511"/>
        <v>excluir</v>
      </c>
      <c r="L1122" s="40" t="str">
        <f t="shared" ca="1" si="512"/>
        <v>no semana</v>
      </c>
      <c r="M1122" s="40" t="str">
        <f>IFERROR(VLOOKUP(E1122,'cheques a conf'!A:D,4,FALSE),"no clearing")</f>
        <v>no clearing</v>
      </c>
      <c r="N1122" s="40">
        <f t="shared" si="513"/>
        <v>9</v>
      </c>
      <c r="O1122" s="42">
        <f t="shared" si="514"/>
        <v>2</v>
      </c>
      <c r="P1122" s="42">
        <f t="shared" si="515"/>
        <v>2026</v>
      </c>
    </row>
    <row r="1123" spans="1:16" x14ac:dyDescent="0.2">
      <c r="A1123" s="21">
        <v>3000000263</v>
      </c>
      <c r="B1123" s="22">
        <v>46076</v>
      </c>
      <c r="C1123" s="20">
        <v>18912411.870000001</v>
      </c>
      <c r="D1123" s="21" t="s">
        <v>473</v>
      </c>
      <c r="E1123" s="21">
        <v>97124309</v>
      </c>
      <c r="F1123" s="20">
        <v>18912411.870000001</v>
      </c>
      <c r="G1123" s="22">
        <v>46080</v>
      </c>
      <c r="H1123" s="21" t="s">
        <v>61</v>
      </c>
      <c r="I1123" s="40" t="str">
        <f>IFERROR(IF(VLOOKUP(E1123,extracto!C:C,1,FALSE)=E1123,"pagado","no pagado"),"no pagado")</f>
        <v>pagado</v>
      </c>
      <c r="J1123" s="41" t="str">
        <f t="shared" si="510"/>
        <v>pagado</v>
      </c>
      <c r="K1123" s="40" t="str">
        <f t="shared" ca="1" si="511"/>
        <v>excluir</v>
      </c>
      <c r="L1123" s="40" t="str">
        <f t="shared" ca="1" si="512"/>
        <v>no semana</v>
      </c>
      <c r="M1123" s="40" t="str">
        <f>IFERROR(VLOOKUP(E1123,'cheques a conf'!A:D,4,FALSE),"no clearing")</f>
        <v>no clearing</v>
      </c>
      <c r="N1123" s="40">
        <f t="shared" si="513"/>
        <v>9</v>
      </c>
      <c r="O1123" s="42">
        <f t="shared" si="514"/>
        <v>2</v>
      </c>
      <c r="P1123" s="42">
        <f t="shared" si="515"/>
        <v>2026</v>
      </c>
    </row>
    <row r="1124" spans="1:16" x14ac:dyDescent="0.2">
      <c r="A1124" s="21">
        <v>1200000002</v>
      </c>
      <c r="B1124" s="22">
        <v>46077</v>
      </c>
      <c r="C1124" s="20">
        <v>3538847.92</v>
      </c>
      <c r="D1124" s="21" t="s">
        <v>305</v>
      </c>
      <c r="E1124" s="21">
        <v>97124310</v>
      </c>
      <c r="F1124" s="20">
        <v>3538847.92</v>
      </c>
      <c r="G1124" s="22">
        <v>46080</v>
      </c>
      <c r="H1124" s="21" t="s">
        <v>61</v>
      </c>
      <c r="I1124" s="40" t="str">
        <f>IFERROR(IF(VLOOKUP(E1124,extracto!C:C,1,FALSE)=E1124,"pagado","no pagado"),"no pagado")</f>
        <v>pagado</v>
      </c>
      <c r="J1124" s="41" t="str">
        <f t="shared" si="510"/>
        <v>pagado</v>
      </c>
      <c r="K1124" s="40" t="str">
        <f t="shared" ca="1" si="511"/>
        <v>excluir</v>
      </c>
      <c r="L1124" s="40" t="str">
        <f t="shared" ca="1" si="512"/>
        <v>no semana</v>
      </c>
      <c r="M1124" s="40" t="str">
        <f>IFERROR(VLOOKUP(E1124,'cheques a conf'!A:D,4,FALSE),"no clearing")</f>
        <v>no clearing</v>
      </c>
      <c r="N1124" s="40">
        <f t="shared" si="513"/>
        <v>9</v>
      </c>
      <c r="O1124" s="42">
        <f t="shared" si="514"/>
        <v>2</v>
      </c>
      <c r="P1124" s="42">
        <f t="shared" si="515"/>
        <v>2026</v>
      </c>
    </row>
    <row r="1125" spans="1:16" x14ac:dyDescent="0.2">
      <c r="A1125" s="21">
        <v>1200000002</v>
      </c>
      <c r="B1125" s="22">
        <v>46077</v>
      </c>
      <c r="C1125" s="20">
        <v>3573827.7</v>
      </c>
      <c r="D1125" s="21" t="s">
        <v>305</v>
      </c>
      <c r="E1125" s="21">
        <v>97124311</v>
      </c>
      <c r="F1125" s="20">
        <v>3573827.7</v>
      </c>
      <c r="G1125" s="22">
        <v>46080</v>
      </c>
      <c r="H1125" s="21" t="s">
        <v>61</v>
      </c>
      <c r="I1125" s="40" t="str">
        <f>IFERROR(IF(VLOOKUP(E1125,extracto!C:C,1,FALSE)=E1125,"pagado","no pagado"),"no pagado")</f>
        <v>pagado</v>
      </c>
      <c r="J1125" s="41" t="str">
        <f t="shared" si="510"/>
        <v>pagado</v>
      </c>
      <c r="K1125" s="40" t="str">
        <f t="shared" ca="1" si="511"/>
        <v>excluir</v>
      </c>
      <c r="L1125" s="40" t="str">
        <f t="shared" ca="1" si="512"/>
        <v>no semana</v>
      </c>
      <c r="M1125" s="40" t="str">
        <f>IFERROR(VLOOKUP(E1125,'cheques a conf'!A:D,4,FALSE),"no clearing")</f>
        <v>no clearing</v>
      </c>
      <c r="N1125" s="40">
        <f t="shared" si="513"/>
        <v>9</v>
      </c>
      <c r="O1125" s="42">
        <f t="shared" si="514"/>
        <v>2</v>
      </c>
      <c r="P1125" s="42">
        <f t="shared" si="515"/>
        <v>2026</v>
      </c>
    </row>
    <row r="1126" spans="1:16" x14ac:dyDescent="0.2">
      <c r="A1126" s="21">
        <v>1200000002</v>
      </c>
      <c r="B1126" s="22">
        <v>46077</v>
      </c>
      <c r="C1126" s="20">
        <v>21306087.300000001</v>
      </c>
      <c r="D1126" s="21" t="s">
        <v>305</v>
      </c>
      <c r="E1126" s="21">
        <v>97124312</v>
      </c>
      <c r="F1126" s="20">
        <v>21306087.300000001</v>
      </c>
      <c r="G1126" s="22">
        <v>46083</v>
      </c>
      <c r="H1126" s="21" t="s">
        <v>61</v>
      </c>
      <c r="I1126" s="40" t="str">
        <f>IFERROR(IF(VLOOKUP(E1126,extracto!C:C,1,FALSE)=E1126,"pagado","no pagado"),"no pagado")</f>
        <v>pagado</v>
      </c>
      <c r="J1126" s="41" t="str">
        <f t="shared" si="510"/>
        <v>pagado</v>
      </c>
      <c r="K1126" s="40" t="str">
        <f t="shared" ca="1" si="511"/>
        <v>excluir</v>
      </c>
      <c r="L1126" s="40" t="str">
        <f t="shared" ca="1" si="512"/>
        <v>no semana</v>
      </c>
      <c r="M1126" s="40" t="str">
        <f>IFERROR(VLOOKUP(E1126,'cheques a conf'!A:D,4,FALSE),"no clearing")</f>
        <v>no clearing</v>
      </c>
      <c r="N1126" s="40">
        <f t="shared" si="513"/>
        <v>10</v>
      </c>
      <c r="O1126" s="42">
        <f t="shared" si="514"/>
        <v>3</v>
      </c>
      <c r="P1126" s="42">
        <f t="shared" si="515"/>
        <v>2026</v>
      </c>
    </row>
    <row r="1127" spans="1:16" x14ac:dyDescent="0.2">
      <c r="A1127" s="21">
        <v>1200000002</v>
      </c>
      <c r="B1127" s="22">
        <v>46077</v>
      </c>
      <c r="C1127" s="20">
        <v>15098080.939999999</v>
      </c>
      <c r="D1127" s="21" t="s">
        <v>305</v>
      </c>
      <c r="E1127" s="21">
        <v>97124313</v>
      </c>
      <c r="F1127" s="20">
        <v>15098080.939999999</v>
      </c>
      <c r="G1127" s="22">
        <v>46083</v>
      </c>
      <c r="H1127" s="21" t="s">
        <v>61</v>
      </c>
      <c r="I1127" s="40" t="str">
        <f>IFERROR(IF(VLOOKUP(E1127,extracto!C:C,1,FALSE)=E1127,"pagado","no pagado"),"no pagado")</f>
        <v>pagado</v>
      </c>
      <c r="J1127" s="41" t="str">
        <f t="shared" si="510"/>
        <v>pagado</v>
      </c>
      <c r="K1127" s="40" t="str">
        <f t="shared" ca="1" si="511"/>
        <v>excluir</v>
      </c>
      <c r="L1127" s="40" t="str">
        <f t="shared" ca="1" si="512"/>
        <v>no semana</v>
      </c>
      <c r="M1127" s="40" t="str">
        <f>IFERROR(VLOOKUP(E1127,'cheques a conf'!A:D,4,FALSE),"no clearing")</f>
        <v>no clearing</v>
      </c>
      <c r="N1127" s="40">
        <f t="shared" si="513"/>
        <v>10</v>
      </c>
      <c r="O1127" s="42">
        <f t="shared" si="514"/>
        <v>3</v>
      </c>
      <c r="P1127" s="42">
        <f t="shared" si="515"/>
        <v>2026</v>
      </c>
    </row>
    <row r="1128" spans="1:16" x14ac:dyDescent="0.2">
      <c r="A1128" s="21">
        <v>1200000002</v>
      </c>
      <c r="B1128" s="22">
        <v>46077</v>
      </c>
      <c r="C1128" s="20">
        <v>26027334.530000001</v>
      </c>
      <c r="D1128" s="21" t="s">
        <v>305</v>
      </c>
      <c r="E1128" s="21">
        <v>97124314</v>
      </c>
      <c r="F1128" s="20">
        <v>26027334.530000001</v>
      </c>
      <c r="G1128" s="22">
        <v>46083</v>
      </c>
      <c r="H1128" s="21" t="s">
        <v>61</v>
      </c>
      <c r="I1128" s="40" t="str">
        <f>IFERROR(IF(VLOOKUP(E1128,extracto!C:C,1,FALSE)=E1128,"pagado","no pagado"),"no pagado")</f>
        <v>pagado</v>
      </c>
      <c r="J1128" s="41" t="str">
        <f t="shared" si="510"/>
        <v>pagado</v>
      </c>
      <c r="K1128" s="40" t="str">
        <f t="shared" ca="1" si="511"/>
        <v>excluir</v>
      </c>
      <c r="L1128" s="40" t="str">
        <f t="shared" ca="1" si="512"/>
        <v>no semana</v>
      </c>
      <c r="M1128" s="40" t="str">
        <f>IFERROR(VLOOKUP(E1128,'cheques a conf'!A:D,4,FALSE),"no clearing")</f>
        <v>no clearing</v>
      </c>
      <c r="N1128" s="40">
        <f t="shared" si="513"/>
        <v>10</v>
      </c>
      <c r="O1128" s="42">
        <f t="shared" si="514"/>
        <v>3</v>
      </c>
      <c r="P1128" s="42">
        <f t="shared" si="515"/>
        <v>2026</v>
      </c>
    </row>
    <row r="1129" spans="1:16" x14ac:dyDescent="0.2">
      <c r="A1129" s="21">
        <v>1200000002</v>
      </c>
      <c r="B1129" s="22">
        <v>46077</v>
      </c>
      <c r="C1129" s="20">
        <v>12309208.77</v>
      </c>
      <c r="D1129" s="21" t="s">
        <v>305</v>
      </c>
      <c r="E1129" s="21">
        <v>97124315</v>
      </c>
      <c r="F1129" s="20">
        <v>12309208.77</v>
      </c>
      <c r="G1129" s="22">
        <v>46083</v>
      </c>
      <c r="H1129" s="21" t="s">
        <v>61</v>
      </c>
      <c r="I1129" s="40" t="str">
        <f>IFERROR(IF(VLOOKUP(E1129,extracto!C:C,1,FALSE)=E1129,"pagado","no pagado"),"no pagado")</f>
        <v>pagado</v>
      </c>
      <c r="J1129" s="41" t="str">
        <f t="shared" si="510"/>
        <v>pagado</v>
      </c>
      <c r="K1129" s="40" t="str">
        <f t="shared" ca="1" si="511"/>
        <v>excluir</v>
      </c>
      <c r="L1129" s="40" t="str">
        <f t="shared" ca="1" si="512"/>
        <v>no semana</v>
      </c>
      <c r="M1129" s="40" t="str">
        <f>IFERROR(VLOOKUP(E1129,'cheques a conf'!A:D,4,FALSE),"no clearing")</f>
        <v>no clearing</v>
      </c>
      <c r="N1129" s="40">
        <f t="shared" si="513"/>
        <v>10</v>
      </c>
      <c r="O1129" s="42">
        <f t="shared" si="514"/>
        <v>3</v>
      </c>
      <c r="P1129" s="42">
        <f t="shared" si="515"/>
        <v>2026</v>
      </c>
    </row>
    <row r="1130" spans="1:16" x14ac:dyDescent="0.2">
      <c r="A1130" s="21">
        <v>1200000002</v>
      </c>
      <c r="B1130" s="22">
        <v>46077</v>
      </c>
      <c r="C1130" s="20">
        <v>28754292.609999999</v>
      </c>
      <c r="D1130" s="21" t="s">
        <v>305</v>
      </c>
      <c r="E1130" s="21">
        <v>97124316</v>
      </c>
      <c r="F1130" s="20">
        <v>28754292.609999999</v>
      </c>
      <c r="G1130" s="22">
        <v>46083</v>
      </c>
      <c r="H1130" s="21" t="s">
        <v>61</v>
      </c>
      <c r="I1130" s="40" t="str">
        <f>IFERROR(IF(VLOOKUP(E1130,extracto!C:C,1,FALSE)=E1130,"pagado","no pagado"),"no pagado")</f>
        <v>pagado</v>
      </c>
      <c r="J1130" s="41" t="str">
        <f t="shared" si="510"/>
        <v>pagado</v>
      </c>
      <c r="K1130" s="40" t="str">
        <f t="shared" ca="1" si="511"/>
        <v>excluir</v>
      </c>
      <c r="L1130" s="40" t="str">
        <f t="shared" ca="1" si="512"/>
        <v>no semana</v>
      </c>
      <c r="M1130" s="40" t="str">
        <f>IFERROR(VLOOKUP(E1130,'cheques a conf'!A:D,4,FALSE),"no clearing")</f>
        <v>no clearing</v>
      </c>
      <c r="N1130" s="40">
        <f t="shared" si="513"/>
        <v>10</v>
      </c>
      <c r="O1130" s="42">
        <f t="shared" si="514"/>
        <v>3</v>
      </c>
      <c r="P1130" s="42">
        <f t="shared" si="515"/>
        <v>2026</v>
      </c>
    </row>
    <row r="1131" spans="1:16" x14ac:dyDescent="0.2">
      <c r="A1131" s="21">
        <v>1200000002</v>
      </c>
      <c r="B1131" s="22">
        <v>46077</v>
      </c>
      <c r="C1131" s="20">
        <v>21242932.559999999</v>
      </c>
      <c r="D1131" s="21" t="s">
        <v>305</v>
      </c>
      <c r="E1131" s="21">
        <v>97124317</v>
      </c>
      <c r="F1131" s="20">
        <v>21242932.559999999</v>
      </c>
      <c r="G1131" s="22">
        <v>46083</v>
      </c>
      <c r="H1131" s="21" t="s">
        <v>61</v>
      </c>
      <c r="I1131" s="40" t="str">
        <f>IFERROR(IF(VLOOKUP(E1131,extracto!C:C,1,FALSE)=E1131,"pagado","no pagado"),"no pagado")</f>
        <v>pagado</v>
      </c>
      <c r="J1131" s="41" t="str">
        <f t="shared" si="510"/>
        <v>pagado</v>
      </c>
      <c r="K1131" s="40" t="str">
        <f t="shared" ca="1" si="511"/>
        <v>excluir</v>
      </c>
      <c r="L1131" s="40" t="str">
        <f t="shared" ca="1" si="512"/>
        <v>no semana</v>
      </c>
      <c r="M1131" s="40" t="str">
        <f>IFERROR(VLOOKUP(E1131,'cheques a conf'!A:D,4,FALSE),"no clearing")</f>
        <v>no clearing</v>
      </c>
      <c r="N1131" s="40">
        <f t="shared" si="513"/>
        <v>10</v>
      </c>
      <c r="O1131" s="42">
        <f t="shared" si="514"/>
        <v>3</v>
      </c>
      <c r="P1131" s="42">
        <f t="shared" si="515"/>
        <v>2026</v>
      </c>
    </row>
    <row r="1132" spans="1:16" x14ac:dyDescent="0.2">
      <c r="A1132" s="21">
        <v>1200000002</v>
      </c>
      <c r="B1132" s="22">
        <v>46077</v>
      </c>
      <c r="C1132" s="20">
        <v>18346186.690000001</v>
      </c>
      <c r="D1132" s="21" t="s">
        <v>305</v>
      </c>
      <c r="E1132" s="21">
        <v>97124318</v>
      </c>
      <c r="F1132" s="20">
        <v>18346186.690000001</v>
      </c>
      <c r="G1132" s="22">
        <v>46083</v>
      </c>
      <c r="H1132" s="21" t="s">
        <v>61</v>
      </c>
      <c r="I1132" s="40" t="str">
        <f>IFERROR(IF(VLOOKUP(E1132,extracto!C:C,1,FALSE)=E1132,"pagado","no pagado"),"no pagado")</f>
        <v>pagado</v>
      </c>
      <c r="J1132" s="41" t="str">
        <f t="shared" ref="J1132:J1177" si="516">IF(I1132="pagado","pagado",IF(G1132&lt;$V$1-30,"fuera de fecha","en periodo de pago"))</f>
        <v>pagado</v>
      </c>
      <c r="K1132" s="40" t="str">
        <f t="shared" ref="K1132:K1177" ca="1" si="517">+IF(B1132&gt;$V$1,"excluir",IF(J1132="en periodo de pago",IF($V$1&gt;G1132,"a pagar","proximo a vencer"),"excluir"))</f>
        <v>excluir</v>
      </c>
      <c r="L1132" s="40" t="str">
        <f t="shared" ref="L1132:L1177" ca="1" si="518">+IF(K1132="proximo a vencer",IF($V$1+5&gt;G1132,"para la semana","no semana"),"no semana")</f>
        <v>no semana</v>
      </c>
      <c r="M1132" s="40" t="str">
        <f>IFERROR(VLOOKUP(E1132,'cheques a conf'!A:D,4,FALSE),"no clearing")</f>
        <v>no clearing</v>
      </c>
      <c r="N1132" s="40">
        <f t="shared" ref="N1132:N1177" si="519">+WEEKNUM(G1132,2)</f>
        <v>10</v>
      </c>
      <c r="O1132" s="42">
        <f t="shared" ref="O1132:O1177" si="520">+MONTH(G1132)</f>
        <v>3</v>
      </c>
      <c r="P1132" s="42">
        <f t="shared" ref="P1132:P1177" si="521">+YEAR(G1132)</f>
        <v>2026</v>
      </c>
    </row>
    <row r="1133" spans="1:16" x14ac:dyDescent="0.2">
      <c r="A1133" s="21">
        <v>1200000002</v>
      </c>
      <c r="B1133" s="22">
        <v>46077</v>
      </c>
      <c r="C1133" s="20">
        <v>22363573</v>
      </c>
      <c r="D1133" s="21" t="s">
        <v>305</v>
      </c>
      <c r="E1133" s="21">
        <v>97124319</v>
      </c>
      <c r="F1133" s="20">
        <v>22363573</v>
      </c>
      <c r="G1133" s="22">
        <v>46083</v>
      </c>
      <c r="H1133" s="21" t="s">
        <v>61</v>
      </c>
      <c r="I1133" s="40" t="str">
        <f>IFERROR(IF(VLOOKUP(E1133,extracto!C:C,1,FALSE)=E1133,"pagado","no pagado"),"no pagado")</f>
        <v>pagado</v>
      </c>
      <c r="J1133" s="41" t="str">
        <f t="shared" si="516"/>
        <v>pagado</v>
      </c>
      <c r="K1133" s="40" t="str">
        <f t="shared" ca="1" si="517"/>
        <v>excluir</v>
      </c>
      <c r="L1133" s="40" t="str">
        <f t="shared" ca="1" si="518"/>
        <v>no semana</v>
      </c>
      <c r="M1133" s="40" t="str">
        <f>IFERROR(VLOOKUP(E1133,'cheques a conf'!A:D,4,FALSE),"no clearing")</f>
        <v>no clearing</v>
      </c>
      <c r="N1133" s="40">
        <f t="shared" si="519"/>
        <v>10</v>
      </c>
      <c r="O1133" s="42">
        <f t="shared" si="520"/>
        <v>3</v>
      </c>
      <c r="P1133" s="42">
        <f t="shared" si="521"/>
        <v>2026</v>
      </c>
    </row>
    <row r="1134" spans="1:16" x14ac:dyDescent="0.2">
      <c r="A1134" s="21">
        <v>3000000282</v>
      </c>
      <c r="B1134" s="22">
        <v>46078</v>
      </c>
      <c r="C1134" s="20">
        <v>1733718.71</v>
      </c>
      <c r="D1134" s="21" t="s">
        <v>474</v>
      </c>
      <c r="E1134" s="21">
        <v>97121398</v>
      </c>
      <c r="F1134" s="20">
        <v>1733718.71</v>
      </c>
      <c r="G1134" s="22">
        <v>46078</v>
      </c>
      <c r="H1134" s="21" t="s">
        <v>61</v>
      </c>
      <c r="I1134" s="40" t="str">
        <f>IFERROR(IF(VLOOKUP(E1134,extracto!C:C,1,FALSE)=E1134,"pagado","no pagado"),"no pagado")</f>
        <v>pagado</v>
      </c>
      <c r="J1134" s="41" t="str">
        <f t="shared" si="516"/>
        <v>pagado</v>
      </c>
      <c r="K1134" s="40" t="str">
        <f t="shared" ca="1" si="517"/>
        <v>excluir</v>
      </c>
      <c r="L1134" s="40" t="str">
        <f t="shared" ca="1" si="518"/>
        <v>no semana</v>
      </c>
      <c r="M1134" s="40" t="str">
        <f>IFERROR(VLOOKUP(E1134,'cheques a conf'!A:D,4,FALSE),"no clearing")</f>
        <v>no clearing</v>
      </c>
      <c r="N1134" s="40">
        <f t="shared" si="519"/>
        <v>9</v>
      </c>
      <c r="O1134" s="42">
        <f t="shared" si="520"/>
        <v>2</v>
      </c>
      <c r="P1134" s="42">
        <f t="shared" si="521"/>
        <v>2026</v>
      </c>
    </row>
    <row r="1135" spans="1:16" x14ac:dyDescent="0.2">
      <c r="A1135" s="21">
        <v>3000000289</v>
      </c>
      <c r="B1135" s="22">
        <v>46079</v>
      </c>
      <c r="C1135" s="20">
        <v>28505707.989999998</v>
      </c>
      <c r="D1135" s="21" t="s">
        <v>303</v>
      </c>
      <c r="E1135" s="21">
        <v>97124320</v>
      </c>
      <c r="F1135" s="20">
        <v>28505707.989999998</v>
      </c>
      <c r="G1135" s="22">
        <v>46085</v>
      </c>
      <c r="H1135" s="21" t="s">
        <v>61</v>
      </c>
      <c r="I1135" s="40" t="str">
        <f>IFERROR(IF(VLOOKUP(E1135,extracto!C:C,1,FALSE)=E1135,"pagado","no pagado"),"no pagado")</f>
        <v>pagado</v>
      </c>
      <c r="J1135" s="41" t="str">
        <f t="shared" si="516"/>
        <v>pagado</v>
      </c>
      <c r="K1135" s="40" t="str">
        <f t="shared" ca="1" si="517"/>
        <v>excluir</v>
      </c>
      <c r="L1135" s="40" t="str">
        <f t="shared" ca="1" si="518"/>
        <v>no semana</v>
      </c>
      <c r="M1135" s="40" t="str">
        <f>IFERROR(VLOOKUP(E1135,'cheques a conf'!A:D,4,FALSE),"no clearing")</f>
        <v>no clearing</v>
      </c>
      <c r="N1135" s="40">
        <f t="shared" si="519"/>
        <v>10</v>
      </c>
      <c r="O1135" s="42">
        <f t="shared" si="520"/>
        <v>3</v>
      </c>
      <c r="P1135" s="42">
        <f t="shared" si="521"/>
        <v>2026</v>
      </c>
    </row>
    <row r="1136" spans="1:16" x14ac:dyDescent="0.2">
      <c r="A1136" s="21">
        <v>3000000290</v>
      </c>
      <c r="B1136" s="22">
        <v>46079</v>
      </c>
      <c r="C1136" s="20">
        <v>10132835.619999999</v>
      </c>
      <c r="D1136" s="21" t="s">
        <v>384</v>
      </c>
      <c r="E1136" s="21">
        <v>97124321</v>
      </c>
      <c r="F1136" s="20">
        <v>10132835.619999999</v>
      </c>
      <c r="G1136" s="22">
        <v>46085</v>
      </c>
      <c r="H1136" s="21" t="s">
        <v>61</v>
      </c>
      <c r="I1136" s="40" t="str">
        <f>IFERROR(IF(VLOOKUP(E1136,extracto!C:C,1,FALSE)=E1136,"pagado","no pagado"),"no pagado")</f>
        <v>pagado</v>
      </c>
      <c r="J1136" s="41" t="str">
        <f t="shared" si="516"/>
        <v>pagado</v>
      </c>
      <c r="K1136" s="40" t="str">
        <f t="shared" ca="1" si="517"/>
        <v>excluir</v>
      </c>
      <c r="L1136" s="40" t="str">
        <f t="shared" ca="1" si="518"/>
        <v>no semana</v>
      </c>
      <c r="M1136" s="40" t="str">
        <f>IFERROR(VLOOKUP(E1136,'cheques a conf'!A:D,4,FALSE),"no clearing")</f>
        <v>no clearing</v>
      </c>
      <c r="N1136" s="40">
        <f t="shared" si="519"/>
        <v>10</v>
      </c>
      <c r="O1136" s="42">
        <f t="shared" si="520"/>
        <v>3</v>
      </c>
      <c r="P1136" s="42">
        <f t="shared" si="521"/>
        <v>2026</v>
      </c>
    </row>
    <row r="1137" spans="1:16" x14ac:dyDescent="0.2">
      <c r="A1137" s="21">
        <v>3000000291</v>
      </c>
      <c r="B1137" s="22">
        <v>46079</v>
      </c>
      <c r="C1137" s="20">
        <v>8983237.2899999991</v>
      </c>
      <c r="D1137" s="21" t="s">
        <v>26</v>
      </c>
      <c r="E1137" s="21">
        <v>97124322</v>
      </c>
      <c r="F1137" s="20">
        <v>8983237.2899999991</v>
      </c>
      <c r="G1137" s="22">
        <v>46085</v>
      </c>
      <c r="H1137" s="21" t="s">
        <v>61</v>
      </c>
      <c r="I1137" s="40" t="str">
        <f>IFERROR(IF(VLOOKUP(E1137,extracto!C:C,1,FALSE)=E1137,"pagado","no pagado"),"no pagado")</f>
        <v>pagado</v>
      </c>
      <c r="J1137" s="41" t="str">
        <f t="shared" si="516"/>
        <v>pagado</v>
      </c>
      <c r="K1137" s="40" t="str">
        <f t="shared" ca="1" si="517"/>
        <v>excluir</v>
      </c>
      <c r="L1137" s="40" t="str">
        <f t="shared" ca="1" si="518"/>
        <v>no semana</v>
      </c>
      <c r="M1137" s="40" t="str">
        <f>IFERROR(VLOOKUP(E1137,'cheques a conf'!A:D,4,FALSE),"no clearing")</f>
        <v>no clearing</v>
      </c>
      <c r="N1137" s="40">
        <f t="shared" si="519"/>
        <v>10</v>
      </c>
      <c r="O1137" s="42">
        <f t="shared" si="520"/>
        <v>3</v>
      </c>
      <c r="P1137" s="42">
        <f t="shared" si="521"/>
        <v>2026</v>
      </c>
    </row>
    <row r="1138" spans="1:16" x14ac:dyDescent="0.2">
      <c r="A1138" s="21">
        <v>3000000292</v>
      </c>
      <c r="B1138" s="22">
        <v>46080</v>
      </c>
      <c r="C1138" s="20">
        <v>34521799.420000002</v>
      </c>
      <c r="D1138" s="21" t="s">
        <v>284</v>
      </c>
      <c r="E1138" s="21">
        <v>97124323</v>
      </c>
      <c r="F1138" s="20">
        <v>34521799.420000002</v>
      </c>
      <c r="G1138" s="22">
        <v>46085</v>
      </c>
      <c r="H1138" s="21" t="s">
        <v>61</v>
      </c>
      <c r="I1138" s="40" t="str">
        <f>IFERROR(IF(VLOOKUP(E1138,extracto!C:C,1,FALSE)=E1138,"pagado","no pagado"),"no pagado")</f>
        <v>pagado</v>
      </c>
      <c r="J1138" s="41" t="str">
        <f t="shared" si="516"/>
        <v>pagado</v>
      </c>
      <c r="K1138" s="40" t="str">
        <f t="shared" ca="1" si="517"/>
        <v>excluir</v>
      </c>
      <c r="L1138" s="40" t="str">
        <f t="shared" ca="1" si="518"/>
        <v>no semana</v>
      </c>
      <c r="M1138" s="40" t="str">
        <f>IFERROR(VLOOKUP(E1138,'cheques a conf'!A:D,4,FALSE),"no clearing")</f>
        <v>no clearing</v>
      </c>
      <c r="N1138" s="40">
        <f t="shared" si="519"/>
        <v>10</v>
      </c>
      <c r="O1138" s="42">
        <f t="shared" si="520"/>
        <v>3</v>
      </c>
      <c r="P1138" s="42">
        <f t="shared" si="521"/>
        <v>2026</v>
      </c>
    </row>
    <row r="1139" spans="1:16" x14ac:dyDescent="0.2">
      <c r="A1139" s="21">
        <v>3000000308</v>
      </c>
      <c r="B1139" s="22">
        <v>46084</v>
      </c>
      <c r="C1139" s="20">
        <v>4952303.4000000004</v>
      </c>
      <c r="D1139" s="21" t="s">
        <v>423</v>
      </c>
      <c r="E1139" s="21">
        <v>97124324</v>
      </c>
      <c r="F1139" s="20">
        <v>4952303.4000000004</v>
      </c>
      <c r="G1139" s="22">
        <v>46087</v>
      </c>
      <c r="H1139" s="21" t="s">
        <v>61</v>
      </c>
      <c r="I1139" s="40" t="str">
        <f>IFERROR(IF(VLOOKUP(E1139,extracto!C:C,1,FALSE)=E1139,"pagado","no pagado"),"no pagado")</f>
        <v>pagado</v>
      </c>
      <c r="J1139" s="41" t="str">
        <f t="shared" si="516"/>
        <v>pagado</v>
      </c>
      <c r="K1139" s="40" t="str">
        <f t="shared" ca="1" si="517"/>
        <v>excluir</v>
      </c>
      <c r="L1139" s="40" t="str">
        <f t="shared" ca="1" si="518"/>
        <v>no semana</v>
      </c>
      <c r="M1139" s="40" t="str">
        <f>IFERROR(VLOOKUP(E1139,'cheques a conf'!A:D,4,FALSE),"no clearing")</f>
        <v>no clearing</v>
      </c>
      <c r="N1139" s="40">
        <f t="shared" si="519"/>
        <v>10</v>
      </c>
      <c r="O1139" s="42">
        <f t="shared" si="520"/>
        <v>3</v>
      </c>
      <c r="P1139" s="42">
        <f t="shared" si="521"/>
        <v>2026</v>
      </c>
    </row>
    <row r="1140" spans="1:16" x14ac:dyDescent="0.2">
      <c r="A1140" s="21">
        <v>3000000309</v>
      </c>
      <c r="B1140" s="22">
        <v>46084</v>
      </c>
      <c r="C1140" s="20">
        <v>6441469.4000000004</v>
      </c>
      <c r="D1140" s="21" t="s">
        <v>350</v>
      </c>
      <c r="E1140" s="21">
        <v>97124325</v>
      </c>
      <c r="F1140" s="20">
        <v>6441469.4000000004</v>
      </c>
      <c r="G1140" s="22">
        <v>46087</v>
      </c>
      <c r="H1140" s="21" t="s">
        <v>61</v>
      </c>
      <c r="I1140" s="40" t="str">
        <f>IFERROR(IF(VLOOKUP(E1140,extracto!C:C,1,FALSE)=E1140,"pagado","no pagado"),"no pagado")</f>
        <v>pagado</v>
      </c>
      <c r="J1140" s="41" t="str">
        <f t="shared" si="516"/>
        <v>pagado</v>
      </c>
      <c r="K1140" s="40" t="str">
        <f t="shared" ca="1" si="517"/>
        <v>excluir</v>
      </c>
      <c r="L1140" s="40" t="str">
        <f t="shared" ca="1" si="518"/>
        <v>no semana</v>
      </c>
      <c r="M1140" s="40" t="str">
        <f>IFERROR(VLOOKUP(E1140,'cheques a conf'!A:D,4,FALSE),"no clearing")</f>
        <v>no clearing</v>
      </c>
      <c r="N1140" s="40">
        <f t="shared" si="519"/>
        <v>10</v>
      </c>
      <c r="O1140" s="42">
        <f t="shared" si="520"/>
        <v>3</v>
      </c>
      <c r="P1140" s="42">
        <f t="shared" si="521"/>
        <v>2026</v>
      </c>
    </row>
    <row r="1141" spans="1:16" x14ac:dyDescent="0.2">
      <c r="A1141" s="21">
        <v>3000000310</v>
      </c>
      <c r="B1141" s="22">
        <v>46084</v>
      </c>
      <c r="C1141" s="20">
        <v>24362139.399999999</v>
      </c>
      <c r="D1141" s="21" t="s">
        <v>361</v>
      </c>
      <c r="E1141" s="21">
        <v>97124326</v>
      </c>
      <c r="F1141" s="20">
        <v>24362139.399999999</v>
      </c>
      <c r="G1141" s="22">
        <v>46087</v>
      </c>
      <c r="H1141" s="21" t="s">
        <v>61</v>
      </c>
      <c r="I1141" s="40" t="str">
        <f>IFERROR(IF(VLOOKUP(E1141,extracto!C:C,1,FALSE)=E1141,"pagado","no pagado"),"no pagado")</f>
        <v>pagado</v>
      </c>
      <c r="J1141" s="41" t="str">
        <f t="shared" si="516"/>
        <v>pagado</v>
      </c>
      <c r="K1141" s="40" t="str">
        <f t="shared" ca="1" si="517"/>
        <v>excluir</v>
      </c>
      <c r="L1141" s="40" t="str">
        <f t="shared" ca="1" si="518"/>
        <v>no semana</v>
      </c>
      <c r="M1141" s="40" t="str">
        <f>IFERROR(VLOOKUP(E1141,'cheques a conf'!A:D,4,FALSE),"no clearing")</f>
        <v>no clearing</v>
      </c>
      <c r="N1141" s="40">
        <f t="shared" si="519"/>
        <v>10</v>
      </c>
      <c r="O1141" s="42">
        <f t="shared" si="520"/>
        <v>3</v>
      </c>
      <c r="P1141" s="42">
        <f t="shared" si="521"/>
        <v>2026</v>
      </c>
    </row>
    <row r="1142" spans="1:16" x14ac:dyDescent="0.2">
      <c r="A1142" s="21">
        <v>3000000311</v>
      </c>
      <c r="B1142" s="22">
        <v>46084</v>
      </c>
      <c r="C1142" s="20">
        <v>8481160.9000000004</v>
      </c>
      <c r="D1142" s="21" t="s">
        <v>347</v>
      </c>
      <c r="E1142" s="21">
        <v>97124327</v>
      </c>
      <c r="F1142" s="20">
        <v>8481160.9000000004</v>
      </c>
      <c r="G1142" s="22">
        <v>46087</v>
      </c>
      <c r="H1142" s="21" t="s">
        <v>61</v>
      </c>
      <c r="I1142" s="40" t="str">
        <f>IFERROR(IF(VLOOKUP(E1142,extracto!C:C,1,FALSE)=E1142,"pagado","no pagado"),"no pagado")</f>
        <v>pagado</v>
      </c>
      <c r="J1142" s="41" t="str">
        <f t="shared" si="516"/>
        <v>pagado</v>
      </c>
      <c r="K1142" s="40" t="str">
        <f t="shared" ca="1" si="517"/>
        <v>excluir</v>
      </c>
      <c r="L1142" s="40" t="str">
        <f t="shared" ca="1" si="518"/>
        <v>no semana</v>
      </c>
      <c r="M1142" s="40" t="str">
        <f>IFERROR(VLOOKUP(E1142,'cheques a conf'!A:D,4,FALSE),"no clearing")</f>
        <v>no clearing</v>
      </c>
      <c r="N1142" s="40">
        <f t="shared" si="519"/>
        <v>10</v>
      </c>
      <c r="O1142" s="42">
        <f t="shared" si="520"/>
        <v>3</v>
      </c>
      <c r="P1142" s="42">
        <f t="shared" si="521"/>
        <v>2026</v>
      </c>
    </row>
    <row r="1143" spans="1:16" x14ac:dyDescent="0.2">
      <c r="A1143" s="21">
        <v>3000000336</v>
      </c>
      <c r="B1143" s="22">
        <v>46090</v>
      </c>
      <c r="C1143" s="20">
        <v>1499280.78</v>
      </c>
      <c r="D1143" s="21" t="s">
        <v>365</v>
      </c>
      <c r="E1143" s="21">
        <v>97124328</v>
      </c>
      <c r="F1143" s="20">
        <v>1499280.78</v>
      </c>
      <c r="G1143" s="22">
        <v>46093</v>
      </c>
      <c r="H1143" s="21" t="s">
        <v>61</v>
      </c>
      <c r="I1143" s="40" t="str">
        <f>IFERROR(IF(VLOOKUP(E1143,extracto!C:C,1,FALSE)=E1143,"pagado","no pagado"),"no pagado")</f>
        <v>pagado</v>
      </c>
      <c r="J1143" s="41" t="str">
        <f t="shared" si="516"/>
        <v>pagado</v>
      </c>
      <c r="K1143" s="40" t="str">
        <f t="shared" ca="1" si="517"/>
        <v>excluir</v>
      </c>
      <c r="L1143" s="40" t="str">
        <f t="shared" ca="1" si="518"/>
        <v>no semana</v>
      </c>
      <c r="M1143" s="40" t="str">
        <f>IFERROR(VLOOKUP(E1143,'cheques a conf'!A:D,4,FALSE),"no clearing")</f>
        <v>no clearing</v>
      </c>
      <c r="N1143" s="40">
        <f t="shared" si="519"/>
        <v>11</v>
      </c>
      <c r="O1143" s="42">
        <f t="shared" si="520"/>
        <v>3</v>
      </c>
      <c r="P1143" s="42">
        <f t="shared" si="521"/>
        <v>2026</v>
      </c>
    </row>
    <row r="1144" spans="1:16" x14ac:dyDescent="0.2">
      <c r="A1144" s="21">
        <v>3000000337</v>
      </c>
      <c r="B1144" s="22">
        <v>46090</v>
      </c>
      <c r="C1144" s="20">
        <v>10993371.48</v>
      </c>
      <c r="D1144" s="21" t="s">
        <v>346</v>
      </c>
      <c r="E1144" s="21">
        <v>97124329</v>
      </c>
      <c r="F1144" s="20">
        <v>10993371.48</v>
      </c>
      <c r="G1144" s="22">
        <v>46093</v>
      </c>
      <c r="H1144" s="21" t="s">
        <v>61</v>
      </c>
      <c r="I1144" s="40" t="str">
        <f>IFERROR(IF(VLOOKUP(E1144,extracto!C:C,1,FALSE)=E1144,"pagado","no pagado"),"no pagado")</f>
        <v>pagado</v>
      </c>
      <c r="J1144" s="41" t="str">
        <f t="shared" si="516"/>
        <v>pagado</v>
      </c>
      <c r="K1144" s="40" t="str">
        <f t="shared" ca="1" si="517"/>
        <v>excluir</v>
      </c>
      <c r="L1144" s="40" t="str">
        <f t="shared" ca="1" si="518"/>
        <v>no semana</v>
      </c>
      <c r="M1144" s="40" t="str">
        <f>IFERROR(VLOOKUP(E1144,'cheques a conf'!A:D,4,FALSE),"no clearing")</f>
        <v>no clearing</v>
      </c>
      <c r="N1144" s="40">
        <f t="shared" si="519"/>
        <v>11</v>
      </c>
      <c r="O1144" s="42">
        <f t="shared" si="520"/>
        <v>3</v>
      </c>
      <c r="P1144" s="42">
        <f t="shared" si="521"/>
        <v>2026</v>
      </c>
    </row>
    <row r="1145" spans="1:16" x14ac:dyDescent="0.2">
      <c r="A1145" s="21">
        <v>3000000338</v>
      </c>
      <c r="B1145" s="22">
        <v>46090</v>
      </c>
      <c r="C1145" s="20">
        <v>9202073.4000000004</v>
      </c>
      <c r="D1145" s="21" t="s">
        <v>522</v>
      </c>
      <c r="E1145" s="21">
        <v>97124330</v>
      </c>
      <c r="F1145" s="20">
        <v>9202073.4000000004</v>
      </c>
      <c r="G1145" s="22">
        <v>46094</v>
      </c>
      <c r="H1145" s="21" t="s">
        <v>61</v>
      </c>
      <c r="I1145" s="40" t="str">
        <f>IFERROR(IF(VLOOKUP(E1145,extracto!C:C,1,FALSE)=E1145,"pagado","no pagado"),"no pagado")</f>
        <v>pagado</v>
      </c>
      <c r="J1145" s="41" t="str">
        <f t="shared" si="516"/>
        <v>pagado</v>
      </c>
      <c r="K1145" s="40" t="str">
        <f t="shared" ca="1" si="517"/>
        <v>excluir</v>
      </c>
      <c r="L1145" s="40" t="str">
        <f t="shared" ca="1" si="518"/>
        <v>no semana</v>
      </c>
      <c r="M1145" s="40" t="str">
        <f>IFERROR(VLOOKUP(E1145,'cheques a conf'!A:D,4,FALSE),"no clearing")</f>
        <v>no clearing</v>
      </c>
      <c r="N1145" s="40">
        <f t="shared" si="519"/>
        <v>11</v>
      </c>
      <c r="O1145" s="42">
        <f t="shared" si="520"/>
        <v>3</v>
      </c>
      <c r="P1145" s="42">
        <f t="shared" si="521"/>
        <v>2026</v>
      </c>
    </row>
    <row r="1146" spans="1:16" x14ac:dyDescent="0.2">
      <c r="A1146" s="21">
        <v>3000000339</v>
      </c>
      <c r="B1146" s="22">
        <v>46090</v>
      </c>
      <c r="C1146" s="20">
        <v>4003045.49</v>
      </c>
      <c r="D1146" s="21" t="s">
        <v>348</v>
      </c>
      <c r="E1146" s="21">
        <v>97124331</v>
      </c>
      <c r="F1146" s="20">
        <v>4003045.49</v>
      </c>
      <c r="G1146" s="22">
        <v>46094</v>
      </c>
      <c r="H1146" s="21" t="s">
        <v>61</v>
      </c>
      <c r="I1146" s="40" t="str">
        <f>IFERROR(IF(VLOOKUP(E1146,extracto!C:C,1,FALSE)=E1146,"pagado","no pagado"),"no pagado")</f>
        <v>pagado</v>
      </c>
      <c r="J1146" s="41" t="str">
        <f t="shared" si="516"/>
        <v>pagado</v>
      </c>
      <c r="K1146" s="40" t="str">
        <f t="shared" ca="1" si="517"/>
        <v>excluir</v>
      </c>
      <c r="L1146" s="40" t="str">
        <f t="shared" ca="1" si="518"/>
        <v>no semana</v>
      </c>
      <c r="M1146" s="40" t="str">
        <f>IFERROR(VLOOKUP(E1146,'cheques a conf'!A:D,4,FALSE),"no clearing")</f>
        <v>no clearing</v>
      </c>
      <c r="N1146" s="40">
        <f t="shared" si="519"/>
        <v>11</v>
      </c>
      <c r="O1146" s="42">
        <f t="shared" si="520"/>
        <v>3</v>
      </c>
      <c r="P1146" s="42">
        <f t="shared" si="521"/>
        <v>2026</v>
      </c>
    </row>
    <row r="1147" spans="1:16" x14ac:dyDescent="0.25">
      <c r="A1147" s="21">
        <v>3000000351</v>
      </c>
      <c r="B1147" s="22">
        <v>46093</v>
      </c>
      <c r="C1147" s="20">
        <v>88438.26</v>
      </c>
      <c r="D1147" s="21" t="s">
        <v>289</v>
      </c>
      <c r="E1147" s="21">
        <v>97124332</v>
      </c>
      <c r="F1147" s="20">
        <v>88438.26</v>
      </c>
      <c r="G1147" s="22">
        <v>46094</v>
      </c>
      <c r="H1147" t="s">
        <v>61</v>
      </c>
      <c r="I1147" s="40" t="str">
        <f>IFERROR(IF(VLOOKUP(E1147,extracto!C:C,1,FALSE)=E1147,"pagado","no pagado"),"no pagado")</f>
        <v>pagado</v>
      </c>
      <c r="J1147" s="41" t="str">
        <f t="shared" si="516"/>
        <v>pagado</v>
      </c>
      <c r="K1147" s="40" t="str">
        <f t="shared" ca="1" si="517"/>
        <v>excluir</v>
      </c>
      <c r="L1147" s="40" t="str">
        <f t="shared" ca="1" si="518"/>
        <v>no semana</v>
      </c>
      <c r="M1147" s="40" t="str">
        <f>IFERROR(VLOOKUP(E1147,'cheques a conf'!A:D,4,FALSE),"no clearing")</f>
        <v>no clearing</v>
      </c>
      <c r="N1147" s="40">
        <f t="shared" si="519"/>
        <v>11</v>
      </c>
      <c r="O1147" s="42">
        <f t="shared" si="520"/>
        <v>3</v>
      </c>
      <c r="P1147" s="42">
        <f t="shared" si="521"/>
        <v>2026</v>
      </c>
    </row>
    <row r="1148" spans="1:16" x14ac:dyDescent="0.2">
      <c r="A1148" s="21">
        <v>3000000359</v>
      </c>
      <c r="B1148" s="22">
        <v>46097</v>
      </c>
      <c r="C1148" s="20">
        <v>17445110</v>
      </c>
      <c r="D1148" s="21" t="s">
        <v>22</v>
      </c>
      <c r="E1148" s="21">
        <v>97121399</v>
      </c>
      <c r="F1148" s="20">
        <v>17445110</v>
      </c>
      <c r="G1148" s="22">
        <v>46097</v>
      </c>
      <c r="H1148" s="21" t="s">
        <v>61</v>
      </c>
      <c r="I1148" s="40" t="str">
        <f>IFERROR(IF(VLOOKUP(E1148,extracto!C:C,1,FALSE)=E1148,"pagado","no pagado"),"no pagado")</f>
        <v>pagado</v>
      </c>
      <c r="J1148" s="41" t="str">
        <f t="shared" si="516"/>
        <v>pagado</v>
      </c>
      <c r="K1148" s="40" t="str">
        <f t="shared" ca="1" si="517"/>
        <v>excluir</v>
      </c>
      <c r="L1148" s="40" t="str">
        <f t="shared" ca="1" si="518"/>
        <v>no semana</v>
      </c>
      <c r="M1148" s="40" t="str">
        <f>IFERROR(VLOOKUP(E1148,'cheques a conf'!A:D,4,FALSE),"no clearing")</f>
        <v>no clearing</v>
      </c>
      <c r="N1148" s="40">
        <f t="shared" si="519"/>
        <v>12</v>
      </c>
      <c r="O1148" s="42">
        <f t="shared" si="520"/>
        <v>3</v>
      </c>
      <c r="P1148" s="42">
        <f t="shared" si="521"/>
        <v>2026</v>
      </c>
    </row>
    <row r="1149" spans="1:16" x14ac:dyDescent="0.25">
      <c r="A1149" s="21">
        <v>3000000361</v>
      </c>
      <c r="B1149" s="22">
        <v>46097</v>
      </c>
      <c r="C1149" s="20">
        <v>15990026.65</v>
      </c>
      <c r="D1149" s="21" t="s">
        <v>286</v>
      </c>
      <c r="E1149" s="21">
        <v>97124333</v>
      </c>
      <c r="F1149" s="20">
        <v>15990026.65</v>
      </c>
      <c r="G1149" s="22">
        <v>46100</v>
      </c>
      <c r="H1149" t="s">
        <v>61</v>
      </c>
      <c r="I1149" s="40" t="str">
        <f>IFERROR(IF(VLOOKUP(E1149,extracto!C:C,1,FALSE)=E1149,"pagado","no pagado"),"no pagado")</f>
        <v>pagado</v>
      </c>
      <c r="J1149" s="41" t="str">
        <f t="shared" si="516"/>
        <v>pagado</v>
      </c>
      <c r="K1149" s="40" t="str">
        <f t="shared" ca="1" si="517"/>
        <v>excluir</v>
      </c>
      <c r="L1149" s="40" t="str">
        <f t="shared" ca="1" si="518"/>
        <v>no semana</v>
      </c>
      <c r="M1149" s="40" t="str">
        <f>IFERROR(VLOOKUP(E1149,'cheques a conf'!A:D,4,FALSE),"no clearing")</f>
        <v>no clearing</v>
      </c>
      <c r="N1149" s="40">
        <f t="shared" si="519"/>
        <v>12</v>
      </c>
      <c r="O1149" s="42">
        <f t="shared" si="520"/>
        <v>3</v>
      </c>
      <c r="P1149" s="42">
        <f t="shared" si="521"/>
        <v>2026</v>
      </c>
    </row>
    <row r="1150" spans="1:16" x14ac:dyDescent="0.25">
      <c r="A1150" s="21">
        <v>3000000362</v>
      </c>
      <c r="B1150" s="22">
        <v>46097</v>
      </c>
      <c r="C1150" s="20">
        <v>18172637.100000001</v>
      </c>
      <c r="D1150" s="21" t="s">
        <v>345</v>
      </c>
      <c r="E1150" s="21">
        <v>97124334</v>
      </c>
      <c r="F1150" s="20">
        <v>18172637.100000001</v>
      </c>
      <c r="G1150" s="22">
        <v>46100</v>
      </c>
      <c r="H1150" t="s">
        <v>61</v>
      </c>
      <c r="I1150" s="40" t="str">
        <f>IFERROR(IF(VLOOKUP(E1150,extracto!C:C,1,FALSE)=E1150,"pagado","no pagado"),"no pagado")</f>
        <v>pagado</v>
      </c>
      <c r="J1150" s="41" t="str">
        <f t="shared" si="516"/>
        <v>pagado</v>
      </c>
      <c r="K1150" s="40" t="str">
        <f t="shared" ca="1" si="517"/>
        <v>excluir</v>
      </c>
      <c r="L1150" s="40" t="str">
        <f t="shared" ca="1" si="518"/>
        <v>no semana</v>
      </c>
      <c r="M1150" s="40" t="str">
        <f>IFERROR(VLOOKUP(E1150,'cheques a conf'!A:D,4,FALSE),"no clearing")</f>
        <v>no clearing</v>
      </c>
      <c r="N1150" s="40">
        <f t="shared" si="519"/>
        <v>12</v>
      </c>
      <c r="O1150" s="42">
        <f t="shared" si="520"/>
        <v>3</v>
      </c>
      <c r="P1150" s="42">
        <f t="shared" si="521"/>
        <v>2026</v>
      </c>
    </row>
    <row r="1151" spans="1:16" x14ac:dyDescent="0.25">
      <c r="A1151" s="21">
        <v>3000000363</v>
      </c>
      <c r="B1151" s="22">
        <v>46097</v>
      </c>
      <c r="C1151" s="20">
        <v>18807493.140000001</v>
      </c>
      <c r="D1151" s="21" t="s">
        <v>303</v>
      </c>
      <c r="E1151" s="21">
        <v>97124335</v>
      </c>
      <c r="F1151" s="20">
        <v>18807493.140000001</v>
      </c>
      <c r="G1151" s="22">
        <v>46100</v>
      </c>
      <c r="H1151" t="s">
        <v>61</v>
      </c>
      <c r="I1151" s="40" t="str">
        <f>IFERROR(IF(VLOOKUP(E1151,extracto!C:C,1,FALSE)=E1151,"pagado","no pagado"),"no pagado")</f>
        <v>pagado</v>
      </c>
      <c r="J1151" s="41" t="str">
        <f t="shared" si="516"/>
        <v>pagado</v>
      </c>
      <c r="K1151" s="40" t="str">
        <f t="shared" ca="1" si="517"/>
        <v>excluir</v>
      </c>
      <c r="L1151" s="40" t="str">
        <f t="shared" ca="1" si="518"/>
        <v>no semana</v>
      </c>
      <c r="M1151" s="40" t="str">
        <f>IFERROR(VLOOKUP(E1151,'cheques a conf'!A:D,4,FALSE),"no clearing")</f>
        <v>no clearing</v>
      </c>
      <c r="N1151" s="40">
        <f t="shared" si="519"/>
        <v>12</v>
      </c>
      <c r="O1151" s="42">
        <f t="shared" si="520"/>
        <v>3</v>
      </c>
      <c r="P1151" s="42">
        <f t="shared" si="521"/>
        <v>2026</v>
      </c>
    </row>
    <row r="1152" spans="1:16" x14ac:dyDescent="0.25">
      <c r="A1152" s="21">
        <v>3000000364</v>
      </c>
      <c r="B1152" s="22">
        <v>46097</v>
      </c>
      <c r="C1152" s="20">
        <v>4505254.78</v>
      </c>
      <c r="D1152" s="21" t="s">
        <v>344</v>
      </c>
      <c r="E1152" s="21">
        <v>97124336</v>
      </c>
      <c r="F1152" s="20">
        <v>4505254.78</v>
      </c>
      <c r="G1152" s="22">
        <v>46100</v>
      </c>
      <c r="H1152" t="s">
        <v>61</v>
      </c>
      <c r="I1152" s="40" t="str">
        <f>IFERROR(IF(VLOOKUP(E1152,extracto!C:C,1,FALSE)=E1152,"pagado","no pagado"),"no pagado")</f>
        <v>pagado</v>
      </c>
      <c r="J1152" s="41" t="str">
        <f t="shared" si="516"/>
        <v>pagado</v>
      </c>
      <c r="K1152" s="40" t="str">
        <f t="shared" ca="1" si="517"/>
        <v>excluir</v>
      </c>
      <c r="L1152" s="40" t="str">
        <f t="shared" ca="1" si="518"/>
        <v>no semana</v>
      </c>
      <c r="M1152" s="40" t="str">
        <f>IFERROR(VLOOKUP(E1152,'cheques a conf'!A:D,4,FALSE),"no clearing")</f>
        <v>no clearing</v>
      </c>
      <c r="N1152" s="40">
        <f t="shared" si="519"/>
        <v>12</v>
      </c>
      <c r="O1152" s="42">
        <f t="shared" si="520"/>
        <v>3</v>
      </c>
      <c r="P1152" s="42">
        <f t="shared" si="521"/>
        <v>2026</v>
      </c>
    </row>
    <row r="1153" spans="1:16" x14ac:dyDescent="0.25">
      <c r="A1153" s="21">
        <v>3000000365</v>
      </c>
      <c r="B1153" s="22">
        <v>46097</v>
      </c>
      <c r="C1153" s="20">
        <v>6556879.9500000002</v>
      </c>
      <c r="D1153" s="21" t="s">
        <v>385</v>
      </c>
      <c r="E1153" s="21">
        <v>97124337</v>
      </c>
      <c r="F1153" s="20">
        <v>6556879.9500000002</v>
      </c>
      <c r="G1153" s="22">
        <v>46100</v>
      </c>
      <c r="H1153" t="s">
        <v>61</v>
      </c>
      <c r="I1153" s="40" t="str">
        <f>IFERROR(IF(VLOOKUP(E1153,extracto!C:C,1,FALSE)=E1153,"pagado","no pagado"),"no pagado")</f>
        <v>pagado</v>
      </c>
      <c r="J1153" s="41" t="str">
        <f t="shared" si="516"/>
        <v>pagado</v>
      </c>
      <c r="K1153" s="40" t="str">
        <f t="shared" ca="1" si="517"/>
        <v>excluir</v>
      </c>
      <c r="L1153" s="40" t="str">
        <f t="shared" ca="1" si="518"/>
        <v>no semana</v>
      </c>
      <c r="M1153" s="40" t="str">
        <f>IFERROR(VLOOKUP(E1153,'cheques a conf'!A:D,4,FALSE),"no clearing")</f>
        <v>no clearing</v>
      </c>
      <c r="N1153" s="40">
        <f t="shared" si="519"/>
        <v>12</v>
      </c>
      <c r="O1153" s="42">
        <f t="shared" si="520"/>
        <v>3</v>
      </c>
      <c r="P1153" s="42">
        <f t="shared" si="521"/>
        <v>2026</v>
      </c>
    </row>
    <row r="1154" spans="1:16" x14ac:dyDescent="0.25">
      <c r="A1154" s="21">
        <v>3000000366</v>
      </c>
      <c r="B1154" s="22">
        <v>46097</v>
      </c>
      <c r="C1154" s="20">
        <v>7301077.7199999997</v>
      </c>
      <c r="D1154" s="21" t="s">
        <v>340</v>
      </c>
      <c r="E1154" s="21">
        <v>97124338</v>
      </c>
      <c r="F1154" s="20">
        <v>7301077.7199999997</v>
      </c>
      <c r="G1154" s="22">
        <v>46100</v>
      </c>
      <c r="H1154" t="s">
        <v>61</v>
      </c>
      <c r="I1154" s="40" t="str">
        <f>IFERROR(IF(VLOOKUP(E1154,extracto!C:C,1,FALSE)=E1154,"pagado","no pagado"),"no pagado")</f>
        <v>pagado</v>
      </c>
      <c r="J1154" s="41" t="str">
        <f t="shared" si="516"/>
        <v>pagado</v>
      </c>
      <c r="K1154" s="40" t="str">
        <f t="shared" ca="1" si="517"/>
        <v>excluir</v>
      </c>
      <c r="L1154" s="40" t="str">
        <f t="shared" ca="1" si="518"/>
        <v>no semana</v>
      </c>
      <c r="M1154" s="40" t="str">
        <f>IFERROR(VLOOKUP(E1154,'cheques a conf'!A:D,4,FALSE),"no clearing")</f>
        <v>no clearing</v>
      </c>
      <c r="N1154" s="40">
        <f t="shared" si="519"/>
        <v>12</v>
      </c>
      <c r="O1154" s="42">
        <f t="shared" si="520"/>
        <v>3</v>
      </c>
      <c r="P1154" s="42">
        <f t="shared" si="521"/>
        <v>2026</v>
      </c>
    </row>
    <row r="1155" spans="1:16" x14ac:dyDescent="0.25">
      <c r="A1155" s="21">
        <v>1200000395</v>
      </c>
      <c r="B1155" s="22">
        <v>46099</v>
      </c>
      <c r="C1155" s="20">
        <v>36759632.340000004</v>
      </c>
      <c r="D1155" s="21" t="s">
        <v>305</v>
      </c>
      <c r="E1155" s="21">
        <v>97124339</v>
      </c>
      <c r="F1155" s="20">
        <v>36759632.340000004</v>
      </c>
      <c r="G1155" s="22">
        <v>46106</v>
      </c>
      <c r="H1155" t="s">
        <v>61</v>
      </c>
      <c r="I1155" s="40" t="str">
        <f>IFERROR(IF(VLOOKUP(E1155,extracto!C:C,1,FALSE)=E1155,"pagado","no pagado"),"no pagado")</f>
        <v>pagado</v>
      </c>
      <c r="J1155" s="41" t="str">
        <f t="shared" si="516"/>
        <v>pagado</v>
      </c>
      <c r="K1155" s="40" t="str">
        <f t="shared" ca="1" si="517"/>
        <v>excluir</v>
      </c>
      <c r="L1155" s="40" t="str">
        <f t="shared" ca="1" si="518"/>
        <v>no semana</v>
      </c>
      <c r="M1155" s="40" t="str">
        <f>IFERROR(VLOOKUP(E1155,'cheques a conf'!A:D,4,FALSE),"no clearing")</f>
        <v>no clearing</v>
      </c>
      <c r="N1155" s="40">
        <f t="shared" si="519"/>
        <v>13</v>
      </c>
      <c r="O1155" s="42">
        <f t="shared" si="520"/>
        <v>3</v>
      </c>
      <c r="P1155" s="42">
        <f t="shared" si="521"/>
        <v>2026</v>
      </c>
    </row>
    <row r="1156" spans="1:16" x14ac:dyDescent="0.25">
      <c r="A1156" s="21">
        <v>3000000375</v>
      </c>
      <c r="B1156" s="22">
        <v>46099</v>
      </c>
      <c r="C1156" s="20">
        <v>782019.84</v>
      </c>
      <c r="D1156" s="21" t="s">
        <v>373</v>
      </c>
      <c r="E1156" s="21">
        <v>97124340</v>
      </c>
      <c r="F1156" s="20">
        <v>782019.84</v>
      </c>
      <c r="G1156" s="22">
        <v>46106</v>
      </c>
      <c r="H1156" t="s">
        <v>61</v>
      </c>
      <c r="I1156" s="40" t="str">
        <f>IFERROR(IF(VLOOKUP(E1156,extracto!C:C,1,FALSE)=E1156,"pagado","no pagado"),"no pagado")</f>
        <v>pagado</v>
      </c>
      <c r="J1156" s="41" t="str">
        <f t="shared" si="516"/>
        <v>pagado</v>
      </c>
      <c r="K1156" s="40" t="str">
        <f t="shared" ca="1" si="517"/>
        <v>excluir</v>
      </c>
      <c r="L1156" s="40" t="str">
        <f t="shared" ca="1" si="518"/>
        <v>no semana</v>
      </c>
      <c r="M1156" s="40" t="str">
        <f>IFERROR(VLOOKUP(E1156,'cheques a conf'!A:D,4,FALSE),"no clearing")</f>
        <v>no clearing</v>
      </c>
      <c r="N1156" s="40">
        <f t="shared" si="519"/>
        <v>13</v>
      </c>
      <c r="O1156" s="42">
        <f t="shared" si="520"/>
        <v>3</v>
      </c>
      <c r="P1156" s="42">
        <f t="shared" si="521"/>
        <v>2026</v>
      </c>
    </row>
    <row r="1157" spans="1:16" x14ac:dyDescent="0.25">
      <c r="A1157" s="21">
        <v>3000000379</v>
      </c>
      <c r="B1157" s="22">
        <v>46100</v>
      </c>
      <c r="C1157" s="20">
        <v>10179780</v>
      </c>
      <c r="D1157" s="21" t="s">
        <v>423</v>
      </c>
      <c r="E1157" s="21">
        <v>97124341</v>
      </c>
      <c r="F1157" s="20">
        <v>10179780</v>
      </c>
      <c r="G1157" s="22">
        <v>46106</v>
      </c>
      <c r="H1157" t="s">
        <v>61</v>
      </c>
      <c r="I1157" s="40" t="str">
        <f>IFERROR(IF(VLOOKUP(E1157,extracto!C:C,1,FALSE)=E1157,"pagado","no pagado"),"no pagado")</f>
        <v>pagado</v>
      </c>
      <c r="J1157" s="41" t="str">
        <f t="shared" si="516"/>
        <v>pagado</v>
      </c>
      <c r="K1157" s="40" t="str">
        <f t="shared" ca="1" si="517"/>
        <v>excluir</v>
      </c>
      <c r="L1157" s="40" t="str">
        <f t="shared" ca="1" si="518"/>
        <v>no semana</v>
      </c>
      <c r="M1157" s="40" t="str">
        <f>IFERROR(VLOOKUP(E1157,'cheques a conf'!A:D,4,FALSE),"no clearing")</f>
        <v>no clearing</v>
      </c>
      <c r="N1157" s="40">
        <f t="shared" si="519"/>
        <v>13</v>
      </c>
      <c r="O1157" s="42">
        <f t="shared" si="520"/>
        <v>3</v>
      </c>
      <c r="P1157" s="42">
        <f t="shared" si="521"/>
        <v>2026</v>
      </c>
    </row>
    <row r="1158" spans="1:16" x14ac:dyDescent="0.25">
      <c r="A1158" s="21">
        <v>3000000401</v>
      </c>
      <c r="B1158" s="22">
        <v>46106</v>
      </c>
      <c r="C1158" s="20">
        <v>25000000</v>
      </c>
      <c r="D1158" s="21" t="s">
        <v>361</v>
      </c>
      <c r="E1158" s="21">
        <v>97124353</v>
      </c>
      <c r="F1158" s="20">
        <v>25000000</v>
      </c>
      <c r="G1158" s="22">
        <v>46108</v>
      </c>
      <c r="H1158" t="s">
        <v>61</v>
      </c>
      <c r="I1158" s="40" t="str">
        <f>IFERROR(IF(VLOOKUP(E1158,extracto!C:C,1,FALSE)=E1158,"pagado","no pagado"),"no pagado")</f>
        <v>pagado</v>
      </c>
      <c r="J1158" s="41" t="str">
        <f t="shared" si="516"/>
        <v>pagado</v>
      </c>
      <c r="K1158" s="40" t="str">
        <f t="shared" ca="1" si="517"/>
        <v>excluir</v>
      </c>
      <c r="L1158" s="40" t="str">
        <f t="shared" ca="1" si="518"/>
        <v>no semana</v>
      </c>
      <c r="M1158" s="40" t="str">
        <f>IFERROR(VLOOKUP(E1158,'cheques a conf'!A:D,4,FALSE),"no clearing")</f>
        <v>no clearing</v>
      </c>
      <c r="N1158" s="40">
        <f t="shared" si="519"/>
        <v>13</v>
      </c>
      <c r="O1158" s="42">
        <f t="shared" si="520"/>
        <v>3</v>
      </c>
      <c r="P1158" s="42">
        <f t="shared" si="521"/>
        <v>2026</v>
      </c>
    </row>
    <row r="1159" spans="1:16" x14ac:dyDescent="0.25">
      <c r="A1159" s="21">
        <v>3000000401</v>
      </c>
      <c r="B1159" s="22">
        <v>46106</v>
      </c>
      <c r="C1159" s="20">
        <v>28832394</v>
      </c>
      <c r="D1159" s="21" t="s">
        <v>361</v>
      </c>
      <c r="E1159" s="21">
        <v>97124354</v>
      </c>
      <c r="F1159" s="20">
        <v>28832394</v>
      </c>
      <c r="G1159" s="22">
        <v>46111</v>
      </c>
      <c r="H1159" t="s">
        <v>61</v>
      </c>
      <c r="I1159" s="40" t="str">
        <f>IFERROR(IF(VLOOKUP(E1159,extracto!C:C,1,FALSE)=E1159,"pagado","no pagado"),"no pagado")</f>
        <v>pagado</v>
      </c>
      <c r="J1159" s="41" t="str">
        <f t="shared" si="516"/>
        <v>pagado</v>
      </c>
      <c r="K1159" s="40" t="str">
        <f t="shared" ca="1" si="517"/>
        <v>excluir</v>
      </c>
      <c r="L1159" s="40" t="str">
        <f t="shared" ca="1" si="518"/>
        <v>no semana</v>
      </c>
      <c r="M1159" s="40" t="str">
        <f>IFERROR(VLOOKUP(E1159,'cheques a conf'!A:D,4,FALSE),"no clearing")</f>
        <v>no clearing</v>
      </c>
      <c r="N1159" s="40">
        <f t="shared" si="519"/>
        <v>14</v>
      </c>
      <c r="O1159" s="42">
        <f t="shared" si="520"/>
        <v>3</v>
      </c>
      <c r="P1159" s="42">
        <f t="shared" si="521"/>
        <v>2026</v>
      </c>
    </row>
    <row r="1160" spans="1:16" x14ac:dyDescent="0.25">
      <c r="A1160" s="21">
        <v>3000000390</v>
      </c>
      <c r="B1160" s="22">
        <v>46106</v>
      </c>
      <c r="C1160" s="20">
        <v>10903534.35</v>
      </c>
      <c r="D1160" s="21" t="s">
        <v>354</v>
      </c>
      <c r="E1160" s="21">
        <v>97124342</v>
      </c>
      <c r="F1160" s="20">
        <v>10903534.35</v>
      </c>
      <c r="G1160" s="22">
        <v>46111</v>
      </c>
      <c r="H1160" t="s">
        <v>61</v>
      </c>
      <c r="I1160" s="40" t="str">
        <f>IFERROR(IF(VLOOKUP(E1160,extracto!C:C,1,FALSE)=E1160,"pagado","no pagado"),"no pagado")</f>
        <v>pagado</v>
      </c>
      <c r="J1160" s="41" t="str">
        <f t="shared" si="516"/>
        <v>pagado</v>
      </c>
      <c r="K1160" s="40" t="str">
        <f t="shared" ca="1" si="517"/>
        <v>excluir</v>
      </c>
      <c r="L1160" s="40" t="str">
        <f t="shared" ca="1" si="518"/>
        <v>no semana</v>
      </c>
      <c r="M1160" s="40" t="str">
        <f>IFERROR(VLOOKUP(E1160,'cheques a conf'!A:D,4,FALSE),"no clearing")</f>
        <v>no clearing</v>
      </c>
      <c r="N1160" s="40">
        <f t="shared" si="519"/>
        <v>14</v>
      </c>
      <c r="O1160" s="42">
        <f t="shared" si="520"/>
        <v>3</v>
      </c>
      <c r="P1160" s="42">
        <f t="shared" si="521"/>
        <v>2026</v>
      </c>
    </row>
    <row r="1161" spans="1:16" x14ac:dyDescent="0.25">
      <c r="A1161" s="21">
        <v>3000000391</v>
      </c>
      <c r="B1161" s="22">
        <v>46106</v>
      </c>
      <c r="C1161" s="20">
        <v>4670665.7699999996</v>
      </c>
      <c r="D1161" s="21" t="s">
        <v>346</v>
      </c>
      <c r="E1161" s="21">
        <v>97124343</v>
      </c>
      <c r="F1161" s="20">
        <v>4670665.7699999996</v>
      </c>
      <c r="G1161" s="22">
        <v>46108</v>
      </c>
      <c r="H1161" t="s">
        <v>61</v>
      </c>
      <c r="I1161" s="40" t="str">
        <f>IFERROR(IF(VLOOKUP(E1161,extracto!C:C,1,FALSE)=E1161,"pagado","no pagado"),"no pagado")</f>
        <v>pagado</v>
      </c>
      <c r="J1161" s="41" t="str">
        <f t="shared" si="516"/>
        <v>pagado</v>
      </c>
      <c r="K1161" s="40" t="str">
        <f t="shared" ca="1" si="517"/>
        <v>excluir</v>
      </c>
      <c r="L1161" s="40" t="str">
        <f t="shared" ca="1" si="518"/>
        <v>no semana</v>
      </c>
      <c r="M1161" s="40" t="str">
        <f>IFERROR(VLOOKUP(E1161,'cheques a conf'!A:D,4,FALSE),"no clearing")</f>
        <v>no clearing</v>
      </c>
      <c r="N1161" s="40">
        <f t="shared" si="519"/>
        <v>13</v>
      </c>
      <c r="O1161" s="42">
        <f t="shared" si="520"/>
        <v>3</v>
      </c>
      <c r="P1161" s="42">
        <f t="shared" si="521"/>
        <v>2026</v>
      </c>
    </row>
    <row r="1162" spans="1:16" x14ac:dyDescent="0.25">
      <c r="A1162" s="21">
        <v>3000000392</v>
      </c>
      <c r="B1162" s="22">
        <v>46106</v>
      </c>
      <c r="C1162" s="20">
        <v>26716188.399999999</v>
      </c>
      <c r="D1162" s="21" t="s">
        <v>138</v>
      </c>
      <c r="E1162" s="21">
        <v>97124344</v>
      </c>
      <c r="F1162" s="20">
        <v>26716188.399999999</v>
      </c>
      <c r="G1162" s="22">
        <v>46111</v>
      </c>
      <c r="H1162" t="s">
        <v>61</v>
      </c>
      <c r="I1162" s="40" t="str">
        <f>IFERROR(IF(VLOOKUP(E1162,extracto!C:C,1,FALSE)=E1162,"pagado","no pagado"),"no pagado")</f>
        <v>pagado</v>
      </c>
      <c r="J1162" s="41" t="str">
        <f t="shared" si="516"/>
        <v>pagado</v>
      </c>
      <c r="K1162" s="40" t="str">
        <f t="shared" ca="1" si="517"/>
        <v>excluir</v>
      </c>
      <c r="L1162" s="40" t="str">
        <f t="shared" ca="1" si="518"/>
        <v>no semana</v>
      </c>
      <c r="M1162" s="40" t="str">
        <f>IFERROR(VLOOKUP(E1162,'cheques a conf'!A:D,4,FALSE),"no clearing")</f>
        <v>no clearing</v>
      </c>
      <c r="N1162" s="40">
        <f t="shared" si="519"/>
        <v>14</v>
      </c>
      <c r="O1162" s="42">
        <f t="shared" si="520"/>
        <v>3</v>
      </c>
      <c r="P1162" s="42">
        <f t="shared" si="521"/>
        <v>2026</v>
      </c>
    </row>
    <row r="1163" spans="1:16" x14ac:dyDescent="0.25">
      <c r="A1163" s="21">
        <v>3000000393</v>
      </c>
      <c r="B1163" s="22">
        <v>46106</v>
      </c>
      <c r="C1163" s="20">
        <v>18991343.399999999</v>
      </c>
      <c r="D1163" s="21" t="s">
        <v>426</v>
      </c>
      <c r="E1163" s="21">
        <v>97124345</v>
      </c>
      <c r="F1163" s="20">
        <v>18991343.399999999</v>
      </c>
      <c r="G1163" s="22">
        <v>46111</v>
      </c>
      <c r="H1163" t="s">
        <v>61</v>
      </c>
      <c r="I1163" s="40" t="str">
        <f>IFERROR(IF(VLOOKUP(E1163,extracto!C:C,1,FALSE)=E1163,"pagado","no pagado"),"no pagado")</f>
        <v>pagado</v>
      </c>
      <c r="J1163" s="41" t="str">
        <f t="shared" si="516"/>
        <v>pagado</v>
      </c>
      <c r="K1163" s="40" t="str">
        <f t="shared" ca="1" si="517"/>
        <v>excluir</v>
      </c>
      <c r="L1163" s="40" t="str">
        <f t="shared" ca="1" si="518"/>
        <v>no semana</v>
      </c>
      <c r="M1163" s="40" t="str">
        <f>IFERROR(VLOOKUP(E1163,'cheques a conf'!A:D,4,FALSE),"no clearing")</f>
        <v>no clearing</v>
      </c>
      <c r="N1163" s="40">
        <f t="shared" si="519"/>
        <v>14</v>
      </c>
      <c r="O1163" s="42">
        <f t="shared" si="520"/>
        <v>3</v>
      </c>
      <c r="P1163" s="42">
        <f t="shared" si="521"/>
        <v>2026</v>
      </c>
    </row>
    <row r="1164" spans="1:16" x14ac:dyDescent="0.25">
      <c r="A1164" s="21">
        <v>3000000394</v>
      </c>
      <c r="B1164" s="22">
        <v>46106</v>
      </c>
      <c r="C1164" s="20">
        <v>3940778.4</v>
      </c>
      <c r="D1164" s="21" t="s">
        <v>530</v>
      </c>
      <c r="E1164" s="21">
        <v>97124346</v>
      </c>
      <c r="F1164" s="20">
        <v>3940778.4</v>
      </c>
      <c r="G1164" s="22">
        <v>46108</v>
      </c>
      <c r="H1164" t="s">
        <v>61</v>
      </c>
      <c r="I1164" s="40" t="str">
        <f>IFERROR(IF(VLOOKUP(E1164,extracto!C:C,1,FALSE)=E1164,"pagado","no pagado"),"no pagado")</f>
        <v>pagado</v>
      </c>
      <c r="J1164" s="41" t="str">
        <f t="shared" si="516"/>
        <v>pagado</v>
      </c>
      <c r="K1164" s="40" t="str">
        <f t="shared" ca="1" si="517"/>
        <v>excluir</v>
      </c>
      <c r="L1164" s="40" t="str">
        <f t="shared" ca="1" si="518"/>
        <v>no semana</v>
      </c>
      <c r="M1164" s="40" t="str">
        <f>IFERROR(VLOOKUP(E1164,'cheques a conf'!A:D,4,FALSE),"no clearing")</f>
        <v>no clearing</v>
      </c>
      <c r="N1164" s="40">
        <f t="shared" si="519"/>
        <v>13</v>
      </c>
      <c r="O1164" s="42">
        <f t="shared" si="520"/>
        <v>3</v>
      </c>
      <c r="P1164" s="42">
        <f t="shared" si="521"/>
        <v>2026</v>
      </c>
    </row>
    <row r="1165" spans="1:16" x14ac:dyDescent="0.25">
      <c r="A1165" s="21">
        <v>3000000395</v>
      </c>
      <c r="B1165" s="22">
        <v>46106</v>
      </c>
      <c r="C1165" s="20">
        <v>24563000</v>
      </c>
      <c r="D1165" s="21" t="s">
        <v>522</v>
      </c>
      <c r="E1165" s="21">
        <v>97124347</v>
      </c>
      <c r="F1165" s="20">
        <v>24563000</v>
      </c>
      <c r="G1165" s="22">
        <v>46111</v>
      </c>
      <c r="H1165" t="s">
        <v>61</v>
      </c>
      <c r="I1165" s="40" t="str">
        <f>IFERROR(IF(VLOOKUP(E1165,extracto!C:C,1,FALSE)=E1165,"pagado","no pagado"),"no pagado")</f>
        <v>pagado</v>
      </c>
      <c r="J1165" s="41" t="str">
        <f t="shared" si="516"/>
        <v>pagado</v>
      </c>
      <c r="K1165" s="40" t="str">
        <f t="shared" ca="1" si="517"/>
        <v>excluir</v>
      </c>
      <c r="L1165" s="40" t="str">
        <f t="shared" ca="1" si="518"/>
        <v>no semana</v>
      </c>
      <c r="M1165" s="40" t="str">
        <f>IFERROR(VLOOKUP(E1165,'cheques a conf'!A:D,4,FALSE),"no clearing")</f>
        <v>no clearing</v>
      </c>
      <c r="N1165" s="40">
        <f t="shared" si="519"/>
        <v>14</v>
      </c>
      <c r="O1165" s="42">
        <f t="shared" si="520"/>
        <v>3</v>
      </c>
      <c r="P1165" s="42">
        <f t="shared" si="521"/>
        <v>2026</v>
      </c>
    </row>
    <row r="1166" spans="1:16" x14ac:dyDescent="0.25">
      <c r="A1166" s="21">
        <v>3000000396</v>
      </c>
      <c r="B1166" s="22">
        <v>46106</v>
      </c>
      <c r="C1166" s="20">
        <v>9145575</v>
      </c>
      <c r="D1166" s="21" t="s">
        <v>385</v>
      </c>
      <c r="E1166" s="21">
        <v>97124348</v>
      </c>
      <c r="F1166" s="20">
        <v>9145575</v>
      </c>
      <c r="G1166" s="22">
        <v>46108</v>
      </c>
      <c r="H1166" t="s">
        <v>61</v>
      </c>
      <c r="I1166" s="40" t="str">
        <f>IFERROR(IF(VLOOKUP(E1166,extracto!C:C,1,FALSE)=E1166,"pagado","no pagado"),"no pagado")</f>
        <v>pagado</v>
      </c>
      <c r="J1166" s="41" t="str">
        <f t="shared" si="516"/>
        <v>pagado</v>
      </c>
      <c r="K1166" s="40" t="str">
        <f t="shared" ca="1" si="517"/>
        <v>excluir</v>
      </c>
      <c r="L1166" s="40" t="str">
        <f t="shared" ca="1" si="518"/>
        <v>no semana</v>
      </c>
      <c r="M1166" s="40" t="str">
        <f>IFERROR(VLOOKUP(E1166,'cheques a conf'!A:D,4,FALSE),"no clearing")</f>
        <v>no clearing</v>
      </c>
      <c r="N1166" s="40">
        <f t="shared" si="519"/>
        <v>13</v>
      </c>
      <c r="O1166" s="42">
        <f t="shared" si="520"/>
        <v>3</v>
      </c>
      <c r="P1166" s="42">
        <f t="shared" si="521"/>
        <v>2026</v>
      </c>
    </row>
    <row r="1167" spans="1:16" x14ac:dyDescent="0.25">
      <c r="A1167" s="21">
        <v>3000000397</v>
      </c>
      <c r="B1167" s="22">
        <v>46106</v>
      </c>
      <c r="C1167" s="20">
        <v>5546690.1699999999</v>
      </c>
      <c r="D1167" s="21" t="s">
        <v>359</v>
      </c>
      <c r="E1167" s="21">
        <v>97124349</v>
      </c>
      <c r="F1167" s="20">
        <v>5546690.1699999999</v>
      </c>
      <c r="G1167" s="22">
        <v>46108</v>
      </c>
      <c r="H1167" t="s">
        <v>61</v>
      </c>
      <c r="I1167" s="40" t="str">
        <f>IFERROR(IF(VLOOKUP(E1167,extracto!C:C,1,FALSE)=E1167,"pagado","no pagado"),"no pagado")</f>
        <v>pagado</v>
      </c>
      <c r="J1167" s="41" t="str">
        <f t="shared" si="516"/>
        <v>pagado</v>
      </c>
      <c r="K1167" s="40" t="str">
        <f t="shared" ca="1" si="517"/>
        <v>excluir</v>
      </c>
      <c r="L1167" s="40" t="str">
        <f t="shared" ca="1" si="518"/>
        <v>no semana</v>
      </c>
      <c r="M1167" s="40" t="str">
        <f>IFERROR(VLOOKUP(E1167,'cheques a conf'!A:D,4,FALSE),"no clearing")</f>
        <v>no clearing</v>
      </c>
      <c r="N1167" s="40">
        <f t="shared" si="519"/>
        <v>13</v>
      </c>
      <c r="O1167" s="42">
        <f t="shared" si="520"/>
        <v>3</v>
      </c>
      <c r="P1167" s="42">
        <f t="shared" si="521"/>
        <v>2026</v>
      </c>
    </row>
    <row r="1168" spans="1:16" x14ac:dyDescent="0.25">
      <c r="A1168" s="21">
        <v>3000000398</v>
      </c>
      <c r="B1168" s="22">
        <v>46106</v>
      </c>
      <c r="C1168" s="20">
        <v>12714358.57</v>
      </c>
      <c r="D1168" s="21" t="s">
        <v>439</v>
      </c>
      <c r="E1168" s="21">
        <v>97124350</v>
      </c>
      <c r="F1168" s="20">
        <v>12714358.57</v>
      </c>
      <c r="G1168" s="22">
        <v>46111</v>
      </c>
      <c r="H1168" t="s">
        <v>61</v>
      </c>
      <c r="I1168" s="40" t="str">
        <f>IFERROR(IF(VLOOKUP(E1168,extracto!C:C,1,FALSE)=E1168,"pagado","no pagado"),"no pagado")</f>
        <v>pagado</v>
      </c>
      <c r="J1168" s="41" t="str">
        <f t="shared" si="516"/>
        <v>pagado</v>
      </c>
      <c r="K1168" s="40" t="str">
        <f t="shared" ca="1" si="517"/>
        <v>excluir</v>
      </c>
      <c r="L1168" s="40" t="str">
        <f t="shared" ca="1" si="518"/>
        <v>no semana</v>
      </c>
      <c r="M1168" s="40" t="str">
        <f>IFERROR(VLOOKUP(E1168,'cheques a conf'!A:D,4,FALSE),"no clearing")</f>
        <v>no clearing</v>
      </c>
      <c r="N1168" s="40">
        <f t="shared" si="519"/>
        <v>14</v>
      </c>
      <c r="O1168" s="42">
        <f t="shared" si="520"/>
        <v>3</v>
      </c>
      <c r="P1168" s="42">
        <f t="shared" si="521"/>
        <v>2026</v>
      </c>
    </row>
    <row r="1169" spans="1:16" x14ac:dyDescent="0.25">
      <c r="A1169" s="21">
        <v>3000000399</v>
      </c>
      <c r="B1169" s="22">
        <v>46106</v>
      </c>
      <c r="C1169" s="20">
        <v>25515660.5</v>
      </c>
      <c r="D1169" s="21" t="s">
        <v>350</v>
      </c>
      <c r="E1169" s="21">
        <v>97124351</v>
      </c>
      <c r="F1169" s="20">
        <v>25515660.5</v>
      </c>
      <c r="G1169" s="22">
        <v>46111</v>
      </c>
      <c r="H1169" t="s">
        <v>61</v>
      </c>
      <c r="I1169" s="40" t="str">
        <f>IFERROR(IF(VLOOKUP(E1169,extracto!C:C,1,FALSE)=E1169,"pagado","no pagado"),"no pagado")</f>
        <v>pagado</v>
      </c>
      <c r="J1169" s="41" t="str">
        <f t="shared" si="516"/>
        <v>pagado</v>
      </c>
      <c r="K1169" s="40" t="str">
        <f t="shared" ca="1" si="517"/>
        <v>excluir</v>
      </c>
      <c r="L1169" s="40" t="str">
        <f t="shared" ca="1" si="518"/>
        <v>no semana</v>
      </c>
      <c r="M1169" s="40" t="str">
        <f>IFERROR(VLOOKUP(E1169,'cheques a conf'!A:D,4,FALSE),"no clearing")</f>
        <v>no clearing</v>
      </c>
      <c r="N1169" s="40">
        <f t="shared" si="519"/>
        <v>14</v>
      </c>
      <c r="O1169" s="42">
        <f t="shared" si="520"/>
        <v>3</v>
      </c>
      <c r="P1169" s="42">
        <f t="shared" si="521"/>
        <v>2026</v>
      </c>
    </row>
    <row r="1170" spans="1:16" x14ac:dyDescent="0.25">
      <c r="A1170" s="21">
        <v>3000000400</v>
      </c>
      <c r="B1170" s="22">
        <v>46106</v>
      </c>
      <c r="C1170" s="20">
        <v>18691063.899999999</v>
      </c>
      <c r="D1170" s="21" t="s">
        <v>287</v>
      </c>
      <c r="E1170" s="21">
        <v>97124352</v>
      </c>
      <c r="F1170" s="20">
        <v>18691063.899999999</v>
      </c>
      <c r="G1170" s="22">
        <v>46111</v>
      </c>
      <c r="H1170" t="s">
        <v>61</v>
      </c>
      <c r="I1170" s="40" t="str">
        <f>IFERROR(IF(VLOOKUP(E1170,extracto!C:C,1,FALSE)=E1170,"pagado","no pagado"),"no pagado")</f>
        <v>pagado</v>
      </c>
      <c r="J1170" s="41" t="str">
        <f t="shared" si="516"/>
        <v>pagado</v>
      </c>
      <c r="K1170" s="40" t="str">
        <f t="shared" ca="1" si="517"/>
        <v>excluir</v>
      </c>
      <c r="L1170" s="40" t="str">
        <f t="shared" ca="1" si="518"/>
        <v>no semana</v>
      </c>
      <c r="M1170" s="40" t="str">
        <f>IFERROR(VLOOKUP(E1170,'cheques a conf'!A:D,4,FALSE),"no clearing")</f>
        <v>no clearing</v>
      </c>
      <c r="N1170" s="40">
        <f t="shared" si="519"/>
        <v>14</v>
      </c>
      <c r="O1170" s="42">
        <f t="shared" si="520"/>
        <v>3</v>
      </c>
      <c r="P1170" s="42">
        <f t="shared" si="521"/>
        <v>2026</v>
      </c>
    </row>
    <row r="1171" spans="1:16" x14ac:dyDescent="0.25">
      <c r="A1171" s="21">
        <v>3000000402</v>
      </c>
      <c r="B1171" s="22">
        <v>46106</v>
      </c>
      <c r="C1171" s="20">
        <v>24560329.600000001</v>
      </c>
      <c r="D1171" s="21" t="s">
        <v>284</v>
      </c>
      <c r="E1171" s="21">
        <v>97124355</v>
      </c>
      <c r="F1171" s="20">
        <v>24560329.600000001</v>
      </c>
      <c r="G1171" s="22">
        <v>46111</v>
      </c>
      <c r="H1171" t="s">
        <v>61</v>
      </c>
      <c r="I1171" s="40" t="str">
        <f>IFERROR(IF(VLOOKUP(E1171,extracto!C:C,1,FALSE)=E1171,"pagado","no pagado"),"no pagado")</f>
        <v>pagado</v>
      </c>
      <c r="J1171" s="41" t="str">
        <f t="shared" si="516"/>
        <v>pagado</v>
      </c>
      <c r="K1171" s="40" t="str">
        <f t="shared" ca="1" si="517"/>
        <v>excluir</v>
      </c>
      <c r="L1171" s="40" t="str">
        <f t="shared" ca="1" si="518"/>
        <v>no semana</v>
      </c>
      <c r="M1171" s="40" t="str">
        <f>IFERROR(VLOOKUP(E1171,'cheques a conf'!A:D,4,FALSE),"no clearing")</f>
        <v>no clearing</v>
      </c>
      <c r="N1171" s="40">
        <f t="shared" si="519"/>
        <v>14</v>
      </c>
      <c r="O1171" s="42">
        <f t="shared" si="520"/>
        <v>3</v>
      </c>
      <c r="P1171" s="42">
        <f t="shared" si="521"/>
        <v>2026</v>
      </c>
    </row>
    <row r="1172" spans="1:16" x14ac:dyDescent="0.25">
      <c r="A1172" s="21">
        <v>3000000403</v>
      </c>
      <c r="B1172" s="22">
        <v>46106</v>
      </c>
      <c r="C1172" s="20">
        <v>7254347.0999999996</v>
      </c>
      <c r="D1172" s="21" t="s">
        <v>348</v>
      </c>
      <c r="E1172" s="21">
        <v>97124356</v>
      </c>
      <c r="F1172" s="20">
        <v>7254347.0999999996</v>
      </c>
      <c r="G1172" s="22">
        <v>46108</v>
      </c>
      <c r="H1172" t="s">
        <v>61</v>
      </c>
      <c r="I1172" s="40" t="str">
        <f>IFERROR(IF(VLOOKUP(E1172,extracto!C:C,1,FALSE)=E1172,"pagado","no pagado"),"no pagado")</f>
        <v>no pagado</v>
      </c>
      <c r="J1172" s="41" t="str">
        <f t="shared" ca="1" si="516"/>
        <v>fuera de fecha</v>
      </c>
      <c r="K1172" s="40" t="str">
        <f t="shared" ca="1" si="517"/>
        <v>excluir</v>
      </c>
      <c r="L1172" s="40" t="str">
        <f t="shared" ca="1" si="518"/>
        <v>no semana</v>
      </c>
      <c r="M1172" s="40" t="str">
        <f>IFERROR(VLOOKUP(E1172,'cheques a conf'!A:D,4,FALSE),"no clearing")</f>
        <v>no clearing</v>
      </c>
      <c r="N1172" s="40">
        <f t="shared" si="519"/>
        <v>13</v>
      </c>
      <c r="O1172" s="42">
        <f t="shared" si="520"/>
        <v>3</v>
      </c>
      <c r="P1172" s="42">
        <f t="shared" si="521"/>
        <v>2026</v>
      </c>
    </row>
    <row r="1173" spans="1:16" x14ac:dyDescent="0.25">
      <c r="A1173" s="21">
        <v>3000000404</v>
      </c>
      <c r="B1173" s="22">
        <v>46106</v>
      </c>
      <c r="C1173" s="20">
        <v>18423701.949999999</v>
      </c>
      <c r="D1173" s="21" t="s">
        <v>430</v>
      </c>
      <c r="E1173" s="21">
        <v>97124357</v>
      </c>
      <c r="F1173" s="20">
        <v>18423701.949999999</v>
      </c>
      <c r="G1173" s="22">
        <v>46111</v>
      </c>
      <c r="H1173" t="s">
        <v>61</v>
      </c>
      <c r="I1173" s="40" t="str">
        <f>IFERROR(IF(VLOOKUP(E1173,extracto!C:C,1,FALSE)=E1173,"pagado","no pagado"),"no pagado")</f>
        <v>pagado</v>
      </c>
      <c r="J1173" s="41" t="str">
        <f t="shared" si="516"/>
        <v>pagado</v>
      </c>
      <c r="K1173" s="40" t="str">
        <f t="shared" ca="1" si="517"/>
        <v>excluir</v>
      </c>
      <c r="L1173" s="40" t="str">
        <f t="shared" ca="1" si="518"/>
        <v>no semana</v>
      </c>
      <c r="M1173" s="40" t="str">
        <f>IFERROR(VLOOKUP(E1173,'cheques a conf'!A:D,4,FALSE),"no clearing")</f>
        <v>no clearing</v>
      </c>
      <c r="N1173" s="40">
        <f t="shared" si="519"/>
        <v>14</v>
      </c>
      <c r="O1173" s="42">
        <f t="shared" si="520"/>
        <v>3</v>
      </c>
      <c r="P1173" s="42">
        <f t="shared" si="521"/>
        <v>2026</v>
      </c>
    </row>
    <row r="1174" spans="1:16" x14ac:dyDescent="0.25">
      <c r="A1174" s="21">
        <v>3000000434</v>
      </c>
      <c r="B1174" s="22">
        <v>46111</v>
      </c>
      <c r="C1174" s="20">
        <v>3487567.85</v>
      </c>
      <c r="D1174" s="21" t="s">
        <v>303</v>
      </c>
      <c r="E1174" s="21">
        <v>97124358</v>
      </c>
      <c r="F1174" s="20">
        <v>3487567.85</v>
      </c>
      <c r="G1174" s="22">
        <v>46119</v>
      </c>
      <c r="H1174" t="s">
        <v>61</v>
      </c>
      <c r="I1174" s="40" t="str">
        <f>IFERROR(IF(VLOOKUP(E1174,extracto!C:C,1,FALSE)=E1174,"pagado","no pagado"),"no pagado")</f>
        <v>pagado</v>
      </c>
      <c r="J1174" s="41" t="str">
        <f t="shared" si="516"/>
        <v>pagado</v>
      </c>
      <c r="K1174" s="40" t="str">
        <f t="shared" ca="1" si="517"/>
        <v>excluir</v>
      </c>
      <c r="L1174" s="40" t="str">
        <f t="shared" ca="1" si="518"/>
        <v>no semana</v>
      </c>
      <c r="M1174" s="40" t="str">
        <f>IFERROR(VLOOKUP(E1174,'cheques a conf'!A:D,4,FALSE),"no clearing")</f>
        <v>no clearing</v>
      </c>
      <c r="N1174" s="40">
        <f t="shared" si="519"/>
        <v>15</v>
      </c>
      <c r="O1174" s="42">
        <f t="shared" si="520"/>
        <v>4</v>
      </c>
      <c r="P1174" s="42">
        <f t="shared" si="521"/>
        <v>2026</v>
      </c>
    </row>
    <row r="1175" spans="1:16" x14ac:dyDescent="0.25">
      <c r="A1175" s="21">
        <v>3000000435</v>
      </c>
      <c r="B1175" s="22">
        <v>46112</v>
      </c>
      <c r="C1175" s="20">
        <v>103101102</v>
      </c>
      <c r="D1175" s="21" t="s">
        <v>532</v>
      </c>
      <c r="E1175" s="21">
        <v>97124359</v>
      </c>
      <c r="F1175" s="20">
        <v>103101102</v>
      </c>
      <c r="G1175" s="22">
        <v>46119</v>
      </c>
      <c r="H1175" t="s">
        <v>61</v>
      </c>
      <c r="I1175" s="40" t="str">
        <f>IFERROR(IF(VLOOKUP(E1175,extracto!C:C,1,FALSE)=E1175,"pagado","no pagado"),"no pagado")</f>
        <v>pagado</v>
      </c>
      <c r="J1175" s="41" t="str">
        <f t="shared" si="516"/>
        <v>pagado</v>
      </c>
      <c r="K1175" s="40" t="str">
        <f t="shared" ca="1" si="517"/>
        <v>excluir</v>
      </c>
      <c r="L1175" s="40" t="str">
        <f t="shared" ca="1" si="518"/>
        <v>no semana</v>
      </c>
      <c r="M1175" s="40" t="str">
        <f>IFERROR(VLOOKUP(E1175,'cheques a conf'!A:D,4,FALSE),"no clearing")</f>
        <v>no clearing</v>
      </c>
      <c r="N1175" s="40">
        <f t="shared" si="519"/>
        <v>15</v>
      </c>
      <c r="O1175" s="42">
        <f t="shared" si="520"/>
        <v>4</v>
      </c>
      <c r="P1175" s="42">
        <f t="shared" si="521"/>
        <v>2026</v>
      </c>
    </row>
    <row r="1176" spans="1:16" x14ac:dyDescent="0.25">
      <c r="A1176" s="21">
        <v>3000000435</v>
      </c>
      <c r="B1176" s="22">
        <v>46112</v>
      </c>
      <c r="C1176" s="20">
        <v>103101102</v>
      </c>
      <c r="D1176" s="21" t="s">
        <v>532</v>
      </c>
      <c r="E1176" s="21">
        <v>97124360</v>
      </c>
      <c r="F1176" s="20">
        <v>103101102</v>
      </c>
      <c r="G1176" s="22">
        <v>46146</v>
      </c>
      <c r="H1176" t="s">
        <v>61</v>
      </c>
      <c r="I1176" s="40" t="str">
        <f>IFERROR(IF(VLOOKUP(E1176,extracto!C:C,1,FALSE)=E1176,"pagado","no pagado"),"no pagado")</f>
        <v>pagado</v>
      </c>
      <c r="J1176" s="41" t="str">
        <f t="shared" si="516"/>
        <v>pagado</v>
      </c>
      <c r="K1176" s="40" t="str">
        <f t="shared" ca="1" si="517"/>
        <v>excluir</v>
      </c>
      <c r="L1176" s="40" t="str">
        <f t="shared" ca="1" si="518"/>
        <v>no semana</v>
      </c>
      <c r="M1176" s="40" t="str">
        <f>IFERROR(VLOOKUP(E1176,'cheques a conf'!A:D,4,FALSE),"no clearing")</f>
        <v>no clearing</v>
      </c>
      <c r="N1176" s="40">
        <f t="shared" si="519"/>
        <v>19</v>
      </c>
      <c r="O1176" s="42">
        <f t="shared" si="520"/>
        <v>5</v>
      </c>
      <c r="P1176" s="42">
        <f t="shared" si="521"/>
        <v>2026</v>
      </c>
    </row>
    <row r="1177" spans="1:16" x14ac:dyDescent="0.25">
      <c r="A1177" s="21">
        <v>3000000007</v>
      </c>
      <c r="B1177" s="22">
        <v>46120</v>
      </c>
      <c r="C1177" s="20">
        <v>1318027.8999999999</v>
      </c>
      <c r="D1177" s="21" t="s">
        <v>287</v>
      </c>
      <c r="E1177" s="21">
        <v>97124361</v>
      </c>
      <c r="F1177" s="20">
        <v>1318027.8999999999</v>
      </c>
      <c r="G1177" s="22">
        <v>46122</v>
      </c>
      <c r="H1177" t="s">
        <v>61</v>
      </c>
      <c r="I1177" s="40" t="str">
        <f>IFERROR(IF(VLOOKUP(E1177,extracto!C:C,1,FALSE)=E1177,"pagado","no pagado"),"no pagado")</f>
        <v>pagado</v>
      </c>
      <c r="J1177" s="41" t="str">
        <f t="shared" si="516"/>
        <v>pagado</v>
      </c>
      <c r="K1177" s="40" t="str">
        <f t="shared" ca="1" si="517"/>
        <v>excluir</v>
      </c>
      <c r="L1177" s="40" t="str">
        <f t="shared" ca="1" si="518"/>
        <v>no semana</v>
      </c>
      <c r="M1177" s="40" t="str">
        <f>IFERROR(VLOOKUP(E1177,'cheques a conf'!A:D,4,FALSE),"no clearing")</f>
        <v>no clearing</v>
      </c>
      <c r="N1177" s="40">
        <f t="shared" si="519"/>
        <v>15</v>
      </c>
      <c r="O1177" s="42">
        <f t="shared" si="520"/>
        <v>4</v>
      </c>
      <c r="P1177" s="42">
        <f t="shared" si="521"/>
        <v>2026</v>
      </c>
    </row>
    <row r="1178" spans="1:16" x14ac:dyDescent="0.25">
      <c r="A1178" s="21">
        <v>1200000670</v>
      </c>
      <c r="B1178" s="22">
        <v>46120</v>
      </c>
      <c r="C1178" s="20">
        <v>59383219</v>
      </c>
      <c r="D1178" s="21" t="s">
        <v>305</v>
      </c>
      <c r="E1178" s="21">
        <v>97124362</v>
      </c>
      <c r="F1178" s="20">
        <v>59383219</v>
      </c>
      <c r="G1178" s="22">
        <v>46122</v>
      </c>
      <c r="H1178" t="s">
        <v>61</v>
      </c>
      <c r="I1178" s="40" t="str">
        <f>IFERROR(IF(VLOOKUP(E1178,extracto!C:C,1,FALSE)=E1178,"pagado","no pagado"),"no pagado")</f>
        <v>pagado</v>
      </c>
      <c r="J1178" s="41" t="str">
        <f t="shared" ref="J1178" si="522">IF(I1178="pagado","pagado",IF(G1178&lt;$V$1-30,"fuera de fecha","en periodo de pago"))</f>
        <v>pagado</v>
      </c>
      <c r="K1178" s="40" t="str">
        <f t="shared" ref="K1178" ca="1" si="523">+IF(B1178&gt;$V$1,"excluir",IF(J1178="en periodo de pago",IF($V$1&gt;G1178,"a pagar","proximo a vencer"),"excluir"))</f>
        <v>excluir</v>
      </c>
      <c r="L1178" s="40" t="str">
        <f t="shared" ref="L1178" ca="1" si="524">+IF(K1178="proximo a vencer",IF($V$1+5&gt;G1178,"para la semana","no semana"),"no semana")</f>
        <v>no semana</v>
      </c>
      <c r="M1178" s="40" t="str">
        <f>IFERROR(VLOOKUP(E1178,'cheques a conf'!A:D,4,FALSE),"no clearing")</f>
        <v>no clearing</v>
      </c>
      <c r="N1178" s="40">
        <f t="shared" ref="N1178" si="525">+WEEKNUM(G1178,2)</f>
        <v>15</v>
      </c>
      <c r="O1178" s="42">
        <f t="shared" ref="O1178" si="526">+MONTH(G1178)</f>
        <v>4</v>
      </c>
      <c r="P1178" s="42">
        <f t="shared" ref="P1178" si="527">+YEAR(G1178)</f>
        <v>2026</v>
      </c>
    </row>
    <row r="1179" spans="1:16" x14ac:dyDescent="0.25">
      <c r="A1179" s="21">
        <v>3000000451</v>
      </c>
      <c r="B1179" s="22">
        <v>46121</v>
      </c>
      <c r="C1179" s="20">
        <v>8694167.9199999999</v>
      </c>
      <c r="D1179" s="21" t="s">
        <v>303</v>
      </c>
      <c r="E1179" s="21">
        <v>97124363</v>
      </c>
      <c r="F1179" s="20">
        <v>8694167.9199999999</v>
      </c>
      <c r="G1179" s="22">
        <v>46125</v>
      </c>
      <c r="H1179" t="s">
        <v>61</v>
      </c>
      <c r="I1179" s="40" t="str">
        <f>IFERROR(IF(VLOOKUP(E1179,extracto!C:C,1,FALSE)=E1179,"pagado","no pagado"),"no pagado")</f>
        <v>pagado</v>
      </c>
      <c r="J1179" s="41" t="str">
        <f t="shared" ref="J1179:J1195" si="528">IF(I1179="pagado","pagado",IF(G1179&lt;$V$1-30,"fuera de fecha","en periodo de pago"))</f>
        <v>pagado</v>
      </c>
      <c r="K1179" s="40" t="str">
        <f t="shared" ref="K1179:K1195" ca="1" si="529">+IF(B1179&gt;$V$1,"excluir",IF(J1179="en periodo de pago",IF($V$1&gt;G1179,"a pagar","proximo a vencer"),"excluir"))</f>
        <v>excluir</v>
      </c>
      <c r="L1179" s="40" t="str">
        <f t="shared" ref="L1179:L1195" ca="1" si="530">+IF(K1179="proximo a vencer",IF($V$1+5&gt;G1179,"para la semana","no semana"),"no semana")</f>
        <v>no semana</v>
      </c>
      <c r="M1179" s="40" t="str">
        <f>IFERROR(VLOOKUP(E1179,'cheques a conf'!A:D,4,FALSE),"no clearing")</f>
        <v>no clearing</v>
      </c>
      <c r="N1179" s="40">
        <f t="shared" ref="N1179:N1195" si="531">+WEEKNUM(G1179,2)</f>
        <v>16</v>
      </c>
      <c r="O1179" s="42">
        <f t="shared" ref="O1179:O1195" si="532">+MONTH(G1179)</f>
        <v>4</v>
      </c>
      <c r="P1179" s="42">
        <f t="shared" ref="P1179:P1195" si="533">+YEAR(G1179)</f>
        <v>2026</v>
      </c>
    </row>
    <row r="1180" spans="1:16" x14ac:dyDescent="0.25">
      <c r="A1180" s="21">
        <v>3000000452</v>
      </c>
      <c r="B1180" s="22">
        <v>46121</v>
      </c>
      <c r="C1180" s="20">
        <v>9472114.4199999999</v>
      </c>
      <c r="D1180" s="21" t="s">
        <v>340</v>
      </c>
      <c r="E1180" s="21">
        <v>97124364</v>
      </c>
      <c r="F1180" s="20">
        <v>9472114.4199999999</v>
      </c>
      <c r="G1180" s="22">
        <v>46125</v>
      </c>
      <c r="H1180" t="s">
        <v>61</v>
      </c>
      <c r="I1180" s="40" t="str">
        <f>IFERROR(IF(VLOOKUP(E1180,extracto!C:C,1,FALSE)=E1180,"pagado","no pagado"),"no pagado")</f>
        <v>pagado</v>
      </c>
      <c r="J1180" s="41" t="str">
        <f t="shared" si="528"/>
        <v>pagado</v>
      </c>
      <c r="K1180" s="40" t="str">
        <f t="shared" ca="1" si="529"/>
        <v>excluir</v>
      </c>
      <c r="L1180" s="40" t="str">
        <f t="shared" ca="1" si="530"/>
        <v>no semana</v>
      </c>
      <c r="M1180" s="40" t="str">
        <f>IFERROR(VLOOKUP(E1180,'cheques a conf'!A:D,4,FALSE),"no clearing")</f>
        <v>no clearing</v>
      </c>
      <c r="N1180" s="40">
        <f t="shared" si="531"/>
        <v>16</v>
      </c>
      <c r="O1180" s="42">
        <f t="shared" si="532"/>
        <v>4</v>
      </c>
      <c r="P1180" s="42">
        <f t="shared" si="533"/>
        <v>2026</v>
      </c>
    </row>
    <row r="1181" spans="1:16" x14ac:dyDescent="0.25">
      <c r="A1181" s="21">
        <v>3000000453</v>
      </c>
      <c r="B1181" s="22">
        <v>46121</v>
      </c>
      <c r="C1181" s="20">
        <v>11118317.92</v>
      </c>
      <c r="D1181" s="21" t="s">
        <v>16</v>
      </c>
      <c r="E1181" s="21">
        <v>97124365</v>
      </c>
      <c r="F1181" s="20">
        <v>11118317.92</v>
      </c>
      <c r="G1181" s="22">
        <v>46125</v>
      </c>
      <c r="H1181" t="s">
        <v>61</v>
      </c>
      <c r="I1181" s="40" t="str">
        <f>IFERROR(IF(VLOOKUP(E1181,extracto!C:C,1,FALSE)=E1181,"pagado","no pagado"),"no pagado")</f>
        <v>pagado</v>
      </c>
      <c r="J1181" s="41" t="str">
        <f t="shared" si="528"/>
        <v>pagado</v>
      </c>
      <c r="K1181" s="40" t="str">
        <f t="shared" ca="1" si="529"/>
        <v>excluir</v>
      </c>
      <c r="L1181" s="40" t="str">
        <f t="shared" ca="1" si="530"/>
        <v>no semana</v>
      </c>
      <c r="M1181" s="40" t="str">
        <f>IFERROR(VLOOKUP(E1181,'cheques a conf'!A:D,4,FALSE),"no clearing")</f>
        <v>no clearing</v>
      </c>
      <c r="N1181" s="40">
        <f t="shared" si="531"/>
        <v>16</v>
      </c>
      <c r="O1181" s="42">
        <f t="shared" si="532"/>
        <v>4</v>
      </c>
      <c r="P1181" s="42">
        <f t="shared" si="533"/>
        <v>2026</v>
      </c>
    </row>
    <row r="1182" spans="1:16" x14ac:dyDescent="0.25">
      <c r="A1182" s="21">
        <v>3000000454</v>
      </c>
      <c r="B1182" s="22">
        <v>46121</v>
      </c>
      <c r="C1182" s="20">
        <v>9468527.9199999999</v>
      </c>
      <c r="D1182" s="21" t="s">
        <v>439</v>
      </c>
      <c r="E1182" s="21">
        <v>97124366</v>
      </c>
      <c r="F1182" s="20">
        <v>9468527.9199999999</v>
      </c>
      <c r="G1182" s="22">
        <v>46125</v>
      </c>
      <c r="H1182" t="s">
        <v>61</v>
      </c>
      <c r="I1182" s="40" t="str">
        <f>IFERROR(IF(VLOOKUP(E1182,extracto!C:C,1,FALSE)=E1182,"pagado","no pagado"),"no pagado")</f>
        <v>pagado</v>
      </c>
      <c r="J1182" s="41" t="str">
        <f t="shared" si="528"/>
        <v>pagado</v>
      </c>
      <c r="K1182" s="40" t="str">
        <f t="shared" ca="1" si="529"/>
        <v>excluir</v>
      </c>
      <c r="L1182" s="40" t="str">
        <f t="shared" ca="1" si="530"/>
        <v>no semana</v>
      </c>
      <c r="M1182" s="40" t="str">
        <f>IFERROR(VLOOKUP(E1182,'cheques a conf'!A:D,4,FALSE),"no clearing")</f>
        <v>no clearing</v>
      </c>
      <c r="N1182" s="40">
        <f t="shared" si="531"/>
        <v>16</v>
      </c>
      <c r="O1182" s="42">
        <f t="shared" si="532"/>
        <v>4</v>
      </c>
      <c r="P1182" s="42">
        <f t="shared" si="533"/>
        <v>2026</v>
      </c>
    </row>
    <row r="1183" spans="1:16" x14ac:dyDescent="0.25">
      <c r="A1183" s="21">
        <v>3000000475</v>
      </c>
      <c r="B1183" s="22">
        <v>46125</v>
      </c>
      <c r="C1183" s="20">
        <v>8725117.3399999999</v>
      </c>
      <c r="D1183" s="21" t="s">
        <v>419</v>
      </c>
      <c r="E1183" s="21">
        <v>97124367</v>
      </c>
      <c r="F1183" s="20">
        <v>8725117.3399999999</v>
      </c>
      <c r="G1183" s="22">
        <v>46128</v>
      </c>
      <c r="H1183" t="s">
        <v>61</v>
      </c>
      <c r="I1183" s="40" t="str">
        <f>IFERROR(IF(VLOOKUP(E1183,extracto!C:C,1,FALSE)=E1183,"pagado","no pagado"),"no pagado")</f>
        <v>pagado</v>
      </c>
      <c r="J1183" s="41" t="str">
        <f t="shared" si="528"/>
        <v>pagado</v>
      </c>
      <c r="K1183" s="40" t="str">
        <f t="shared" ca="1" si="529"/>
        <v>excluir</v>
      </c>
      <c r="L1183" s="40" t="str">
        <f t="shared" ca="1" si="530"/>
        <v>no semana</v>
      </c>
      <c r="M1183" s="40" t="str">
        <f>IFERROR(VLOOKUP(E1183,'cheques a conf'!A:D,4,FALSE),"no clearing")</f>
        <v>no clearing</v>
      </c>
      <c r="N1183" s="40">
        <f t="shared" si="531"/>
        <v>16</v>
      </c>
      <c r="O1183" s="42">
        <f t="shared" si="532"/>
        <v>4</v>
      </c>
      <c r="P1183" s="42">
        <f t="shared" si="533"/>
        <v>2026</v>
      </c>
    </row>
    <row r="1184" spans="1:16" x14ac:dyDescent="0.25">
      <c r="A1184" s="21">
        <v>3000000475</v>
      </c>
      <c r="B1184" s="22">
        <v>46125</v>
      </c>
      <c r="C1184" s="20">
        <v>2186958.2799999998</v>
      </c>
      <c r="D1184" s="21" t="s">
        <v>419</v>
      </c>
      <c r="E1184" s="21">
        <v>97124368</v>
      </c>
      <c r="F1184" s="20">
        <v>2186958.2799999998</v>
      </c>
      <c r="G1184" s="22">
        <v>46128</v>
      </c>
      <c r="H1184" t="s">
        <v>61</v>
      </c>
      <c r="I1184" s="40" t="str">
        <f>IFERROR(IF(VLOOKUP(E1184,extracto!C:C,1,FALSE)=E1184,"pagado","no pagado"),"no pagado")</f>
        <v>pagado</v>
      </c>
      <c r="J1184" s="41" t="str">
        <f t="shared" si="528"/>
        <v>pagado</v>
      </c>
      <c r="K1184" s="40" t="str">
        <f t="shared" ca="1" si="529"/>
        <v>excluir</v>
      </c>
      <c r="L1184" s="40" t="str">
        <f t="shared" ca="1" si="530"/>
        <v>no semana</v>
      </c>
      <c r="M1184" s="40" t="str">
        <f>IFERROR(VLOOKUP(E1184,'cheques a conf'!A:D,4,FALSE),"no clearing")</f>
        <v>no clearing</v>
      </c>
      <c r="N1184" s="40">
        <f t="shared" si="531"/>
        <v>16</v>
      </c>
      <c r="O1184" s="42">
        <f t="shared" si="532"/>
        <v>4</v>
      </c>
      <c r="P1184" s="42">
        <f t="shared" si="533"/>
        <v>2026</v>
      </c>
    </row>
    <row r="1185" spans="1:16" x14ac:dyDescent="0.25">
      <c r="A1185" s="21">
        <v>3000000487</v>
      </c>
      <c r="B1185" s="22">
        <v>46126</v>
      </c>
      <c r="C1185" s="20">
        <v>5550156.4800000004</v>
      </c>
      <c r="D1185" s="21" t="s">
        <v>423</v>
      </c>
      <c r="E1185" s="21">
        <v>97124369</v>
      </c>
      <c r="F1185" s="20">
        <v>5550156.4800000004</v>
      </c>
      <c r="G1185" s="22">
        <v>46128</v>
      </c>
      <c r="H1185" t="s">
        <v>61</v>
      </c>
      <c r="I1185" s="40" t="str">
        <f>IFERROR(IF(VLOOKUP(E1185,extracto!C:C,1,FALSE)=E1185,"pagado","no pagado"),"no pagado")</f>
        <v>pagado</v>
      </c>
      <c r="J1185" s="41" t="str">
        <f t="shared" si="528"/>
        <v>pagado</v>
      </c>
      <c r="K1185" s="40" t="str">
        <f t="shared" ca="1" si="529"/>
        <v>excluir</v>
      </c>
      <c r="L1185" s="40" t="str">
        <f t="shared" ca="1" si="530"/>
        <v>no semana</v>
      </c>
      <c r="M1185" s="40" t="str">
        <f>IFERROR(VLOOKUP(E1185,'cheques a conf'!A:D,4,FALSE),"no clearing")</f>
        <v>no clearing</v>
      </c>
      <c r="N1185" s="40">
        <f t="shared" si="531"/>
        <v>16</v>
      </c>
      <c r="O1185" s="42">
        <f t="shared" si="532"/>
        <v>4</v>
      </c>
      <c r="P1185" s="42">
        <f t="shared" si="533"/>
        <v>2026</v>
      </c>
    </row>
    <row r="1186" spans="1:16" x14ac:dyDescent="0.25">
      <c r="A1186" s="21">
        <v>3000000488</v>
      </c>
      <c r="B1186" s="22">
        <v>46126</v>
      </c>
      <c r="C1186" s="20">
        <v>36141623.399999999</v>
      </c>
      <c r="D1186" s="21" t="s">
        <v>346</v>
      </c>
      <c r="E1186" s="21">
        <v>97124370</v>
      </c>
      <c r="F1186" s="20">
        <v>36141623.399999999</v>
      </c>
      <c r="G1186" s="22">
        <v>46128</v>
      </c>
      <c r="H1186" t="s">
        <v>61</v>
      </c>
      <c r="I1186" s="40" t="str">
        <f>IFERROR(IF(VLOOKUP(E1186,extracto!C:C,1,FALSE)=E1186,"pagado","no pagado"),"no pagado")</f>
        <v>pagado</v>
      </c>
      <c r="J1186" s="41" t="str">
        <f t="shared" si="528"/>
        <v>pagado</v>
      </c>
      <c r="K1186" s="40" t="str">
        <f t="shared" ca="1" si="529"/>
        <v>excluir</v>
      </c>
      <c r="L1186" s="40" t="str">
        <f t="shared" ca="1" si="530"/>
        <v>no semana</v>
      </c>
      <c r="M1186" s="40" t="str">
        <f>IFERROR(VLOOKUP(E1186,'cheques a conf'!A:D,4,FALSE),"no clearing")</f>
        <v>no clearing</v>
      </c>
      <c r="N1186" s="40">
        <f t="shared" si="531"/>
        <v>16</v>
      </c>
      <c r="O1186" s="42">
        <f t="shared" si="532"/>
        <v>4</v>
      </c>
      <c r="P1186" s="42">
        <f t="shared" si="533"/>
        <v>2026</v>
      </c>
    </row>
    <row r="1187" spans="1:16" x14ac:dyDescent="0.25">
      <c r="A1187" s="21">
        <v>3000000489</v>
      </c>
      <c r="B1187" s="22">
        <v>46126</v>
      </c>
      <c r="C1187" s="20">
        <v>36175327.399999999</v>
      </c>
      <c r="D1187" s="21" t="s">
        <v>361</v>
      </c>
      <c r="E1187" s="21">
        <v>97124371</v>
      </c>
      <c r="F1187" s="20">
        <v>36175327.399999999</v>
      </c>
      <c r="G1187" s="22">
        <v>46128</v>
      </c>
      <c r="H1187" t="s">
        <v>61</v>
      </c>
      <c r="I1187" s="40" t="str">
        <f>IFERROR(IF(VLOOKUP(E1187,extracto!C:C,1,FALSE)=E1187,"pagado","no pagado"),"no pagado")</f>
        <v>pagado</v>
      </c>
      <c r="J1187" s="41" t="str">
        <f t="shared" si="528"/>
        <v>pagado</v>
      </c>
      <c r="K1187" s="40" t="str">
        <f t="shared" ca="1" si="529"/>
        <v>excluir</v>
      </c>
      <c r="L1187" s="40" t="str">
        <f t="shared" ca="1" si="530"/>
        <v>no semana</v>
      </c>
      <c r="M1187" s="40" t="str">
        <f>IFERROR(VLOOKUP(E1187,'cheques a conf'!A:D,4,FALSE),"no clearing")</f>
        <v>no clearing</v>
      </c>
      <c r="N1187" s="40">
        <f t="shared" si="531"/>
        <v>16</v>
      </c>
      <c r="O1187" s="42">
        <f t="shared" si="532"/>
        <v>4</v>
      </c>
      <c r="P1187" s="42">
        <f t="shared" si="533"/>
        <v>2026</v>
      </c>
    </row>
    <row r="1188" spans="1:16" x14ac:dyDescent="0.25">
      <c r="A1188" s="21">
        <v>3000000490</v>
      </c>
      <c r="B1188" s="22">
        <v>46126</v>
      </c>
      <c r="C1188" s="20">
        <v>23947727.399999999</v>
      </c>
      <c r="D1188" s="21" t="s">
        <v>289</v>
      </c>
      <c r="E1188" s="21">
        <v>97124372</v>
      </c>
      <c r="F1188" s="20">
        <v>23947727.399999999</v>
      </c>
      <c r="G1188" s="22">
        <v>46128</v>
      </c>
      <c r="H1188" t="s">
        <v>61</v>
      </c>
      <c r="I1188" s="40" t="str">
        <f>IFERROR(IF(VLOOKUP(E1188,extracto!C:C,1,FALSE)=E1188,"pagado","no pagado"),"no pagado")</f>
        <v>pagado</v>
      </c>
      <c r="J1188" s="41" t="str">
        <f t="shared" si="528"/>
        <v>pagado</v>
      </c>
      <c r="K1188" s="40" t="str">
        <f t="shared" ca="1" si="529"/>
        <v>excluir</v>
      </c>
      <c r="L1188" s="40" t="str">
        <f t="shared" ca="1" si="530"/>
        <v>no semana</v>
      </c>
      <c r="M1188" s="40" t="str">
        <f>IFERROR(VLOOKUP(E1188,'cheques a conf'!A:D,4,FALSE),"no clearing")</f>
        <v>no clearing</v>
      </c>
      <c r="N1188" s="40">
        <f t="shared" si="531"/>
        <v>16</v>
      </c>
      <c r="O1188" s="42">
        <f t="shared" si="532"/>
        <v>4</v>
      </c>
      <c r="P1188" s="42">
        <f t="shared" si="533"/>
        <v>2026</v>
      </c>
    </row>
    <row r="1189" spans="1:16" x14ac:dyDescent="0.25">
      <c r="A1189" s="21">
        <v>3000000491</v>
      </c>
      <c r="B1189" s="22">
        <v>46126</v>
      </c>
      <c r="C1189" s="20">
        <v>7274026.4699999997</v>
      </c>
      <c r="D1189" s="21" t="s">
        <v>30</v>
      </c>
      <c r="E1189" s="21">
        <v>97124373</v>
      </c>
      <c r="F1189" s="20">
        <v>7274026.4699999997</v>
      </c>
      <c r="G1189" s="22">
        <v>46128</v>
      </c>
      <c r="H1189" t="s">
        <v>61</v>
      </c>
      <c r="I1189" s="40" t="str">
        <f>IFERROR(IF(VLOOKUP(E1189,extracto!C:C,1,FALSE)=E1189,"pagado","no pagado"),"no pagado")</f>
        <v>pagado</v>
      </c>
      <c r="J1189" s="41" t="str">
        <f t="shared" si="528"/>
        <v>pagado</v>
      </c>
      <c r="K1189" s="40" t="str">
        <f t="shared" ca="1" si="529"/>
        <v>excluir</v>
      </c>
      <c r="L1189" s="40" t="str">
        <f t="shared" ca="1" si="530"/>
        <v>no semana</v>
      </c>
      <c r="M1189" s="40" t="str">
        <f>IFERROR(VLOOKUP(E1189,'cheques a conf'!A:D,4,FALSE),"no clearing")</f>
        <v>no clearing</v>
      </c>
      <c r="N1189" s="40">
        <f t="shared" si="531"/>
        <v>16</v>
      </c>
      <c r="O1189" s="42">
        <f t="shared" si="532"/>
        <v>4</v>
      </c>
      <c r="P1189" s="42">
        <f t="shared" si="533"/>
        <v>2026</v>
      </c>
    </row>
    <row r="1190" spans="1:16" x14ac:dyDescent="0.25">
      <c r="A1190" s="21">
        <v>3000000492</v>
      </c>
      <c r="B1190" s="22">
        <v>46126</v>
      </c>
      <c r="C1190" s="20">
        <v>6155999.8399999999</v>
      </c>
      <c r="D1190" s="21" t="s">
        <v>534</v>
      </c>
      <c r="E1190" s="21">
        <v>97124374</v>
      </c>
      <c r="F1190" s="20">
        <v>6155999.8399999999</v>
      </c>
      <c r="G1190" s="22">
        <v>46128</v>
      </c>
      <c r="H1190" t="s">
        <v>61</v>
      </c>
      <c r="I1190" s="40" t="str">
        <f>IFERROR(IF(VLOOKUP(E1190,extracto!C:C,1,FALSE)=E1190,"pagado","no pagado"),"no pagado")</f>
        <v>pagado</v>
      </c>
      <c r="J1190" s="41" t="str">
        <f t="shared" si="528"/>
        <v>pagado</v>
      </c>
      <c r="K1190" s="40" t="str">
        <f t="shared" ca="1" si="529"/>
        <v>excluir</v>
      </c>
      <c r="L1190" s="40" t="str">
        <f t="shared" ca="1" si="530"/>
        <v>no semana</v>
      </c>
      <c r="M1190" s="40" t="str">
        <f>IFERROR(VLOOKUP(E1190,'cheques a conf'!A:D,4,FALSE),"no clearing")</f>
        <v>no clearing</v>
      </c>
      <c r="N1190" s="40">
        <f t="shared" si="531"/>
        <v>16</v>
      </c>
      <c r="O1190" s="42">
        <f t="shared" si="532"/>
        <v>4</v>
      </c>
      <c r="P1190" s="42">
        <f t="shared" si="533"/>
        <v>2026</v>
      </c>
    </row>
    <row r="1191" spans="1:16" x14ac:dyDescent="0.25">
      <c r="A1191" s="21">
        <v>3000000493</v>
      </c>
      <c r="B1191" s="22">
        <v>46126</v>
      </c>
      <c r="C1191" s="20">
        <v>5939616.8499999996</v>
      </c>
      <c r="D1191" s="21" t="s">
        <v>535</v>
      </c>
      <c r="E1191" s="21">
        <v>97124375</v>
      </c>
      <c r="F1191" s="20">
        <v>5939616.8499999996</v>
      </c>
      <c r="G1191" s="22">
        <v>46128</v>
      </c>
      <c r="H1191" t="s">
        <v>61</v>
      </c>
      <c r="I1191" s="40" t="str">
        <f>IFERROR(IF(VLOOKUP(E1191,extracto!C:C,1,FALSE)=E1191,"pagado","no pagado"),"no pagado")</f>
        <v>pagado</v>
      </c>
      <c r="J1191" s="41" t="str">
        <f t="shared" si="528"/>
        <v>pagado</v>
      </c>
      <c r="K1191" s="40" t="str">
        <f t="shared" ca="1" si="529"/>
        <v>excluir</v>
      </c>
      <c r="L1191" s="40" t="str">
        <f t="shared" ca="1" si="530"/>
        <v>no semana</v>
      </c>
      <c r="M1191" s="40" t="str">
        <f>IFERROR(VLOOKUP(E1191,'cheques a conf'!A:D,4,FALSE),"no clearing")</f>
        <v>no clearing</v>
      </c>
      <c r="N1191" s="40">
        <f t="shared" si="531"/>
        <v>16</v>
      </c>
      <c r="O1191" s="42">
        <f t="shared" si="532"/>
        <v>4</v>
      </c>
      <c r="P1191" s="42">
        <f t="shared" si="533"/>
        <v>2026</v>
      </c>
    </row>
    <row r="1192" spans="1:16" x14ac:dyDescent="0.25">
      <c r="A1192" s="21">
        <v>3000000494</v>
      </c>
      <c r="B1192" s="22">
        <v>46126</v>
      </c>
      <c r="C1192" s="20">
        <v>10210542.4</v>
      </c>
      <c r="D1192" s="21" t="s">
        <v>347</v>
      </c>
      <c r="E1192" s="21">
        <v>97124376</v>
      </c>
      <c r="F1192" s="20">
        <v>10210542.4</v>
      </c>
      <c r="G1192" s="22">
        <v>46128</v>
      </c>
      <c r="H1192" t="s">
        <v>61</v>
      </c>
      <c r="I1192" s="40" t="str">
        <f>IFERROR(IF(VLOOKUP(E1192,extracto!C:C,1,FALSE)=E1192,"pagado","no pagado"),"no pagado")</f>
        <v>pagado</v>
      </c>
      <c r="J1192" s="41" t="str">
        <f t="shared" si="528"/>
        <v>pagado</v>
      </c>
      <c r="K1192" s="40" t="str">
        <f t="shared" ca="1" si="529"/>
        <v>excluir</v>
      </c>
      <c r="L1192" s="40" t="str">
        <f t="shared" ca="1" si="530"/>
        <v>no semana</v>
      </c>
      <c r="M1192" s="40" t="str">
        <f>IFERROR(VLOOKUP(E1192,'cheques a conf'!A:D,4,FALSE),"no clearing")</f>
        <v>no clearing</v>
      </c>
      <c r="N1192" s="40">
        <f t="shared" si="531"/>
        <v>16</v>
      </c>
      <c r="O1192" s="42">
        <f t="shared" si="532"/>
        <v>4</v>
      </c>
      <c r="P1192" s="42">
        <f t="shared" si="533"/>
        <v>2026</v>
      </c>
    </row>
    <row r="1193" spans="1:16" x14ac:dyDescent="0.25">
      <c r="A1193" s="21">
        <v>3000000495</v>
      </c>
      <c r="B1193" s="22">
        <v>46126</v>
      </c>
      <c r="C1193" s="20">
        <v>17192470</v>
      </c>
      <c r="D1193" s="21" t="s">
        <v>22</v>
      </c>
      <c r="E1193" s="21">
        <v>97124377</v>
      </c>
      <c r="F1193" s="20">
        <v>17192470</v>
      </c>
      <c r="G1193" s="22">
        <v>46128</v>
      </c>
      <c r="H1193" t="s">
        <v>61</v>
      </c>
      <c r="I1193" s="40" t="str">
        <f>IFERROR(IF(VLOOKUP(E1193,extracto!C:C,1,FALSE)=E1193,"pagado","no pagado"),"no pagado")</f>
        <v>pagado</v>
      </c>
      <c r="J1193" s="41" t="str">
        <f t="shared" si="528"/>
        <v>pagado</v>
      </c>
      <c r="K1193" s="40" t="str">
        <f t="shared" ca="1" si="529"/>
        <v>excluir</v>
      </c>
      <c r="L1193" s="40" t="str">
        <f t="shared" ca="1" si="530"/>
        <v>no semana</v>
      </c>
      <c r="M1193" s="40" t="str">
        <f>IFERROR(VLOOKUP(E1193,'cheques a conf'!A:D,4,FALSE),"no clearing")</f>
        <v>no clearing</v>
      </c>
      <c r="N1193" s="40">
        <f t="shared" si="531"/>
        <v>16</v>
      </c>
      <c r="O1193" s="42">
        <f t="shared" si="532"/>
        <v>4</v>
      </c>
      <c r="P1193" s="42">
        <f t="shared" si="533"/>
        <v>2026</v>
      </c>
    </row>
    <row r="1194" spans="1:16" x14ac:dyDescent="0.25">
      <c r="A1194" s="21">
        <v>1200000671</v>
      </c>
      <c r="B1194" s="22">
        <v>46126</v>
      </c>
      <c r="C1194" s="20">
        <v>5551808.4400000004</v>
      </c>
      <c r="D1194" s="21" t="s">
        <v>305</v>
      </c>
      <c r="E1194" s="21">
        <v>97124378</v>
      </c>
      <c r="F1194" s="20">
        <v>5551808.4400000004</v>
      </c>
      <c r="G1194" s="22">
        <v>46128</v>
      </c>
      <c r="H1194" t="s">
        <v>61</v>
      </c>
      <c r="I1194" s="40" t="str">
        <f>IFERROR(IF(VLOOKUP(E1194,extracto!C:C,1,FALSE)=E1194,"pagado","no pagado"),"no pagado")</f>
        <v>pagado</v>
      </c>
      <c r="J1194" s="41" t="str">
        <f t="shared" si="528"/>
        <v>pagado</v>
      </c>
      <c r="K1194" s="40" t="str">
        <f t="shared" ca="1" si="529"/>
        <v>excluir</v>
      </c>
      <c r="L1194" s="40" t="str">
        <f t="shared" ca="1" si="530"/>
        <v>no semana</v>
      </c>
      <c r="M1194" s="40" t="str">
        <f>IFERROR(VLOOKUP(E1194,'cheques a conf'!A:D,4,FALSE),"no clearing")</f>
        <v>no clearing</v>
      </c>
      <c r="N1194" s="40">
        <f t="shared" si="531"/>
        <v>16</v>
      </c>
      <c r="O1194" s="42">
        <f t="shared" si="532"/>
        <v>4</v>
      </c>
      <c r="P1194" s="42">
        <f t="shared" si="533"/>
        <v>2026</v>
      </c>
    </row>
    <row r="1195" spans="1:16" x14ac:dyDescent="0.25">
      <c r="A1195" s="21">
        <v>1200000671</v>
      </c>
      <c r="B1195" s="22">
        <v>46126</v>
      </c>
      <c r="C1195" s="20">
        <v>35776848.380000003</v>
      </c>
      <c r="D1195" s="21" t="s">
        <v>305</v>
      </c>
      <c r="E1195" s="21">
        <v>97124379</v>
      </c>
      <c r="F1195" s="20">
        <v>35776848.380000003</v>
      </c>
      <c r="G1195" s="22">
        <v>46128</v>
      </c>
      <c r="H1195" t="s">
        <v>61</v>
      </c>
      <c r="I1195" s="40" t="str">
        <f>IFERROR(IF(VLOOKUP(E1195,extracto!C:C,1,FALSE)=E1195,"pagado","no pagado"),"no pagado")</f>
        <v>pagado</v>
      </c>
      <c r="J1195" s="41" t="str">
        <f t="shared" si="528"/>
        <v>pagado</v>
      </c>
      <c r="K1195" s="40" t="str">
        <f t="shared" ca="1" si="529"/>
        <v>excluir</v>
      </c>
      <c r="L1195" s="40" t="str">
        <f t="shared" ca="1" si="530"/>
        <v>no semana</v>
      </c>
      <c r="M1195" s="40" t="str">
        <f>IFERROR(VLOOKUP(E1195,'cheques a conf'!A:D,4,FALSE),"no clearing")</f>
        <v>no clearing</v>
      </c>
      <c r="N1195" s="40">
        <f t="shared" si="531"/>
        <v>16</v>
      </c>
      <c r="O1195" s="42">
        <f t="shared" si="532"/>
        <v>4</v>
      </c>
      <c r="P1195" s="42">
        <f t="shared" si="533"/>
        <v>2026</v>
      </c>
    </row>
    <row r="1196" spans="1:16" x14ac:dyDescent="0.25">
      <c r="A1196" s="21">
        <v>3000000510</v>
      </c>
      <c r="B1196" s="22">
        <v>46129</v>
      </c>
      <c r="C1196" s="20">
        <v>561372.24</v>
      </c>
      <c r="D1196" s="21" t="s">
        <v>538</v>
      </c>
      <c r="E1196" s="21">
        <v>12452659</v>
      </c>
      <c r="F1196" s="20">
        <v>561372.24</v>
      </c>
      <c r="G1196" s="22">
        <v>46134</v>
      </c>
      <c r="H1196" t="s">
        <v>61</v>
      </c>
      <c r="I1196" s="40" t="str">
        <f>IFERROR(IF(VLOOKUP(E1196,extracto!C:C,1,FALSE)=E1196,"pagado","no pagado"),"no pagado")</f>
        <v>pagado</v>
      </c>
      <c r="J1196" s="41" t="str">
        <f t="shared" ref="J1196:J1227" si="534">IF(I1196="pagado","pagado",IF(G1196&lt;$V$1-30,"fuera de fecha","en periodo de pago"))</f>
        <v>pagado</v>
      </c>
      <c r="K1196" s="40" t="str">
        <f t="shared" ref="K1196:K1227" ca="1" si="535">+IF(B1196&gt;$V$1,"excluir",IF(J1196="en periodo de pago",IF($V$1&gt;G1196,"a pagar","proximo a vencer"),"excluir"))</f>
        <v>excluir</v>
      </c>
      <c r="L1196" s="40" t="str">
        <f t="shared" ref="L1196:L1227" ca="1" si="536">+IF(K1196="proximo a vencer",IF($V$1+5&gt;G1196,"para la semana","no semana"),"no semana")</f>
        <v>no semana</v>
      </c>
      <c r="M1196" s="40" t="str">
        <f>IFERROR(VLOOKUP(E1196,'cheques a conf'!A:D,4,FALSE),"no clearing")</f>
        <v>no clearing</v>
      </c>
      <c r="N1196" s="40">
        <f t="shared" ref="N1196:N1227" si="537">+WEEKNUM(G1196,2)</f>
        <v>17</v>
      </c>
      <c r="O1196" s="42">
        <f t="shared" ref="O1196:O1227" si="538">+MONTH(G1196)</f>
        <v>4</v>
      </c>
      <c r="P1196" s="42">
        <f t="shared" ref="P1196:P1227" si="539">+YEAR(G1196)</f>
        <v>2026</v>
      </c>
    </row>
    <row r="1197" spans="1:16" x14ac:dyDescent="0.25">
      <c r="A1197" s="21">
        <v>3000000511</v>
      </c>
      <c r="B1197" s="22">
        <v>46129</v>
      </c>
      <c r="C1197" s="20">
        <v>5399758.4199999999</v>
      </c>
      <c r="D1197" s="21" t="s">
        <v>538</v>
      </c>
      <c r="E1197" s="21">
        <v>12452660</v>
      </c>
      <c r="F1197" s="20">
        <v>5399758.4199999999</v>
      </c>
      <c r="G1197" s="22">
        <v>46134</v>
      </c>
      <c r="H1197" t="s">
        <v>61</v>
      </c>
      <c r="I1197" s="40" t="str">
        <f>IFERROR(IF(VLOOKUP(E1197,extracto!C:C,1,FALSE)=E1197,"pagado","no pagado"),"no pagado")</f>
        <v>pagado</v>
      </c>
      <c r="J1197" s="41" t="str">
        <f t="shared" si="534"/>
        <v>pagado</v>
      </c>
      <c r="K1197" s="40" t="str">
        <f t="shared" ca="1" si="535"/>
        <v>excluir</v>
      </c>
      <c r="L1197" s="40" t="str">
        <f t="shared" ca="1" si="536"/>
        <v>no semana</v>
      </c>
      <c r="M1197" s="40" t="str">
        <f>IFERROR(VLOOKUP(E1197,'cheques a conf'!A:D,4,FALSE),"no clearing")</f>
        <v>no clearing</v>
      </c>
      <c r="N1197" s="40">
        <f t="shared" si="537"/>
        <v>17</v>
      </c>
      <c r="O1197" s="42">
        <f t="shared" si="538"/>
        <v>4</v>
      </c>
      <c r="P1197" s="42">
        <f t="shared" si="539"/>
        <v>2026</v>
      </c>
    </row>
    <row r="1198" spans="1:16" x14ac:dyDescent="0.25">
      <c r="A1198" s="21">
        <v>3000000519</v>
      </c>
      <c r="B1198" s="22">
        <v>46132</v>
      </c>
      <c r="C1198" s="20">
        <v>9542604.9800000004</v>
      </c>
      <c r="D1198" s="21" t="s">
        <v>346</v>
      </c>
      <c r="E1198" s="21">
        <v>97124380</v>
      </c>
      <c r="F1198" s="20">
        <v>9542604.9800000004</v>
      </c>
      <c r="G1198" s="22">
        <v>46135</v>
      </c>
      <c r="H1198" t="s">
        <v>61</v>
      </c>
      <c r="I1198" s="40" t="str">
        <f>IFERROR(IF(VLOOKUP(E1198,extracto!C:C,1,FALSE)=E1198,"pagado","no pagado"),"no pagado")</f>
        <v>pagado</v>
      </c>
      <c r="J1198" s="41" t="str">
        <f t="shared" si="534"/>
        <v>pagado</v>
      </c>
      <c r="K1198" s="40" t="str">
        <f t="shared" ca="1" si="535"/>
        <v>excluir</v>
      </c>
      <c r="L1198" s="40" t="str">
        <f t="shared" ca="1" si="536"/>
        <v>no semana</v>
      </c>
      <c r="M1198" s="40" t="str">
        <f>IFERROR(VLOOKUP(E1198,'cheques a conf'!A:D,4,FALSE),"no clearing")</f>
        <v>no clearing</v>
      </c>
      <c r="N1198" s="40">
        <f t="shared" si="537"/>
        <v>17</v>
      </c>
      <c r="O1198" s="42">
        <f t="shared" si="538"/>
        <v>4</v>
      </c>
      <c r="P1198" s="42">
        <f t="shared" si="539"/>
        <v>2026</v>
      </c>
    </row>
    <row r="1199" spans="1:16" x14ac:dyDescent="0.25">
      <c r="A1199" s="21">
        <v>3000000520</v>
      </c>
      <c r="B1199" s="22">
        <v>46132</v>
      </c>
      <c r="C1199" s="20">
        <v>8929576.6500000004</v>
      </c>
      <c r="D1199" s="21" t="s">
        <v>539</v>
      </c>
      <c r="E1199" s="21">
        <v>97124381</v>
      </c>
      <c r="F1199" s="20">
        <v>8929576.6500000004</v>
      </c>
      <c r="G1199" s="22">
        <v>46135</v>
      </c>
      <c r="H1199" t="s">
        <v>61</v>
      </c>
      <c r="I1199" s="40" t="str">
        <f>IFERROR(IF(VLOOKUP(E1199,extracto!C:C,1,FALSE)=E1199,"pagado","no pagado"),"no pagado")</f>
        <v>pagado</v>
      </c>
      <c r="J1199" s="41" t="str">
        <f t="shared" si="534"/>
        <v>pagado</v>
      </c>
      <c r="K1199" s="40" t="str">
        <f t="shared" ca="1" si="535"/>
        <v>excluir</v>
      </c>
      <c r="L1199" s="40" t="str">
        <f t="shared" ca="1" si="536"/>
        <v>no semana</v>
      </c>
      <c r="M1199" s="40" t="str">
        <f>IFERROR(VLOOKUP(E1199,'cheques a conf'!A:D,4,FALSE),"no clearing")</f>
        <v>no clearing</v>
      </c>
      <c r="N1199" s="40">
        <f t="shared" si="537"/>
        <v>17</v>
      </c>
      <c r="O1199" s="42">
        <f t="shared" si="538"/>
        <v>4</v>
      </c>
      <c r="P1199" s="42">
        <f t="shared" si="539"/>
        <v>2026</v>
      </c>
    </row>
    <row r="1200" spans="1:16" x14ac:dyDescent="0.25">
      <c r="A1200" s="21">
        <v>3000000521</v>
      </c>
      <c r="B1200" s="22">
        <v>46132</v>
      </c>
      <c r="C1200" s="20">
        <v>19514985.899999999</v>
      </c>
      <c r="D1200" s="21" t="s">
        <v>360</v>
      </c>
      <c r="E1200" s="21">
        <v>97124382</v>
      </c>
      <c r="F1200" s="20">
        <v>19514985.899999999</v>
      </c>
      <c r="G1200" s="22">
        <v>46135</v>
      </c>
      <c r="H1200" t="s">
        <v>61</v>
      </c>
      <c r="I1200" s="40" t="str">
        <f>IFERROR(IF(VLOOKUP(E1200,extracto!C:C,1,FALSE)=E1200,"pagado","no pagado"),"no pagado")</f>
        <v>pagado</v>
      </c>
      <c r="J1200" s="41" t="str">
        <f t="shared" si="534"/>
        <v>pagado</v>
      </c>
      <c r="K1200" s="40" t="str">
        <f t="shared" ca="1" si="535"/>
        <v>excluir</v>
      </c>
      <c r="L1200" s="40" t="str">
        <f t="shared" ca="1" si="536"/>
        <v>no semana</v>
      </c>
      <c r="M1200" s="40" t="str">
        <f>IFERROR(VLOOKUP(E1200,'cheques a conf'!A:D,4,FALSE),"no clearing")</f>
        <v>no clearing</v>
      </c>
      <c r="N1200" s="40">
        <f t="shared" si="537"/>
        <v>17</v>
      </c>
      <c r="O1200" s="42">
        <f t="shared" si="538"/>
        <v>4</v>
      </c>
      <c r="P1200" s="42">
        <f t="shared" si="539"/>
        <v>2026</v>
      </c>
    </row>
    <row r="1201" spans="1:16" x14ac:dyDescent="0.25">
      <c r="A1201" s="21">
        <v>3000000522</v>
      </c>
      <c r="B1201" s="22">
        <v>46132</v>
      </c>
      <c r="C1201" s="20">
        <v>6530503.4000000004</v>
      </c>
      <c r="D1201" s="21" t="s">
        <v>350</v>
      </c>
      <c r="E1201" s="21">
        <v>97124383</v>
      </c>
      <c r="F1201" s="20">
        <v>6530503.4000000004</v>
      </c>
      <c r="G1201" s="22">
        <v>46135</v>
      </c>
      <c r="H1201" t="s">
        <v>61</v>
      </c>
      <c r="I1201" s="40" t="str">
        <f>IFERROR(IF(VLOOKUP(E1201,extracto!C:C,1,FALSE)=E1201,"pagado","no pagado"),"no pagado")</f>
        <v>pagado</v>
      </c>
      <c r="J1201" s="41" t="str">
        <f t="shared" si="534"/>
        <v>pagado</v>
      </c>
      <c r="K1201" s="40" t="str">
        <f t="shared" ca="1" si="535"/>
        <v>excluir</v>
      </c>
      <c r="L1201" s="40" t="str">
        <f t="shared" ca="1" si="536"/>
        <v>no semana</v>
      </c>
      <c r="M1201" s="40" t="str">
        <f>IFERROR(VLOOKUP(E1201,'cheques a conf'!A:D,4,FALSE),"no clearing")</f>
        <v>no clearing</v>
      </c>
      <c r="N1201" s="40">
        <f t="shared" si="537"/>
        <v>17</v>
      </c>
      <c r="O1201" s="42">
        <f t="shared" si="538"/>
        <v>4</v>
      </c>
      <c r="P1201" s="42">
        <f t="shared" si="539"/>
        <v>2026</v>
      </c>
    </row>
    <row r="1202" spans="1:16" x14ac:dyDescent="0.25">
      <c r="A1202" s="21">
        <v>3000000523</v>
      </c>
      <c r="B1202" s="22">
        <v>46132</v>
      </c>
      <c r="C1202" s="20">
        <v>9223368</v>
      </c>
      <c r="D1202" s="21" t="s">
        <v>347</v>
      </c>
      <c r="E1202" s="21">
        <v>97124384</v>
      </c>
      <c r="F1202" s="20">
        <v>9223368</v>
      </c>
      <c r="G1202" s="22">
        <v>46135</v>
      </c>
      <c r="H1202" t="s">
        <v>61</v>
      </c>
      <c r="I1202" s="40" t="str">
        <f>IFERROR(IF(VLOOKUP(E1202,extracto!C:C,1,FALSE)=E1202,"pagado","no pagado"),"no pagado")</f>
        <v>pagado</v>
      </c>
      <c r="J1202" s="41" t="str">
        <f t="shared" si="534"/>
        <v>pagado</v>
      </c>
      <c r="K1202" s="40" t="str">
        <f t="shared" ca="1" si="535"/>
        <v>excluir</v>
      </c>
      <c r="L1202" s="40" t="str">
        <f t="shared" ca="1" si="536"/>
        <v>no semana</v>
      </c>
      <c r="M1202" s="40" t="str">
        <f>IFERROR(VLOOKUP(E1202,'cheques a conf'!A:D,4,FALSE),"no clearing")</f>
        <v>no clearing</v>
      </c>
      <c r="N1202" s="40">
        <f t="shared" si="537"/>
        <v>17</v>
      </c>
      <c r="O1202" s="42">
        <f t="shared" si="538"/>
        <v>4</v>
      </c>
      <c r="P1202" s="42">
        <f t="shared" si="539"/>
        <v>2026</v>
      </c>
    </row>
    <row r="1203" spans="1:16" x14ac:dyDescent="0.25">
      <c r="A1203" s="21">
        <v>3000000524</v>
      </c>
      <c r="B1203" s="22">
        <v>46132</v>
      </c>
      <c r="C1203" s="20">
        <v>6285659.9000000004</v>
      </c>
      <c r="D1203" s="21" t="s">
        <v>287</v>
      </c>
      <c r="E1203" s="21">
        <v>97124385</v>
      </c>
      <c r="F1203" s="20">
        <v>6285659.9000000004</v>
      </c>
      <c r="G1203" s="22">
        <v>46135</v>
      </c>
      <c r="H1203" t="s">
        <v>61</v>
      </c>
      <c r="I1203" s="40" t="str">
        <f>IFERROR(IF(VLOOKUP(E1203,extracto!C:C,1,FALSE)=E1203,"pagado","no pagado"),"no pagado")</f>
        <v>pagado</v>
      </c>
      <c r="J1203" s="41" t="str">
        <f t="shared" si="534"/>
        <v>pagado</v>
      </c>
      <c r="K1203" s="40" t="str">
        <f t="shared" ca="1" si="535"/>
        <v>excluir</v>
      </c>
      <c r="L1203" s="40" t="str">
        <f t="shared" ca="1" si="536"/>
        <v>no semana</v>
      </c>
      <c r="M1203" s="40" t="str">
        <f>IFERROR(VLOOKUP(E1203,'cheques a conf'!A:D,4,FALSE),"no clearing")</f>
        <v>no clearing</v>
      </c>
      <c r="N1203" s="40">
        <f t="shared" si="537"/>
        <v>17</v>
      </c>
      <c r="O1203" s="42">
        <f t="shared" si="538"/>
        <v>4</v>
      </c>
      <c r="P1203" s="42">
        <f t="shared" si="539"/>
        <v>2026</v>
      </c>
    </row>
    <row r="1204" spans="1:16" x14ac:dyDescent="0.25">
      <c r="A1204" s="21">
        <v>3000000525</v>
      </c>
      <c r="B1204" s="22">
        <v>46132</v>
      </c>
      <c r="C1204" s="20">
        <v>13655492.380000001</v>
      </c>
      <c r="D1204" s="21" t="s">
        <v>534</v>
      </c>
      <c r="E1204" s="21">
        <v>97124386</v>
      </c>
      <c r="F1204" s="20">
        <v>13655492.380000001</v>
      </c>
      <c r="G1204" s="22">
        <v>46135</v>
      </c>
      <c r="H1204" t="s">
        <v>61</v>
      </c>
      <c r="I1204" s="40" t="str">
        <f>IFERROR(IF(VLOOKUP(E1204,extracto!C:C,1,FALSE)=E1204,"pagado","no pagado"),"no pagado")</f>
        <v>pagado</v>
      </c>
      <c r="J1204" s="41" t="str">
        <f t="shared" si="534"/>
        <v>pagado</v>
      </c>
      <c r="K1204" s="40" t="str">
        <f t="shared" ca="1" si="535"/>
        <v>excluir</v>
      </c>
      <c r="L1204" s="40" t="str">
        <f t="shared" ca="1" si="536"/>
        <v>no semana</v>
      </c>
      <c r="M1204" s="40" t="str">
        <f>IFERROR(VLOOKUP(E1204,'cheques a conf'!A:D,4,FALSE),"no clearing")</f>
        <v>no clearing</v>
      </c>
      <c r="N1204" s="40">
        <f t="shared" si="537"/>
        <v>17</v>
      </c>
      <c r="O1204" s="42">
        <f t="shared" si="538"/>
        <v>4</v>
      </c>
      <c r="P1204" s="42">
        <f t="shared" si="539"/>
        <v>2026</v>
      </c>
    </row>
    <row r="1205" spans="1:16" x14ac:dyDescent="0.25">
      <c r="A1205" s="21">
        <v>3000000526</v>
      </c>
      <c r="B1205" s="22">
        <v>46132</v>
      </c>
      <c r="C1205" s="20">
        <v>12146115.800000001</v>
      </c>
      <c r="D1205" s="21" t="s">
        <v>430</v>
      </c>
      <c r="E1205" s="21">
        <v>97124387</v>
      </c>
      <c r="F1205" s="20">
        <v>12146115.800000001</v>
      </c>
      <c r="G1205" s="22">
        <v>46135</v>
      </c>
      <c r="H1205" t="s">
        <v>61</v>
      </c>
      <c r="I1205" s="40" t="str">
        <f>IFERROR(IF(VLOOKUP(E1205,extracto!C:C,1,FALSE)=E1205,"pagado","no pagado"),"no pagado")</f>
        <v>pagado</v>
      </c>
      <c r="J1205" s="41" t="str">
        <f t="shared" si="534"/>
        <v>pagado</v>
      </c>
      <c r="K1205" s="40" t="str">
        <f t="shared" ca="1" si="535"/>
        <v>excluir</v>
      </c>
      <c r="L1205" s="40" t="str">
        <f t="shared" ca="1" si="536"/>
        <v>no semana</v>
      </c>
      <c r="M1205" s="40" t="str">
        <f>IFERROR(VLOOKUP(E1205,'cheques a conf'!A:D,4,FALSE),"no clearing")</f>
        <v>no clearing</v>
      </c>
      <c r="N1205" s="40">
        <f t="shared" si="537"/>
        <v>17</v>
      </c>
      <c r="O1205" s="42">
        <f t="shared" si="538"/>
        <v>4</v>
      </c>
      <c r="P1205" s="42">
        <f t="shared" si="539"/>
        <v>2026</v>
      </c>
    </row>
    <row r="1206" spans="1:16" x14ac:dyDescent="0.25">
      <c r="A1206" s="21">
        <v>1200000849</v>
      </c>
      <c r="B1206" s="22">
        <v>46134</v>
      </c>
      <c r="C1206" s="20">
        <v>25265784.289999999</v>
      </c>
      <c r="D1206" s="21" t="s">
        <v>305</v>
      </c>
      <c r="E1206" s="21">
        <v>97124388</v>
      </c>
      <c r="F1206" s="20">
        <v>25265784.289999999</v>
      </c>
      <c r="G1206" s="22">
        <v>46134</v>
      </c>
      <c r="H1206" t="s">
        <v>61</v>
      </c>
      <c r="I1206" s="40" t="str">
        <f>IFERROR(IF(VLOOKUP(E1206,extracto!C:C,1,FALSE)=E1206,"pagado","no pagado"),"no pagado")</f>
        <v>pagado</v>
      </c>
      <c r="J1206" s="41" t="str">
        <f t="shared" si="534"/>
        <v>pagado</v>
      </c>
      <c r="K1206" s="40" t="str">
        <f t="shared" ca="1" si="535"/>
        <v>excluir</v>
      </c>
      <c r="L1206" s="40" t="str">
        <f t="shared" ca="1" si="536"/>
        <v>no semana</v>
      </c>
      <c r="M1206" s="40" t="str">
        <f>IFERROR(VLOOKUP(E1206,'cheques a conf'!A:D,4,FALSE),"no clearing")</f>
        <v>no clearing</v>
      </c>
      <c r="N1206" s="40">
        <f t="shared" si="537"/>
        <v>17</v>
      </c>
      <c r="O1206" s="42">
        <f t="shared" si="538"/>
        <v>4</v>
      </c>
      <c r="P1206" s="42">
        <f t="shared" si="539"/>
        <v>2026</v>
      </c>
    </row>
    <row r="1207" spans="1:16" x14ac:dyDescent="0.25">
      <c r="A1207" s="21">
        <v>1200001122</v>
      </c>
      <c r="B1207" s="22">
        <v>46139</v>
      </c>
      <c r="C1207" s="20">
        <v>7425059.3200000003</v>
      </c>
      <c r="D1207" s="21" t="s">
        <v>305</v>
      </c>
      <c r="E1207" s="21">
        <v>97124395</v>
      </c>
      <c r="F1207" s="20">
        <v>7425059.3200000003</v>
      </c>
      <c r="G1207" s="22">
        <v>46139</v>
      </c>
      <c r="H1207" t="s">
        <v>61</v>
      </c>
      <c r="I1207" s="40" t="str">
        <f>IFERROR(IF(VLOOKUP(E1207,extracto!C:C,1,FALSE)=E1207,"pagado","no pagado"),"no pagado")</f>
        <v>pagado</v>
      </c>
      <c r="J1207" s="41" t="str">
        <f t="shared" si="534"/>
        <v>pagado</v>
      </c>
      <c r="K1207" s="40" t="str">
        <f t="shared" ca="1" si="535"/>
        <v>excluir</v>
      </c>
      <c r="L1207" s="40" t="str">
        <f t="shared" ca="1" si="536"/>
        <v>no semana</v>
      </c>
      <c r="M1207" s="40" t="str">
        <f>IFERROR(VLOOKUP(E1207,'cheques a conf'!A:D,4,FALSE),"no clearing")</f>
        <v>no clearing</v>
      </c>
      <c r="N1207" s="40">
        <f t="shared" si="537"/>
        <v>18</v>
      </c>
      <c r="O1207" s="42">
        <f t="shared" si="538"/>
        <v>4</v>
      </c>
      <c r="P1207" s="42">
        <f t="shared" si="539"/>
        <v>2026</v>
      </c>
    </row>
    <row r="1208" spans="1:16" x14ac:dyDescent="0.25">
      <c r="A1208" s="21">
        <v>1200001122</v>
      </c>
      <c r="B1208" s="22">
        <v>46139</v>
      </c>
      <c r="C1208" s="20">
        <v>9432485.7899999991</v>
      </c>
      <c r="D1208" s="21" t="s">
        <v>305</v>
      </c>
      <c r="E1208" s="21">
        <v>97124396</v>
      </c>
      <c r="F1208" s="20">
        <v>9432485.7899999991</v>
      </c>
      <c r="G1208" s="22">
        <v>46139</v>
      </c>
      <c r="H1208" t="s">
        <v>61</v>
      </c>
      <c r="I1208" s="40" t="str">
        <f>IFERROR(IF(VLOOKUP(E1208,extracto!C:C,1,FALSE)=E1208,"pagado","no pagado"),"no pagado")</f>
        <v>pagado</v>
      </c>
      <c r="J1208" s="41" t="str">
        <f t="shared" si="534"/>
        <v>pagado</v>
      </c>
      <c r="K1208" s="40" t="str">
        <f t="shared" ca="1" si="535"/>
        <v>excluir</v>
      </c>
      <c r="L1208" s="40" t="str">
        <f t="shared" ca="1" si="536"/>
        <v>no semana</v>
      </c>
      <c r="M1208" s="40" t="str">
        <f>IFERROR(VLOOKUP(E1208,'cheques a conf'!A:D,4,FALSE),"no clearing")</f>
        <v>no clearing</v>
      </c>
      <c r="N1208" s="40">
        <f t="shared" si="537"/>
        <v>18</v>
      </c>
      <c r="O1208" s="42">
        <f t="shared" si="538"/>
        <v>4</v>
      </c>
      <c r="P1208" s="42">
        <f t="shared" si="539"/>
        <v>2026</v>
      </c>
    </row>
    <row r="1209" spans="1:16" x14ac:dyDescent="0.25">
      <c r="A1209" s="21">
        <v>1200001122</v>
      </c>
      <c r="B1209" s="22">
        <v>46139</v>
      </c>
      <c r="C1209" s="20">
        <v>5265960.8</v>
      </c>
      <c r="D1209" s="21" t="s">
        <v>305</v>
      </c>
      <c r="E1209" s="21">
        <v>97124397</v>
      </c>
      <c r="F1209" s="20">
        <v>5265960.8</v>
      </c>
      <c r="G1209" s="22">
        <v>46139</v>
      </c>
      <c r="H1209" t="s">
        <v>61</v>
      </c>
      <c r="I1209" s="40" t="str">
        <f>IFERROR(IF(VLOOKUP(E1209,extracto!C:C,1,FALSE)=E1209,"pagado","no pagado"),"no pagado")</f>
        <v>pagado</v>
      </c>
      <c r="J1209" s="41" t="str">
        <f t="shared" si="534"/>
        <v>pagado</v>
      </c>
      <c r="K1209" s="40" t="str">
        <f t="shared" ca="1" si="535"/>
        <v>excluir</v>
      </c>
      <c r="L1209" s="40" t="str">
        <f t="shared" ca="1" si="536"/>
        <v>no semana</v>
      </c>
      <c r="M1209" s="40" t="str">
        <f>IFERROR(VLOOKUP(E1209,'cheques a conf'!A:D,4,FALSE),"no clearing")</f>
        <v>no clearing</v>
      </c>
      <c r="N1209" s="40">
        <f t="shared" si="537"/>
        <v>18</v>
      </c>
      <c r="O1209" s="42">
        <f t="shared" si="538"/>
        <v>4</v>
      </c>
      <c r="P1209" s="42">
        <f t="shared" si="539"/>
        <v>2026</v>
      </c>
    </row>
    <row r="1210" spans="1:16" x14ac:dyDescent="0.25">
      <c r="A1210" s="21">
        <v>3000000539</v>
      </c>
      <c r="B1210" s="22">
        <v>46139</v>
      </c>
      <c r="C1210" s="20">
        <v>10875733</v>
      </c>
      <c r="D1210" s="21" t="s">
        <v>289</v>
      </c>
      <c r="E1210" s="21">
        <v>97124389</v>
      </c>
      <c r="F1210" s="20">
        <v>10875733</v>
      </c>
      <c r="G1210" s="22">
        <v>46139</v>
      </c>
      <c r="H1210" t="s">
        <v>61</v>
      </c>
      <c r="I1210" s="40" t="str">
        <f>IFERROR(IF(VLOOKUP(E1210,extracto!C:C,1,FALSE)=E1210,"pagado","no pagado"),"no pagado")</f>
        <v>pagado</v>
      </c>
      <c r="J1210" s="41" t="str">
        <f t="shared" si="534"/>
        <v>pagado</v>
      </c>
      <c r="K1210" s="40" t="str">
        <f t="shared" ca="1" si="535"/>
        <v>excluir</v>
      </c>
      <c r="L1210" s="40" t="str">
        <f t="shared" ca="1" si="536"/>
        <v>no semana</v>
      </c>
      <c r="M1210" s="40" t="str">
        <f>IFERROR(VLOOKUP(E1210,'cheques a conf'!A:D,4,FALSE),"no clearing")</f>
        <v>no clearing</v>
      </c>
      <c r="N1210" s="40">
        <f t="shared" si="537"/>
        <v>18</v>
      </c>
      <c r="O1210" s="42">
        <f t="shared" si="538"/>
        <v>4</v>
      </c>
      <c r="P1210" s="42">
        <f t="shared" si="539"/>
        <v>2026</v>
      </c>
    </row>
    <row r="1211" spans="1:16" x14ac:dyDescent="0.25">
      <c r="A1211" s="21">
        <v>3000000556</v>
      </c>
      <c r="B1211" s="22">
        <v>46139</v>
      </c>
      <c r="C1211" s="20">
        <v>3463900.79</v>
      </c>
      <c r="D1211" s="21" t="s">
        <v>303</v>
      </c>
      <c r="E1211" s="21">
        <v>97124390</v>
      </c>
      <c r="F1211" s="20">
        <v>3463900.79</v>
      </c>
      <c r="G1211" s="22">
        <v>46139</v>
      </c>
      <c r="H1211" t="s">
        <v>61</v>
      </c>
      <c r="I1211" s="40" t="str">
        <f>IFERROR(IF(VLOOKUP(E1211,extracto!C:C,1,FALSE)=E1211,"pagado","no pagado"),"no pagado")</f>
        <v>pagado</v>
      </c>
      <c r="J1211" s="41" t="str">
        <f t="shared" si="534"/>
        <v>pagado</v>
      </c>
      <c r="K1211" s="40" t="str">
        <f t="shared" ca="1" si="535"/>
        <v>excluir</v>
      </c>
      <c r="L1211" s="40" t="str">
        <f t="shared" ca="1" si="536"/>
        <v>no semana</v>
      </c>
      <c r="M1211" s="40" t="str">
        <f>IFERROR(VLOOKUP(E1211,'cheques a conf'!A:D,4,FALSE),"no clearing")</f>
        <v>no clearing</v>
      </c>
      <c r="N1211" s="40">
        <f t="shared" si="537"/>
        <v>18</v>
      </c>
      <c r="O1211" s="42">
        <f t="shared" si="538"/>
        <v>4</v>
      </c>
      <c r="P1211" s="42">
        <f t="shared" si="539"/>
        <v>2026</v>
      </c>
    </row>
    <row r="1212" spans="1:16" x14ac:dyDescent="0.25">
      <c r="A1212" s="21">
        <v>3000000557</v>
      </c>
      <c r="B1212" s="22">
        <v>46139</v>
      </c>
      <c r="C1212" s="20">
        <v>9326088.1199999992</v>
      </c>
      <c r="D1212" s="21" t="s">
        <v>469</v>
      </c>
      <c r="E1212" s="21">
        <v>97124391</v>
      </c>
      <c r="F1212" s="20">
        <v>9326088.1199999992</v>
      </c>
      <c r="G1212" s="22">
        <v>46139</v>
      </c>
      <c r="H1212" t="s">
        <v>61</v>
      </c>
      <c r="I1212" s="40" t="str">
        <f>IFERROR(IF(VLOOKUP(E1212,extracto!C:C,1,FALSE)=E1212,"pagado","no pagado"),"no pagado")</f>
        <v>pagado</v>
      </c>
      <c r="J1212" s="41" t="str">
        <f t="shared" si="534"/>
        <v>pagado</v>
      </c>
      <c r="K1212" s="40" t="str">
        <f t="shared" ca="1" si="535"/>
        <v>excluir</v>
      </c>
      <c r="L1212" s="40" t="str">
        <f t="shared" ca="1" si="536"/>
        <v>no semana</v>
      </c>
      <c r="M1212" s="40" t="str">
        <f>IFERROR(VLOOKUP(E1212,'cheques a conf'!A:D,4,FALSE),"no clearing")</f>
        <v>no clearing</v>
      </c>
      <c r="N1212" s="40">
        <f t="shared" si="537"/>
        <v>18</v>
      </c>
      <c r="O1212" s="42">
        <f t="shared" si="538"/>
        <v>4</v>
      </c>
      <c r="P1212" s="42">
        <f t="shared" si="539"/>
        <v>2026</v>
      </c>
    </row>
    <row r="1213" spans="1:16" x14ac:dyDescent="0.25">
      <c r="A1213" s="21">
        <v>3000000558</v>
      </c>
      <c r="B1213" s="22">
        <v>46139</v>
      </c>
      <c r="C1213" s="20">
        <v>9301754</v>
      </c>
      <c r="D1213" s="21" t="s">
        <v>284</v>
      </c>
      <c r="E1213" s="21">
        <v>97124392</v>
      </c>
      <c r="F1213" s="20">
        <v>9301754</v>
      </c>
      <c r="G1213" s="22">
        <v>46139</v>
      </c>
      <c r="H1213" t="s">
        <v>61</v>
      </c>
      <c r="I1213" s="40" t="str">
        <f>IFERROR(IF(VLOOKUP(E1213,extracto!C:C,1,FALSE)=E1213,"pagado","no pagado"),"no pagado")</f>
        <v>pagado</v>
      </c>
      <c r="J1213" s="41" t="str">
        <f t="shared" si="534"/>
        <v>pagado</v>
      </c>
      <c r="K1213" s="40" t="str">
        <f t="shared" ca="1" si="535"/>
        <v>excluir</v>
      </c>
      <c r="L1213" s="40" t="str">
        <f t="shared" ca="1" si="536"/>
        <v>no semana</v>
      </c>
      <c r="M1213" s="40" t="str">
        <f>IFERROR(VLOOKUP(E1213,'cheques a conf'!A:D,4,FALSE),"no clearing")</f>
        <v>no clearing</v>
      </c>
      <c r="N1213" s="40">
        <f t="shared" si="537"/>
        <v>18</v>
      </c>
      <c r="O1213" s="42">
        <f t="shared" si="538"/>
        <v>4</v>
      </c>
      <c r="P1213" s="42">
        <f t="shared" si="539"/>
        <v>2026</v>
      </c>
    </row>
    <row r="1214" spans="1:16" x14ac:dyDescent="0.25">
      <c r="A1214" s="21">
        <v>3000000559</v>
      </c>
      <c r="B1214" s="22">
        <v>46139</v>
      </c>
      <c r="C1214" s="20">
        <v>5075501.34</v>
      </c>
      <c r="D1214" s="21" t="s">
        <v>59</v>
      </c>
      <c r="E1214" s="21">
        <v>97124393</v>
      </c>
      <c r="F1214" s="20">
        <v>5075501.34</v>
      </c>
      <c r="G1214" s="22">
        <v>46139</v>
      </c>
      <c r="H1214" t="s">
        <v>61</v>
      </c>
      <c r="I1214" s="40" t="str">
        <f>IFERROR(IF(VLOOKUP(E1214,extracto!C:C,1,FALSE)=E1214,"pagado","no pagado"),"no pagado")</f>
        <v>pagado</v>
      </c>
      <c r="J1214" s="41" t="str">
        <f t="shared" si="534"/>
        <v>pagado</v>
      </c>
      <c r="K1214" s="40" t="str">
        <f t="shared" ca="1" si="535"/>
        <v>excluir</v>
      </c>
      <c r="L1214" s="40" t="str">
        <f t="shared" ca="1" si="536"/>
        <v>no semana</v>
      </c>
      <c r="M1214" s="40" t="str">
        <f>IFERROR(VLOOKUP(E1214,'cheques a conf'!A:D,4,FALSE),"no clearing")</f>
        <v>no clearing</v>
      </c>
      <c r="N1214" s="40">
        <f t="shared" si="537"/>
        <v>18</v>
      </c>
      <c r="O1214" s="42">
        <f t="shared" si="538"/>
        <v>4</v>
      </c>
      <c r="P1214" s="42">
        <f t="shared" si="539"/>
        <v>2026</v>
      </c>
    </row>
    <row r="1215" spans="1:16" x14ac:dyDescent="0.25">
      <c r="A1215" s="21">
        <v>3000000560</v>
      </c>
      <c r="B1215" s="22">
        <v>46139</v>
      </c>
      <c r="C1215" s="20">
        <v>10963120.4</v>
      </c>
      <c r="D1215" s="21" t="s">
        <v>365</v>
      </c>
      <c r="E1215" s="21">
        <v>97124394</v>
      </c>
      <c r="F1215" s="20">
        <v>10963120.4</v>
      </c>
      <c r="G1215" s="22">
        <v>46139</v>
      </c>
      <c r="H1215" t="s">
        <v>61</v>
      </c>
      <c r="I1215" s="40" t="str">
        <f>IFERROR(IF(VLOOKUP(E1215,extracto!C:C,1,FALSE)=E1215,"pagado","no pagado"),"no pagado")</f>
        <v>pagado</v>
      </c>
      <c r="J1215" s="41" t="str">
        <f t="shared" si="534"/>
        <v>pagado</v>
      </c>
      <c r="K1215" s="40" t="str">
        <f t="shared" ca="1" si="535"/>
        <v>excluir</v>
      </c>
      <c r="L1215" s="40" t="str">
        <f t="shared" ca="1" si="536"/>
        <v>no semana</v>
      </c>
      <c r="M1215" s="40" t="str">
        <f>IFERROR(VLOOKUP(E1215,'cheques a conf'!A:D,4,FALSE),"no clearing")</f>
        <v>no clearing</v>
      </c>
      <c r="N1215" s="40">
        <f t="shared" si="537"/>
        <v>18</v>
      </c>
      <c r="O1215" s="42">
        <f t="shared" si="538"/>
        <v>4</v>
      </c>
      <c r="P1215" s="42">
        <f t="shared" si="539"/>
        <v>2026</v>
      </c>
    </row>
    <row r="1216" spans="1:16" x14ac:dyDescent="0.25">
      <c r="A1216" s="21">
        <v>3000000572</v>
      </c>
      <c r="B1216" s="22">
        <v>46142</v>
      </c>
      <c r="C1216" s="20">
        <v>5000000</v>
      </c>
      <c r="D1216" s="21" t="s">
        <v>419</v>
      </c>
      <c r="E1216" s="21">
        <v>97124398</v>
      </c>
      <c r="F1216" s="20">
        <v>5000000</v>
      </c>
      <c r="G1216" s="22">
        <v>46142</v>
      </c>
      <c r="H1216" t="s">
        <v>61</v>
      </c>
      <c r="I1216" s="40" t="str">
        <f>IFERROR(IF(VLOOKUP(E1216,extracto!C:C,1,FALSE)=E1216,"pagado","no pagado"),"no pagado")</f>
        <v>pagado</v>
      </c>
      <c r="J1216" s="41" t="str">
        <f t="shared" si="534"/>
        <v>pagado</v>
      </c>
      <c r="K1216" s="40" t="str">
        <f t="shared" ca="1" si="535"/>
        <v>excluir</v>
      </c>
      <c r="L1216" s="40" t="str">
        <f t="shared" ca="1" si="536"/>
        <v>no semana</v>
      </c>
      <c r="M1216" s="40" t="str">
        <f>IFERROR(VLOOKUP(E1216,'cheques a conf'!A:D,4,FALSE),"no clearing")</f>
        <v>no clearing</v>
      </c>
      <c r="N1216" s="40">
        <f t="shared" si="537"/>
        <v>18</v>
      </c>
      <c r="O1216" s="42">
        <f t="shared" si="538"/>
        <v>4</v>
      </c>
      <c r="P1216" s="42">
        <f t="shared" si="539"/>
        <v>2026</v>
      </c>
    </row>
    <row r="1217" spans="1:16" x14ac:dyDescent="0.25">
      <c r="A1217" s="21">
        <v>3000000572</v>
      </c>
      <c r="B1217" s="22">
        <v>46142</v>
      </c>
      <c r="C1217" s="20">
        <v>5000000</v>
      </c>
      <c r="D1217" s="21" t="s">
        <v>419</v>
      </c>
      <c r="E1217" s="21">
        <v>97124399</v>
      </c>
      <c r="F1217" s="20">
        <v>5000000</v>
      </c>
      <c r="G1217" s="22">
        <v>46142</v>
      </c>
      <c r="H1217" t="s">
        <v>61</v>
      </c>
      <c r="I1217" s="40" t="str">
        <f>IFERROR(IF(VLOOKUP(E1217,extracto!C:C,1,FALSE)=E1217,"pagado","no pagado"),"no pagado")</f>
        <v>pagado</v>
      </c>
      <c r="J1217" s="41" t="str">
        <f t="shared" si="534"/>
        <v>pagado</v>
      </c>
      <c r="K1217" s="40" t="str">
        <f t="shared" ca="1" si="535"/>
        <v>excluir</v>
      </c>
      <c r="L1217" s="40" t="str">
        <f t="shared" ca="1" si="536"/>
        <v>no semana</v>
      </c>
      <c r="M1217" s="40" t="str">
        <f>IFERROR(VLOOKUP(E1217,'cheques a conf'!A:D,4,FALSE),"no clearing")</f>
        <v>no clearing</v>
      </c>
      <c r="N1217" s="40">
        <f t="shared" si="537"/>
        <v>18</v>
      </c>
      <c r="O1217" s="42">
        <f t="shared" si="538"/>
        <v>4</v>
      </c>
      <c r="P1217" s="42">
        <f t="shared" si="539"/>
        <v>2026</v>
      </c>
    </row>
    <row r="1218" spans="1:16" x14ac:dyDescent="0.25">
      <c r="A1218" s="21">
        <v>3000000572</v>
      </c>
      <c r="B1218" s="22">
        <v>46142</v>
      </c>
      <c r="C1218" s="20">
        <v>5271843.6500000004</v>
      </c>
      <c r="D1218" s="21" t="s">
        <v>419</v>
      </c>
      <c r="E1218" s="21">
        <v>97124400</v>
      </c>
      <c r="F1218" s="20">
        <v>5271843.6500000004</v>
      </c>
      <c r="G1218" s="22">
        <v>46142</v>
      </c>
      <c r="H1218" t="s">
        <v>61</v>
      </c>
      <c r="I1218" s="40" t="str">
        <f>IFERROR(IF(VLOOKUP(E1218,extracto!C:C,1,FALSE)=E1218,"pagado","no pagado"),"no pagado")</f>
        <v>pagado</v>
      </c>
      <c r="J1218" s="41" t="str">
        <f t="shared" si="534"/>
        <v>pagado</v>
      </c>
      <c r="K1218" s="40" t="str">
        <f t="shared" ca="1" si="535"/>
        <v>excluir</v>
      </c>
      <c r="L1218" s="40" t="str">
        <f t="shared" ca="1" si="536"/>
        <v>no semana</v>
      </c>
      <c r="M1218" s="40" t="str">
        <f>IFERROR(VLOOKUP(E1218,'cheques a conf'!A:D,4,FALSE),"no clearing")</f>
        <v>no clearing</v>
      </c>
      <c r="N1218" s="40">
        <f t="shared" si="537"/>
        <v>18</v>
      </c>
      <c r="O1218" s="42">
        <f t="shared" si="538"/>
        <v>4</v>
      </c>
      <c r="P1218" s="42">
        <f t="shared" si="539"/>
        <v>2026</v>
      </c>
    </row>
    <row r="1219" spans="1:16" x14ac:dyDescent="0.25">
      <c r="A1219" s="21">
        <v>3000000579</v>
      </c>
      <c r="B1219" s="22">
        <v>46146</v>
      </c>
      <c r="C1219" s="20">
        <v>18060803.399999999</v>
      </c>
      <c r="D1219" s="21" t="s">
        <v>366</v>
      </c>
      <c r="E1219" s="21">
        <v>97124401</v>
      </c>
      <c r="F1219" s="20">
        <v>18060803.399999999</v>
      </c>
      <c r="G1219" s="22">
        <v>46150</v>
      </c>
      <c r="H1219" t="s">
        <v>61</v>
      </c>
      <c r="I1219" s="40" t="str">
        <f>IFERROR(IF(VLOOKUP(E1219,extracto!C:C,1,FALSE)=E1219,"pagado","no pagado"),"no pagado")</f>
        <v>pagado</v>
      </c>
      <c r="J1219" s="41" t="str">
        <f t="shared" si="534"/>
        <v>pagado</v>
      </c>
      <c r="K1219" s="40" t="str">
        <f t="shared" ca="1" si="535"/>
        <v>excluir</v>
      </c>
      <c r="L1219" s="40" t="str">
        <f t="shared" ca="1" si="536"/>
        <v>no semana</v>
      </c>
      <c r="M1219" s="40" t="str">
        <f>IFERROR(VLOOKUP(E1219,'cheques a conf'!A:D,4,FALSE),"no clearing")</f>
        <v>no clearing</v>
      </c>
      <c r="N1219" s="40">
        <f t="shared" si="537"/>
        <v>19</v>
      </c>
      <c r="O1219" s="42">
        <f t="shared" si="538"/>
        <v>5</v>
      </c>
      <c r="P1219" s="42">
        <f t="shared" si="539"/>
        <v>2026</v>
      </c>
    </row>
    <row r="1220" spans="1:16" x14ac:dyDescent="0.25">
      <c r="A1220" s="21">
        <v>3000000580</v>
      </c>
      <c r="B1220" s="22">
        <v>46146</v>
      </c>
      <c r="C1220" s="20">
        <v>15017429.57</v>
      </c>
      <c r="D1220" s="21" t="s">
        <v>540</v>
      </c>
      <c r="E1220" s="21">
        <v>97124402</v>
      </c>
      <c r="F1220" s="20">
        <v>15017429.57</v>
      </c>
      <c r="G1220" s="22">
        <v>46150</v>
      </c>
      <c r="H1220" t="s">
        <v>61</v>
      </c>
      <c r="I1220" s="40" t="str">
        <f>IFERROR(IF(VLOOKUP(E1220,extracto!C:C,1,FALSE)=E1220,"pagado","no pagado"),"no pagado")</f>
        <v>pagado</v>
      </c>
      <c r="J1220" s="41" t="str">
        <f t="shared" si="534"/>
        <v>pagado</v>
      </c>
      <c r="K1220" s="40" t="str">
        <f t="shared" ca="1" si="535"/>
        <v>excluir</v>
      </c>
      <c r="L1220" s="40" t="str">
        <f t="shared" ca="1" si="536"/>
        <v>no semana</v>
      </c>
      <c r="M1220" s="40" t="str">
        <f>IFERROR(VLOOKUP(E1220,'cheques a conf'!A:D,4,FALSE),"no clearing")</f>
        <v>no clearing</v>
      </c>
      <c r="N1220" s="40">
        <f t="shared" si="537"/>
        <v>19</v>
      </c>
      <c r="O1220" s="42">
        <f t="shared" si="538"/>
        <v>5</v>
      </c>
      <c r="P1220" s="42">
        <f t="shared" si="539"/>
        <v>2026</v>
      </c>
    </row>
    <row r="1221" spans="1:16" x14ac:dyDescent="0.25">
      <c r="A1221" s="21">
        <v>3000000581</v>
      </c>
      <c r="B1221" s="22">
        <v>46146</v>
      </c>
      <c r="C1221" s="20">
        <v>24232803.399999999</v>
      </c>
      <c r="D1221" s="21" t="s">
        <v>289</v>
      </c>
      <c r="E1221" s="21">
        <v>97124403</v>
      </c>
      <c r="F1221" s="20">
        <v>24232803.399999999</v>
      </c>
      <c r="G1221" s="22">
        <v>46150</v>
      </c>
      <c r="H1221" t="s">
        <v>61</v>
      </c>
      <c r="I1221" s="40" t="str">
        <f>IFERROR(IF(VLOOKUP(E1221,extracto!C:C,1,FALSE)=E1221,"pagado","no pagado"),"no pagado")</f>
        <v>pagado</v>
      </c>
      <c r="J1221" s="41" t="str">
        <f t="shared" si="534"/>
        <v>pagado</v>
      </c>
      <c r="K1221" s="40" t="str">
        <f t="shared" ca="1" si="535"/>
        <v>excluir</v>
      </c>
      <c r="L1221" s="40" t="str">
        <f t="shared" ca="1" si="536"/>
        <v>no semana</v>
      </c>
      <c r="M1221" s="40" t="str">
        <f>IFERROR(VLOOKUP(E1221,'cheques a conf'!A:D,4,FALSE),"no clearing")</f>
        <v>no clearing</v>
      </c>
      <c r="N1221" s="40">
        <f t="shared" si="537"/>
        <v>19</v>
      </c>
      <c r="O1221" s="42">
        <f t="shared" si="538"/>
        <v>5</v>
      </c>
      <c r="P1221" s="42">
        <f t="shared" si="539"/>
        <v>2026</v>
      </c>
    </row>
    <row r="1222" spans="1:16" x14ac:dyDescent="0.25">
      <c r="A1222" s="21">
        <v>3000000582</v>
      </c>
      <c r="B1222" s="22">
        <v>46146</v>
      </c>
      <c r="C1222" s="20">
        <v>40857330.399999999</v>
      </c>
      <c r="D1222" s="21" t="s">
        <v>350</v>
      </c>
      <c r="E1222" s="21">
        <v>97124404</v>
      </c>
      <c r="F1222" s="20">
        <v>40857330.399999999</v>
      </c>
      <c r="G1222" s="22">
        <v>46150</v>
      </c>
      <c r="H1222" t="s">
        <v>61</v>
      </c>
      <c r="I1222" s="40" t="str">
        <f>IFERROR(IF(VLOOKUP(E1222,extracto!C:C,1,FALSE)=E1222,"pagado","no pagado"),"no pagado")</f>
        <v>pagado</v>
      </c>
      <c r="J1222" s="41" t="str">
        <f t="shared" si="534"/>
        <v>pagado</v>
      </c>
      <c r="K1222" s="40" t="str">
        <f t="shared" ca="1" si="535"/>
        <v>excluir</v>
      </c>
      <c r="L1222" s="40" t="str">
        <f t="shared" ca="1" si="536"/>
        <v>no semana</v>
      </c>
      <c r="M1222" s="40" t="str">
        <f>IFERROR(VLOOKUP(E1222,'cheques a conf'!A:D,4,FALSE),"no clearing")</f>
        <v>no clearing</v>
      </c>
      <c r="N1222" s="40">
        <f t="shared" si="537"/>
        <v>19</v>
      </c>
      <c r="O1222" s="42">
        <f t="shared" si="538"/>
        <v>5</v>
      </c>
      <c r="P1222" s="42">
        <f t="shared" si="539"/>
        <v>2026</v>
      </c>
    </row>
    <row r="1223" spans="1:16" x14ac:dyDescent="0.25">
      <c r="A1223" s="21">
        <v>3000000583</v>
      </c>
      <c r="B1223" s="22">
        <v>46146</v>
      </c>
      <c r="C1223" s="20">
        <v>6316267.4000000004</v>
      </c>
      <c r="D1223" s="21" t="s">
        <v>361</v>
      </c>
      <c r="E1223" s="21">
        <v>97124405</v>
      </c>
      <c r="F1223" s="20">
        <v>6316267.4000000004</v>
      </c>
      <c r="G1223" s="22">
        <v>46150</v>
      </c>
      <c r="H1223" t="s">
        <v>61</v>
      </c>
      <c r="I1223" s="40" t="str">
        <f>IFERROR(IF(VLOOKUP(E1223,extracto!C:C,1,FALSE)=E1223,"pagado","no pagado"),"no pagado")</f>
        <v>pagado</v>
      </c>
      <c r="J1223" s="41" t="str">
        <f t="shared" si="534"/>
        <v>pagado</v>
      </c>
      <c r="K1223" s="40" t="str">
        <f t="shared" ca="1" si="535"/>
        <v>excluir</v>
      </c>
      <c r="L1223" s="40" t="str">
        <f t="shared" ca="1" si="536"/>
        <v>no semana</v>
      </c>
      <c r="M1223" s="40" t="str">
        <f>IFERROR(VLOOKUP(E1223,'cheques a conf'!A:D,4,FALSE),"no clearing")</f>
        <v>no clearing</v>
      </c>
      <c r="N1223" s="40">
        <f t="shared" si="537"/>
        <v>19</v>
      </c>
      <c r="O1223" s="42">
        <f t="shared" si="538"/>
        <v>5</v>
      </c>
      <c r="P1223" s="42">
        <f t="shared" si="539"/>
        <v>2026</v>
      </c>
    </row>
    <row r="1224" spans="1:16" x14ac:dyDescent="0.25">
      <c r="A1224" s="21">
        <v>3000000584</v>
      </c>
      <c r="B1224" s="22">
        <v>46146</v>
      </c>
      <c r="C1224" s="20">
        <v>8875288.9900000002</v>
      </c>
      <c r="D1224" s="21" t="s">
        <v>430</v>
      </c>
      <c r="E1224" s="21">
        <v>97124406</v>
      </c>
      <c r="F1224" s="20">
        <v>8875288.9900000002</v>
      </c>
      <c r="G1224" s="22">
        <v>46150</v>
      </c>
      <c r="H1224" t="s">
        <v>61</v>
      </c>
      <c r="I1224" s="40" t="str">
        <f>IFERROR(IF(VLOOKUP(E1224,extracto!C:C,1,FALSE)=E1224,"pagado","no pagado"),"no pagado")</f>
        <v>pagado</v>
      </c>
      <c r="J1224" s="41" t="str">
        <f t="shared" si="534"/>
        <v>pagado</v>
      </c>
      <c r="K1224" s="40" t="str">
        <f t="shared" ca="1" si="535"/>
        <v>excluir</v>
      </c>
      <c r="L1224" s="40" t="str">
        <f t="shared" ca="1" si="536"/>
        <v>no semana</v>
      </c>
      <c r="M1224" s="40" t="str">
        <f>IFERROR(VLOOKUP(E1224,'cheques a conf'!A:D,4,FALSE),"no clearing")</f>
        <v>no clearing</v>
      </c>
      <c r="N1224" s="40">
        <f t="shared" si="537"/>
        <v>19</v>
      </c>
      <c r="O1224" s="42">
        <f t="shared" si="538"/>
        <v>5</v>
      </c>
      <c r="P1224" s="42">
        <f t="shared" si="539"/>
        <v>2026</v>
      </c>
    </row>
    <row r="1225" spans="1:16" x14ac:dyDescent="0.25">
      <c r="A1225" s="21">
        <v>3000000590</v>
      </c>
      <c r="B1225" s="22">
        <v>46147</v>
      </c>
      <c r="C1225" s="20">
        <v>30109014.800000001</v>
      </c>
      <c r="D1225" s="21" t="s">
        <v>303</v>
      </c>
      <c r="E1225" s="21">
        <v>97124407</v>
      </c>
      <c r="F1225" s="20">
        <v>30109014.800000001</v>
      </c>
      <c r="G1225" s="22">
        <v>46150</v>
      </c>
      <c r="H1225" t="s">
        <v>61</v>
      </c>
      <c r="I1225" s="40" t="str">
        <f>IFERROR(IF(VLOOKUP(E1225,extracto!C:C,1,FALSE)=E1225,"pagado","no pagado"),"no pagado")</f>
        <v>pagado</v>
      </c>
      <c r="J1225" s="41" t="str">
        <f t="shared" si="534"/>
        <v>pagado</v>
      </c>
      <c r="K1225" s="40" t="str">
        <f t="shared" ca="1" si="535"/>
        <v>excluir</v>
      </c>
      <c r="L1225" s="40" t="str">
        <f t="shared" ca="1" si="536"/>
        <v>no semana</v>
      </c>
      <c r="M1225" s="40" t="str">
        <f>IFERROR(VLOOKUP(E1225,'cheques a conf'!A:D,4,FALSE),"no clearing")</f>
        <v>no clearing</v>
      </c>
      <c r="N1225" s="40">
        <f t="shared" si="537"/>
        <v>19</v>
      </c>
      <c r="O1225" s="42">
        <f t="shared" si="538"/>
        <v>5</v>
      </c>
      <c r="P1225" s="42">
        <f t="shared" si="539"/>
        <v>2026</v>
      </c>
    </row>
    <row r="1226" spans="1:16" x14ac:dyDescent="0.25">
      <c r="A1226" s="21">
        <v>3000000591</v>
      </c>
      <c r="B1226" s="22">
        <v>46147</v>
      </c>
      <c r="C1226" s="20">
        <v>23535376.43</v>
      </c>
      <c r="D1226" s="21" t="s">
        <v>338</v>
      </c>
      <c r="E1226" s="21">
        <v>97124408</v>
      </c>
      <c r="F1226" s="20">
        <v>23535376.43</v>
      </c>
      <c r="G1226" s="22">
        <v>46150</v>
      </c>
      <c r="H1226" t="s">
        <v>61</v>
      </c>
      <c r="I1226" s="40" t="str">
        <f>IFERROR(IF(VLOOKUP(E1226,extracto!C:C,1,FALSE)=E1226,"pagado","no pagado"),"no pagado")</f>
        <v>pagado</v>
      </c>
      <c r="J1226" s="41" t="str">
        <f t="shared" si="534"/>
        <v>pagado</v>
      </c>
      <c r="K1226" s="40" t="str">
        <f t="shared" ca="1" si="535"/>
        <v>excluir</v>
      </c>
      <c r="L1226" s="40" t="str">
        <f t="shared" ca="1" si="536"/>
        <v>no semana</v>
      </c>
      <c r="M1226" s="40" t="str">
        <f>IFERROR(VLOOKUP(E1226,'cheques a conf'!A:D,4,FALSE),"no clearing")</f>
        <v>no clearing</v>
      </c>
      <c r="N1226" s="40">
        <f t="shared" si="537"/>
        <v>19</v>
      </c>
      <c r="O1226" s="42">
        <f t="shared" si="538"/>
        <v>5</v>
      </c>
      <c r="P1226" s="42">
        <f t="shared" si="539"/>
        <v>2026</v>
      </c>
    </row>
    <row r="1227" spans="1:16" x14ac:dyDescent="0.25">
      <c r="A1227" s="21">
        <v>3000000592</v>
      </c>
      <c r="B1227" s="22">
        <v>46147</v>
      </c>
      <c r="C1227" s="20">
        <v>4458306.43</v>
      </c>
      <c r="D1227" s="21" t="s">
        <v>359</v>
      </c>
      <c r="E1227" s="21">
        <v>97124409</v>
      </c>
      <c r="F1227" s="20">
        <v>4458306.43</v>
      </c>
      <c r="G1227" s="22">
        <v>46150</v>
      </c>
      <c r="H1227" t="s">
        <v>61</v>
      </c>
      <c r="I1227" s="40" t="str">
        <f>IFERROR(IF(VLOOKUP(E1227,extracto!C:C,1,FALSE)=E1227,"pagado","no pagado"),"no pagado")</f>
        <v>pagado</v>
      </c>
      <c r="J1227" s="41" t="str">
        <f t="shared" si="534"/>
        <v>pagado</v>
      </c>
      <c r="K1227" s="40" t="str">
        <f t="shared" ca="1" si="535"/>
        <v>excluir</v>
      </c>
      <c r="L1227" s="40" t="str">
        <f t="shared" ca="1" si="536"/>
        <v>no semana</v>
      </c>
      <c r="M1227" s="40" t="str">
        <f>IFERROR(VLOOKUP(E1227,'cheques a conf'!A:D,4,FALSE),"no clearing")</f>
        <v>no clearing</v>
      </c>
      <c r="N1227" s="40">
        <f t="shared" si="537"/>
        <v>19</v>
      </c>
      <c r="O1227" s="42">
        <f t="shared" si="538"/>
        <v>5</v>
      </c>
      <c r="P1227" s="42">
        <f t="shared" si="539"/>
        <v>2026</v>
      </c>
    </row>
    <row r="1228" spans="1:16" x14ac:dyDescent="0.25">
      <c r="A1228" s="21">
        <v>3000000593</v>
      </c>
      <c r="B1228" s="22">
        <v>46147</v>
      </c>
      <c r="C1228" s="20">
        <v>5550532.9400000004</v>
      </c>
      <c r="D1228" s="21" t="s">
        <v>16</v>
      </c>
      <c r="E1228" s="21">
        <v>97124410</v>
      </c>
      <c r="F1228" s="20">
        <v>5550532.9400000004</v>
      </c>
      <c r="G1228" s="22">
        <v>46150</v>
      </c>
      <c r="H1228" t="s">
        <v>61</v>
      </c>
      <c r="I1228" s="40" t="str">
        <f>IFERROR(IF(VLOOKUP(E1228,extracto!C:C,1,FALSE)=E1228,"pagado","no pagado"),"no pagado")</f>
        <v>pagado</v>
      </c>
      <c r="J1228" s="41" t="str">
        <f t="shared" ref="J1228:J1237" si="540">IF(I1228="pagado","pagado",IF(G1228&lt;$V$1-30,"fuera de fecha","en periodo de pago"))</f>
        <v>pagado</v>
      </c>
      <c r="K1228" s="40" t="str">
        <f t="shared" ref="K1228:K1237" ca="1" si="541">+IF(B1228&gt;$V$1,"excluir",IF(J1228="en periodo de pago",IF($V$1&gt;G1228,"a pagar","proximo a vencer"),"excluir"))</f>
        <v>excluir</v>
      </c>
      <c r="L1228" s="40" t="str">
        <f t="shared" ref="L1228:L1237" ca="1" si="542">+IF(K1228="proximo a vencer",IF($V$1+5&gt;G1228,"para la semana","no semana"),"no semana")</f>
        <v>no semana</v>
      </c>
      <c r="M1228" s="40" t="str">
        <f>IFERROR(VLOOKUP(E1228,'cheques a conf'!A:D,4,FALSE),"no clearing")</f>
        <v>no clearing</v>
      </c>
      <c r="N1228" s="40">
        <f t="shared" ref="N1228:N1237" si="543">+WEEKNUM(G1228,2)</f>
        <v>19</v>
      </c>
      <c r="O1228" s="42">
        <f t="shared" ref="O1228:O1237" si="544">+MONTH(G1228)</f>
        <v>5</v>
      </c>
      <c r="P1228" s="42">
        <f t="shared" ref="P1228:P1237" si="545">+YEAR(G1228)</f>
        <v>2026</v>
      </c>
    </row>
    <row r="1229" spans="1:16" x14ac:dyDescent="0.25">
      <c r="A1229" s="21">
        <v>3000000607</v>
      </c>
      <c r="B1229" s="22">
        <v>46153</v>
      </c>
      <c r="C1229" s="20">
        <v>4647459.4400000004</v>
      </c>
      <c r="D1229" s="21" t="s">
        <v>406</v>
      </c>
      <c r="E1229" s="21">
        <v>97124411</v>
      </c>
      <c r="F1229" s="20">
        <v>4647459.4400000004</v>
      </c>
      <c r="G1229" s="22">
        <v>46157</v>
      </c>
      <c r="H1229" t="s">
        <v>61</v>
      </c>
      <c r="I1229" s="40" t="str">
        <f>IFERROR(IF(VLOOKUP(E1229,extracto!C:C,1,FALSE)=E1229,"pagado","no pagado"),"no pagado")</f>
        <v>pagado</v>
      </c>
      <c r="J1229" s="41" t="str">
        <f t="shared" si="540"/>
        <v>pagado</v>
      </c>
      <c r="K1229" s="40" t="str">
        <f t="shared" ca="1" si="541"/>
        <v>excluir</v>
      </c>
      <c r="L1229" s="40" t="str">
        <f t="shared" ca="1" si="542"/>
        <v>no semana</v>
      </c>
      <c r="M1229" s="40" t="str">
        <f>IFERROR(VLOOKUP(E1229,'cheques a conf'!A:D,4,FALSE),"no clearing")</f>
        <v>no clearing</v>
      </c>
      <c r="N1229" s="40">
        <f t="shared" si="543"/>
        <v>20</v>
      </c>
      <c r="O1229" s="42">
        <f t="shared" si="544"/>
        <v>5</v>
      </c>
      <c r="P1229" s="42">
        <f t="shared" si="545"/>
        <v>2026</v>
      </c>
    </row>
    <row r="1230" spans="1:16" x14ac:dyDescent="0.25">
      <c r="A1230" s="21">
        <v>3000000608</v>
      </c>
      <c r="B1230" s="22">
        <v>46153</v>
      </c>
      <c r="C1230" s="20">
        <v>25323832.899999999</v>
      </c>
      <c r="D1230" s="21" t="s">
        <v>365</v>
      </c>
      <c r="E1230" s="21">
        <v>97124412</v>
      </c>
      <c r="F1230" s="20">
        <v>25323832.899999999</v>
      </c>
      <c r="G1230" s="22">
        <v>46157</v>
      </c>
      <c r="H1230" t="s">
        <v>61</v>
      </c>
      <c r="I1230" s="40" t="str">
        <f>IFERROR(IF(VLOOKUP(E1230,extracto!C:C,1,FALSE)=E1230,"pagado","no pagado"),"no pagado")</f>
        <v>pagado</v>
      </c>
      <c r="J1230" s="41" t="str">
        <f t="shared" si="540"/>
        <v>pagado</v>
      </c>
      <c r="K1230" s="40" t="str">
        <f t="shared" ca="1" si="541"/>
        <v>excluir</v>
      </c>
      <c r="L1230" s="40" t="str">
        <f t="shared" ca="1" si="542"/>
        <v>no semana</v>
      </c>
      <c r="M1230" s="40" t="str">
        <f>IFERROR(VLOOKUP(E1230,'cheques a conf'!A:D,4,FALSE),"no clearing")</f>
        <v>no clearing</v>
      </c>
      <c r="N1230" s="40">
        <f t="shared" si="543"/>
        <v>20</v>
      </c>
      <c r="O1230" s="42">
        <f t="shared" si="544"/>
        <v>5</v>
      </c>
      <c r="P1230" s="42">
        <f t="shared" si="545"/>
        <v>2026</v>
      </c>
    </row>
    <row r="1231" spans="1:16" x14ac:dyDescent="0.25">
      <c r="A1231" s="21">
        <v>3000000609</v>
      </c>
      <c r="B1231" s="22">
        <v>46153</v>
      </c>
      <c r="C1231" s="20">
        <v>6127444.5</v>
      </c>
      <c r="D1231" s="21" t="s">
        <v>360</v>
      </c>
      <c r="E1231" s="21">
        <v>97124413</v>
      </c>
      <c r="F1231" s="20">
        <v>6127444.5</v>
      </c>
      <c r="G1231" s="22">
        <v>46157</v>
      </c>
      <c r="H1231" t="s">
        <v>61</v>
      </c>
      <c r="I1231" s="40" t="str">
        <f>IFERROR(IF(VLOOKUP(E1231,extracto!C:C,1,FALSE)=E1231,"pagado","no pagado"),"no pagado")</f>
        <v>no pagado</v>
      </c>
      <c r="J1231" s="41" t="str">
        <f t="shared" ca="1" si="540"/>
        <v>fuera de fecha</v>
      </c>
      <c r="K1231" s="40" t="str">
        <f t="shared" ca="1" si="541"/>
        <v>excluir</v>
      </c>
      <c r="L1231" s="40" t="str">
        <f t="shared" ca="1" si="542"/>
        <v>no semana</v>
      </c>
      <c r="M1231" s="40" t="str">
        <f>IFERROR(VLOOKUP(E1231,'cheques a conf'!A:D,4,FALSE),"no clearing")</f>
        <v>no clearing</v>
      </c>
      <c r="N1231" s="40">
        <f t="shared" si="543"/>
        <v>20</v>
      </c>
      <c r="O1231" s="42">
        <f t="shared" si="544"/>
        <v>5</v>
      </c>
      <c r="P1231" s="42">
        <f t="shared" si="545"/>
        <v>2026</v>
      </c>
    </row>
    <row r="1232" spans="1:16" x14ac:dyDescent="0.25">
      <c r="A1232" s="21">
        <v>3000000610</v>
      </c>
      <c r="B1232" s="22">
        <v>46153</v>
      </c>
      <c r="C1232" s="20">
        <v>4108613.36</v>
      </c>
      <c r="D1232" s="21" t="s">
        <v>197</v>
      </c>
      <c r="E1232" s="21">
        <v>97124414</v>
      </c>
      <c r="F1232" s="20">
        <v>4108613.36</v>
      </c>
      <c r="G1232" s="22">
        <v>46157</v>
      </c>
      <c r="H1232" t="s">
        <v>61</v>
      </c>
      <c r="I1232" s="40" t="str">
        <f>IFERROR(IF(VLOOKUP(E1232,extracto!C:C,1,FALSE)=E1232,"pagado","no pagado"),"no pagado")</f>
        <v>pagado</v>
      </c>
      <c r="J1232" s="41" t="str">
        <f t="shared" si="540"/>
        <v>pagado</v>
      </c>
      <c r="K1232" s="40" t="str">
        <f t="shared" ca="1" si="541"/>
        <v>excluir</v>
      </c>
      <c r="L1232" s="40" t="str">
        <f t="shared" ca="1" si="542"/>
        <v>no semana</v>
      </c>
      <c r="M1232" s="40" t="str">
        <f>IFERROR(VLOOKUP(E1232,'cheques a conf'!A:D,4,FALSE),"no clearing")</f>
        <v>no clearing</v>
      </c>
      <c r="N1232" s="40">
        <f t="shared" si="543"/>
        <v>20</v>
      </c>
      <c r="O1232" s="42">
        <f t="shared" si="544"/>
        <v>5</v>
      </c>
      <c r="P1232" s="42">
        <f t="shared" si="545"/>
        <v>2026</v>
      </c>
    </row>
    <row r="1233" spans="1:16" x14ac:dyDescent="0.25">
      <c r="A1233" s="21">
        <v>3000000611</v>
      </c>
      <c r="B1233" s="22">
        <v>46153</v>
      </c>
      <c r="C1233" s="20">
        <v>10515583.4</v>
      </c>
      <c r="D1233" s="21" t="s">
        <v>426</v>
      </c>
      <c r="E1233" s="21">
        <v>97124415</v>
      </c>
      <c r="F1233" s="20">
        <v>10515583.4</v>
      </c>
      <c r="G1233" s="22">
        <v>46157</v>
      </c>
      <c r="H1233" t="s">
        <v>61</v>
      </c>
      <c r="I1233" s="40" t="str">
        <f>IFERROR(IF(VLOOKUP(E1233,extracto!C:C,1,FALSE)=E1233,"pagado","no pagado"),"no pagado")</f>
        <v>pagado</v>
      </c>
      <c r="J1233" s="41" t="str">
        <f t="shared" si="540"/>
        <v>pagado</v>
      </c>
      <c r="K1233" s="40" t="str">
        <f t="shared" ca="1" si="541"/>
        <v>excluir</v>
      </c>
      <c r="L1233" s="40" t="str">
        <f t="shared" ca="1" si="542"/>
        <v>no semana</v>
      </c>
      <c r="M1233" s="40" t="str">
        <f>IFERROR(VLOOKUP(E1233,'cheques a conf'!A:D,4,FALSE),"no clearing")</f>
        <v>no clearing</v>
      </c>
      <c r="N1233" s="40">
        <f t="shared" si="543"/>
        <v>20</v>
      </c>
      <c r="O1233" s="42">
        <f t="shared" si="544"/>
        <v>5</v>
      </c>
      <c r="P1233" s="42">
        <f t="shared" si="545"/>
        <v>2026</v>
      </c>
    </row>
    <row r="1234" spans="1:16" x14ac:dyDescent="0.25">
      <c r="A1234" s="21">
        <v>3000000612</v>
      </c>
      <c r="B1234" s="22">
        <v>46153</v>
      </c>
      <c r="C1234" s="20">
        <v>24626487.789999999</v>
      </c>
      <c r="D1234" s="21" t="s">
        <v>541</v>
      </c>
      <c r="E1234" s="21">
        <v>97124416</v>
      </c>
      <c r="F1234" s="20">
        <v>24626487.789999999</v>
      </c>
      <c r="G1234" s="22">
        <v>46157</v>
      </c>
      <c r="H1234" t="s">
        <v>61</v>
      </c>
      <c r="I1234" s="40" t="str">
        <f>IFERROR(IF(VLOOKUP(E1234,extracto!C:C,1,FALSE)=E1234,"pagado","no pagado"),"no pagado")</f>
        <v>pagado</v>
      </c>
      <c r="J1234" s="41" t="str">
        <f t="shared" si="540"/>
        <v>pagado</v>
      </c>
      <c r="K1234" s="40" t="str">
        <f t="shared" ca="1" si="541"/>
        <v>excluir</v>
      </c>
      <c r="L1234" s="40" t="str">
        <f t="shared" ca="1" si="542"/>
        <v>no semana</v>
      </c>
      <c r="M1234" s="40" t="str">
        <f>IFERROR(VLOOKUP(E1234,'cheques a conf'!A:D,4,FALSE),"no clearing")</f>
        <v>no clearing</v>
      </c>
      <c r="N1234" s="40">
        <f t="shared" si="543"/>
        <v>20</v>
      </c>
      <c r="O1234" s="42">
        <f t="shared" si="544"/>
        <v>5</v>
      </c>
      <c r="P1234" s="42">
        <f t="shared" si="545"/>
        <v>2026</v>
      </c>
    </row>
    <row r="1235" spans="1:16" x14ac:dyDescent="0.25">
      <c r="A1235" s="21">
        <v>3000000613</v>
      </c>
      <c r="B1235" s="22">
        <v>46153</v>
      </c>
      <c r="C1235" s="20">
        <v>6905805.8399999999</v>
      </c>
      <c r="D1235" s="21" t="s">
        <v>534</v>
      </c>
      <c r="E1235" s="21">
        <v>97124417</v>
      </c>
      <c r="F1235" s="20">
        <v>6905805.8399999999</v>
      </c>
      <c r="G1235" s="22">
        <v>46157</v>
      </c>
      <c r="H1235" t="s">
        <v>61</v>
      </c>
      <c r="I1235" s="40" t="str">
        <f>IFERROR(IF(VLOOKUP(E1235,extracto!C:C,1,FALSE)=E1235,"pagado","no pagado"),"no pagado")</f>
        <v>pagado</v>
      </c>
      <c r="J1235" s="41" t="str">
        <f t="shared" si="540"/>
        <v>pagado</v>
      </c>
      <c r="K1235" s="40" t="str">
        <f t="shared" ca="1" si="541"/>
        <v>excluir</v>
      </c>
      <c r="L1235" s="40" t="str">
        <f t="shared" ca="1" si="542"/>
        <v>no semana</v>
      </c>
      <c r="M1235" s="40" t="str">
        <f>IFERROR(VLOOKUP(E1235,'cheques a conf'!A:D,4,FALSE),"no clearing")</f>
        <v>no clearing</v>
      </c>
      <c r="N1235" s="40">
        <f t="shared" si="543"/>
        <v>20</v>
      </c>
      <c r="O1235" s="42">
        <f t="shared" si="544"/>
        <v>5</v>
      </c>
      <c r="P1235" s="42">
        <f t="shared" si="545"/>
        <v>2026</v>
      </c>
    </row>
    <row r="1236" spans="1:16" x14ac:dyDescent="0.25">
      <c r="A1236" s="21">
        <v>3000000614</v>
      </c>
      <c r="B1236" s="22">
        <v>46153</v>
      </c>
      <c r="C1236" s="20">
        <v>10480658.4</v>
      </c>
      <c r="D1236" s="21" t="s">
        <v>286</v>
      </c>
      <c r="E1236" s="21">
        <v>97124418</v>
      </c>
      <c r="F1236" s="20">
        <v>10480658.4</v>
      </c>
      <c r="G1236" s="22">
        <v>46157</v>
      </c>
      <c r="H1236" t="s">
        <v>61</v>
      </c>
      <c r="I1236" s="40" t="str">
        <f>IFERROR(IF(VLOOKUP(E1236,extracto!C:C,1,FALSE)=E1236,"pagado","no pagado"),"no pagado")</f>
        <v>pagado</v>
      </c>
      <c r="J1236" s="41" t="str">
        <f t="shared" si="540"/>
        <v>pagado</v>
      </c>
      <c r="K1236" s="40" t="str">
        <f t="shared" ca="1" si="541"/>
        <v>excluir</v>
      </c>
      <c r="L1236" s="40" t="str">
        <f t="shared" ca="1" si="542"/>
        <v>no semana</v>
      </c>
      <c r="M1236" s="40" t="str">
        <f>IFERROR(VLOOKUP(E1236,'cheques a conf'!A:D,4,FALSE),"no clearing")</f>
        <v>no clearing</v>
      </c>
      <c r="N1236" s="40">
        <f t="shared" si="543"/>
        <v>20</v>
      </c>
      <c r="O1236" s="42">
        <f t="shared" si="544"/>
        <v>5</v>
      </c>
      <c r="P1236" s="42">
        <f t="shared" si="545"/>
        <v>2026</v>
      </c>
    </row>
    <row r="1237" spans="1:16" x14ac:dyDescent="0.25">
      <c r="A1237" s="21">
        <v>3000000615</v>
      </c>
      <c r="B1237" s="22">
        <v>46153</v>
      </c>
      <c r="C1237" s="20">
        <v>4954841.78</v>
      </c>
      <c r="D1237" s="21" t="s">
        <v>300</v>
      </c>
      <c r="E1237" s="21">
        <v>97124419</v>
      </c>
      <c r="F1237" s="20">
        <v>4954841.78</v>
      </c>
      <c r="G1237" s="22">
        <v>46157</v>
      </c>
      <c r="H1237" t="s">
        <v>61</v>
      </c>
      <c r="I1237" s="40" t="str">
        <f>IFERROR(IF(VLOOKUP(E1237,extracto!C:C,1,FALSE)=E1237,"pagado","no pagado"),"no pagado")</f>
        <v>pagado</v>
      </c>
      <c r="J1237" s="41" t="str">
        <f t="shared" si="540"/>
        <v>pagado</v>
      </c>
      <c r="K1237" s="40" t="str">
        <f t="shared" ca="1" si="541"/>
        <v>excluir</v>
      </c>
      <c r="L1237" s="40" t="str">
        <f t="shared" ca="1" si="542"/>
        <v>no semana</v>
      </c>
      <c r="M1237" s="40" t="str">
        <f>IFERROR(VLOOKUP(E1237,'cheques a conf'!A:D,4,FALSE),"no clearing")</f>
        <v>no clearing</v>
      </c>
      <c r="N1237" s="40">
        <f t="shared" si="543"/>
        <v>20</v>
      </c>
      <c r="O1237" s="42">
        <f t="shared" si="544"/>
        <v>5</v>
      </c>
      <c r="P1237" s="42">
        <f t="shared" si="545"/>
        <v>2026</v>
      </c>
    </row>
    <row r="1238" spans="1:16" x14ac:dyDescent="0.25">
      <c r="A1238" s="21">
        <v>3000000616</v>
      </c>
      <c r="B1238" s="22">
        <v>46154</v>
      </c>
      <c r="C1238" s="20">
        <v>17940355.829999998</v>
      </c>
      <c r="D1238" s="21" t="s">
        <v>413</v>
      </c>
      <c r="E1238" s="21">
        <v>97124420</v>
      </c>
      <c r="F1238" s="20">
        <v>17940355.829999998</v>
      </c>
      <c r="G1238" s="22">
        <v>46156</v>
      </c>
      <c r="H1238" t="s">
        <v>61</v>
      </c>
      <c r="I1238" s="40" t="str">
        <f>IFERROR(IF(VLOOKUP(E1238,extracto!C:C,1,FALSE)=E1238,"pagado","no pagado"),"no pagado")</f>
        <v>pagado</v>
      </c>
      <c r="J1238" s="41" t="str">
        <f t="shared" ref="J1238" si="546">IF(I1238="pagado","pagado",IF(G1238&lt;$V$1-30,"fuera de fecha","en periodo de pago"))</f>
        <v>pagado</v>
      </c>
      <c r="K1238" s="40" t="str">
        <f t="shared" ref="K1238" ca="1" si="547">+IF(B1238&gt;$V$1,"excluir",IF(J1238="en periodo de pago",IF($V$1&gt;G1238,"a pagar","proximo a vencer"),"excluir"))</f>
        <v>excluir</v>
      </c>
      <c r="L1238" s="40" t="str">
        <f t="shared" ref="L1238" ca="1" si="548">+IF(K1238="proximo a vencer",IF($V$1+5&gt;G1238,"para la semana","no semana"),"no semana")</f>
        <v>no semana</v>
      </c>
      <c r="M1238" s="40" t="str">
        <f>IFERROR(VLOOKUP(E1238,'cheques a conf'!A:D,4,FALSE),"no clearing")</f>
        <v>no clearing</v>
      </c>
      <c r="N1238" s="40">
        <f t="shared" ref="N1238" si="549">+WEEKNUM(G1238,2)</f>
        <v>20</v>
      </c>
      <c r="O1238" s="42">
        <f t="shared" ref="O1238" si="550">+MONTH(G1238)</f>
        <v>5</v>
      </c>
      <c r="P1238" s="42">
        <f t="shared" ref="P1238" si="551">+YEAR(G1238)</f>
        <v>2026</v>
      </c>
    </row>
    <row r="1239" spans="1:16" x14ac:dyDescent="0.2">
      <c r="A1239" s="21">
        <v>3000000403</v>
      </c>
      <c r="B1239" s="22">
        <v>46106</v>
      </c>
      <c r="C1239" s="20">
        <v>0</v>
      </c>
      <c r="D1239" s="21" t="s">
        <v>542</v>
      </c>
      <c r="E1239" s="21">
        <v>97124356</v>
      </c>
      <c r="F1239" s="20">
        <v>0</v>
      </c>
      <c r="G1239" s="22">
        <v>46108</v>
      </c>
      <c r="H1239" s="21" t="s">
        <v>61</v>
      </c>
      <c r="I1239" s="40" t="str">
        <f>IFERROR(IF(VLOOKUP(E1239,extracto!C:C,1,FALSE)=E1239,"pagado","no pagado"),"no pagado")</f>
        <v>no pagado</v>
      </c>
      <c r="J1239" s="41" t="str">
        <f t="shared" ref="J1239" ca="1" si="552">IF(I1239="pagado","pagado",IF(G1239&lt;$V$1-30,"fuera de fecha","en periodo de pago"))</f>
        <v>fuera de fecha</v>
      </c>
      <c r="K1239" s="40" t="str">
        <f t="shared" ref="K1239" ca="1" si="553">+IF(B1239&gt;$V$1,"excluir",IF(J1239="en periodo de pago",IF($V$1&gt;G1239,"a pagar","proximo a vencer"),"excluir"))</f>
        <v>excluir</v>
      </c>
      <c r="L1239" s="40" t="str">
        <f t="shared" ref="L1239" ca="1" si="554">+IF(K1239="proximo a vencer",IF($V$1+5&gt;G1239,"para la semana","no semana"),"no semana")</f>
        <v>no semana</v>
      </c>
      <c r="M1239" s="40" t="str">
        <f>IFERROR(VLOOKUP(E1239,'cheques a conf'!A:D,4,FALSE),"no clearing")</f>
        <v>no clearing</v>
      </c>
      <c r="N1239" s="40">
        <f t="shared" ref="N1239" si="555">+WEEKNUM(G1239,2)</f>
        <v>13</v>
      </c>
      <c r="O1239" s="42">
        <f t="shared" ref="O1239" si="556">+MONTH(G1239)</f>
        <v>3</v>
      </c>
      <c r="P1239" s="42">
        <f t="shared" ref="P1239" si="557">+YEAR(G1239)</f>
        <v>2026</v>
      </c>
    </row>
    <row r="1240" spans="1:16" x14ac:dyDescent="0.2">
      <c r="A1240" s="21">
        <v>3000000633</v>
      </c>
      <c r="B1240" s="22">
        <v>46155</v>
      </c>
      <c r="C1240" s="20">
        <v>18464270</v>
      </c>
      <c r="D1240" s="21" t="s">
        <v>22</v>
      </c>
      <c r="E1240" s="21">
        <v>12452661</v>
      </c>
      <c r="F1240" s="20">
        <v>18464270</v>
      </c>
      <c r="G1240" s="22">
        <v>46157</v>
      </c>
      <c r="H1240" s="21" t="s">
        <v>61</v>
      </c>
      <c r="I1240" s="40" t="str">
        <f>IFERROR(IF(VLOOKUP(E1240,extracto!C:C,1,FALSE)=E1240,"pagado","no pagado"),"no pagado")</f>
        <v>pagado</v>
      </c>
      <c r="J1240" s="41" t="str">
        <f t="shared" ref="J1240:J1262" si="558">IF(I1240="pagado","pagado",IF(G1240&lt;$V$1-30,"fuera de fecha","en periodo de pago"))</f>
        <v>pagado</v>
      </c>
      <c r="K1240" s="40" t="str">
        <f t="shared" ref="K1240:K1262" ca="1" si="559">+IF(B1240&gt;$V$1,"excluir",IF(J1240="en periodo de pago",IF($V$1&gt;G1240,"a pagar","proximo a vencer"),"excluir"))</f>
        <v>excluir</v>
      </c>
      <c r="L1240" s="40" t="str">
        <f t="shared" ref="L1240:L1262" ca="1" si="560">+IF(K1240="proximo a vencer",IF($V$1+5&gt;G1240,"para la semana","no semana"),"no semana")</f>
        <v>no semana</v>
      </c>
      <c r="M1240" s="40" t="str">
        <f>IFERROR(VLOOKUP(E1240,'cheques a conf'!A:D,4,FALSE),"no clearing")</f>
        <v>no clearing</v>
      </c>
      <c r="N1240" s="40">
        <f t="shared" ref="N1240:N1262" si="561">+WEEKNUM(G1240,2)</f>
        <v>20</v>
      </c>
      <c r="O1240" s="42">
        <f t="shared" ref="O1240:O1262" si="562">+MONTH(G1240)</f>
        <v>5</v>
      </c>
      <c r="P1240" s="42">
        <f t="shared" ref="P1240:P1262" si="563">+YEAR(G1240)</f>
        <v>2026</v>
      </c>
    </row>
    <row r="1241" spans="1:16" x14ac:dyDescent="0.2">
      <c r="A1241" s="21">
        <v>3000000403</v>
      </c>
      <c r="B1241" s="22">
        <v>46155</v>
      </c>
      <c r="C1241" s="20">
        <v>7254347.0999999996</v>
      </c>
      <c r="D1241" s="21" t="s">
        <v>348</v>
      </c>
      <c r="E1241" s="21">
        <v>97124421</v>
      </c>
      <c r="F1241" s="20">
        <v>7254347.0999999996</v>
      </c>
      <c r="G1241" s="22">
        <v>46160</v>
      </c>
      <c r="H1241" s="21" t="s">
        <v>61</v>
      </c>
      <c r="I1241" s="40" t="str">
        <f>IFERROR(IF(VLOOKUP(E1241,extracto!C:C,1,FALSE)=E1241,"pagado","no pagado"),"no pagado")</f>
        <v>pagado</v>
      </c>
      <c r="J1241" s="41" t="str">
        <f t="shared" si="558"/>
        <v>pagado</v>
      </c>
      <c r="K1241" s="40" t="str">
        <f t="shared" ca="1" si="559"/>
        <v>excluir</v>
      </c>
      <c r="L1241" s="40" t="str">
        <f t="shared" ca="1" si="560"/>
        <v>no semana</v>
      </c>
      <c r="M1241" s="40" t="str">
        <f>IFERROR(VLOOKUP(E1241,'cheques a conf'!A:D,4,FALSE),"no clearing")</f>
        <v>no clearing</v>
      </c>
      <c r="N1241" s="40">
        <f t="shared" si="561"/>
        <v>21</v>
      </c>
      <c r="O1241" s="42">
        <f t="shared" si="562"/>
        <v>5</v>
      </c>
      <c r="P1241" s="42">
        <f t="shared" si="563"/>
        <v>2026</v>
      </c>
    </row>
    <row r="1242" spans="1:16" x14ac:dyDescent="0.2">
      <c r="A1242" s="21">
        <v>3000000651</v>
      </c>
      <c r="B1242" s="22">
        <v>46161</v>
      </c>
      <c r="C1242" s="20">
        <v>8328689.8499999996</v>
      </c>
      <c r="D1242" s="21" t="s">
        <v>338</v>
      </c>
      <c r="E1242" s="21">
        <v>97124422</v>
      </c>
      <c r="F1242" s="20">
        <v>8328689.8499999996</v>
      </c>
      <c r="G1242" s="22">
        <v>46164</v>
      </c>
      <c r="H1242" s="21" t="s">
        <v>61</v>
      </c>
      <c r="I1242" s="40" t="str">
        <f>IFERROR(IF(VLOOKUP(E1242,extracto!C:C,1,FALSE)=E1242,"pagado","no pagado"),"no pagado")</f>
        <v>no pagado</v>
      </c>
      <c r="J1242" s="41" t="str">
        <f t="shared" ca="1" si="558"/>
        <v>fuera de fecha</v>
      </c>
      <c r="K1242" s="40" t="str">
        <f t="shared" ca="1" si="559"/>
        <v>excluir</v>
      </c>
      <c r="L1242" s="40" t="str">
        <f t="shared" ca="1" si="560"/>
        <v>no semana</v>
      </c>
      <c r="M1242" s="40" t="str">
        <f>IFERROR(VLOOKUP(E1242,'cheques a conf'!A:D,4,FALSE),"no clearing")</f>
        <v>no clearing</v>
      </c>
      <c r="N1242" s="40">
        <f t="shared" si="561"/>
        <v>21</v>
      </c>
      <c r="O1242" s="42">
        <f t="shared" si="562"/>
        <v>5</v>
      </c>
      <c r="P1242" s="42">
        <f t="shared" si="563"/>
        <v>2026</v>
      </c>
    </row>
    <row r="1243" spans="1:16" x14ac:dyDescent="0.2">
      <c r="A1243" s="21">
        <v>3000000652</v>
      </c>
      <c r="B1243" s="22">
        <v>46161</v>
      </c>
      <c r="C1243" s="20">
        <v>5502512.3200000003</v>
      </c>
      <c r="D1243" s="21" t="s">
        <v>342</v>
      </c>
      <c r="E1243" s="21">
        <v>97124423</v>
      </c>
      <c r="F1243" s="20">
        <v>5502512.3200000003</v>
      </c>
      <c r="G1243" s="22">
        <v>46164</v>
      </c>
      <c r="H1243" s="21" t="s">
        <v>61</v>
      </c>
      <c r="I1243" s="40" t="str">
        <f>IFERROR(IF(VLOOKUP(E1243,extracto!C:C,1,FALSE)=E1243,"pagado","no pagado"),"no pagado")</f>
        <v>no pagado</v>
      </c>
      <c r="J1243" s="41" t="str">
        <f t="shared" ca="1" si="558"/>
        <v>fuera de fecha</v>
      </c>
      <c r="K1243" s="40" t="str">
        <f t="shared" ca="1" si="559"/>
        <v>excluir</v>
      </c>
      <c r="L1243" s="40" t="str">
        <f t="shared" ca="1" si="560"/>
        <v>no semana</v>
      </c>
      <c r="M1243" s="40" t="str">
        <f>IFERROR(VLOOKUP(E1243,'cheques a conf'!A:D,4,FALSE),"no clearing")</f>
        <v>no clearing</v>
      </c>
      <c r="N1243" s="40">
        <f t="shared" si="561"/>
        <v>21</v>
      </c>
      <c r="O1243" s="42">
        <f t="shared" si="562"/>
        <v>5</v>
      </c>
      <c r="P1243" s="42">
        <f t="shared" si="563"/>
        <v>2026</v>
      </c>
    </row>
    <row r="1244" spans="1:16" x14ac:dyDescent="0.2">
      <c r="A1244" s="21">
        <v>3000000686</v>
      </c>
      <c r="B1244" s="22">
        <v>46168</v>
      </c>
      <c r="C1244" s="20">
        <v>22000000</v>
      </c>
      <c r="D1244" s="21" t="s">
        <v>359</v>
      </c>
      <c r="E1244" s="21">
        <v>97124431</v>
      </c>
      <c r="F1244" s="20">
        <v>22000000</v>
      </c>
      <c r="G1244" s="22">
        <v>46170</v>
      </c>
      <c r="H1244" s="21" t="s">
        <v>61</v>
      </c>
      <c r="I1244" s="40" t="str">
        <f>IFERROR(IF(VLOOKUP(E1244,extracto!C:C,1,FALSE)=E1244,"pagado","no pagado"),"no pagado")</f>
        <v>pagado</v>
      </c>
      <c r="J1244" s="41" t="str">
        <f t="shared" si="558"/>
        <v>pagado</v>
      </c>
      <c r="K1244" s="40" t="str">
        <f t="shared" ca="1" si="559"/>
        <v>excluir</v>
      </c>
      <c r="L1244" s="40" t="str">
        <f t="shared" ca="1" si="560"/>
        <v>no semana</v>
      </c>
      <c r="M1244" s="40" t="str">
        <f>IFERROR(VLOOKUP(E1244,'cheques a conf'!A:D,4,FALSE),"no clearing")</f>
        <v>no clearing</v>
      </c>
      <c r="N1244" s="40">
        <f t="shared" si="561"/>
        <v>22</v>
      </c>
      <c r="O1244" s="42">
        <f t="shared" si="562"/>
        <v>5</v>
      </c>
      <c r="P1244" s="42">
        <f t="shared" si="563"/>
        <v>2026</v>
      </c>
    </row>
    <row r="1245" spans="1:16" x14ac:dyDescent="0.2">
      <c r="A1245" s="21">
        <v>3000000686</v>
      </c>
      <c r="B1245" s="22">
        <v>46168</v>
      </c>
      <c r="C1245" s="20">
        <v>22845348.390000001</v>
      </c>
      <c r="D1245" s="21" t="s">
        <v>359</v>
      </c>
      <c r="E1245" s="21">
        <v>97124432</v>
      </c>
      <c r="F1245" s="20">
        <v>22845348.390000001</v>
      </c>
      <c r="G1245" s="22">
        <v>46171</v>
      </c>
      <c r="H1245" s="21" t="s">
        <v>61</v>
      </c>
      <c r="I1245" s="40" t="str">
        <f>IFERROR(IF(VLOOKUP(E1245,extracto!C:C,1,FALSE)=E1245,"pagado","no pagado"),"no pagado")</f>
        <v>pagado</v>
      </c>
      <c r="J1245" s="41" t="str">
        <f t="shared" si="558"/>
        <v>pagado</v>
      </c>
      <c r="K1245" s="40" t="str">
        <f t="shared" ca="1" si="559"/>
        <v>excluir</v>
      </c>
      <c r="L1245" s="40" t="str">
        <f t="shared" ca="1" si="560"/>
        <v>no semana</v>
      </c>
      <c r="M1245" s="40" t="str">
        <f>IFERROR(VLOOKUP(E1245,'cheques a conf'!A:D,4,FALSE),"no clearing")</f>
        <v>no clearing</v>
      </c>
      <c r="N1245" s="40">
        <f t="shared" si="561"/>
        <v>22</v>
      </c>
      <c r="O1245" s="42">
        <f t="shared" si="562"/>
        <v>5</v>
      </c>
      <c r="P1245" s="42">
        <f t="shared" si="563"/>
        <v>2026</v>
      </c>
    </row>
    <row r="1246" spans="1:16" x14ac:dyDescent="0.2">
      <c r="A1246" s="21">
        <v>3000000688</v>
      </c>
      <c r="B1246" s="22">
        <v>46168</v>
      </c>
      <c r="C1246" s="20">
        <v>20000000</v>
      </c>
      <c r="D1246" s="21" t="s">
        <v>303</v>
      </c>
      <c r="E1246" s="21">
        <v>97124434</v>
      </c>
      <c r="F1246" s="20">
        <v>20000000</v>
      </c>
      <c r="G1246" s="22">
        <v>46170</v>
      </c>
      <c r="H1246" s="21" t="s">
        <v>61</v>
      </c>
      <c r="I1246" s="40" t="str">
        <f>IFERROR(IF(VLOOKUP(E1246,extracto!C:C,1,FALSE)=E1246,"pagado","no pagado"),"no pagado")</f>
        <v>pagado</v>
      </c>
      <c r="J1246" s="41" t="str">
        <f t="shared" si="558"/>
        <v>pagado</v>
      </c>
      <c r="K1246" s="40" t="str">
        <f t="shared" ca="1" si="559"/>
        <v>excluir</v>
      </c>
      <c r="L1246" s="40" t="str">
        <f t="shared" ca="1" si="560"/>
        <v>no semana</v>
      </c>
      <c r="M1246" s="40" t="str">
        <f>IFERROR(VLOOKUP(E1246,'cheques a conf'!A:D,4,FALSE),"no clearing")</f>
        <v>no clearing</v>
      </c>
      <c r="N1246" s="40">
        <f t="shared" si="561"/>
        <v>22</v>
      </c>
      <c r="O1246" s="42">
        <f t="shared" si="562"/>
        <v>5</v>
      </c>
      <c r="P1246" s="42">
        <f t="shared" si="563"/>
        <v>2026</v>
      </c>
    </row>
    <row r="1247" spans="1:16" x14ac:dyDescent="0.2">
      <c r="A1247" s="21">
        <v>3000000688</v>
      </c>
      <c r="B1247" s="22">
        <v>46168</v>
      </c>
      <c r="C1247" s="20">
        <v>17568570.309999999</v>
      </c>
      <c r="D1247" s="21" t="s">
        <v>303</v>
      </c>
      <c r="E1247" s="21">
        <v>97124435</v>
      </c>
      <c r="F1247" s="20">
        <v>17568570.309999999</v>
      </c>
      <c r="G1247" s="22">
        <v>46171</v>
      </c>
      <c r="H1247" s="21" t="s">
        <v>61</v>
      </c>
      <c r="I1247" s="40" t="str">
        <f>IFERROR(IF(VLOOKUP(E1247,extracto!C:C,1,FALSE)=E1247,"pagado","no pagado"),"no pagado")</f>
        <v>pagado</v>
      </c>
      <c r="J1247" s="41" t="str">
        <f t="shared" si="558"/>
        <v>pagado</v>
      </c>
      <c r="K1247" s="40" t="str">
        <f t="shared" ca="1" si="559"/>
        <v>excluir</v>
      </c>
      <c r="L1247" s="40" t="str">
        <f t="shared" ca="1" si="560"/>
        <v>no semana</v>
      </c>
      <c r="M1247" s="40" t="str">
        <f>IFERROR(VLOOKUP(E1247,'cheques a conf'!A:D,4,FALSE),"no clearing")</f>
        <v>no clearing</v>
      </c>
      <c r="N1247" s="40">
        <f t="shared" si="561"/>
        <v>22</v>
      </c>
      <c r="O1247" s="42">
        <f t="shared" si="562"/>
        <v>5</v>
      </c>
      <c r="P1247" s="42">
        <f t="shared" si="563"/>
        <v>2026</v>
      </c>
    </row>
    <row r="1248" spans="1:16" x14ac:dyDescent="0.2">
      <c r="A1248" s="21">
        <v>3000000679</v>
      </c>
      <c r="B1248" s="22">
        <v>46168</v>
      </c>
      <c r="C1248" s="20">
        <v>7999281.9299999997</v>
      </c>
      <c r="D1248" s="21" t="s">
        <v>467</v>
      </c>
      <c r="E1248" s="21">
        <v>97124424</v>
      </c>
      <c r="F1248" s="20">
        <v>7999281.9299999997</v>
      </c>
      <c r="G1248" s="22">
        <v>46170</v>
      </c>
      <c r="H1248" s="21" t="s">
        <v>61</v>
      </c>
      <c r="I1248" s="40" t="str">
        <f>IFERROR(IF(VLOOKUP(E1248,extracto!C:C,1,FALSE)=E1248,"pagado","no pagado"),"no pagado")</f>
        <v>pagado</v>
      </c>
      <c r="J1248" s="41" t="str">
        <f t="shared" si="558"/>
        <v>pagado</v>
      </c>
      <c r="K1248" s="40" t="str">
        <f t="shared" ca="1" si="559"/>
        <v>excluir</v>
      </c>
      <c r="L1248" s="40" t="str">
        <f t="shared" ca="1" si="560"/>
        <v>no semana</v>
      </c>
      <c r="M1248" s="40" t="str">
        <f>IFERROR(VLOOKUP(E1248,'cheques a conf'!A:D,4,FALSE),"no clearing")</f>
        <v>no clearing</v>
      </c>
      <c r="N1248" s="40">
        <f t="shared" si="561"/>
        <v>22</v>
      </c>
      <c r="O1248" s="42">
        <f t="shared" si="562"/>
        <v>5</v>
      </c>
      <c r="P1248" s="42">
        <f t="shared" si="563"/>
        <v>2026</v>
      </c>
    </row>
    <row r="1249" spans="1:16" x14ac:dyDescent="0.2">
      <c r="A1249" s="21">
        <v>3000000680</v>
      </c>
      <c r="B1249" s="22">
        <v>46168</v>
      </c>
      <c r="C1249" s="20">
        <v>6231435.5999999996</v>
      </c>
      <c r="D1249" s="21" t="s">
        <v>26</v>
      </c>
      <c r="E1249" s="21">
        <v>97124425</v>
      </c>
      <c r="F1249" s="20">
        <v>6231435.5999999996</v>
      </c>
      <c r="G1249" s="22">
        <v>46170</v>
      </c>
      <c r="H1249" s="21" t="s">
        <v>61</v>
      </c>
      <c r="I1249" s="40" t="str">
        <f>IFERROR(IF(VLOOKUP(E1249,extracto!C:C,1,FALSE)=E1249,"pagado","no pagado"),"no pagado")</f>
        <v>pagado</v>
      </c>
      <c r="J1249" s="41" t="str">
        <f t="shared" si="558"/>
        <v>pagado</v>
      </c>
      <c r="K1249" s="40" t="str">
        <f t="shared" ca="1" si="559"/>
        <v>excluir</v>
      </c>
      <c r="L1249" s="40" t="str">
        <f t="shared" ca="1" si="560"/>
        <v>no semana</v>
      </c>
      <c r="M1249" s="40" t="str">
        <f>IFERROR(VLOOKUP(E1249,'cheques a conf'!A:D,4,FALSE),"no clearing")</f>
        <v>no clearing</v>
      </c>
      <c r="N1249" s="40">
        <f t="shared" si="561"/>
        <v>22</v>
      </c>
      <c r="O1249" s="42">
        <f t="shared" si="562"/>
        <v>5</v>
      </c>
      <c r="P1249" s="42">
        <f t="shared" si="563"/>
        <v>2026</v>
      </c>
    </row>
    <row r="1250" spans="1:16" x14ac:dyDescent="0.2">
      <c r="A1250" s="21">
        <v>3000000681</v>
      </c>
      <c r="B1250" s="22">
        <v>46168</v>
      </c>
      <c r="C1250" s="20">
        <v>4206842.33</v>
      </c>
      <c r="D1250" s="21" t="s">
        <v>391</v>
      </c>
      <c r="E1250" s="21">
        <v>97124426</v>
      </c>
      <c r="F1250" s="20">
        <v>4206842.33</v>
      </c>
      <c r="G1250" s="22">
        <v>46170</v>
      </c>
      <c r="H1250" s="21" t="s">
        <v>61</v>
      </c>
      <c r="I1250" s="40" t="str">
        <f>IFERROR(IF(VLOOKUP(E1250,extracto!C:C,1,FALSE)=E1250,"pagado","no pagado"),"no pagado")</f>
        <v>pagado</v>
      </c>
      <c r="J1250" s="41" t="str">
        <f t="shared" si="558"/>
        <v>pagado</v>
      </c>
      <c r="K1250" s="40" t="str">
        <f t="shared" ca="1" si="559"/>
        <v>excluir</v>
      </c>
      <c r="L1250" s="40" t="str">
        <f t="shared" ca="1" si="560"/>
        <v>no semana</v>
      </c>
      <c r="M1250" s="40" t="str">
        <f>IFERROR(VLOOKUP(E1250,'cheques a conf'!A:D,4,FALSE),"no clearing")</f>
        <v>no clearing</v>
      </c>
      <c r="N1250" s="40">
        <f t="shared" si="561"/>
        <v>22</v>
      </c>
      <c r="O1250" s="42">
        <f t="shared" si="562"/>
        <v>5</v>
      </c>
      <c r="P1250" s="42">
        <f t="shared" si="563"/>
        <v>2026</v>
      </c>
    </row>
    <row r="1251" spans="1:16" x14ac:dyDescent="0.2">
      <c r="A1251" s="21">
        <v>3000000682</v>
      </c>
      <c r="B1251" s="22">
        <v>46168</v>
      </c>
      <c r="C1251" s="20">
        <v>15800091.18</v>
      </c>
      <c r="D1251" s="21" t="s">
        <v>543</v>
      </c>
      <c r="E1251" s="21">
        <v>97124427</v>
      </c>
      <c r="F1251" s="20">
        <v>15800091.18</v>
      </c>
      <c r="G1251" s="22">
        <v>46170</v>
      </c>
      <c r="H1251" s="21" t="s">
        <v>61</v>
      </c>
      <c r="I1251" s="40" t="str">
        <f>IFERROR(IF(VLOOKUP(E1251,extracto!C:C,1,FALSE)=E1251,"pagado","no pagado"),"no pagado")</f>
        <v>pagado</v>
      </c>
      <c r="J1251" s="41" t="str">
        <f t="shared" si="558"/>
        <v>pagado</v>
      </c>
      <c r="K1251" s="40" t="str">
        <f t="shared" ca="1" si="559"/>
        <v>excluir</v>
      </c>
      <c r="L1251" s="40" t="str">
        <f t="shared" ca="1" si="560"/>
        <v>no semana</v>
      </c>
      <c r="M1251" s="40" t="str">
        <f>IFERROR(VLOOKUP(E1251,'cheques a conf'!A:D,4,FALSE),"no clearing")</f>
        <v>no clearing</v>
      </c>
      <c r="N1251" s="40">
        <f t="shared" si="561"/>
        <v>22</v>
      </c>
      <c r="O1251" s="42">
        <f t="shared" si="562"/>
        <v>5</v>
      </c>
      <c r="P1251" s="42">
        <f t="shared" si="563"/>
        <v>2026</v>
      </c>
    </row>
    <row r="1252" spans="1:16" x14ac:dyDescent="0.2">
      <c r="A1252" s="21">
        <v>3000000683</v>
      </c>
      <c r="B1252" s="22">
        <v>46168</v>
      </c>
      <c r="C1252" s="20">
        <v>19170614.399999999</v>
      </c>
      <c r="D1252" s="21" t="s">
        <v>287</v>
      </c>
      <c r="E1252" s="21">
        <v>97124428</v>
      </c>
      <c r="F1252" s="20">
        <v>19170614.399999999</v>
      </c>
      <c r="G1252" s="22">
        <v>46170</v>
      </c>
      <c r="H1252" s="21" t="s">
        <v>61</v>
      </c>
      <c r="I1252" s="40" t="str">
        <f>IFERROR(IF(VLOOKUP(E1252,extracto!C:C,1,FALSE)=E1252,"pagado","no pagado"),"no pagado")</f>
        <v>pagado</v>
      </c>
      <c r="J1252" s="41" t="str">
        <f t="shared" si="558"/>
        <v>pagado</v>
      </c>
      <c r="K1252" s="40" t="str">
        <f t="shared" ca="1" si="559"/>
        <v>excluir</v>
      </c>
      <c r="L1252" s="40" t="str">
        <f t="shared" ca="1" si="560"/>
        <v>no semana</v>
      </c>
      <c r="M1252" s="40" t="str">
        <f>IFERROR(VLOOKUP(E1252,'cheques a conf'!A:D,4,FALSE),"no clearing")</f>
        <v>no clearing</v>
      </c>
      <c r="N1252" s="40">
        <f t="shared" si="561"/>
        <v>22</v>
      </c>
      <c r="O1252" s="42">
        <f t="shared" si="562"/>
        <v>5</v>
      </c>
      <c r="P1252" s="42">
        <f t="shared" si="563"/>
        <v>2026</v>
      </c>
    </row>
    <row r="1253" spans="1:16" x14ac:dyDescent="0.2">
      <c r="A1253" s="21">
        <v>3000000684</v>
      </c>
      <c r="B1253" s="22">
        <v>46168</v>
      </c>
      <c r="C1253" s="20">
        <v>21325187.800000001</v>
      </c>
      <c r="D1253" s="21" t="s">
        <v>284</v>
      </c>
      <c r="E1253" s="21">
        <v>97124429</v>
      </c>
      <c r="F1253" s="20">
        <v>21325187.800000001</v>
      </c>
      <c r="G1253" s="22">
        <v>46170</v>
      </c>
      <c r="H1253" s="21" t="s">
        <v>61</v>
      </c>
      <c r="I1253" s="40" t="str">
        <f>IFERROR(IF(VLOOKUP(E1253,extracto!C:C,1,FALSE)=E1253,"pagado","no pagado"),"no pagado")</f>
        <v>pagado</v>
      </c>
      <c r="J1253" s="41" t="str">
        <f t="shared" si="558"/>
        <v>pagado</v>
      </c>
      <c r="K1253" s="40" t="str">
        <f t="shared" ca="1" si="559"/>
        <v>excluir</v>
      </c>
      <c r="L1253" s="40" t="str">
        <f t="shared" ca="1" si="560"/>
        <v>no semana</v>
      </c>
      <c r="M1253" s="40" t="str">
        <f>IFERROR(VLOOKUP(E1253,'cheques a conf'!A:D,4,FALSE),"no clearing")</f>
        <v>no clearing</v>
      </c>
      <c r="N1253" s="40">
        <f t="shared" si="561"/>
        <v>22</v>
      </c>
      <c r="O1253" s="42">
        <f t="shared" si="562"/>
        <v>5</v>
      </c>
      <c r="P1253" s="42">
        <f t="shared" si="563"/>
        <v>2026</v>
      </c>
    </row>
    <row r="1254" spans="1:16" x14ac:dyDescent="0.2">
      <c r="A1254" s="21">
        <v>3000000685</v>
      </c>
      <c r="B1254" s="22">
        <v>46168</v>
      </c>
      <c r="C1254" s="20">
        <v>16986475</v>
      </c>
      <c r="D1254" s="21" t="s">
        <v>423</v>
      </c>
      <c r="E1254" s="21">
        <v>97124430</v>
      </c>
      <c r="F1254" s="20">
        <v>16986475</v>
      </c>
      <c r="G1254" s="22">
        <v>46170</v>
      </c>
      <c r="H1254" s="21" t="s">
        <v>61</v>
      </c>
      <c r="I1254" s="40" t="str">
        <f>IFERROR(IF(VLOOKUP(E1254,extracto!C:C,1,FALSE)=E1254,"pagado","no pagado"),"no pagado")</f>
        <v>pagado</v>
      </c>
      <c r="J1254" s="41" t="str">
        <f t="shared" si="558"/>
        <v>pagado</v>
      </c>
      <c r="K1254" s="40" t="str">
        <f t="shared" ca="1" si="559"/>
        <v>excluir</v>
      </c>
      <c r="L1254" s="40" t="str">
        <f t="shared" ca="1" si="560"/>
        <v>no semana</v>
      </c>
      <c r="M1254" s="40" t="str">
        <f>IFERROR(VLOOKUP(E1254,'cheques a conf'!A:D,4,FALSE),"no clearing")</f>
        <v>no clearing</v>
      </c>
      <c r="N1254" s="40">
        <f t="shared" si="561"/>
        <v>22</v>
      </c>
      <c r="O1254" s="42">
        <f t="shared" si="562"/>
        <v>5</v>
      </c>
      <c r="P1254" s="42">
        <f t="shared" si="563"/>
        <v>2026</v>
      </c>
    </row>
    <row r="1255" spans="1:16" x14ac:dyDescent="0.2">
      <c r="A1255" s="21">
        <v>3000000687</v>
      </c>
      <c r="B1255" s="22">
        <v>46168</v>
      </c>
      <c r="C1255" s="20">
        <v>13230926.49</v>
      </c>
      <c r="D1255" s="21" t="s">
        <v>394</v>
      </c>
      <c r="E1255" s="21">
        <v>97124433</v>
      </c>
      <c r="F1255" s="20">
        <v>13230926.49</v>
      </c>
      <c r="G1255" s="22">
        <v>46170</v>
      </c>
      <c r="H1255" s="21" t="s">
        <v>61</v>
      </c>
      <c r="I1255" s="40" t="str">
        <f>IFERROR(IF(VLOOKUP(E1255,extracto!C:C,1,FALSE)=E1255,"pagado","no pagado"),"no pagado")</f>
        <v>pagado</v>
      </c>
      <c r="J1255" s="41" t="str">
        <f t="shared" si="558"/>
        <v>pagado</v>
      </c>
      <c r="K1255" s="40" t="str">
        <f t="shared" ca="1" si="559"/>
        <v>excluir</v>
      </c>
      <c r="L1255" s="40" t="str">
        <f t="shared" ca="1" si="560"/>
        <v>no semana</v>
      </c>
      <c r="M1255" s="40" t="str">
        <f>IFERROR(VLOOKUP(E1255,'cheques a conf'!A:D,4,FALSE),"no clearing")</f>
        <v>no clearing</v>
      </c>
      <c r="N1255" s="40">
        <f t="shared" si="561"/>
        <v>22</v>
      </c>
      <c r="O1255" s="42">
        <f t="shared" si="562"/>
        <v>5</v>
      </c>
      <c r="P1255" s="42">
        <f t="shared" si="563"/>
        <v>2026</v>
      </c>
    </row>
    <row r="1256" spans="1:16" x14ac:dyDescent="0.2">
      <c r="A1256" s="21">
        <v>3000000689</v>
      </c>
      <c r="B1256" s="22">
        <v>46168</v>
      </c>
      <c r="C1256" s="20">
        <v>7851768.5499999998</v>
      </c>
      <c r="D1256" s="21" t="s">
        <v>401</v>
      </c>
      <c r="E1256" s="21">
        <v>97124436</v>
      </c>
      <c r="F1256" s="20">
        <v>7851768.5499999998</v>
      </c>
      <c r="G1256" s="22">
        <v>46170</v>
      </c>
      <c r="H1256" s="21" t="s">
        <v>61</v>
      </c>
      <c r="I1256" s="40" t="str">
        <f>IFERROR(IF(VLOOKUP(E1256,extracto!C:C,1,FALSE)=E1256,"pagado","no pagado"),"no pagado")</f>
        <v>pagado</v>
      </c>
      <c r="J1256" s="41" t="str">
        <f t="shared" si="558"/>
        <v>pagado</v>
      </c>
      <c r="K1256" s="40" t="str">
        <f t="shared" ca="1" si="559"/>
        <v>excluir</v>
      </c>
      <c r="L1256" s="40" t="str">
        <f t="shared" ca="1" si="560"/>
        <v>no semana</v>
      </c>
      <c r="M1256" s="40" t="str">
        <f>IFERROR(VLOOKUP(E1256,'cheques a conf'!A:D,4,FALSE),"no clearing")</f>
        <v>no clearing</v>
      </c>
      <c r="N1256" s="40">
        <f t="shared" si="561"/>
        <v>22</v>
      </c>
      <c r="O1256" s="42">
        <f t="shared" si="562"/>
        <v>5</v>
      </c>
      <c r="P1256" s="42">
        <f t="shared" si="563"/>
        <v>2026</v>
      </c>
    </row>
    <row r="1257" spans="1:16" x14ac:dyDescent="0.2">
      <c r="A1257" s="21">
        <v>3000000690</v>
      </c>
      <c r="B1257" s="22">
        <v>46168</v>
      </c>
      <c r="C1257" s="20">
        <v>25082412.280000001</v>
      </c>
      <c r="D1257" s="21" t="s">
        <v>535</v>
      </c>
      <c r="E1257" s="21">
        <v>97124437</v>
      </c>
      <c r="F1257" s="20">
        <v>25082412.280000001</v>
      </c>
      <c r="G1257" s="22">
        <v>46171</v>
      </c>
      <c r="H1257" s="21" t="s">
        <v>61</v>
      </c>
      <c r="I1257" s="40" t="str">
        <f>IFERROR(IF(VLOOKUP(E1257,extracto!C:C,1,FALSE)=E1257,"pagado","no pagado"),"no pagado")</f>
        <v>pagado</v>
      </c>
      <c r="J1257" s="41" t="str">
        <f t="shared" si="558"/>
        <v>pagado</v>
      </c>
      <c r="K1257" s="40" t="str">
        <f t="shared" ca="1" si="559"/>
        <v>excluir</v>
      </c>
      <c r="L1257" s="40" t="str">
        <f t="shared" ca="1" si="560"/>
        <v>no semana</v>
      </c>
      <c r="M1257" s="40" t="str">
        <f>IFERROR(VLOOKUP(E1257,'cheques a conf'!A:D,4,FALSE),"no clearing")</f>
        <v>no clearing</v>
      </c>
      <c r="N1257" s="40">
        <f t="shared" si="561"/>
        <v>22</v>
      </c>
      <c r="O1257" s="42">
        <f t="shared" si="562"/>
        <v>5</v>
      </c>
      <c r="P1257" s="42">
        <f t="shared" si="563"/>
        <v>2026</v>
      </c>
    </row>
    <row r="1258" spans="1:16" x14ac:dyDescent="0.2">
      <c r="A1258" s="21">
        <v>3000000691</v>
      </c>
      <c r="B1258" s="22">
        <v>46168</v>
      </c>
      <c r="C1258" s="20">
        <v>27931324.600000001</v>
      </c>
      <c r="D1258" s="21" t="s">
        <v>340</v>
      </c>
      <c r="E1258" s="21">
        <v>97124438</v>
      </c>
      <c r="F1258" s="20">
        <v>27931324.600000001</v>
      </c>
      <c r="G1258" s="22">
        <v>46171</v>
      </c>
      <c r="H1258" s="21" t="s">
        <v>61</v>
      </c>
      <c r="I1258" s="40" t="str">
        <f>IFERROR(IF(VLOOKUP(E1258,extracto!C:C,1,FALSE)=E1258,"pagado","no pagado"),"no pagado")</f>
        <v>pagado</v>
      </c>
      <c r="J1258" s="41" t="str">
        <f t="shared" si="558"/>
        <v>pagado</v>
      </c>
      <c r="K1258" s="40" t="str">
        <f t="shared" ca="1" si="559"/>
        <v>excluir</v>
      </c>
      <c r="L1258" s="40" t="str">
        <f t="shared" ca="1" si="560"/>
        <v>no semana</v>
      </c>
      <c r="M1258" s="40" t="str">
        <f>IFERROR(VLOOKUP(E1258,'cheques a conf'!A:D,4,FALSE),"no clearing")</f>
        <v>no clearing</v>
      </c>
      <c r="N1258" s="40">
        <f t="shared" si="561"/>
        <v>22</v>
      </c>
      <c r="O1258" s="42">
        <f t="shared" si="562"/>
        <v>5</v>
      </c>
      <c r="P1258" s="42">
        <f t="shared" si="563"/>
        <v>2026</v>
      </c>
    </row>
    <row r="1259" spans="1:16" x14ac:dyDescent="0.2">
      <c r="A1259" s="21">
        <v>3000000708</v>
      </c>
      <c r="B1259" s="22">
        <v>46170</v>
      </c>
      <c r="C1259" s="20">
        <v>1729418.55</v>
      </c>
      <c r="D1259" s="21" t="s">
        <v>419</v>
      </c>
      <c r="E1259" s="21">
        <v>97124439</v>
      </c>
      <c r="F1259" s="20">
        <v>1729418.55</v>
      </c>
      <c r="G1259" s="22">
        <v>46174</v>
      </c>
      <c r="H1259" s="21" t="s">
        <v>61</v>
      </c>
      <c r="I1259" s="40" t="str">
        <f>IFERROR(IF(VLOOKUP(E1259,extracto!C:C,1,FALSE)=E1259,"pagado","no pagado"),"no pagado")</f>
        <v>pagado</v>
      </c>
      <c r="J1259" s="41" t="str">
        <f t="shared" si="558"/>
        <v>pagado</v>
      </c>
      <c r="K1259" s="40" t="str">
        <f t="shared" ca="1" si="559"/>
        <v>excluir</v>
      </c>
      <c r="L1259" s="40" t="str">
        <f t="shared" ca="1" si="560"/>
        <v>no semana</v>
      </c>
      <c r="M1259" s="40" t="str">
        <f>IFERROR(VLOOKUP(E1259,'cheques a conf'!A:D,4,FALSE),"no clearing")</f>
        <v>no clearing</v>
      </c>
      <c r="N1259" s="40">
        <f t="shared" si="561"/>
        <v>23</v>
      </c>
      <c r="O1259" s="42">
        <f t="shared" si="562"/>
        <v>6</v>
      </c>
      <c r="P1259" s="42">
        <f t="shared" si="563"/>
        <v>2026</v>
      </c>
    </row>
    <row r="1260" spans="1:16" x14ac:dyDescent="0.2">
      <c r="A1260" s="21">
        <v>3000000714</v>
      </c>
      <c r="B1260" s="22">
        <v>46174</v>
      </c>
      <c r="C1260" s="20">
        <v>39510383.93</v>
      </c>
      <c r="D1260" s="21" t="s">
        <v>346</v>
      </c>
      <c r="E1260" s="21">
        <v>97124440</v>
      </c>
      <c r="F1260" s="20">
        <v>39510383.93</v>
      </c>
      <c r="G1260" s="22">
        <v>46177</v>
      </c>
      <c r="H1260" s="21" t="s">
        <v>61</v>
      </c>
      <c r="I1260" s="40" t="str">
        <f>IFERROR(IF(VLOOKUP(E1260,extracto!C:C,1,FALSE)=E1260,"pagado","no pagado"),"no pagado")</f>
        <v>pagado</v>
      </c>
      <c r="J1260" s="41" t="str">
        <f t="shared" si="558"/>
        <v>pagado</v>
      </c>
      <c r="K1260" s="40" t="str">
        <f t="shared" ca="1" si="559"/>
        <v>excluir</v>
      </c>
      <c r="L1260" s="40" t="str">
        <f t="shared" ca="1" si="560"/>
        <v>no semana</v>
      </c>
      <c r="M1260" s="40" t="str">
        <f>IFERROR(VLOOKUP(E1260,'cheques a conf'!A:D,4,FALSE),"no clearing")</f>
        <v>no clearing</v>
      </c>
      <c r="N1260" s="40">
        <f t="shared" si="561"/>
        <v>23</v>
      </c>
      <c r="O1260" s="42">
        <f t="shared" si="562"/>
        <v>6</v>
      </c>
      <c r="P1260" s="42">
        <f t="shared" si="563"/>
        <v>2026</v>
      </c>
    </row>
    <row r="1261" spans="1:16" x14ac:dyDescent="0.2">
      <c r="A1261" s="21">
        <v>3000000715</v>
      </c>
      <c r="B1261" s="22">
        <v>46174</v>
      </c>
      <c r="C1261" s="20">
        <v>11421078.9</v>
      </c>
      <c r="D1261" s="21" t="s">
        <v>360</v>
      </c>
      <c r="E1261" s="21">
        <v>97124441</v>
      </c>
      <c r="F1261" s="20">
        <v>11421078.9</v>
      </c>
      <c r="G1261" s="22">
        <v>46177</v>
      </c>
      <c r="H1261" s="21" t="s">
        <v>61</v>
      </c>
      <c r="I1261" s="40" t="str">
        <f>IFERROR(IF(VLOOKUP(E1261,extracto!C:C,1,FALSE)=E1261,"pagado","no pagado"),"no pagado")</f>
        <v>pagado</v>
      </c>
      <c r="J1261" s="41" t="str">
        <f t="shared" si="558"/>
        <v>pagado</v>
      </c>
      <c r="K1261" s="40" t="str">
        <f t="shared" ca="1" si="559"/>
        <v>excluir</v>
      </c>
      <c r="L1261" s="40" t="str">
        <f t="shared" ca="1" si="560"/>
        <v>no semana</v>
      </c>
      <c r="M1261" s="40" t="str">
        <f>IFERROR(VLOOKUP(E1261,'cheques a conf'!A:D,4,FALSE),"no clearing")</f>
        <v>no clearing</v>
      </c>
      <c r="N1261" s="40">
        <f t="shared" si="561"/>
        <v>23</v>
      </c>
      <c r="O1261" s="42">
        <f t="shared" si="562"/>
        <v>6</v>
      </c>
      <c r="P1261" s="42">
        <f t="shared" si="563"/>
        <v>2026</v>
      </c>
    </row>
    <row r="1262" spans="1:16" x14ac:dyDescent="0.2">
      <c r="A1262" s="21">
        <v>3000000716</v>
      </c>
      <c r="B1262" s="22">
        <v>46174</v>
      </c>
      <c r="C1262" s="20">
        <v>24707948.550000001</v>
      </c>
      <c r="D1262" s="21" t="s">
        <v>366</v>
      </c>
      <c r="E1262" s="21">
        <v>97124442</v>
      </c>
      <c r="F1262" s="20">
        <v>24707948.550000001</v>
      </c>
      <c r="G1262" s="22">
        <v>46177</v>
      </c>
      <c r="H1262" s="21" t="s">
        <v>61</v>
      </c>
      <c r="I1262" s="40" t="str">
        <f>IFERROR(IF(VLOOKUP(E1262,extracto!C:C,1,FALSE)=E1262,"pagado","no pagado"),"no pagado")</f>
        <v>pagado</v>
      </c>
      <c r="J1262" s="41" t="str">
        <f t="shared" si="558"/>
        <v>pagado</v>
      </c>
      <c r="K1262" s="40" t="str">
        <f t="shared" ca="1" si="559"/>
        <v>excluir</v>
      </c>
      <c r="L1262" s="40" t="str">
        <f t="shared" ca="1" si="560"/>
        <v>no semana</v>
      </c>
      <c r="M1262" s="40" t="str">
        <f>IFERROR(VLOOKUP(E1262,'cheques a conf'!A:D,4,FALSE),"no clearing")</f>
        <v>no clearing</v>
      </c>
      <c r="N1262" s="40">
        <f t="shared" si="561"/>
        <v>23</v>
      </c>
      <c r="O1262" s="42">
        <f t="shared" si="562"/>
        <v>6</v>
      </c>
      <c r="P1262" s="42">
        <f t="shared" si="563"/>
        <v>2026</v>
      </c>
    </row>
    <row r="1263" spans="1:16" x14ac:dyDescent="0.2">
      <c r="A1263" s="21">
        <v>3000000717</v>
      </c>
      <c r="B1263" s="22">
        <v>46174</v>
      </c>
      <c r="C1263" s="20">
        <v>16760426.4</v>
      </c>
      <c r="D1263" s="21" t="s">
        <v>350</v>
      </c>
      <c r="E1263" s="21">
        <v>97124443</v>
      </c>
      <c r="F1263" s="20">
        <v>16760426.4</v>
      </c>
      <c r="G1263" s="22">
        <v>46177</v>
      </c>
      <c r="H1263" s="21" t="s">
        <v>61</v>
      </c>
      <c r="I1263" s="40" t="str">
        <f>IFERROR(IF(VLOOKUP(E1263,extracto!C:C,1,FALSE)=E1263,"pagado","no pagado"),"no pagado")</f>
        <v>pagado</v>
      </c>
      <c r="J1263" s="41" t="str">
        <f t="shared" ref="J1263" si="564">IF(I1263="pagado","pagado",IF(G1263&lt;$V$1-30,"fuera de fecha","en periodo de pago"))</f>
        <v>pagado</v>
      </c>
      <c r="K1263" s="40" t="str">
        <f t="shared" ref="K1263" ca="1" si="565">+IF(B1263&gt;$V$1,"excluir",IF(J1263="en periodo de pago",IF($V$1&gt;G1263,"a pagar","proximo a vencer"),"excluir"))</f>
        <v>excluir</v>
      </c>
      <c r="L1263" s="40" t="str">
        <f t="shared" ref="L1263" ca="1" si="566">+IF(K1263="proximo a vencer",IF($V$1+5&gt;G1263,"para la semana","no semana"),"no semana")</f>
        <v>no semana</v>
      </c>
      <c r="M1263" s="40" t="str">
        <f>IFERROR(VLOOKUP(E1263,'cheques a conf'!A:D,4,FALSE),"no clearing")</f>
        <v>no clearing</v>
      </c>
      <c r="N1263" s="40">
        <f t="shared" ref="N1263" si="567">+WEEKNUM(G1263,2)</f>
        <v>23</v>
      </c>
      <c r="O1263" s="42">
        <f t="shared" ref="O1263" si="568">+MONTH(G1263)</f>
        <v>6</v>
      </c>
      <c r="P1263" s="42">
        <f t="shared" ref="P1263" si="569">+YEAR(G1263)</f>
        <v>2026</v>
      </c>
    </row>
    <row r="1264" spans="1:16" x14ac:dyDescent="0.2">
      <c r="A1264" s="21">
        <v>3000000718</v>
      </c>
      <c r="B1264" s="22">
        <v>46174</v>
      </c>
      <c r="C1264" s="20">
        <v>5347592.75</v>
      </c>
      <c r="D1264" s="21" t="s">
        <v>545</v>
      </c>
      <c r="E1264" s="21">
        <v>97124444</v>
      </c>
      <c r="F1264" s="20">
        <v>5347592.75</v>
      </c>
      <c r="G1264" s="22">
        <v>46177</v>
      </c>
      <c r="H1264" s="21" t="s">
        <v>61</v>
      </c>
      <c r="I1264" s="40" t="str">
        <f>IFERROR(IF(VLOOKUP(E1264,extracto!C:C,1,FALSE)=E1264,"pagado","no pagado"),"no pagado")</f>
        <v>pagado</v>
      </c>
      <c r="J1264" s="41" t="str">
        <f t="shared" ref="J1264:J1274" si="570">IF(I1264="pagado","pagado",IF(G1264&lt;$V$1-30,"fuera de fecha","en periodo de pago"))</f>
        <v>pagado</v>
      </c>
      <c r="K1264" s="40" t="str">
        <f t="shared" ref="K1264:K1274" ca="1" si="571">+IF(B1264&gt;$V$1,"excluir",IF(J1264="en periodo de pago",IF($V$1&gt;G1264,"a pagar","proximo a vencer"),"excluir"))</f>
        <v>excluir</v>
      </c>
      <c r="L1264" s="40" t="str">
        <f t="shared" ref="L1264:L1274" ca="1" si="572">+IF(K1264="proximo a vencer",IF($V$1+5&gt;G1264,"para la semana","no semana"),"no semana")</f>
        <v>no semana</v>
      </c>
      <c r="M1264" s="40" t="str">
        <f>IFERROR(VLOOKUP(E1264,'cheques a conf'!A:D,4,FALSE),"no clearing")</f>
        <v>no clearing</v>
      </c>
      <c r="N1264" s="40">
        <f t="shared" ref="N1264:N1274" si="573">+WEEKNUM(G1264,2)</f>
        <v>23</v>
      </c>
      <c r="O1264" s="42">
        <f t="shared" ref="O1264:O1274" si="574">+MONTH(G1264)</f>
        <v>6</v>
      </c>
      <c r="P1264" s="42">
        <f t="shared" ref="P1264:P1274" si="575">+YEAR(G1264)</f>
        <v>2026</v>
      </c>
    </row>
    <row r="1265" spans="1:16" x14ac:dyDescent="0.2">
      <c r="A1265" s="21">
        <v>3000000719</v>
      </c>
      <c r="B1265" s="22">
        <v>46174</v>
      </c>
      <c r="C1265" s="20">
        <v>6045237.5800000001</v>
      </c>
      <c r="D1265" s="21" t="s">
        <v>546</v>
      </c>
      <c r="E1265" s="21">
        <v>97124445</v>
      </c>
      <c r="F1265" s="20">
        <v>6045237.5800000001</v>
      </c>
      <c r="G1265" s="22">
        <v>46177</v>
      </c>
      <c r="H1265" s="21" t="s">
        <v>61</v>
      </c>
      <c r="I1265" s="40" t="str">
        <f>IFERROR(IF(VLOOKUP(E1265,extracto!C:C,1,FALSE)=E1265,"pagado","no pagado"),"no pagado")</f>
        <v>pagado</v>
      </c>
      <c r="J1265" s="41" t="str">
        <f t="shared" si="570"/>
        <v>pagado</v>
      </c>
      <c r="K1265" s="40" t="str">
        <f t="shared" ca="1" si="571"/>
        <v>excluir</v>
      </c>
      <c r="L1265" s="40" t="str">
        <f t="shared" ca="1" si="572"/>
        <v>no semana</v>
      </c>
      <c r="M1265" s="40" t="str">
        <f>IFERROR(VLOOKUP(E1265,'cheques a conf'!A:D,4,FALSE),"no clearing")</f>
        <v>no clearing</v>
      </c>
      <c r="N1265" s="40">
        <f t="shared" si="573"/>
        <v>23</v>
      </c>
      <c r="O1265" s="42">
        <f t="shared" si="574"/>
        <v>6</v>
      </c>
      <c r="P1265" s="42">
        <f t="shared" si="575"/>
        <v>2026</v>
      </c>
    </row>
    <row r="1266" spans="1:16" x14ac:dyDescent="0.2">
      <c r="A1266" s="21">
        <v>3000000720</v>
      </c>
      <c r="B1266" s="22">
        <v>46174</v>
      </c>
      <c r="C1266" s="20">
        <v>20749620.039999999</v>
      </c>
      <c r="D1266" s="21" t="s">
        <v>359</v>
      </c>
      <c r="E1266" s="21">
        <v>97124446</v>
      </c>
      <c r="F1266" s="20">
        <v>20749620.039999999</v>
      </c>
      <c r="G1266" s="22">
        <v>46177</v>
      </c>
      <c r="H1266" s="21" t="s">
        <v>61</v>
      </c>
      <c r="I1266" s="40" t="str">
        <f>IFERROR(IF(VLOOKUP(E1266,extracto!C:C,1,FALSE)=E1266,"pagado","no pagado"),"no pagado")</f>
        <v>pagado</v>
      </c>
      <c r="J1266" s="41" t="str">
        <f t="shared" si="570"/>
        <v>pagado</v>
      </c>
      <c r="K1266" s="40" t="str">
        <f t="shared" ca="1" si="571"/>
        <v>excluir</v>
      </c>
      <c r="L1266" s="40" t="str">
        <f t="shared" ca="1" si="572"/>
        <v>no semana</v>
      </c>
      <c r="M1266" s="40" t="str">
        <f>IFERROR(VLOOKUP(E1266,'cheques a conf'!A:D,4,FALSE),"no clearing")</f>
        <v>no clearing</v>
      </c>
      <c r="N1266" s="40">
        <f t="shared" si="573"/>
        <v>23</v>
      </c>
      <c r="O1266" s="42">
        <f t="shared" si="574"/>
        <v>6</v>
      </c>
      <c r="P1266" s="42">
        <f t="shared" si="575"/>
        <v>2026</v>
      </c>
    </row>
    <row r="1267" spans="1:16" x14ac:dyDescent="0.2">
      <c r="A1267" s="21">
        <v>3000000721</v>
      </c>
      <c r="B1267" s="22">
        <v>46174</v>
      </c>
      <c r="C1267" s="20">
        <v>47956213.560000002</v>
      </c>
      <c r="D1267" s="21" t="s">
        <v>398</v>
      </c>
      <c r="E1267" s="21">
        <v>97124447</v>
      </c>
      <c r="F1267" s="20">
        <v>47956213.560000002</v>
      </c>
      <c r="G1267" s="22">
        <v>46177</v>
      </c>
      <c r="H1267" s="21" t="s">
        <v>61</v>
      </c>
      <c r="I1267" s="40" t="str">
        <f>IFERROR(IF(VLOOKUP(E1267,extracto!C:C,1,FALSE)=E1267,"pagado","no pagado"),"no pagado")</f>
        <v>pagado</v>
      </c>
      <c r="J1267" s="41" t="str">
        <f t="shared" si="570"/>
        <v>pagado</v>
      </c>
      <c r="K1267" s="40" t="str">
        <f t="shared" ca="1" si="571"/>
        <v>excluir</v>
      </c>
      <c r="L1267" s="40" t="str">
        <f t="shared" ca="1" si="572"/>
        <v>no semana</v>
      </c>
      <c r="M1267" s="40" t="str">
        <f>IFERROR(VLOOKUP(E1267,'cheques a conf'!A:D,4,FALSE),"no clearing")</f>
        <v>no clearing</v>
      </c>
      <c r="N1267" s="40">
        <f t="shared" si="573"/>
        <v>23</v>
      </c>
      <c r="O1267" s="42">
        <f t="shared" si="574"/>
        <v>6</v>
      </c>
      <c r="P1267" s="42">
        <f t="shared" si="575"/>
        <v>2026</v>
      </c>
    </row>
    <row r="1268" spans="1:16" x14ac:dyDescent="0.2">
      <c r="A1268" s="21">
        <v>3000000722</v>
      </c>
      <c r="B1268" s="22">
        <v>46174</v>
      </c>
      <c r="C1268" s="20">
        <v>27326253.989999998</v>
      </c>
      <c r="D1268" s="21" t="s">
        <v>394</v>
      </c>
      <c r="E1268" s="21">
        <v>97124448</v>
      </c>
      <c r="F1268" s="20">
        <v>27326253.989999998</v>
      </c>
      <c r="G1268" s="22">
        <v>46177</v>
      </c>
      <c r="H1268" s="21" t="s">
        <v>61</v>
      </c>
      <c r="I1268" s="40" t="str">
        <f>IFERROR(IF(VLOOKUP(E1268,extracto!C:C,1,FALSE)=E1268,"pagado","no pagado"),"no pagado")</f>
        <v>pagado</v>
      </c>
      <c r="J1268" s="41" t="str">
        <f t="shared" si="570"/>
        <v>pagado</v>
      </c>
      <c r="K1268" s="40" t="str">
        <f t="shared" ca="1" si="571"/>
        <v>excluir</v>
      </c>
      <c r="L1268" s="40" t="str">
        <f t="shared" ca="1" si="572"/>
        <v>no semana</v>
      </c>
      <c r="M1268" s="40" t="str">
        <f>IFERROR(VLOOKUP(E1268,'cheques a conf'!A:D,4,FALSE),"no clearing")</f>
        <v>no clearing</v>
      </c>
      <c r="N1268" s="40">
        <f t="shared" si="573"/>
        <v>23</v>
      </c>
      <c r="O1268" s="42">
        <f t="shared" si="574"/>
        <v>6</v>
      </c>
      <c r="P1268" s="42">
        <f t="shared" si="575"/>
        <v>2026</v>
      </c>
    </row>
    <row r="1269" spans="1:16" x14ac:dyDescent="0.2">
      <c r="A1269" s="21">
        <v>3000000723</v>
      </c>
      <c r="B1269" s="22">
        <v>46175</v>
      </c>
      <c r="C1269" s="20">
        <v>26125000</v>
      </c>
      <c r="D1269" s="21" t="s">
        <v>289</v>
      </c>
      <c r="E1269" s="21">
        <v>97124449</v>
      </c>
      <c r="F1269" s="20">
        <v>26125000</v>
      </c>
      <c r="G1269" s="22">
        <v>46177</v>
      </c>
      <c r="H1269" s="21" t="s">
        <v>61</v>
      </c>
      <c r="I1269" s="40" t="str">
        <f>IFERROR(IF(VLOOKUP(E1269,extracto!C:C,1,FALSE)=E1269,"pagado","no pagado"),"no pagado")</f>
        <v>pagado</v>
      </c>
      <c r="J1269" s="41" t="str">
        <f t="shared" si="570"/>
        <v>pagado</v>
      </c>
      <c r="K1269" s="40" t="str">
        <f t="shared" ca="1" si="571"/>
        <v>excluir</v>
      </c>
      <c r="L1269" s="40" t="str">
        <f t="shared" ca="1" si="572"/>
        <v>no semana</v>
      </c>
      <c r="M1269" s="40" t="str">
        <f>IFERROR(VLOOKUP(E1269,'cheques a conf'!A:D,4,FALSE),"no clearing")</f>
        <v>no clearing</v>
      </c>
      <c r="N1269" s="40">
        <f t="shared" si="573"/>
        <v>23</v>
      </c>
      <c r="O1269" s="42">
        <f t="shared" si="574"/>
        <v>6</v>
      </c>
      <c r="P1269" s="42">
        <f t="shared" si="575"/>
        <v>2026</v>
      </c>
    </row>
    <row r="1270" spans="1:16" x14ac:dyDescent="0.2">
      <c r="A1270" s="21">
        <v>3000000723</v>
      </c>
      <c r="B1270" s="22">
        <v>46175</v>
      </c>
      <c r="C1270" s="20">
        <v>26125000</v>
      </c>
      <c r="D1270" s="21" t="s">
        <v>289</v>
      </c>
      <c r="E1270" s="21">
        <v>97124450</v>
      </c>
      <c r="F1270" s="20">
        <v>26125000</v>
      </c>
      <c r="G1270" s="22">
        <v>46177</v>
      </c>
      <c r="H1270" s="21" t="s">
        <v>61</v>
      </c>
      <c r="I1270" s="40" t="str">
        <f>IFERROR(IF(VLOOKUP(E1270,extracto!C:C,1,FALSE)=E1270,"pagado","no pagado"),"no pagado")</f>
        <v>pagado</v>
      </c>
      <c r="J1270" s="41" t="str">
        <f t="shared" si="570"/>
        <v>pagado</v>
      </c>
      <c r="K1270" s="40" t="str">
        <f t="shared" ca="1" si="571"/>
        <v>excluir</v>
      </c>
      <c r="L1270" s="40" t="str">
        <f t="shared" ca="1" si="572"/>
        <v>no semana</v>
      </c>
      <c r="M1270" s="40" t="str">
        <f>IFERROR(VLOOKUP(E1270,'cheques a conf'!A:D,4,FALSE),"no clearing")</f>
        <v>no clearing</v>
      </c>
      <c r="N1270" s="40">
        <f t="shared" si="573"/>
        <v>23</v>
      </c>
      <c r="O1270" s="42">
        <f t="shared" si="574"/>
        <v>6</v>
      </c>
      <c r="P1270" s="42">
        <f t="shared" si="575"/>
        <v>2026</v>
      </c>
    </row>
    <row r="1271" spans="1:16" x14ac:dyDescent="0.2">
      <c r="A1271" s="21">
        <v>3000000723</v>
      </c>
      <c r="B1271" s="22">
        <v>46175</v>
      </c>
      <c r="C1271" s="20">
        <v>26125000</v>
      </c>
      <c r="D1271" s="21" t="s">
        <v>289</v>
      </c>
      <c r="E1271" s="21">
        <v>97124451</v>
      </c>
      <c r="F1271" s="20">
        <v>26125000</v>
      </c>
      <c r="G1271" s="22">
        <v>46177</v>
      </c>
      <c r="H1271" s="21" t="s">
        <v>61</v>
      </c>
      <c r="I1271" s="40" t="str">
        <f>IFERROR(IF(VLOOKUP(E1271,extracto!C:C,1,FALSE)=E1271,"pagado","no pagado"),"no pagado")</f>
        <v>pagado</v>
      </c>
      <c r="J1271" s="41" t="str">
        <f t="shared" si="570"/>
        <v>pagado</v>
      </c>
      <c r="K1271" s="40" t="str">
        <f t="shared" ca="1" si="571"/>
        <v>excluir</v>
      </c>
      <c r="L1271" s="40" t="str">
        <f t="shared" ca="1" si="572"/>
        <v>no semana</v>
      </c>
      <c r="M1271" s="40" t="str">
        <f>IFERROR(VLOOKUP(E1271,'cheques a conf'!A:D,4,FALSE),"no clearing")</f>
        <v>no clearing</v>
      </c>
      <c r="N1271" s="40">
        <f t="shared" si="573"/>
        <v>23</v>
      </c>
      <c r="O1271" s="42">
        <f t="shared" si="574"/>
        <v>6</v>
      </c>
      <c r="P1271" s="42">
        <f t="shared" si="575"/>
        <v>2026</v>
      </c>
    </row>
    <row r="1272" spans="1:16" x14ac:dyDescent="0.2">
      <c r="A1272" s="21">
        <v>3000000723</v>
      </c>
      <c r="B1272" s="22">
        <v>46175</v>
      </c>
      <c r="C1272" s="20">
        <v>26125000</v>
      </c>
      <c r="D1272" s="21" t="s">
        <v>289</v>
      </c>
      <c r="E1272" s="21">
        <v>97124452</v>
      </c>
      <c r="F1272" s="20">
        <v>26125000</v>
      </c>
      <c r="G1272" s="22">
        <v>46177</v>
      </c>
      <c r="H1272" s="21" t="s">
        <v>61</v>
      </c>
      <c r="I1272" s="40" t="str">
        <f>IFERROR(IF(VLOOKUP(E1272,extracto!C:C,1,FALSE)=E1272,"pagado","no pagado"),"no pagado")</f>
        <v>pagado</v>
      </c>
      <c r="J1272" s="41" t="str">
        <f t="shared" si="570"/>
        <v>pagado</v>
      </c>
      <c r="K1272" s="40" t="str">
        <f t="shared" ca="1" si="571"/>
        <v>excluir</v>
      </c>
      <c r="L1272" s="40" t="str">
        <f t="shared" ca="1" si="572"/>
        <v>no semana</v>
      </c>
      <c r="M1272" s="40" t="str">
        <f>IFERROR(VLOOKUP(E1272,'cheques a conf'!A:D,4,FALSE),"no clearing")</f>
        <v>no clearing</v>
      </c>
      <c r="N1272" s="40">
        <f t="shared" si="573"/>
        <v>23</v>
      </c>
      <c r="O1272" s="42">
        <f t="shared" si="574"/>
        <v>6</v>
      </c>
      <c r="P1272" s="42">
        <f t="shared" si="575"/>
        <v>2026</v>
      </c>
    </row>
    <row r="1273" spans="1:16" x14ac:dyDescent="0.2">
      <c r="A1273" s="21">
        <v>3000000723</v>
      </c>
      <c r="B1273" s="22">
        <v>46175</v>
      </c>
      <c r="C1273" s="20">
        <v>26125000</v>
      </c>
      <c r="D1273" s="21" t="s">
        <v>289</v>
      </c>
      <c r="E1273" s="21">
        <v>97124453</v>
      </c>
      <c r="F1273" s="20">
        <v>26125000</v>
      </c>
      <c r="G1273" s="22">
        <v>46177</v>
      </c>
      <c r="H1273" s="21" t="s">
        <v>61</v>
      </c>
      <c r="I1273" s="40" t="str">
        <f>IFERROR(IF(VLOOKUP(E1273,extracto!C:C,1,FALSE)=E1273,"pagado","no pagado"),"no pagado")</f>
        <v>pagado</v>
      </c>
      <c r="J1273" s="41" t="str">
        <f t="shared" si="570"/>
        <v>pagado</v>
      </c>
      <c r="K1273" s="40" t="str">
        <f t="shared" ca="1" si="571"/>
        <v>excluir</v>
      </c>
      <c r="L1273" s="40" t="str">
        <f t="shared" ca="1" si="572"/>
        <v>no semana</v>
      </c>
      <c r="M1273" s="40" t="str">
        <f>IFERROR(VLOOKUP(E1273,'cheques a conf'!A:D,4,FALSE),"no clearing")</f>
        <v>no clearing</v>
      </c>
      <c r="N1273" s="40">
        <f t="shared" si="573"/>
        <v>23</v>
      </c>
      <c r="O1273" s="42">
        <f t="shared" si="574"/>
        <v>6</v>
      </c>
      <c r="P1273" s="42">
        <f t="shared" si="575"/>
        <v>2026</v>
      </c>
    </row>
    <row r="1274" spans="1:16" x14ac:dyDescent="0.2">
      <c r="A1274" s="21">
        <v>3000000723</v>
      </c>
      <c r="B1274" s="22">
        <v>46175</v>
      </c>
      <c r="C1274" s="20">
        <v>26126343.399999999</v>
      </c>
      <c r="D1274" s="21" t="s">
        <v>289</v>
      </c>
      <c r="E1274" s="21">
        <v>97124454</v>
      </c>
      <c r="F1274" s="20">
        <v>26126343.399999999</v>
      </c>
      <c r="G1274" s="22">
        <v>46177</v>
      </c>
      <c r="H1274" s="21" t="s">
        <v>61</v>
      </c>
      <c r="I1274" s="40" t="str">
        <f>IFERROR(IF(VLOOKUP(E1274,extracto!C:C,1,FALSE)=E1274,"pagado","no pagado"),"no pagado")</f>
        <v>pagado</v>
      </c>
      <c r="J1274" s="41" t="str">
        <f t="shared" si="570"/>
        <v>pagado</v>
      </c>
      <c r="K1274" s="40" t="str">
        <f t="shared" ca="1" si="571"/>
        <v>excluir</v>
      </c>
      <c r="L1274" s="40" t="str">
        <f t="shared" ca="1" si="572"/>
        <v>no semana</v>
      </c>
      <c r="M1274" s="40" t="str">
        <f>IFERROR(VLOOKUP(E1274,'cheques a conf'!A:D,4,FALSE),"no clearing")</f>
        <v>no clearing</v>
      </c>
      <c r="N1274" s="40">
        <f t="shared" si="573"/>
        <v>23</v>
      </c>
      <c r="O1274" s="42">
        <f t="shared" si="574"/>
        <v>6</v>
      </c>
      <c r="P1274" s="42">
        <f t="shared" si="575"/>
        <v>2026</v>
      </c>
    </row>
    <row r="1275" spans="1:16" x14ac:dyDescent="0.2">
      <c r="A1275" s="21">
        <v>3000000727</v>
      </c>
      <c r="B1275" s="22">
        <v>46176</v>
      </c>
      <c r="C1275" s="20">
        <v>13223336.6</v>
      </c>
      <c r="D1275" s="21" t="s">
        <v>354</v>
      </c>
      <c r="E1275" s="21">
        <v>97124455</v>
      </c>
      <c r="F1275" s="20">
        <v>13223336.6</v>
      </c>
      <c r="G1275" s="22">
        <v>46178</v>
      </c>
      <c r="H1275" s="21" t="s">
        <v>61</v>
      </c>
      <c r="I1275" s="40" t="str">
        <f>IFERROR(IF(VLOOKUP(E1275,extracto!C:C,1,FALSE)=E1275,"pagado","no pagado"),"no pagado")</f>
        <v>pagado</v>
      </c>
      <c r="J1275" s="41" t="str">
        <f t="shared" ref="J1275:J1277" si="576">IF(I1275="pagado","pagado",IF(G1275&lt;$V$1-30,"fuera de fecha","en periodo de pago"))</f>
        <v>pagado</v>
      </c>
      <c r="K1275" s="40" t="str">
        <f t="shared" ref="K1275:K1277" ca="1" si="577">+IF(B1275&gt;$V$1,"excluir",IF(J1275="en periodo de pago",IF($V$1&gt;G1275,"a pagar","proximo a vencer"),"excluir"))</f>
        <v>excluir</v>
      </c>
      <c r="L1275" s="40" t="str">
        <f t="shared" ref="L1275:L1277" ca="1" si="578">+IF(K1275="proximo a vencer",IF($V$1+5&gt;G1275,"para la semana","no semana"),"no semana")</f>
        <v>no semana</v>
      </c>
      <c r="M1275" s="40" t="str">
        <f>IFERROR(VLOOKUP(E1275,'cheques a conf'!A:D,4,FALSE),"no clearing")</f>
        <v>no clearing</v>
      </c>
      <c r="N1275" s="40">
        <f t="shared" ref="N1275:N1277" si="579">+WEEKNUM(G1275,2)</f>
        <v>23</v>
      </c>
      <c r="O1275" s="42">
        <f t="shared" ref="O1275:O1277" si="580">+MONTH(G1275)</f>
        <v>6</v>
      </c>
      <c r="P1275" s="42">
        <f t="shared" ref="P1275:P1277" si="581">+YEAR(G1275)</f>
        <v>2026</v>
      </c>
    </row>
    <row r="1276" spans="1:16" x14ac:dyDescent="0.2">
      <c r="A1276" s="21">
        <v>3000000727</v>
      </c>
      <c r="B1276" s="22">
        <v>46176</v>
      </c>
      <c r="C1276" s="20">
        <v>10000000</v>
      </c>
      <c r="D1276" s="21" t="s">
        <v>354</v>
      </c>
      <c r="E1276" s="21">
        <v>97124456</v>
      </c>
      <c r="F1276" s="20">
        <v>10000000</v>
      </c>
      <c r="G1276" s="22">
        <v>46181</v>
      </c>
      <c r="H1276" s="21" t="s">
        <v>61</v>
      </c>
      <c r="I1276" s="40" t="str">
        <f>IFERROR(IF(VLOOKUP(E1276,extracto!C:C,1,FALSE)=E1276,"pagado","no pagado"),"no pagado")</f>
        <v>pagado</v>
      </c>
      <c r="J1276" s="41" t="str">
        <f t="shared" si="576"/>
        <v>pagado</v>
      </c>
      <c r="K1276" s="40" t="str">
        <f t="shared" ca="1" si="577"/>
        <v>excluir</v>
      </c>
      <c r="L1276" s="40" t="str">
        <f t="shared" ca="1" si="578"/>
        <v>no semana</v>
      </c>
      <c r="M1276" s="40" t="str">
        <f>IFERROR(VLOOKUP(E1276,'cheques a conf'!A:D,4,FALSE),"no clearing")</f>
        <v>no clearing</v>
      </c>
      <c r="N1276" s="40">
        <f t="shared" si="579"/>
        <v>24</v>
      </c>
      <c r="O1276" s="42">
        <f t="shared" si="580"/>
        <v>6</v>
      </c>
      <c r="P1276" s="42">
        <f t="shared" si="581"/>
        <v>2026</v>
      </c>
    </row>
    <row r="1277" spans="1:16" x14ac:dyDescent="0.2">
      <c r="A1277" s="21">
        <v>3000000728</v>
      </c>
      <c r="B1277" s="22">
        <v>46176</v>
      </c>
      <c r="C1277" s="20">
        <v>18325012.579999998</v>
      </c>
      <c r="D1277" s="21" t="s">
        <v>344</v>
      </c>
      <c r="E1277" s="21">
        <v>97124457</v>
      </c>
      <c r="F1277" s="20">
        <v>18325012.579999998</v>
      </c>
      <c r="G1277" s="22">
        <v>46178</v>
      </c>
      <c r="H1277" s="21" t="s">
        <v>61</v>
      </c>
      <c r="I1277" s="40" t="str">
        <f>IFERROR(IF(VLOOKUP(E1277,extracto!C:C,1,FALSE)=E1277,"pagado","no pagado"),"no pagado")</f>
        <v>pagado</v>
      </c>
      <c r="J1277" s="41" t="str">
        <f t="shared" si="576"/>
        <v>pagado</v>
      </c>
      <c r="K1277" s="40" t="str">
        <f t="shared" ca="1" si="577"/>
        <v>excluir</v>
      </c>
      <c r="L1277" s="40" t="str">
        <f t="shared" ca="1" si="578"/>
        <v>no semana</v>
      </c>
      <c r="M1277" s="40" t="str">
        <f>IFERROR(VLOOKUP(E1277,'cheques a conf'!A:D,4,FALSE),"no clearing")</f>
        <v>no clearing</v>
      </c>
      <c r="N1277" s="40">
        <f t="shared" si="579"/>
        <v>23</v>
      </c>
      <c r="O1277" s="42">
        <f t="shared" si="580"/>
        <v>6</v>
      </c>
      <c r="P1277" s="42">
        <f t="shared" si="581"/>
        <v>2026</v>
      </c>
    </row>
    <row r="1278" spans="1:16" x14ac:dyDescent="0.2">
      <c r="A1278" s="21">
        <v>3000000728</v>
      </c>
      <c r="B1278" s="22">
        <v>46176</v>
      </c>
      <c r="C1278" s="20">
        <v>10000000</v>
      </c>
      <c r="D1278" s="21" t="s">
        <v>344</v>
      </c>
      <c r="E1278" s="21">
        <v>97124458</v>
      </c>
      <c r="F1278" s="20">
        <v>10000000</v>
      </c>
      <c r="G1278" s="22">
        <v>46181</v>
      </c>
      <c r="H1278" s="21" t="s">
        <v>61</v>
      </c>
      <c r="I1278" s="40" t="str">
        <f>IFERROR(IF(VLOOKUP(E1278,extracto!C:C,1,FALSE)=E1278,"pagado","no pagado"),"no pagado")</f>
        <v>pagado</v>
      </c>
      <c r="J1278" s="41" t="str">
        <f t="shared" ref="J1278:J1286" si="582">IF(I1278="pagado","pagado",IF(G1278&lt;$V$1-30,"fuera de fecha","en periodo de pago"))</f>
        <v>pagado</v>
      </c>
      <c r="K1278" s="40" t="str">
        <f t="shared" ref="K1278:K1286" ca="1" si="583">+IF(B1278&gt;$V$1,"excluir",IF(J1278="en periodo de pago",IF($V$1&gt;G1278,"a pagar","proximo a vencer"),"excluir"))</f>
        <v>excluir</v>
      </c>
      <c r="L1278" s="40" t="str">
        <f t="shared" ref="L1278:L1286" ca="1" si="584">+IF(K1278="proximo a vencer",IF($V$1+5&gt;G1278,"para la semana","no semana"),"no semana")</f>
        <v>no semana</v>
      </c>
      <c r="M1278" s="40" t="str">
        <f>IFERROR(VLOOKUP(E1278,'cheques a conf'!A:D,4,FALSE),"no clearing")</f>
        <v>no clearing</v>
      </c>
      <c r="N1278" s="40">
        <f t="shared" ref="N1278:N1286" si="585">+WEEKNUM(G1278,2)</f>
        <v>24</v>
      </c>
      <c r="O1278" s="42">
        <f t="shared" ref="O1278:O1286" si="586">+MONTH(G1278)</f>
        <v>6</v>
      </c>
      <c r="P1278" s="42">
        <f t="shared" ref="P1278:P1286" si="587">+YEAR(G1278)</f>
        <v>2026</v>
      </c>
    </row>
    <row r="1279" spans="1:16" x14ac:dyDescent="0.2">
      <c r="A1279" s="21">
        <v>3000000728</v>
      </c>
      <c r="B1279" s="22">
        <v>46176</v>
      </c>
      <c r="C1279" s="20">
        <v>10000000</v>
      </c>
      <c r="D1279" s="21" t="s">
        <v>344</v>
      </c>
      <c r="E1279" s="21">
        <v>97124459</v>
      </c>
      <c r="F1279" s="20">
        <v>10000000</v>
      </c>
      <c r="G1279" s="22">
        <v>46181</v>
      </c>
      <c r="H1279" s="21" t="s">
        <v>61</v>
      </c>
      <c r="I1279" s="40" t="str">
        <f>IFERROR(IF(VLOOKUP(E1279,extracto!C:C,1,FALSE)=E1279,"pagado","no pagado"),"no pagado")</f>
        <v>pagado</v>
      </c>
      <c r="J1279" s="41" t="str">
        <f t="shared" si="582"/>
        <v>pagado</v>
      </c>
      <c r="K1279" s="40" t="str">
        <f t="shared" ca="1" si="583"/>
        <v>excluir</v>
      </c>
      <c r="L1279" s="40" t="str">
        <f t="shared" ca="1" si="584"/>
        <v>no semana</v>
      </c>
      <c r="M1279" s="40" t="str">
        <f>IFERROR(VLOOKUP(E1279,'cheques a conf'!A:D,4,FALSE),"no clearing")</f>
        <v>no clearing</v>
      </c>
      <c r="N1279" s="40">
        <f t="shared" si="585"/>
        <v>24</v>
      </c>
      <c r="O1279" s="42">
        <f t="shared" si="586"/>
        <v>6</v>
      </c>
      <c r="P1279" s="42">
        <f t="shared" si="587"/>
        <v>2026</v>
      </c>
    </row>
    <row r="1280" spans="1:16" x14ac:dyDescent="0.2">
      <c r="A1280" s="21">
        <v>3000000729</v>
      </c>
      <c r="B1280" s="22">
        <v>46176</v>
      </c>
      <c r="C1280" s="20">
        <v>8666567.9199999999</v>
      </c>
      <c r="D1280" s="21" t="s">
        <v>386</v>
      </c>
      <c r="E1280" s="21">
        <v>97124460</v>
      </c>
      <c r="F1280" s="20">
        <v>8666567.9199999999</v>
      </c>
      <c r="G1280" s="22">
        <v>46181</v>
      </c>
      <c r="H1280" s="21" t="s">
        <v>61</v>
      </c>
      <c r="I1280" s="40" t="str">
        <f>IFERROR(IF(VLOOKUP(E1280,extracto!C:C,1,FALSE)=E1280,"pagado","no pagado"),"no pagado")</f>
        <v>pagado</v>
      </c>
      <c r="J1280" s="41" t="str">
        <f t="shared" si="582"/>
        <v>pagado</v>
      </c>
      <c r="K1280" s="40" t="str">
        <f t="shared" ca="1" si="583"/>
        <v>excluir</v>
      </c>
      <c r="L1280" s="40" t="str">
        <f t="shared" ca="1" si="584"/>
        <v>no semana</v>
      </c>
      <c r="M1280" s="40" t="str">
        <f>IFERROR(VLOOKUP(E1280,'cheques a conf'!A:D,4,FALSE),"no clearing")</f>
        <v>no clearing</v>
      </c>
      <c r="N1280" s="40">
        <f t="shared" si="585"/>
        <v>24</v>
      </c>
      <c r="O1280" s="42">
        <f t="shared" si="586"/>
        <v>6</v>
      </c>
      <c r="P1280" s="42">
        <f t="shared" si="587"/>
        <v>2026</v>
      </c>
    </row>
    <row r="1281" spans="1:16" x14ac:dyDescent="0.2">
      <c r="A1281" s="21">
        <v>3000000730</v>
      </c>
      <c r="B1281" s="22">
        <v>46176</v>
      </c>
      <c r="C1281" s="20">
        <v>8848172.2400000002</v>
      </c>
      <c r="D1281" s="21" t="s">
        <v>403</v>
      </c>
      <c r="E1281" s="21">
        <v>97124461</v>
      </c>
      <c r="F1281" s="20">
        <v>8848172.2400000002</v>
      </c>
      <c r="G1281" s="22">
        <v>46181</v>
      </c>
      <c r="H1281" s="21" t="s">
        <v>61</v>
      </c>
      <c r="I1281" s="40" t="str">
        <f>IFERROR(IF(VLOOKUP(E1281,extracto!C:C,1,FALSE)=E1281,"pagado","no pagado"),"no pagado")</f>
        <v>pagado</v>
      </c>
      <c r="J1281" s="41" t="str">
        <f t="shared" si="582"/>
        <v>pagado</v>
      </c>
      <c r="K1281" s="40" t="str">
        <f t="shared" ca="1" si="583"/>
        <v>excluir</v>
      </c>
      <c r="L1281" s="40" t="str">
        <f t="shared" ca="1" si="584"/>
        <v>no semana</v>
      </c>
      <c r="M1281" s="40" t="str">
        <f>IFERROR(VLOOKUP(E1281,'cheques a conf'!A:D,4,FALSE),"no clearing")</f>
        <v>no clearing</v>
      </c>
      <c r="N1281" s="40">
        <f t="shared" si="585"/>
        <v>24</v>
      </c>
      <c r="O1281" s="42">
        <f t="shared" si="586"/>
        <v>6</v>
      </c>
      <c r="P1281" s="42">
        <f t="shared" si="587"/>
        <v>2026</v>
      </c>
    </row>
    <row r="1282" spans="1:16" x14ac:dyDescent="0.2">
      <c r="A1282" s="21">
        <v>3000000731</v>
      </c>
      <c r="B1282" s="22">
        <v>46176</v>
      </c>
      <c r="C1282" s="20">
        <v>8566961.3000000007</v>
      </c>
      <c r="D1282" s="21" t="s">
        <v>547</v>
      </c>
      <c r="E1282" s="21">
        <v>97124462</v>
      </c>
      <c r="F1282" s="20">
        <v>8566961.3000000007</v>
      </c>
      <c r="G1282" s="22">
        <v>46181</v>
      </c>
      <c r="H1282" s="21" t="s">
        <v>61</v>
      </c>
      <c r="I1282" s="40" t="str">
        <f>IFERROR(IF(VLOOKUP(E1282,extracto!C:C,1,FALSE)=E1282,"pagado","no pagado"),"no pagado")</f>
        <v>pagado</v>
      </c>
      <c r="J1282" s="41" t="str">
        <f t="shared" si="582"/>
        <v>pagado</v>
      </c>
      <c r="K1282" s="40" t="str">
        <f t="shared" ca="1" si="583"/>
        <v>excluir</v>
      </c>
      <c r="L1282" s="40" t="str">
        <f t="shared" ca="1" si="584"/>
        <v>no semana</v>
      </c>
      <c r="M1282" s="40" t="str">
        <f>IFERROR(VLOOKUP(E1282,'cheques a conf'!A:D,4,FALSE),"no clearing")</f>
        <v>no clearing</v>
      </c>
      <c r="N1282" s="40">
        <f t="shared" si="585"/>
        <v>24</v>
      </c>
      <c r="O1282" s="42">
        <f t="shared" si="586"/>
        <v>6</v>
      </c>
      <c r="P1282" s="42">
        <f t="shared" si="587"/>
        <v>2026</v>
      </c>
    </row>
    <row r="1283" spans="1:16" x14ac:dyDescent="0.2">
      <c r="A1283" s="21">
        <v>3000000748</v>
      </c>
      <c r="B1283" s="22">
        <v>46182</v>
      </c>
      <c r="C1283" s="20">
        <v>386632.5</v>
      </c>
      <c r="D1283" s="21" t="s">
        <v>548</v>
      </c>
      <c r="E1283" s="21">
        <v>97124463</v>
      </c>
      <c r="F1283" s="20">
        <v>386632.5</v>
      </c>
      <c r="G1283" s="22">
        <v>46184</v>
      </c>
      <c r="H1283" s="21" t="s">
        <v>61</v>
      </c>
      <c r="I1283" s="40" t="str">
        <f>IFERROR(IF(VLOOKUP(E1283,extracto!C:C,1,FALSE)=E1283,"pagado","no pagado"),"no pagado")</f>
        <v>pagado</v>
      </c>
      <c r="J1283" s="41" t="str">
        <f t="shared" si="582"/>
        <v>pagado</v>
      </c>
      <c r="K1283" s="40" t="str">
        <f t="shared" ca="1" si="583"/>
        <v>excluir</v>
      </c>
      <c r="L1283" s="40" t="str">
        <f t="shared" ca="1" si="584"/>
        <v>no semana</v>
      </c>
      <c r="M1283" s="40" t="str">
        <f>IFERROR(VLOOKUP(E1283,'cheques a conf'!A:D,4,FALSE),"no clearing")</f>
        <v>no clearing</v>
      </c>
      <c r="N1283" s="40">
        <f t="shared" si="585"/>
        <v>24</v>
      </c>
      <c r="O1283" s="42">
        <f t="shared" si="586"/>
        <v>6</v>
      </c>
      <c r="P1283" s="42">
        <f t="shared" si="587"/>
        <v>2026</v>
      </c>
    </row>
    <row r="1284" spans="1:16" x14ac:dyDescent="0.2">
      <c r="A1284" s="21">
        <v>3000000750</v>
      </c>
      <c r="B1284" s="22">
        <v>46182</v>
      </c>
      <c r="C1284" s="20">
        <v>3930543.4</v>
      </c>
      <c r="D1284" s="21" t="s">
        <v>287</v>
      </c>
      <c r="E1284" s="21">
        <v>97124464</v>
      </c>
      <c r="F1284" s="20">
        <v>3930543.4</v>
      </c>
      <c r="G1284" s="22">
        <v>46185</v>
      </c>
      <c r="H1284" s="21" t="s">
        <v>61</v>
      </c>
      <c r="I1284" s="40" t="str">
        <f>IFERROR(IF(VLOOKUP(E1284,extracto!C:C,1,FALSE)=E1284,"pagado","no pagado"),"no pagado")</f>
        <v>pagado</v>
      </c>
      <c r="J1284" s="41" t="str">
        <f t="shared" si="582"/>
        <v>pagado</v>
      </c>
      <c r="K1284" s="40" t="str">
        <f t="shared" ca="1" si="583"/>
        <v>excluir</v>
      </c>
      <c r="L1284" s="40" t="str">
        <f t="shared" ca="1" si="584"/>
        <v>no semana</v>
      </c>
      <c r="M1284" s="40" t="str">
        <f>IFERROR(VLOOKUP(E1284,'cheques a conf'!A:D,4,FALSE),"no clearing")</f>
        <v>no clearing</v>
      </c>
      <c r="N1284" s="40">
        <f t="shared" si="585"/>
        <v>24</v>
      </c>
      <c r="O1284" s="42">
        <f t="shared" si="586"/>
        <v>6</v>
      </c>
      <c r="P1284" s="42">
        <f t="shared" si="587"/>
        <v>2026</v>
      </c>
    </row>
    <row r="1285" spans="1:16" x14ac:dyDescent="0.2">
      <c r="A1285" s="21">
        <v>3000000751</v>
      </c>
      <c r="B1285" s="22">
        <v>46182</v>
      </c>
      <c r="C1285" s="20">
        <v>4029520</v>
      </c>
      <c r="D1285" s="21" t="s">
        <v>350</v>
      </c>
      <c r="E1285" s="21">
        <v>97124465</v>
      </c>
      <c r="F1285" s="20">
        <v>4029520</v>
      </c>
      <c r="G1285" s="22">
        <v>46185</v>
      </c>
      <c r="H1285" s="21" t="s">
        <v>61</v>
      </c>
      <c r="I1285" s="40" t="str">
        <f>IFERROR(IF(VLOOKUP(E1285,extracto!C:C,1,FALSE)=E1285,"pagado","no pagado"),"no pagado")</f>
        <v>pagado</v>
      </c>
      <c r="J1285" s="41" t="str">
        <f t="shared" si="582"/>
        <v>pagado</v>
      </c>
      <c r="K1285" s="40" t="str">
        <f t="shared" ca="1" si="583"/>
        <v>excluir</v>
      </c>
      <c r="L1285" s="40" t="str">
        <f t="shared" ca="1" si="584"/>
        <v>no semana</v>
      </c>
      <c r="M1285" s="40" t="str">
        <f>IFERROR(VLOOKUP(E1285,'cheques a conf'!A:D,4,FALSE),"no clearing")</f>
        <v>no clearing</v>
      </c>
      <c r="N1285" s="40">
        <f t="shared" si="585"/>
        <v>24</v>
      </c>
      <c r="O1285" s="42">
        <f t="shared" si="586"/>
        <v>6</v>
      </c>
      <c r="P1285" s="42">
        <f t="shared" si="587"/>
        <v>2026</v>
      </c>
    </row>
    <row r="1286" spans="1:16" x14ac:dyDescent="0.2">
      <c r="A1286" s="21">
        <v>3000000752</v>
      </c>
      <c r="B1286" s="22">
        <v>46182</v>
      </c>
      <c r="C1286" s="20">
        <v>7160429.4000000004</v>
      </c>
      <c r="D1286" s="21" t="s">
        <v>284</v>
      </c>
      <c r="E1286" s="21">
        <v>97124466</v>
      </c>
      <c r="F1286" s="20">
        <v>7160429.4000000004</v>
      </c>
      <c r="G1286" s="22">
        <v>46185</v>
      </c>
      <c r="H1286" s="21" t="s">
        <v>61</v>
      </c>
      <c r="I1286" s="40" t="str">
        <f>IFERROR(IF(VLOOKUP(E1286,extracto!C:C,1,FALSE)=E1286,"pagado","no pagado"),"no pagado")</f>
        <v>pagado</v>
      </c>
      <c r="J1286" s="41" t="str">
        <f t="shared" si="582"/>
        <v>pagado</v>
      </c>
      <c r="K1286" s="40" t="str">
        <f t="shared" ca="1" si="583"/>
        <v>excluir</v>
      </c>
      <c r="L1286" s="40" t="str">
        <f t="shared" ca="1" si="584"/>
        <v>no semana</v>
      </c>
      <c r="M1286" s="40" t="str">
        <f>IFERROR(VLOOKUP(E1286,'cheques a conf'!A:D,4,FALSE),"no clearing")</f>
        <v>no clearing</v>
      </c>
      <c r="N1286" s="40">
        <f t="shared" si="585"/>
        <v>24</v>
      </c>
      <c r="O1286" s="42">
        <f t="shared" si="586"/>
        <v>6</v>
      </c>
      <c r="P1286" s="42">
        <f t="shared" si="587"/>
        <v>2026</v>
      </c>
    </row>
    <row r="1287" spans="1:16" x14ac:dyDescent="0.2">
      <c r="A1287" s="21">
        <v>3000000753</v>
      </c>
      <c r="B1287" s="22">
        <v>46182</v>
      </c>
      <c r="C1287" s="20">
        <v>30975818.530000001</v>
      </c>
      <c r="D1287" s="21" t="s">
        <v>366</v>
      </c>
      <c r="E1287" s="21">
        <v>97124467</v>
      </c>
      <c r="F1287" s="20">
        <v>30975818.530000001</v>
      </c>
      <c r="G1287" s="22">
        <v>46185</v>
      </c>
      <c r="H1287" s="21" t="s">
        <v>61</v>
      </c>
      <c r="I1287" s="40" t="str">
        <f>IFERROR(IF(VLOOKUP(E1287,extracto!C:C,1,FALSE)=E1287,"pagado","no pagado"),"no pagado")</f>
        <v>pagado</v>
      </c>
      <c r="J1287" s="41" t="str">
        <f t="shared" ref="J1287:J1302" si="588">IF(I1287="pagado","pagado",IF(G1287&lt;$V$1-30,"fuera de fecha","en periodo de pago"))</f>
        <v>pagado</v>
      </c>
      <c r="K1287" s="40" t="str">
        <f t="shared" ref="K1287:K1302" ca="1" si="589">+IF(B1287&gt;$V$1,"excluir",IF(J1287="en periodo de pago",IF($V$1&gt;G1287,"a pagar","proximo a vencer"),"excluir"))</f>
        <v>excluir</v>
      </c>
      <c r="L1287" s="40" t="str">
        <f t="shared" ref="L1287:L1302" ca="1" si="590">+IF(K1287="proximo a vencer",IF($V$1+5&gt;G1287,"para la semana","no semana"),"no semana")</f>
        <v>no semana</v>
      </c>
      <c r="M1287" s="40" t="str">
        <f>IFERROR(VLOOKUP(E1287,'cheques a conf'!A:D,4,FALSE),"no clearing")</f>
        <v>no clearing</v>
      </c>
      <c r="N1287" s="40">
        <f t="shared" ref="N1287:N1302" si="591">+WEEKNUM(G1287,2)</f>
        <v>24</v>
      </c>
      <c r="O1287" s="42">
        <f t="shared" ref="O1287:O1302" si="592">+MONTH(G1287)</f>
        <v>6</v>
      </c>
      <c r="P1287" s="42">
        <f t="shared" ref="P1287:P1302" si="593">+YEAR(G1287)</f>
        <v>2026</v>
      </c>
    </row>
    <row r="1288" spans="1:16" x14ac:dyDescent="0.2">
      <c r="A1288" s="21">
        <v>3000000767</v>
      </c>
      <c r="B1288" s="22">
        <v>46184</v>
      </c>
      <c r="C1288" s="20">
        <v>6266927.9400000004</v>
      </c>
      <c r="D1288" s="21" t="s">
        <v>354</v>
      </c>
      <c r="E1288" s="21">
        <v>97124468</v>
      </c>
      <c r="F1288" s="20">
        <v>6266927.9400000004</v>
      </c>
      <c r="G1288" s="22">
        <v>46189</v>
      </c>
      <c r="H1288" s="21" t="s">
        <v>61</v>
      </c>
      <c r="I1288" s="40" t="str">
        <f>IFERROR(IF(VLOOKUP(E1288,extracto!C:C,1,FALSE)=E1288,"pagado","no pagado"),"no pagado")</f>
        <v>pagado</v>
      </c>
      <c r="J1288" s="41" t="str">
        <f t="shared" si="588"/>
        <v>pagado</v>
      </c>
      <c r="K1288" s="40" t="str">
        <f t="shared" ca="1" si="589"/>
        <v>excluir</v>
      </c>
      <c r="L1288" s="40" t="str">
        <f t="shared" ca="1" si="590"/>
        <v>no semana</v>
      </c>
      <c r="M1288" s="40" t="str">
        <f>IFERROR(VLOOKUP(E1288,'cheques a conf'!A:D,4,FALSE),"no clearing")</f>
        <v>no clearing</v>
      </c>
      <c r="N1288" s="40">
        <f t="shared" si="591"/>
        <v>25</v>
      </c>
      <c r="O1288" s="42">
        <f t="shared" si="592"/>
        <v>6</v>
      </c>
      <c r="P1288" s="42">
        <f t="shared" si="593"/>
        <v>2026</v>
      </c>
    </row>
    <row r="1289" spans="1:16" x14ac:dyDescent="0.2">
      <c r="A1289" s="21">
        <v>3000000768</v>
      </c>
      <c r="B1289" s="22">
        <v>46184</v>
      </c>
      <c r="C1289" s="20">
        <v>22805764.469999999</v>
      </c>
      <c r="D1289" s="21" t="s">
        <v>359</v>
      </c>
      <c r="E1289" s="21">
        <v>97124469</v>
      </c>
      <c r="F1289" s="20">
        <v>22805764.469999999</v>
      </c>
      <c r="G1289" s="22">
        <v>46190</v>
      </c>
      <c r="H1289" s="21" t="s">
        <v>61</v>
      </c>
      <c r="I1289" s="40" t="str">
        <f>IFERROR(IF(VLOOKUP(E1289,extracto!C:C,1,FALSE)=E1289,"pagado","no pagado"),"no pagado")</f>
        <v>pagado</v>
      </c>
      <c r="J1289" s="41" t="str">
        <f t="shared" si="588"/>
        <v>pagado</v>
      </c>
      <c r="K1289" s="40" t="str">
        <f t="shared" ca="1" si="589"/>
        <v>excluir</v>
      </c>
      <c r="L1289" s="40" t="str">
        <f t="shared" ca="1" si="590"/>
        <v>no semana</v>
      </c>
      <c r="M1289" s="40" t="str">
        <f>IFERROR(VLOOKUP(E1289,'cheques a conf'!A:D,4,FALSE),"no clearing")</f>
        <v>no clearing</v>
      </c>
      <c r="N1289" s="40">
        <f t="shared" si="591"/>
        <v>25</v>
      </c>
      <c r="O1289" s="42">
        <f t="shared" si="592"/>
        <v>6</v>
      </c>
      <c r="P1289" s="42">
        <f t="shared" si="593"/>
        <v>2026</v>
      </c>
    </row>
    <row r="1290" spans="1:16" x14ac:dyDescent="0.2">
      <c r="A1290" s="21">
        <v>3000000769</v>
      </c>
      <c r="B1290" s="22">
        <v>46184</v>
      </c>
      <c r="C1290" s="20">
        <v>11180191.359999999</v>
      </c>
      <c r="D1290" s="21" t="s">
        <v>467</v>
      </c>
      <c r="E1290" s="21">
        <v>97124470</v>
      </c>
      <c r="F1290" s="20">
        <v>11180191.359999999</v>
      </c>
      <c r="G1290" s="22">
        <v>46189</v>
      </c>
      <c r="H1290" s="21" t="s">
        <v>61</v>
      </c>
      <c r="I1290" s="40" t="str">
        <f>IFERROR(IF(VLOOKUP(E1290,extracto!C:C,1,FALSE)=E1290,"pagado","no pagado"),"no pagado")</f>
        <v>pagado</v>
      </c>
      <c r="J1290" s="41" t="str">
        <f t="shared" si="588"/>
        <v>pagado</v>
      </c>
      <c r="K1290" s="40" t="str">
        <f t="shared" ca="1" si="589"/>
        <v>excluir</v>
      </c>
      <c r="L1290" s="40" t="str">
        <f t="shared" ca="1" si="590"/>
        <v>no semana</v>
      </c>
      <c r="M1290" s="40" t="str">
        <f>IFERROR(VLOOKUP(E1290,'cheques a conf'!A:D,4,FALSE),"no clearing")</f>
        <v>no clearing</v>
      </c>
      <c r="N1290" s="40">
        <f t="shared" si="591"/>
        <v>25</v>
      </c>
      <c r="O1290" s="42">
        <f t="shared" si="592"/>
        <v>6</v>
      </c>
      <c r="P1290" s="42">
        <f t="shared" si="593"/>
        <v>2026</v>
      </c>
    </row>
    <row r="1291" spans="1:16" x14ac:dyDescent="0.2">
      <c r="A1291" s="21">
        <v>3000000770</v>
      </c>
      <c r="B1291" s="22">
        <v>46185</v>
      </c>
      <c r="C1291" s="20">
        <v>12469246.310000001</v>
      </c>
      <c r="D1291" s="21" t="s">
        <v>303</v>
      </c>
      <c r="E1291" s="21">
        <v>97124471</v>
      </c>
      <c r="F1291" s="20">
        <v>12469246.310000001</v>
      </c>
      <c r="G1291" s="22">
        <v>46190</v>
      </c>
      <c r="H1291" s="21" t="s">
        <v>61</v>
      </c>
      <c r="I1291" s="40" t="str">
        <f>IFERROR(IF(VLOOKUP(E1291,extracto!C:C,1,FALSE)=E1291,"pagado","no pagado"),"no pagado")</f>
        <v>pagado</v>
      </c>
      <c r="J1291" s="41" t="str">
        <f t="shared" si="588"/>
        <v>pagado</v>
      </c>
      <c r="K1291" s="40" t="str">
        <f t="shared" ca="1" si="589"/>
        <v>excluir</v>
      </c>
      <c r="L1291" s="40" t="str">
        <f t="shared" ca="1" si="590"/>
        <v>no semana</v>
      </c>
      <c r="M1291" s="40" t="str">
        <f>IFERROR(VLOOKUP(E1291,'cheques a conf'!A:D,4,FALSE),"no clearing")</f>
        <v>no clearing</v>
      </c>
      <c r="N1291" s="40">
        <f t="shared" si="591"/>
        <v>25</v>
      </c>
      <c r="O1291" s="42">
        <f t="shared" si="592"/>
        <v>6</v>
      </c>
      <c r="P1291" s="42">
        <f t="shared" si="593"/>
        <v>2026</v>
      </c>
    </row>
    <row r="1292" spans="1:16" x14ac:dyDescent="0.2">
      <c r="A1292" s="21">
        <v>3000000771</v>
      </c>
      <c r="B1292" s="22">
        <v>46185</v>
      </c>
      <c r="C1292" s="20">
        <v>5559589.7300000004</v>
      </c>
      <c r="D1292" s="21" t="s">
        <v>403</v>
      </c>
      <c r="E1292" s="21">
        <v>97124472</v>
      </c>
      <c r="F1292" s="20">
        <v>5559589.7300000004</v>
      </c>
      <c r="G1292" s="22">
        <v>46189</v>
      </c>
      <c r="H1292" s="21" t="s">
        <v>61</v>
      </c>
      <c r="I1292" s="40" t="str">
        <f>IFERROR(IF(VLOOKUP(E1292,extracto!C:C,1,FALSE)=E1292,"pagado","no pagado"),"no pagado")</f>
        <v>pagado</v>
      </c>
      <c r="J1292" s="41" t="str">
        <f t="shared" si="588"/>
        <v>pagado</v>
      </c>
      <c r="K1292" s="40" t="str">
        <f t="shared" ca="1" si="589"/>
        <v>excluir</v>
      </c>
      <c r="L1292" s="40" t="str">
        <f t="shared" ca="1" si="590"/>
        <v>no semana</v>
      </c>
      <c r="M1292" s="40" t="str">
        <f>IFERROR(VLOOKUP(E1292,'cheques a conf'!A:D,4,FALSE),"no clearing")</f>
        <v>no clearing</v>
      </c>
      <c r="N1292" s="40">
        <f t="shared" si="591"/>
        <v>25</v>
      </c>
      <c r="O1292" s="42">
        <f t="shared" si="592"/>
        <v>6</v>
      </c>
      <c r="P1292" s="42">
        <f t="shared" si="593"/>
        <v>2026</v>
      </c>
    </row>
    <row r="1293" spans="1:16" x14ac:dyDescent="0.2">
      <c r="A1293" s="21">
        <v>3000000772</v>
      </c>
      <c r="B1293" s="22">
        <v>46185</v>
      </c>
      <c r="C1293" s="20">
        <v>14191958.359999999</v>
      </c>
      <c r="D1293" s="21" t="s">
        <v>384</v>
      </c>
      <c r="E1293" s="21">
        <v>97124473</v>
      </c>
      <c r="F1293" s="20">
        <v>14191958.359999999</v>
      </c>
      <c r="G1293" s="22">
        <v>46189</v>
      </c>
      <c r="H1293" s="21" t="s">
        <v>61</v>
      </c>
      <c r="I1293" s="40" t="str">
        <f>IFERROR(IF(VLOOKUP(E1293,extracto!C:C,1,FALSE)=E1293,"pagado","no pagado"),"no pagado")</f>
        <v>pagado</v>
      </c>
      <c r="J1293" s="41" t="str">
        <f t="shared" si="588"/>
        <v>pagado</v>
      </c>
      <c r="K1293" s="40" t="str">
        <f t="shared" ca="1" si="589"/>
        <v>excluir</v>
      </c>
      <c r="L1293" s="40" t="str">
        <f t="shared" ca="1" si="590"/>
        <v>no semana</v>
      </c>
      <c r="M1293" s="40" t="str">
        <f>IFERROR(VLOOKUP(E1293,'cheques a conf'!A:D,4,FALSE),"no clearing")</f>
        <v>no clearing</v>
      </c>
      <c r="N1293" s="40">
        <f t="shared" si="591"/>
        <v>25</v>
      </c>
      <c r="O1293" s="42">
        <f t="shared" si="592"/>
        <v>6</v>
      </c>
      <c r="P1293" s="42">
        <f t="shared" si="593"/>
        <v>2026</v>
      </c>
    </row>
    <row r="1294" spans="1:16" x14ac:dyDescent="0.2">
      <c r="A1294" s="21">
        <v>3000000784</v>
      </c>
      <c r="B1294" s="22">
        <v>46189</v>
      </c>
      <c r="C1294" s="20">
        <v>10897105</v>
      </c>
      <c r="D1294" s="21" t="s">
        <v>56</v>
      </c>
      <c r="E1294" s="21">
        <v>97124474</v>
      </c>
      <c r="F1294" s="20">
        <v>10897105</v>
      </c>
      <c r="G1294" s="22">
        <v>46192</v>
      </c>
      <c r="H1294" s="21" t="s">
        <v>61</v>
      </c>
      <c r="I1294" s="40" t="str">
        <f>IFERROR(IF(VLOOKUP(E1294,extracto!C:C,1,FALSE)=E1294,"pagado","no pagado"),"no pagado")</f>
        <v>pagado</v>
      </c>
      <c r="J1294" s="41" t="str">
        <f t="shared" si="588"/>
        <v>pagado</v>
      </c>
      <c r="K1294" s="40" t="str">
        <f t="shared" ca="1" si="589"/>
        <v>excluir</v>
      </c>
      <c r="L1294" s="40" t="str">
        <f t="shared" ca="1" si="590"/>
        <v>no semana</v>
      </c>
      <c r="M1294" s="40" t="str">
        <f>IFERROR(VLOOKUP(E1294,'cheques a conf'!A:D,4,FALSE),"no clearing")</f>
        <v>no clearing</v>
      </c>
      <c r="N1294" s="40">
        <f t="shared" si="591"/>
        <v>25</v>
      </c>
      <c r="O1294" s="42">
        <f t="shared" si="592"/>
        <v>6</v>
      </c>
      <c r="P1294" s="42">
        <f t="shared" si="593"/>
        <v>2026</v>
      </c>
    </row>
    <row r="1295" spans="1:16" x14ac:dyDescent="0.2">
      <c r="A1295" s="21">
        <v>3000000785</v>
      </c>
      <c r="B1295" s="22">
        <v>46189</v>
      </c>
      <c r="C1295" s="20">
        <v>6774027.6399999997</v>
      </c>
      <c r="D1295" s="21" t="s">
        <v>543</v>
      </c>
      <c r="E1295" s="21">
        <v>97124475</v>
      </c>
      <c r="F1295" s="20">
        <v>6774027.6399999997</v>
      </c>
      <c r="G1295" s="22">
        <v>46192</v>
      </c>
      <c r="H1295" s="21" t="s">
        <v>61</v>
      </c>
      <c r="I1295" s="40" t="str">
        <f>IFERROR(IF(VLOOKUP(E1295,extracto!C:C,1,FALSE)=E1295,"pagado","no pagado"),"no pagado")</f>
        <v>pagado</v>
      </c>
      <c r="J1295" s="41" t="str">
        <f t="shared" si="588"/>
        <v>pagado</v>
      </c>
      <c r="K1295" s="40" t="str">
        <f t="shared" ca="1" si="589"/>
        <v>excluir</v>
      </c>
      <c r="L1295" s="40" t="str">
        <f t="shared" ca="1" si="590"/>
        <v>no semana</v>
      </c>
      <c r="M1295" s="40" t="str">
        <f>IFERROR(VLOOKUP(E1295,'cheques a conf'!A:D,4,FALSE),"no clearing")</f>
        <v>no clearing</v>
      </c>
      <c r="N1295" s="40">
        <f t="shared" si="591"/>
        <v>25</v>
      </c>
      <c r="O1295" s="42">
        <f t="shared" si="592"/>
        <v>6</v>
      </c>
      <c r="P1295" s="42">
        <f t="shared" si="593"/>
        <v>2026</v>
      </c>
    </row>
    <row r="1296" spans="1:16" x14ac:dyDescent="0.2">
      <c r="A1296" s="21">
        <v>3000000786</v>
      </c>
      <c r="B1296" s="22">
        <v>46189</v>
      </c>
      <c r="C1296" s="20">
        <v>11517045.15</v>
      </c>
      <c r="D1296" s="21" t="s">
        <v>365</v>
      </c>
      <c r="E1296" s="21">
        <v>97124476</v>
      </c>
      <c r="F1296" s="20">
        <v>11517045.15</v>
      </c>
      <c r="G1296" s="22">
        <v>46192</v>
      </c>
      <c r="H1296" s="21" t="s">
        <v>61</v>
      </c>
      <c r="I1296" s="40" t="str">
        <f>IFERROR(IF(VLOOKUP(E1296,extracto!C:C,1,FALSE)=E1296,"pagado","no pagado"),"no pagado")</f>
        <v>pagado</v>
      </c>
      <c r="J1296" s="41" t="str">
        <f t="shared" si="588"/>
        <v>pagado</v>
      </c>
      <c r="K1296" s="40" t="str">
        <f t="shared" ca="1" si="589"/>
        <v>excluir</v>
      </c>
      <c r="L1296" s="40" t="str">
        <f t="shared" ca="1" si="590"/>
        <v>no semana</v>
      </c>
      <c r="M1296" s="40" t="str">
        <f>IFERROR(VLOOKUP(E1296,'cheques a conf'!A:D,4,FALSE),"no clearing")</f>
        <v>no clearing</v>
      </c>
      <c r="N1296" s="40">
        <f t="shared" si="591"/>
        <v>25</v>
      </c>
      <c r="O1296" s="42">
        <f t="shared" si="592"/>
        <v>6</v>
      </c>
      <c r="P1296" s="42">
        <f t="shared" si="593"/>
        <v>2026</v>
      </c>
    </row>
    <row r="1297" spans="1:16" x14ac:dyDescent="0.2">
      <c r="A1297" s="21">
        <v>3000000787</v>
      </c>
      <c r="B1297" s="22">
        <v>46189</v>
      </c>
      <c r="C1297" s="20">
        <v>11485588.4</v>
      </c>
      <c r="D1297" s="21" t="s">
        <v>138</v>
      </c>
      <c r="E1297" s="21">
        <v>97124477</v>
      </c>
      <c r="F1297" s="20">
        <v>11485588.4</v>
      </c>
      <c r="G1297" s="22">
        <v>46192</v>
      </c>
      <c r="H1297" s="21" t="s">
        <v>61</v>
      </c>
      <c r="I1297" s="40" t="str">
        <f>IFERROR(IF(VLOOKUP(E1297,extracto!C:C,1,FALSE)=E1297,"pagado","no pagado"),"no pagado")</f>
        <v>pagado</v>
      </c>
      <c r="J1297" s="41" t="str">
        <f t="shared" si="588"/>
        <v>pagado</v>
      </c>
      <c r="K1297" s="40" t="str">
        <f t="shared" ca="1" si="589"/>
        <v>excluir</v>
      </c>
      <c r="L1297" s="40" t="str">
        <f t="shared" ca="1" si="590"/>
        <v>no semana</v>
      </c>
      <c r="M1297" s="40" t="str">
        <f>IFERROR(VLOOKUP(E1297,'cheques a conf'!A:D,4,FALSE),"no clearing")</f>
        <v>no clearing</v>
      </c>
      <c r="N1297" s="40">
        <f t="shared" si="591"/>
        <v>25</v>
      </c>
      <c r="O1297" s="42">
        <f t="shared" si="592"/>
        <v>6</v>
      </c>
      <c r="P1297" s="42">
        <f t="shared" si="593"/>
        <v>2026</v>
      </c>
    </row>
    <row r="1298" spans="1:16" x14ac:dyDescent="0.2">
      <c r="A1298" s="21">
        <v>3000000788</v>
      </c>
      <c r="B1298" s="22">
        <v>46189</v>
      </c>
      <c r="C1298" s="20">
        <v>20517150.07</v>
      </c>
      <c r="D1298" s="21" t="s">
        <v>300</v>
      </c>
      <c r="E1298" s="21">
        <v>97124478</v>
      </c>
      <c r="F1298" s="20">
        <v>20517150.07</v>
      </c>
      <c r="G1298" s="22">
        <v>46192</v>
      </c>
      <c r="H1298" s="21" t="s">
        <v>61</v>
      </c>
      <c r="I1298" s="40" t="str">
        <f>IFERROR(IF(VLOOKUP(E1298,extracto!C:C,1,FALSE)=E1298,"pagado","no pagado"),"no pagado")</f>
        <v>pagado</v>
      </c>
      <c r="J1298" s="41" t="str">
        <f t="shared" si="588"/>
        <v>pagado</v>
      </c>
      <c r="K1298" s="40" t="str">
        <f t="shared" ca="1" si="589"/>
        <v>excluir</v>
      </c>
      <c r="L1298" s="40" t="str">
        <f t="shared" ca="1" si="590"/>
        <v>no semana</v>
      </c>
      <c r="M1298" s="40" t="str">
        <f>IFERROR(VLOOKUP(E1298,'cheques a conf'!A:D,4,FALSE),"no clearing")</f>
        <v>no clearing</v>
      </c>
      <c r="N1298" s="40">
        <f t="shared" si="591"/>
        <v>25</v>
      </c>
      <c r="O1298" s="42">
        <f t="shared" si="592"/>
        <v>6</v>
      </c>
      <c r="P1298" s="42">
        <f t="shared" si="593"/>
        <v>2026</v>
      </c>
    </row>
    <row r="1299" spans="1:16" x14ac:dyDescent="0.2">
      <c r="A1299" s="21">
        <v>3000000789</v>
      </c>
      <c r="B1299" s="22">
        <v>46189</v>
      </c>
      <c r="C1299" s="20">
        <v>25452864.899999999</v>
      </c>
      <c r="D1299" s="21" t="s">
        <v>289</v>
      </c>
      <c r="E1299" s="21">
        <v>97124479</v>
      </c>
      <c r="F1299" s="20">
        <v>25452864.899999999</v>
      </c>
      <c r="G1299" s="22">
        <v>46192</v>
      </c>
      <c r="H1299" s="21" t="s">
        <v>61</v>
      </c>
      <c r="I1299" s="40" t="str">
        <f>IFERROR(IF(VLOOKUP(E1299,extracto!C:C,1,FALSE)=E1299,"pagado","no pagado"),"no pagado")</f>
        <v>pagado</v>
      </c>
      <c r="J1299" s="41" t="str">
        <f t="shared" si="588"/>
        <v>pagado</v>
      </c>
      <c r="K1299" s="40" t="str">
        <f t="shared" ca="1" si="589"/>
        <v>excluir</v>
      </c>
      <c r="L1299" s="40" t="str">
        <f t="shared" ca="1" si="590"/>
        <v>no semana</v>
      </c>
      <c r="M1299" s="40" t="str">
        <f>IFERROR(VLOOKUP(E1299,'cheques a conf'!A:D,4,FALSE),"no clearing")</f>
        <v>no clearing</v>
      </c>
      <c r="N1299" s="40">
        <f t="shared" si="591"/>
        <v>25</v>
      </c>
      <c r="O1299" s="42">
        <f t="shared" si="592"/>
        <v>6</v>
      </c>
      <c r="P1299" s="42">
        <f t="shared" si="593"/>
        <v>2026</v>
      </c>
    </row>
    <row r="1300" spans="1:16" x14ac:dyDescent="0.2">
      <c r="A1300" s="21">
        <v>3000000790</v>
      </c>
      <c r="B1300" s="22">
        <v>46189</v>
      </c>
      <c r="C1300" s="20">
        <v>8802519.6999999993</v>
      </c>
      <c r="D1300" s="21" t="s">
        <v>284</v>
      </c>
      <c r="E1300" s="21">
        <v>97124480</v>
      </c>
      <c r="F1300" s="20">
        <v>8802519.6999999993</v>
      </c>
      <c r="G1300" s="22">
        <v>46192</v>
      </c>
      <c r="H1300" s="21" t="s">
        <v>61</v>
      </c>
      <c r="I1300" s="40" t="str">
        <f>IFERROR(IF(VLOOKUP(E1300,extracto!C:C,1,FALSE)=E1300,"pagado","no pagado"),"no pagado")</f>
        <v>pagado</v>
      </c>
      <c r="J1300" s="41" t="str">
        <f t="shared" si="588"/>
        <v>pagado</v>
      </c>
      <c r="K1300" s="40" t="str">
        <f t="shared" ca="1" si="589"/>
        <v>excluir</v>
      </c>
      <c r="L1300" s="40" t="str">
        <f t="shared" ca="1" si="590"/>
        <v>no semana</v>
      </c>
      <c r="M1300" s="40" t="str">
        <f>IFERROR(VLOOKUP(E1300,'cheques a conf'!A:D,4,FALSE),"no clearing")</f>
        <v>no clearing</v>
      </c>
      <c r="N1300" s="40">
        <f t="shared" si="591"/>
        <v>25</v>
      </c>
      <c r="O1300" s="42">
        <f t="shared" si="592"/>
        <v>6</v>
      </c>
      <c r="P1300" s="42">
        <f t="shared" si="593"/>
        <v>2026</v>
      </c>
    </row>
    <row r="1301" spans="1:16" x14ac:dyDescent="0.2">
      <c r="A1301" s="21">
        <v>3000000791</v>
      </c>
      <c r="B1301" s="22">
        <v>46189</v>
      </c>
      <c r="C1301" s="20">
        <v>21621949.449999999</v>
      </c>
      <c r="D1301" s="21" t="s">
        <v>350</v>
      </c>
      <c r="E1301" s="21">
        <v>97124481</v>
      </c>
      <c r="F1301" s="20">
        <v>21621949.449999999</v>
      </c>
      <c r="G1301" s="22">
        <v>46192</v>
      </c>
      <c r="H1301" s="21" t="s">
        <v>61</v>
      </c>
      <c r="I1301" s="40" t="str">
        <f>IFERROR(IF(VLOOKUP(E1301,extracto!C:C,1,FALSE)=E1301,"pagado","no pagado"),"no pagado")</f>
        <v>pagado</v>
      </c>
      <c r="J1301" s="41" t="str">
        <f t="shared" si="588"/>
        <v>pagado</v>
      </c>
      <c r="K1301" s="40" t="str">
        <f t="shared" ca="1" si="589"/>
        <v>excluir</v>
      </c>
      <c r="L1301" s="40" t="str">
        <f t="shared" ca="1" si="590"/>
        <v>no semana</v>
      </c>
      <c r="M1301" s="40" t="str">
        <f>IFERROR(VLOOKUP(E1301,'cheques a conf'!A:D,4,FALSE),"no clearing")</f>
        <v>no clearing</v>
      </c>
      <c r="N1301" s="40">
        <f t="shared" si="591"/>
        <v>25</v>
      </c>
      <c r="O1301" s="42">
        <f t="shared" si="592"/>
        <v>6</v>
      </c>
      <c r="P1301" s="42">
        <f t="shared" si="593"/>
        <v>2026</v>
      </c>
    </row>
    <row r="1302" spans="1:16" x14ac:dyDescent="0.2">
      <c r="A1302" s="21">
        <v>3000000793</v>
      </c>
      <c r="B1302" s="22">
        <v>46190</v>
      </c>
      <c r="C1302" s="20">
        <v>6035817.04</v>
      </c>
      <c r="D1302" s="21" t="s">
        <v>26</v>
      </c>
      <c r="E1302" s="21">
        <v>97124482</v>
      </c>
      <c r="F1302" s="20">
        <v>6035817.04</v>
      </c>
      <c r="G1302" s="22">
        <v>46195</v>
      </c>
      <c r="H1302" s="21" t="s">
        <v>61</v>
      </c>
      <c r="I1302" s="40" t="str">
        <f>IFERROR(IF(VLOOKUP(E1302,extracto!C:C,1,FALSE)=E1302,"pagado","no pagado"),"no pagado")</f>
        <v>pagado</v>
      </c>
      <c r="J1302" s="41" t="str">
        <f t="shared" si="588"/>
        <v>pagado</v>
      </c>
      <c r="K1302" s="40" t="str">
        <f t="shared" ca="1" si="589"/>
        <v>excluir</v>
      </c>
      <c r="L1302" s="40" t="str">
        <f t="shared" ca="1" si="590"/>
        <v>no semana</v>
      </c>
      <c r="M1302" s="40" t="str">
        <f>IFERROR(VLOOKUP(E1302,'cheques a conf'!A:D,4,FALSE),"no clearing")</f>
        <v>no clearing</v>
      </c>
      <c r="N1302" s="40">
        <f t="shared" si="591"/>
        <v>26</v>
      </c>
      <c r="O1302" s="42">
        <f t="shared" si="592"/>
        <v>6</v>
      </c>
      <c r="P1302" s="42">
        <f t="shared" si="593"/>
        <v>2026</v>
      </c>
    </row>
    <row r="1303" spans="1:16" x14ac:dyDescent="0.2">
      <c r="A1303" s="21">
        <v>3000000794</v>
      </c>
      <c r="B1303" s="22">
        <v>46190</v>
      </c>
      <c r="C1303" s="20">
        <v>41101116.460000001</v>
      </c>
      <c r="D1303" s="21" t="s">
        <v>393</v>
      </c>
      <c r="E1303" s="21">
        <v>97124483</v>
      </c>
      <c r="F1303" s="20">
        <v>41101116.460000001</v>
      </c>
      <c r="G1303" s="22">
        <v>46195</v>
      </c>
      <c r="H1303" s="21" t="s">
        <v>61</v>
      </c>
      <c r="I1303" s="40" t="str">
        <f>IFERROR(IF(VLOOKUP(E1303,extracto!C:C,1,FALSE)=E1303,"pagado","no pagado"),"no pagado")</f>
        <v>pagado</v>
      </c>
      <c r="J1303" s="41" t="str">
        <f t="shared" ref="J1303:J1334" si="594">IF(I1303="pagado","pagado",IF(G1303&lt;$V$1-30,"fuera de fecha","en periodo de pago"))</f>
        <v>pagado</v>
      </c>
      <c r="K1303" s="40" t="str">
        <f t="shared" ref="K1303:K1334" ca="1" si="595">+IF(B1303&gt;$V$1,"excluir",IF(J1303="en periodo de pago",IF($V$1&gt;G1303,"a pagar","proximo a vencer"),"excluir"))</f>
        <v>excluir</v>
      </c>
      <c r="L1303" s="40" t="str">
        <f t="shared" ref="L1303:L1334" ca="1" si="596">+IF(K1303="proximo a vencer",IF($V$1+5&gt;G1303,"para la semana","no semana"),"no semana")</f>
        <v>no semana</v>
      </c>
      <c r="M1303" s="40" t="str">
        <f>IFERROR(VLOOKUP(E1303,'cheques a conf'!A:D,4,FALSE),"no clearing")</f>
        <v>no clearing</v>
      </c>
      <c r="N1303" s="40">
        <f t="shared" ref="N1303:N1334" si="597">+WEEKNUM(G1303,2)</f>
        <v>26</v>
      </c>
      <c r="O1303" s="42">
        <f t="shared" ref="O1303:O1334" si="598">+MONTH(G1303)</f>
        <v>6</v>
      </c>
      <c r="P1303" s="42">
        <f t="shared" ref="P1303:P1334" si="599">+YEAR(G1303)</f>
        <v>2026</v>
      </c>
    </row>
    <row r="1304" spans="1:16" x14ac:dyDescent="0.2">
      <c r="A1304" s="21">
        <v>3000000795</v>
      </c>
      <c r="B1304" s="22">
        <v>46190</v>
      </c>
      <c r="C1304" s="20">
        <v>10343247.779999999</v>
      </c>
      <c r="D1304" s="21" t="s">
        <v>392</v>
      </c>
      <c r="E1304" s="21">
        <v>97124484</v>
      </c>
      <c r="F1304" s="20">
        <v>10343247.779999999</v>
      </c>
      <c r="G1304" s="22">
        <v>46195</v>
      </c>
      <c r="H1304" s="21" t="s">
        <v>61</v>
      </c>
      <c r="I1304" s="40" t="str">
        <f>IFERROR(IF(VLOOKUP(E1304,extracto!C:C,1,FALSE)=E1304,"pagado","no pagado"),"no pagado")</f>
        <v>pagado</v>
      </c>
      <c r="J1304" s="41" t="str">
        <f t="shared" si="594"/>
        <v>pagado</v>
      </c>
      <c r="K1304" s="40" t="str">
        <f t="shared" ca="1" si="595"/>
        <v>excluir</v>
      </c>
      <c r="L1304" s="40" t="str">
        <f t="shared" ca="1" si="596"/>
        <v>no semana</v>
      </c>
      <c r="M1304" s="40" t="str">
        <f>IFERROR(VLOOKUP(E1304,'cheques a conf'!A:D,4,FALSE),"no clearing")</f>
        <v>no clearing</v>
      </c>
      <c r="N1304" s="40">
        <f t="shared" si="597"/>
        <v>26</v>
      </c>
      <c r="O1304" s="42">
        <f t="shared" si="598"/>
        <v>6</v>
      </c>
      <c r="P1304" s="42">
        <f t="shared" si="599"/>
        <v>2026</v>
      </c>
    </row>
    <row r="1305" spans="1:16" x14ac:dyDescent="0.2">
      <c r="A1305" s="21">
        <v>3000000796</v>
      </c>
      <c r="B1305" s="22">
        <v>46190</v>
      </c>
      <c r="C1305" s="20">
        <v>11355557.26</v>
      </c>
      <c r="D1305" s="21" t="s">
        <v>338</v>
      </c>
      <c r="E1305" s="21">
        <v>97124485</v>
      </c>
      <c r="F1305" s="20">
        <v>11355557.26</v>
      </c>
      <c r="G1305" s="22">
        <v>46195</v>
      </c>
      <c r="H1305" s="21" t="s">
        <v>61</v>
      </c>
      <c r="I1305" s="40" t="str">
        <f>IFERROR(IF(VLOOKUP(E1305,extracto!C:C,1,FALSE)=E1305,"pagado","no pagado"),"no pagado")</f>
        <v>pagado</v>
      </c>
      <c r="J1305" s="41" t="str">
        <f t="shared" si="594"/>
        <v>pagado</v>
      </c>
      <c r="K1305" s="40" t="str">
        <f t="shared" ca="1" si="595"/>
        <v>excluir</v>
      </c>
      <c r="L1305" s="40" t="str">
        <f t="shared" ca="1" si="596"/>
        <v>no semana</v>
      </c>
      <c r="M1305" s="40" t="str">
        <f>IFERROR(VLOOKUP(E1305,'cheques a conf'!A:D,4,FALSE),"no clearing")</f>
        <v>no clearing</v>
      </c>
      <c r="N1305" s="40">
        <f t="shared" si="597"/>
        <v>26</v>
      </c>
      <c r="O1305" s="42">
        <f t="shared" si="598"/>
        <v>6</v>
      </c>
      <c r="P1305" s="42">
        <f t="shared" si="599"/>
        <v>2026</v>
      </c>
    </row>
    <row r="1306" spans="1:16" x14ac:dyDescent="0.2">
      <c r="A1306" s="21">
        <v>3000000797</v>
      </c>
      <c r="B1306" s="22">
        <v>46190</v>
      </c>
      <c r="C1306" s="20">
        <v>37723375.840000004</v>
      </c>
      <c r="D1306" s="21" t="s">
        <v>398</v>
      </c>
      <c r="E1306" s="21">
        <v>97124486</v>
      </c>
      <c r="F1306" s="20">
        <v>37723375.840000004</v>
      </c>
      <c r="G1306" s="22">
        <v>46195</v>
      </c>
      <c r="H1306" s="21" t="s">
        <v>61</v>
      </c>
      <c r="I1306" s="40" t="str">
        <f>IFERROR(IF(VLOOKUP(E1306,extracto!C:C,1,FALSE)=E1306,"pagado","no pagado"),"no pagado")</f>
        <v>pagado</v>
      </c>
      <c r="J1306" s="41" t="str">
        <f t="shared" si="594"/>
        <v>pagado</v>
      </c>
      <c r="K1306" s="40" t="str">
        <f t="shared" ca="1" si="595"/>
        <v>excluir</v>
      </c>
      <c r="L1306" s="40" t="str">
        <f t="shared" ca="1" si="596"/>
        <v>no semana</v>
      </c>
      <c r="M1306" s="40" t="str">
        <f>IFERROR(VLOOKUP(E1306,'cheques a conf'!A:D,4,FALSE),"no clearing")</f>
        <v>no clearing</v>
      </c>
      <c r="N1306" s="40">
        <f t="shared" si="597"/>
        <v>26</v>
      </c>
      <c r="O1306" s="42">
        <f t="shared" si="598"/>
        <v>6</v>
      </c>
      <c r="P1306" s="42">
        <f t="shared" si="599"/>
        <v>2026</v>
      </c>
    </row>
    <row r="1307" spans="1:16" x14ac:dyDescent="0.2">
      <c r="A1307" s="21">
        <v>3000000798</v>
      </c>
      <c r="B1307" s="22">
        <v>46190</v>
      </c>
      <c r="C1307" s="20">
        <v>7284326.3700000001</v>
      </c>
      <c r="D1307" s="21" t="s">
        <v>303</v>
      </c>
      <c r="E1307" s="21">
        <v>97124487</v>
      </c>
      <c r="F1307" s="20">
        <v>7284326.3700000001</v>
      </c>
      <c r="G1307" s="22">
        <v>46195</v>
      </c>
      <c r="H1307" s="21" t="s">
        <v>61</v>
      </c>
      <c r="I1307" s="40" t="str">
        <f>IFERROR(IF(VLOOKUP(E1307,extracto!C:C,1,FALSE)=E1307,"pagado","no pagado"),"no pagado")</f>
        <v>pagado</v>
      </c>
      <c r="J1307" s="41" t="str">
        <f t="shared" si="594"/>
        <v>pagado</v>
      </c>
      <c r="K1307" s="40" t="str">
        <f t="shared" ca="1" si="595"/>
        <v>excluir</v>
      </c>
      <c r="L1307" s="40" t="str">
        <f t="shared" ca="1" si="596"/>
        <v>no semana</v>
      </c>
      <c r="M1307" s="40" t="str">
        <f>IFERROR(VLOOKUP(E1307,'cheques a conf'!A:D,4,FALSE),"no clearing")</f>
        <v>no clearing</v>
      </c>
      <c r="N1307" s="40">
        <f t="shared" si="597"/>
        <v>26</v>
      </c>
      <c r="O1307" s="42">
        <f t="shared" si="598"/>
        <v>6</v>
      </c>
      <c r="P1307" s="42">
        <f t="shared" si="599"/>
        <v>2026</v>
      </c>
    </row>
    <row r="1308" spans="1:16" x14ac:dyDescent="0.2">
      <c r="A1308" s="21">
        <v>3000000799</v>
      </c>
      <c r="B1308" s="22">
        <v>46190</v>
      </c>
      <c r="C1308" s="20">
        <v>14125784.199999999</v>
      </c>
      <c r="D1308" s="21" t="s">
        <v>307</v>
      </c>
      <c r="E1308" s="21">
        <v>97124488</v>
      </c>
      <c r="F1308" s="20">
        <v>14125784.199999999</v>
      </c>
      <c r="G1308" s="22">
        <v>46195</v>
      </c>
      <c r="H1308" s="21" t="s">
        <v>61</v>
      </c>
      <c r="I1308" s="40" t="str">
        <f>IFERROR(IF(VLOOKUP(E1308,extracto!C:C,1,FALSE)=E1308,"pagado","no pagado"),"no pagado")</f>
        <v>pagado</v>
      </c>
      <c r="J1308" s="41" t="str">
        <f t="shared" si="594"/>
        <v>pagado</v>
      </c>
      <c r="K1308" s="40" t="str">
        <f t="shared" ca="1" si="595"/>
        <v>excluir</v>
      </c>
      <c r="L1308" s="40" t="str">
        <f t="shared" ca="1" si="596"/>
        <v>no semana</v>
      </c>
      <c r="M1308" s="40" t="str">
        <f>IFERROR(VLOOKUP(E1308,'cheques a conf'!A:D,4,FALSE),"no clearing")</f>
        <v>no clearing</v>
      </c>
      <c r="N1308" s="40">
        <f t="shared" si="597"/>
        <v>26</v>
      </c>
      <c r="O1308" s="42">
        <f t="shared" si="598"/>
        <v>6</v>
      </c>
      <c r="P1308" s="42">
        <f t="shared" si="599"/>
        <v>2026</v>
      </c>
    </row>
    <row r="1309" spans="1:16" x14ac:dyDescent="0.2">
      <c r="A1309" s="21">
        <v>3000000800</v>
      </c>
      <c r="B1309" s="22">
        <v>46190</v>
      </c>
      <c r="C1309" s="20">
        <v>8687299.3599999994</v>
      </c>
      <c r="D1309" s="21" t="s">
        <v>371</v>
      </c>
      <c r="E1309" s="21">
        <v>97124489</v>
      </c>
      <c r="F1309" s="20">
        <v>8687299.3599999994</v>
      </c>
      <c r="G1309" s="22">
        <v>46195</v>
      </c>
      <c r="H1309" s="21" t="s">
        <v>61</v>
      </c>
      <c r="I1309" s="40" t="str">
        <f>IFERROR(IF(VLOOKUP(E1309,extracto!C:C,1,FALSE)=E1309,"pagado","no pagado"),"no pagado")</f>
        <v>pagado</v>
      </c>
      <c r="J1309" s="41" t="str">
        <f t="shared" si="594"/>
        <v>pagado</v>
      </c>
      <c r="K1309" s="40" t="str">
        <f t="shared" ca="1" si="595"/>
        <v>excluir</v>
      </c>
      <c r="L1309" s="40" t="str">
        <f t="shared" ca="1" si="596"/>
        <v>no semana</v>
      </c>
      <c r="M1309" s="40" t="str">
        <f>IFERROR(VLOOKUP(E1309,'cheques a conf'!A:D,4,FALSE),"no clearing")</f>
        <v>no clearing</v>
      </c>
      <c r="N1309" s="40">
        <f t="shared" si="597"/>
        <v>26</v>
      </c>
      <c r="O1309" s="42">
        <f t="shared" si="598"/>
        <v>6</v>
      </c>
      <c r="P1309" s="42">
        <f t="shared" si="599"/>
        <v>2026</v>
      </c>
    </row>
    <row r="1310" spans="1:16" x14ac:dyDescent="0.2">
      <c r="A1310" s="21">
        <v>3000000824</v>
      </c>
      <c r="B1310" s="22">
        <v>46195</v>
      </c>
      <c r="C1310" s="20">
        <v>14822176.32</v>
      </c>
      <c r="D1310" s="21" t="s">
        <v>360</v>
      </c>
      <c r="E1310" s="21">
        <v>97124490</v>
      </c>
      <c r="F1310" s="20">
        <v>14822176.32</v>
      </c>
      <c r="G1310" s="22">
        <v>46198</v>
      </c>
      <c r="H1310" s="21" t="s">
        <v>61</v>
      </c>
      <c r="I1310" s="40" t="str">
        <f>IFERROR(IF(VLOOKUP(E1310,extracto!C:C,1,FALSE)=E1310,"pagado","no pagado"),"no pagado")</f>
        <v>pagado</v>
      </c>
      <c r="J1310" s="41" t="str">
        <f t="shared" si="594"/>
        <v>pagado</v>
      </c>
      <c r="K1310" s="40" t="str">
        <f t="shared" ca="1" si="595"/>
        <v>excluir</v>
      </c>
      <c r="L1310" s="40" t="str">
        <f t="shared" ca="1" si="596"/>
        <v>no semana</v>
      </c>
      <c r="M1310" s="40" t="str">
        <f>IFERROR(VLOOKUP(E1310,'cheques a conf'!A:D,4,FALSE),"no clearing")</f>
        <v>no clearing</v>
      </c>
      <c r="N1310" s="40">
        <f t="shared" si="597"/>
        <v>26</v>
      </c>
      <c r="O1310" s="42">
        <f t="shared" si="598"/>
        <v>6</v>
      </c>
      <c r="P1310" s="42">
        <f t="shared" si="599"/>
        <v>2026</v>
      </c>
    </row>
    <row r="1311" spans="1:16" x14ac:dyDescent="0.2">
      <c r="A1311" s="21">
        <v>3000000825</v>
      </c>
      <c r="B1311" s="22">
        <v>46195</v>
      </c>
      <c r="C1311" s="20">
        <v>5539094.4299999997</v>
      </c>
      <c r="D1311" s="21" t="s">
        <v>400</v>
      </c>
      <c r="E1311" s="21">
        <v>97124491</v>
      </c>
      <c r="F1311" s="20">
        <v>5539094.4299999997</v>
      </c>
      <c r="G1311" s="22">
        <v>46198</v>
      </c>
      <c r="H1311" s="21" t="s">
        <v>61</v>
      </c>
      <c r="I1311" s="40" t="str">
        <f>IFERROR(IF(VLOOKUP(E1311,extracto!C:C,1,FALSE)=E1311,"pagado","no pagado"),"no pagado")</f>
        <v>pagado</v>
      </c>
      <c r="J1311" s="41" t="str">
        <f t="shared" si="594"/>
        <v>pagado</v>
      </c>
      <c r="K1311" s="40" t="str">
        <f t="shared" ca="1" si="595"/>
        <v>excluir</v>
      </c>
      <c r="L1311" s="40" t="str">
        <f t="shared" ca="1" si="596"/>
        <v>no semana</v>
      </c>
      <c r="M1311" s="40" t="str">
        <f>IFERROR(VLOOKUP(E1311,'cheques a conf'!A:D,4,FALSE),"no clearing")</f>
        <v>no clearing</v>
      </c>
      <c r="N1311" s="40">
        <f t="shared" si="597"/>
        <v>26</v>
      </c>
      <c r="O1311" s="42">
        <f t="shared" si="598"/>
        <v>6</v>
      </c>
      <c r="P1311" s="42">
        <f t="shared" si="599"/>
        <v>2026</v>
      </c>
    </row>
    <row r="1312" spans="1:16" x14ac:dyDescent="0.2">
      <c r="A1312" s="21">
        <v>3000000826</v>
      </c>
      <c r="B1312" s="22">
        <v>46195</v>
      </c>
      <c r="C1312" s="20">
        <v>9873160</v>
      </c>
      <c r="D1312" s="21" t="s">
        <v>287</v>
      </c>
      <c r="E1312" s="21">
        <v>97124492</v>
      </c>
      <c r="F1312" s="20">
        <v>9873160</v>
      </c>
      <c r="G1312" s="22">
        <v>46198</v>
      </c>
      <c r="H1312" s="21" t="s">
        <v>61</v>
      </c>
      <c r="I1312" s="40" t="str">
        <f>IFERROR(IF(VLOOKUP(E1312,extracto!C:C,1,FALSE)=E1312,"pagado","no pagado"),"no pagado")</f>
        <v>pagado</v>
      </c>
      <c r="J1312" s="41" t="str">
        <f t="shared" si="594"/>
        <v>pagado</v>
      </c>
      <c r="K1312" s="40" t="str">
        <f t="shared" ca="1" si="595"/>
        <v>excluir</v>
      </c>
      <c r="L1312" s="40" t="str">
        <f t="shared" ca="1" si="596"/>
        <v>no semana</v>
      </c>
      <c r="M1312" s="40" t="str">
        <f>IFERROR(VLOOKUP(E1312,'cheques a conf'!A:D,4,FALSE),"no clearing")</f>
        <v>no clearing</v>
      </c>
      <c r="N1312" s="40">
        <f t="shared" si="597"/>
        <v>26</v>
      </c>
      <c r="O1312" s="42">
        <f t="shared" si="598"/>
        <v>6</v>
      </c>
      <c r="P1312" s="42">
        <f t="shared" si="599"/>
        <v>2026</v>
      </c>
    </row>
    <row r="1313" spans="1:16" x14ac:dyDescent="0.2">
      <c r="A1313" s="21">
        <v>3000000827</v>
      </c>
      <c r="B1313" s="22">
        <v>46195</v>
      </c>
      <c r="C1313" s="20">
        <v>9808121.3300000001</v>
      </c>
      <c r="D1313" s="21" t="s">
        <v>346</v>
      </c>
      <c r="E1313" s="21">
        <v>97124493</v>
      </c>
      <c r="F1313" s="20">
        <v>9808121.3300000001</v>
      </c>
      <c r="G1313" s="22">
        <v>46198</v>
      </c>
      <c r="H1313" s="21" t="s">
        <v>61</v>
      </c>
      <c r="I1313" s="40" t="str">
        <f>IFERROR(IF(VLOOKUP(E1313,extracto!C:C,1,FALSE)=E1313,"pagado","no pagado"),"no pagado")</f>
        <v>pagado</v>
      </c>
      <c r="J1313" s="41" t="str">
        <f t="shared" si="594"/>
        <v>pagado</v>
      </c>
      <c r="K1313" s="40" t="str">
        <f t="shared" ca="1" si="595"/>
        <v>excluir</v>
      </c>
      <c r="L1313" s="40" t="str">
        <f t="shared" ca="1" si="596"/>
        <v>no semana</v>
      </c>
      <c r="M1313" s="40" t="str">
        <f>IFERROR(VLOOKUP(E1313,'cheques a conf'!A:D,4,FALSE),"no clearing")</f>
        <v>no clearing</v>
      </c>
      <c r="N1313" s="40">
        <f t="shared" si="597"/>
        <v>26</v>
      </c>
      <c r="O1313" s="42">
        <f t="shared" si="598"/>
        <v>6</v>
      </c>
      <c r="P1313" s="42">
        <f t="shared" si="599"/>
        <v>2026</v>
      </c>
    </row>
    <row r="1314" spans="1:16" x14ac:dyDescent="0.2">
      <c r="A1314" s="21">
        <v>3000000828</v>
      </c>
      <c r="B1314" s="22">
        <v>46195</v>
      </c>
      <c r="C1314" s="20">
        <v>2097127.05</v>
      </c>
      <c r="D1314" s="21" t="s">
        <v>543</v>
      </c>
      <c r="E1314" s="21">
        <v>97124494</v>
      </c>
      <c r="F1314" s="20">
        <v>2097127.05</v>
      </c>
      <c r="G1314" s="22">
        <v>46198</v>
      </c>
      <c r="H1314" s="21" t="s">
        <v>61</v>
      </c>
      <c r="I1314" s="40" t="str">
        <f>IFERROR(IF(VLOOKUP(E1314,extracto!C:C,1,FALSE)=E1314,"pagado","no pagado"),"no pagado")</f>
        <v>pagado</v>
      </c>
      <c r="J1314" s="41" t="str">
        <f t="shared" si="594"/>
        <v>pagado</v>
      </c>
      <c r="K1314" s="40" t="str">
        <f t="shared" ca="1" si="595"/>
        <v>excluir</v>
      </c>
      <c r="L1314" s="40" t="str">
        <f t="shared" ca="1" si="596"/>
        <v>no semana</v>
      </c>
      <c r="M1314" s="40" t="str">
        <f>IFERROR(VLOOKUP(E1314,'cheques a conf'!A:D,4,FALSE),"no clearing")</f>
        <v>no clearing</v>
      </c>
      <c r="N1314" s="40">
        <f t="shared" si="597"/>
        <v>26</v>
      </c>
      <c r="O1314" s="42">
        <f t="shared" si="598"/>
        <v>6</v>
      </c>
      <c r="P1314" s="42">
        <f t="shared" si="599"/>
        <v>2026</v>
      </c>
    </row>
    <row r="1315" spans="1:16" x14ac:dyDescent="0.2">
      <c r="A1315" s="21">
        <v>3000000836</v>
      </c>
      <c r="B1315" s="22">
        <v>46196</v>
      </c>
      <c r="C1315" s="20">
        <v>3385381.52</v>
      </c>
      <c r="D1315" s="21" t="s">
        <v>558</v>
      </c>
      <c r="E1315" s="21">
        <v>97124495</v>
      </c>
      <c r="F1315" s="20">
        <v>3385381.52</v>
      </c>
      <c r="G1315" s="22">
        <v>46199</v>
      </c>
      <c r="H1315" s="21" t="s">
        <v>61</v>
      </c>
      <c r="I1315" s="40" t="str">
        <f>IFERROR(IF(VLOOKUP(E1315,extracto!C:C,1,FALSE)=E1315,"pagado","no pagado"),"no pagado")</f>
        <v>pagado</v>
      </c>
      <c r="J1315" s="41" t="str">
        <f t="shared" si="594"/>
        <v>pagado</v>
      </c>
      <c r="K1315" s="40" t="str">
        <f t="shared" ca="1" si="595"/>
        <v>excluir</v>
      </c>
      <c r="L1315" s="40" t="str">
        <f t="shared" ca="1" si="596"/>
        <v>no semana</v>
      </c>
      <c r="M1315" s="40" t="str">
        <f>IFERROR(VLOOKUP(E1315,'cheques a conf'!A:D,4,FALSE),"no clearing")</f>
        <v>no clearing</v>
      </c>
      <c r="N1315" s="40">
        <f t="shared" si="597"/>
        <v>26</v>
      </c>
      <c r="O1315" s="42">
        <f t="shared" si="598"/>
        <v>6</v>
      </c>
      <c r="P1315" s="42">
        <f t="shared" si="599"/>
        <v>2026</v>
      </c>
    </row>
    <row r="1316" spans="1:16" x14ac:dyDescent="0.2">
      <c r="A1316" s="21">
        <v>3000000836</v>
      </c>
      <c r="B1316" s="22">
        <v>46196</v>
      </c>
      <c r="C1316" s="20">
        <v>3077021.59</v>
      </c>
      <c r="D1316" s="21" t="s">
        <v>558</v>
      </c>
      <c r="E1316" s="21">
        <v>97124496</v>
      </c>
      <c r="F1316" s="20">
        <v>3077021.59</v>
      </c>
      <c r="G1316" s="22">
        <v>46199</v>
      </c>
      <c r="H1316" s="21" t="s">
        <v>61</v>
      </c>
      <c r="I1316" s="40" t="str">
        <f>IFERROR(IF(VLOOKUP(E1316,extracto!C:C,1,FALSE)=E1316,"pagado","no pagado"),"no pagado")</f>
        <v>pagado</v>
      </c>
      <c r="J1316" s="41" t="str">
        <f t="shared" si="594"/>
        <v>pagado</v>
      </c>
      <c r="K1316" s="40" t="str">
        <f t="shared" ca="1" si="595"/>
        <v>excluir</v>
      </c>
      <c r="L1316" s="40" t="str">
        <f t="shared" ca="1" si="596"/>
        <v>no semana</v>
      </c>
      <c r="M1316" s="40" t="str">
        <f>IFERROR(VLOOKUP(E1316,'cheques a conf'!A:D,4,FALSE),"no clearing")</f>
        <v>no clearing</v>
      </c>
      <c r="N1316" s="40">
        <f t="shared" si="597"/>
        <v>26</v>
      </c>
      <c r="O1316" s="42">
        <f t="shared" si="598"/>
        <v>6</v>
      </c>
      <c r="P1316" s="42">
        <f t="shared" si="599"/>
        <v>2026</v>
      </c>
    </row>
    <row r="1317" spans="1:16" x14ac:dyDescent="0.2">
      <c r="A1317" s="21">
        <v>3000000837</v>
      </c>
      <c r="B1317" s="22">
        <v>46196</v>
      </c>
      <c r="C1317" s="20">
        <v>22174245.18</v>
      </c>
      <c r="D1317" s="21" t="s">
        <v>419</v>
      </c>
      <c r="E1317" s="21">
        <v>97124497</v>
      </c>
      <c r="F1317" s="20">
        <v>22174245.18</v>
      </c>
      <c r="G1317" s="22">
        <v>46199</v>
      </c>
      <c r="H1317" s="21" t="s">
        <v>61</v>
      </c>
      <c r="I1317" s="40" t="str">
        <f>IFERROR(IF(VLOOKUP(E1317,extracto!C:C,1,FALSE)=E1317,"pagado","no pagado"),"no pagado")</f>
        <v>pagado</v>
      </c>
      <c r="J1317" s="41" t="str">
        <f t="shared" si="594"/>
        <v>pagado</v>
      </c>
      <c r="K1317" s="40" t="str">
        <f t="shared" ca="1" si="595"/>
        <v>excluir</v>
      </c>
      <c r="L1317" s="40" t="str">
        <f t="shared" ca="1" si="596"/>
        <v>no semana</v>
      </c>
      <c r="M1317" s="40" t="str">
        <f>IFERROR(VLOOKUP(E1317,'cheques a conf'!A:D,4,FALSE),"no clearing")</f>
        <v>no clearing</v>
      </c>
      <c r="N1317" s="40">
        <f t="shared" si="597"/>
        <v>26</v>
      </c>
      <c r="O1317" s="42">
        <f t="shared" si="598"/>
        <v>6</v>
      </c>
      <c r="P1317" s="42">
        <f t="shared" si="599"/>
        <v>2026</v>
      </c>
    </row>
    <row r="1318" spans="1:16" x14ac:dyDescent="0.2">
      <c r="A1318" s="21">
        <v>3000000842</v>
      </c>
      <c r="B1318" s="22">
        <v>46197</v>
      </c>
      <c r="C1318" s="20">
        <v>1805517.4</v>
      </c>
      <c r="D1318" s="21" t="s">
        <v>559</v>
      </c>
      <c r="E1318" s="21">
        <v>97124498</v>
      </c>
      <c r="F1318" s="20">
        <v>1805517.4</v>
      </c>
      <c r="G1318" s="22">
        <v>46203</v>
      </c>
      <c r="H1318" s="21" t="s">
        <v>61</v>
      </c>
      <c r="I1318" s="40" t="str">
        <f>IFERROR(IF(VLOOKUP(E1318,extracto!C:C,1,FALSE)=E1318,"pagado","no pagado"),"no pagado")</f>
        <v>pagado</v>
      </c>
      <c r="J1318" s="41" t="str">
        <f t="shared" si="594"/>
        <v>pagado</v>
      </c>
      <c r="K1318" s="40" t="str">
        <f t="shared" ca="1" si="595"/>
        <v>excluir</v>
      </c>
      <c r="L1318" s="40" t="str">
        <f t="shared" ca="1" si="596"/>
        <v>no semana</v>
      </c>
      <c r="M1318" s="40" t="str">
        <f>IFERROR(VLOOKUP(E1318,'cheques a conf'!A:D,4,FALSE),"no clearing")</f>
        <v>no clearing</v>
      </c>
      <c r="N1318" s="40">
        <f t="shared" si="597"/>
        <v>27</v>
      </c>
      <c r="O1318" s="42">
        <f t="shared" si="598"/>
        <v>6</v>
      </c>
      <c r="P1318" s="42">
        <f t="shared" si="599"/>
        <v>2026</v>
      </c>
    </row>
    <row r="1319" spans="1:16" x14ac:dyDescent="0.2">
      <c r="A1319" s="21">
        <v>3000000842</v>
      </c>
      <c r="B1319" s="22">
        <v>46197</v>
      </c>
      <c r="C1319" s="20">
        <v>15829312.57</v>
      </c>
      <c r="D1319" s="21" t="s">
        <v>559</v>
      </c>
      <c r="E1319" s="21">
        <v>97124499</v>
      </c>
      <c r="F1319" s="20">
        <v>15829312.57</v>
      </c>
      <c r="G1319" s="22">
        <v>46203</v>
      </c>
      <c r="H1319" s="21" t="s">
        <v>61</v>
      </c>
      <c r="I1319" s="40" t="str">
        <f>IFERROR(IF(VLOOKUP(E1319,extracto!C:C,1,FALSE)=E1319,"pagado","no pagado"),"no pagado")</f>
        <v>pagado</v>
      </c>
      <c r="J1319" s="41" t="str">
        <f t="shared" si="594"/>
        <v>pagado</v>
      </c>
      <c r="K1319" s="40" t="str">
        <f t="shared" ca="1" si="595"/>
        <v>excluir</v>
      </c>
      <c r="L1319" s="40" t="str">
        <f t="shared" ca="1" si="596"/>
        <v>no semana</v>
      </c>
      <c r="M1319" s="40" t="str">
        <f>IFERROR(VLOOKUP(E1319,'cheques a conf'!A:D,4,FALSE),"no clearing")</f>
        <v>no clearing</v>
      </c>
      <c r="N1319" s="40">
        <f t="shared" si="597"/>
        <v>27</v>
      </c>
      <c r="O1319" s="42">
        <f t="shared" si="598"/>
        <v>6</v>
      </c>
      <c r="P1319" s="42">
        <f t="shared" si="599"/>
        <v>2026</v>
      </c>
    </row>
    <row r="1320" spans="1:16" x14ac:dyDescent="0.2">
      <c r="A1320" s="21">
        <v>3000000859</v>
      </c>
      <c r="B1320" s="22">
        <v>46202</v>
      </c>
      <c r="C1320" s="20">
        <v>7812295</v>
      </c>
      <c r="D1320" s="21" t="s">
        <v>138</v>
      </c>
      <c r="E1320" s="21">
        <v>97124500</v>
      </c>
      <c r="F1320" s="20">
        <v>7812295</v>
      </c>
      <c r="G1320" s="22">
        <v>46205</v>
      </c>
      <c r="H1320" s="21" t="s">
        <v>61</v>
      </c>
      <c r="I1320" s="40" t="str">
        <f>IFERROR(IF(VLOOKUP(E1320,extracto!C:C,1,FALSE)=E1320,"pagado","no pagado"),"no pagado")</f>
        <v>pagado</v>
      </c>
      <c r="J1320" s="41" t="str">
        <f t="shared" si="594"/>
        <v>pagado</v>
      </c>
      <c r="K1320" s="40" t="str">
        <f t="shared" ca="1" si="595"/>
        <v>excluir</v>
      </c>
      <c r="L1320" s="40" t="str">
        <f t="shared" ca="1" si="596"/>
        <v>no semana</v>
      </c>
      <c r="M1320" s="40" t="str">
        <f>IFERROR(VLOOKUP(E1320,'cheques a conf'!A:D,4,FALSE),"no clearing")</f>
        <v>no clearing</v>
      </c>
      <c r="N1320" s="40">
        <f t="shared" si="597"/>
        <v>27</v>
      </c>
      <c r="O1320" s="42">
        <f t="shared" si="598"/>
        <v>7</v>
      </c>
      <c r="P1320" s="42">
        <f t="shared" si="599"/>
        <v>2026</v>
      </c>
    </row>
    <row r="1321" spans="1:16" x14ac:dyDescent="0.2">
      <c r="A1321" s="21">
        <v>3000000860</v>
      </c>
      <c r="B1321" s="22">
        <v>46202</v>
      </c>
      <c r="C1321" s="20">
        <v>10861100.939999999</v>
      </c>
      <c r="D1321" s="21" t="s">
        <v>562</v>
      </c>
      <c r="E1321" s="21">
        <v>97124501</v>
      </c>
      <c r="F1321" s="20">
        <v>10861100.939999999</v>
      </c>
      <c r="G1321" s="22">
        <v>46205</v>
      </c>
      <c r="H1321" s="21" t="s">
        <v>61</v>
      </c>
      <c r="I1321" s="40" t="str">
        <f>IFERROR(IF(VLOOKUP(E1321,extracto!C:C,1,FALSE)=E1321,"pagado","no pagado"),"no pagado")</f>
        <v>pagado</v>
      </c>
      <c r="J1321" s="41" t="str">
        <f t="shared" si="594"/>
        <v>pagado</v>
      </c>
      <c r="K1321" s="40" t="str">
        <f t="shared" ca="1" si="595"/>
        <v>excluir</v>
      </c>
      <c r="L1321" s="40" t="str">
        <f t="shared" ca="1" si="596"/>
        <v>no semana</v>
      </c>
      <c r="M1321" s="40" t="str">
        <f>IFERROR(VLOOKUP(E1321,'cheques a conf'!A:D,4,FALSE),"no clearing")</f>
        <v>no clearing</v>
      </c>
      <c r="N1321" s="40">
        <f t="shared" si="597"/>
        <v>27</v>
      </c>
      <c r="O1321" s="42">
        <f t="shared" si="598"/>
        <v>7</v>
      </c>
      <c r="P1321" s="42">
        <f t="shared" si="599"/>
        <v>2026</v>
      </c>
    </row>
    <row r="1322" spans="1:16" x14ac:dyDescent="0.2">
      <c r="A1322" s="21">
        <v>3000000861</v>
      </c>
      <c r="B1322" s="22">
        <v>46202</v>
      </c>
      <c r="C1322" s="20">
        <v>7269071.96</v>
      </c>
      <c r="D1322" s="21" t="s">
        <v>297</v>
      </c>
      <c r="E1322" s="21">
        <v>97124502</v>
      </c>
      <c r="F1322" s="20">
        <v>7269071.96</v>
      </c>
      <c r="G1322" s="22">
        <v>46205</v>
      </c>
      <c r="H1322" s="21" t="s">
        <v>61</v>
      </c>
      <c r="I1322" s="40" t="str">
        <f>IFERROR(IF(VLOOKUP(E1322,extracto!C:C,1,FALSE)=E1322,"pagado","no pagado"),"no pagado")</f>
        <v>pagado</v>
      </c>
      <c r="J1322" s="41" t="str">
        <f t="shared" si="594"/>
        <v>pagado</v>
      </c>
      <c r="K1322" s="40" t="str">
        <f t="shared" ca="1" si="595"/>
        <v>excluir</v>
      </c>
      <c r="L1322" s="40" t="str">
        <f t="shared" ca="1" si="596"/>
        <v>no semana</v>
      </c>
      <c r="M1322" s="40" t="str">
        <f>IFERROR(VLOOKUP(E1322,'cheques a conf'!A:D,4,FALSE),"no clearing")</f>
        <v>no clearing</v>
      </c>
      <c r="N1322" s="40">
        <f t="shared" si="597"/>
        <v>27</v>
      </c>
      <c r="O1322" s="42">
        <f t="shared" si="598"/>
        <v>7</v>
      </c>
      <c r="P1322" s="42">
        <f t="shared" si="599"/>
        <v>2026</v>
      </c>
    </row>
    <row r="1323" spans="1:16" x14ac:dyDescent="0.2">
      <c r="A1323" s="21">
        <v>3000000862</v>
      </c>
      <c r="B1323" s="22">
        <v>46202</v>
      </c>
      <c r="C1323" s="20">
        <v>7771500</v>
      </c>
      <c r="D1323" s="21" t="s">
        <v>386</v>
      </c>
      <c r="E1323" s="21">
        <v>97124503</v>
      </c>
      <c r="F1323" s="20">
        <v>7771500</v>
      </c>
      <c r="G1323" s="22">
        <v>46205</v>
      </c>
      <c r="H1323" s="21" t="s">
        <v>61</v>
      </c>
      <c r="I1323" s="40" t="str">
        <f>IFERROR(IF(VLOOKUP(E1323,extracto!C:C,1,FALSE)=E1323,"pagado","no pagado"),"no pagado")</f>
        <v>pagado</v>
      </c>
      <c r="J1323" s="41" t="str">
        <f t="shared" si="594"/>
        <v>pagado</v>
      </c>
      <c r="K1323" s="40" t="str">
        <f t="shared" ca="1" si="595"/>
        <v>excluir</v>
      </c>
      <c r="L1323" s="40" t="str">
        <f t="shared" ca="1" si="596"/>
        <v>no semana</v>
      </c>
      <c r="M1323" s="40" t="str">
        <f>IFERROR(VLOOKUP(E1323,'cheques a conf'!A:D,4,FALSE),"no clearing")</f>
        <v>no clearing</v>
      </c>
      <c r="N1323" s="40">
        <f t="shared" si="597"/>
        <v>27</v>
      </c>
      <c r="O1323" s="42">
        <f t="shared" si="598"/>
        <v>7</v>
      </c>
      <c r="P1323" s="42">
        <f t="shared" si="599"/>
        <v>2026</v>
      </c>
    </row>
    <row r="1324" spans="1:16" x14ac:dyDescent="0.2">
      <c r="A1324" s="21">
        <v>3000000863</v>
      </c>
      <c r="B1324" s="22">
        <v>46202</v>
      </c>
      <c r="C1324" s="20">
        <v>20747224.84</v>
      </c>
      <c r="D1324" s="21" t="s">
        <v>340</v>
      </c>
      <c r="E1324" s="21">
        <v>97124504</v>
      </c>
      <c r="F1324" s="20">
        <v>20747224.84</v>
      </c>
      <c r="G1324" s="22">
        <v>46205</v>
      </c>
      <c r="H1324" s="21" t="s">
        <v>61</v>
      </c>
      <c r="I1324" s="40" t="str">
        <f>IFERROR(IF(VLOOKUP(E1324,extracto!C:C,1,FALSE)=E1324,"pagado","no pagado"),"no pagado")</f>
        <v>pagado</v>
      </c>
      <c r="J1324" s="41" t="str">
        <f t="shared" si="594"/>
        <v>pagado</v>
      </c>
      <c r="K1324" s="40" t="str">
        <f t="shared" ca="1" si="595"/>
        <v>excluir</v>
      </c>
      <c r="L1324" s="40" t="str">
        <f t="shared" ca="1" si="596"/>
        <v>no semana</v>
      </c>
      <c r="M1324" s="40" t="str">
        <f>IFERROR(VLOOKUP(E1324,'cheques a conf'!A:D,4,FALSE),"no clearing")</f>
        <v>no clearing</v>
      </c>
      <c r="N1324" s="40">
        <f t="shared" si="597"/>
        <v>27</v>
      </c>
      <c r="O1324" s="42">
        <f t="shared" si="598"/>
        <v>7</v>
      </c>
      <c r="P1324" s="42">
        <f t="shared" si="599"/>
        <v>2026</v>
      </c>
    </row>
    <row r="1325" spans="1:16" x14ac:dyDescent="0.2">
      <c r="A1325" s="21">
        <v>3000000864</v>
      </c>
      <c r="B1325" s="22">
        <v>46202</v>
      </c>
      <c r="C1325" s="20">
        <v>11348690.77</v>
      </c>
      <c r="D1325" s="21" t="s">
        <v>302</v>
      </c>
      <c r="E1325" s="21">
        <v>97124505</v>
      </c>
      <c r="F1325" s="20">
        <v>11348690.77</v>
      </c>
      <c r="G1325" s="22">
        <v>46205</v>
      </c>
      <c r="H1325" s="21" t="s">
        <v>61</v>
      </c>
      <c r="I1325" s="40" t="str">
        <f>IFERROR(IF(VLOOKUP(E1325,extracto!C:C,1,FALSE)=E1325,"pagado","no pagado"),"no pagado")</f>
        <v>pagado</v>
      </c>
      <c r="J1325" s="41" t="str">
        <f t="shared" si="594"/>
        <v>pagado</v>
      </c>
      <c r="K1325" s="40" t="str">
        <f t="shared" ca="1" si="595"/>
        <v>excluir</v>
      </c>
      <c r="L1325" s="40" t="str">
        <f t="shared" ca="1" si="596"/>
        <v>no semana</v>
      </c>
      <c r="M1325" s="40" t="str">
        <f>IFERROR(VLOOKUP(E1325,'cheques a conf'!A:D,4,FALSE),"no clearing")</f>
        <v>no clearing</v>
      </c>
      <c r="N1325" s="40">
        <f t="shared" si="597"/>
        <v>27</v>
      </c>
      <c r="O1325" s="42">
        <f t="shared" si="598"/>
        <v>7</v>
      </c>
      <c r="P1325" s="42">
        <f t="shared" si="599"/>
        <v>2026</v>
      </c>
    </row>
    <row r="1326" spans="1:16" x14ac:dyDescent="0.2">
      <c r="A1326" s="21">
        <v>3000000865</v>
      </c>
      <c r="B1326" s="22">
        <v>46202</v>
      </c>
      <c r="C1326" s="20">
        <v>8193693.7199999997</v>
      </c>
      <c r="D1326" s="21" t="s">
        <v>563</v>
      </c>
      <c r="E1326" s="21">
        <v>97124506</v>
      </c>
      <c r="F1326" s="20">
        <v>8193693.7199999997</v>
      </c>
      <c r="G1326" s="22">
        <v>46205</v>
      </c>
      <c r="H1326" s="21" t="s">
        <v>61</v>
      </c>
      <c r="I1326" s="40" t="str">
        <f>IFERROR(IF(VLOOKUP(E1326,extracto!C:C,1,FALSE)=E1326,"pagado","no pagado"),"no pagado")</f>
        <v>pagado</v>
      </c>
      <c r="J1326" s="41" t="str">
        <f t="shared" si="594"/>
        <v>pagado</v>
      </c>
      <c r="K1326" s="40" t="str">
        <f t="shared" ca="1" si="595"/>
        <v>excluir</v>
      </c>
      <c r="L1326" s="40" t="str">
        <f t="shared" ca="1" si="596"/>
        <v>no semana</v>
      </c>
      <c r="M1326" s="40" t="str">
        <f>IFERROR(VLOOKUP(E1326,'cheques a conf'!A:D,4,FALSE),"no clearing")</f>
        <v>no clearing</v>
      </c>
      <c r="N1326" s="40">
        <f t="shared" si="597"/>
        <v>27</v>
      </c>
      <c r="O1326" s="42">
        <f t="shared" si="598"/>
        <v>7</v>
      </c>
      <c r="P1326" s="42">
        <f t="shared" si="599"/>
        <v>2026</v>
      </c>
    </row>
    <row r="1327" spans="1:16" x14ac:dyDescent="0.2">
      <c r="A1327" s="21">
        <v>3000000866</v>
      </c>
      <c r="B1327" s="22">
        <v>46202</v>
      </c>
      <c r="C1327" s="20">
        <v>6782084.4500000002</v>
      </c>
      <c r="D1327" s="21" t="s">
        <v>434</v>
      </c>
      <c r="E1327" s="21">
        <v>97124507</v>
      </c>
      <c r="F1327" s="20">
        <v>6782084.4500000002</v>
      </c>
      <c r="G1327" s="22">
        <v>46205</v>
      </c>
      <c r="H1327" s="21" t="s">
        <v>61</v>
      </c>
      <c r="I1327" s="40" t="str">
        <f>IFERROR(IF(VLOOKUP(E1327,extracto!C:C,1,FALSE)=E1327,"pagado","no pagado"),"no pagado")</f>
        <v>pagado</v>
      </c>
      <c r="J1327" s="41" t="str">
        <f t="shared" si="594"/>
        <v>pagado</v>
      </c>
      <c r="K1327" s="40" t="str">
        <f t="shared" ca="1" si="595"/>
        <v>excluir</v>
      </c>
      <c r="L1327" s="40" t="str">
        <f t="shared" ca="1" si="596"/>
        <v>no semana</v>
      </c>
      <c r="M1327" s="40" t="str">
        <f>IFERROR(VLOOKUP(E1327,'cheques a conf'!A:D,4,FALSE),"no clearing")</f>
        <v>no clearing</v>
      </c>
      <c r="N1327" s="40">
        <f t="shared" si="597"/>
        <v>27</v>
      </c>
      <c r="O1327" s="42">
        <f t="shared" si="598"/>
        <v>7</v>
      </c>
      <c r="P1327" s="42">
        <f t="shared" si="599"/>
        <v>2026</v>
      </c>
    </row>
    <row r="1328" spans="1:16" x14ac:dyDescent="0.2">
      <c r="A1328" s="21">
        <v>3000000867</v>
      </c>
      <c r="B1328" s="22">
        <v>46202</v>
      </c>
      <c r="C1328" s="20">
        <v>9006315.8900000006</v>
      </c>
      <c r="D1328" s="21" t="s">
        <v>383</v>
      </c>
      <c r="E1328" s="21">
        <v>97124508</v>
      </c>
      <c r="F1328" s="20">
        <v>9006315.8900000006</v>
      </c>
      <c r="G1328" s="22">
        <v>46205</v>
      </c>
      <c r="H1328" s="21" t="s">
        <v>61</v>
      </c>
      <c r="I1328" s="40" t="str">
        <f>IFERROR(IF(VLOOKUP(E1328,extracto!C:C,1,FALSE)=E1328,"pagado","no pagado"),"no pagado")</f>
        <v>pagado</v>
      </c>
      <c r="J1328" s="41" t="str">
        <f t="shared" si="594"/>
        <v>pagado</v>
      </c>
      <c r="K1328" s="40" t="str">
        <f t="shared" ca="1" si="595"/>
        <v>excluir</v>
      </c>
      <c r="L1328" s="40" t="str">
        <f t="shared" ca="1" si="596"/>
        <v>no semana</v>
      </c>
      <c r="M1328" s="40" t="str">
        <f>IFERROR(VLOOKUP(E1328,'cheques a conf'!A:D,4,FALSE),"no clearing")</f>
        <v>no clearing</v>
      </c>
      <c r="N1328" s="40">
        <f t="shared" si="597"/>
        <v>27</v>
      </c>
      <c r="O1328" s="42">
        <f t="shared" si="598"/>
        <v>7</v>
      </c>
      <c r="P1328" s="42">
        <f t="shared" si="599"/>
        <v>2026</v>
      </c>
    </row>
    <row r="1329" spans="1:16" x14ac:dyDescent="0.2">
      <c r="A1329" s="21">
        <v>3000000868</v>
      </c>
      <c r="B1329" s="22">
        <v>46202</v>
      </c>
      <c r="C1329" s="20">
        <v>9031874.2599999998</v>
      </c>
      <c r="D1329" s="21" t="s">
        <v>471</v>
      </c>
      <c r="E1329" s="21">
        <v>97124509</v>
      </c>
      <c r="F1329" s="20">
        <v>9031874.2599999998</v>
      </c>
      <c r="G1329" s="22">
        <v>46205</v>
      </c>
      <c r="H1329" s="21" t="s">
        <v>61</v>
      </c>
      <c r="I1329" s="40" t="str">
        <f>IFERROR(IF(VLOOKUP(E1329,extracto!C:C,1,FALSE)=E1329,"pagado","no pagado"),"no pagado")</f>
        <v>pagado</v>
      </c>
      <c r="J1329" s="41" t="str">
        <f t="shared" si="594"/>
        <v>pagado</v>
      </c>
      <c r="K1329" s="40" t="str">
        <f t="shared" ca="1" si="595"/>
        <v>excluir</v>
      </c>
      <c r="L1329" s="40" t="str">
        <f t="shared" ca="1" si="596"/>
        <v>no semana</v>
      </c>
      <c r="M1329" s="40" t="str">
        <f>IFERROR(VLOOKUP(E1329,'cheques a conf'!A:D,4,FALSE),"no clearing")</f>
        <v>no clearing</v>
      </c>
      <c r="N1329" s="40">
        <f t="shared" si="597"/>
        <v>27</v>
      </c>
      <c r="O1329" s="42">
        <f t="shared" si="598"/>
        <v>7</v>
      </c>
      <c r="P1329" s="42">
        <f t="shared" si="599"/>
        <v>2026</v>
      </c>
    </row>
    <row r="1330" spans="1:16" x14ac:dyDescent="0.2">
      <c r="A1330" s="21">
        <v>3000000875</v>
      </c>
      <c r="B1330" s="22">
        <v>46204</v>
      </c>
      <c r="C1330" s="20">
        <v>7897880.0199999996</v>
      </c>
      <c r="D1330" s="21" t="s">
        <v>396</v>
      </c>
      <c r="E1330" s="21">
        <v>97124510</v>
      </c>
      <c r="F1330" s="20">
        <v>7897880.0199999996</v>
      </c>
      <c r="G1330" s="22">
        <v>46209</v>
      </c>
      <c r="H1330" s="21" t="s">
        <v>61</v>
      </c>
      <c r="I1330" s="40" t="str">
        <f>IFERROR(IF(VLOOKUP(E1330,extracto!C:C,1,FALSE)=E1330,"pagado","no pagado"),"no pagado")</f>
        <v>pagado</v>
      </c>
      <c r="J1330" s="41" t="str">
        <f t="shared" si="594"/>
        <v>pagado</v>
      </c>
      <c r="K1330" s="40" t="str">
        <f t="shared" ca="1" si="595"/>
        <v>excluir</v>
      </c>
      <c r="L1330" s="40" t="str">
        <f t="shared" ca="1" si="596"/>
        <v>no semana</v>
      </c>
      <c r="M1330" s="40" t="str">
        <f>IFERROR(VLOOKUP(E1330,'cheques a conf'!A:D,4,FALSE),"no clearing")</f>
        <v>no clearing</v>
      </c>
      <c r="N1330" s="40">
        <f t="shared" si="597"/>
        <v>28</v>
      </c>
      <c r="O1330" s="42">
        <f t="shared" si="598"/>
        <v>7</v>
      </c>
      <c r="P1330" s="42">
        <f t="shared" si="599"/>
        <v>2026</v>
      </c>
    </row>
    <row r="1331" spans="1:16" x14ac:dyDescent="0.2">
      <c r="A1331" s="21">
        <v>3000000876</v>
      </c>
      <c r="B1331" s="22">
        <v>46204</v>
      </c>
      <c r="C1331" s="20">
        <v>13435725.32</v>
      </c>
      <c r="D1331" s="21" t="s">
        <v>338</v>
      </c>
      <c r="E1331" s="21">
        <v>97124511</v>
      </c>
      <c r="F1331" s="20">
        <v>13435725.32</v>
      </c>
      <c r="G1331" s="22">
        <v>46209</v>
      </c>
      <c r="H1331" s="21" t="s">
        <v>61</v>
      </c>
      <c r="I1331" s="40" t="str">
        <f>IFERROR(IF(VLOOKUP(E1331,extracto!C:C,1,FALSE)=E1331,"pagado","no pagado"),"no pagado")</f>
        <v>pagado</v>
      </c>
      <c r="J1331" s="41" t="str">
        <f t="shared" si="594"/>
        <v>pagado</v>
      </c>
      <c r="K1331" s="40" t="str">
        <f t="shared" ca="1" si="595"/>
        <v>excluir</v>
      </c>
      <c r="L1331" s="40" t="str">
        <f t="shared" ca="1" si="596"/>
        <v>no semana</v>
      </c>
      <c r="M1331" s="40" t="str">
        <f>IFERROR(VLOOKUP(E1331,'cheques a conf'!A:D,4,FALSE),"no clearing")</f>
        <v>no clearing</v>
      </c>
      <c r="N1331" s="40">
        <f t="shared" si="597"/>
        <v>28</v>
      </c>
      <c r="O1331" s="42">
        <f t="shared" si="598"/>
        <v>7</v>
      </c>
      <c r="P1331" s="42">
        <f t="shared" si="599"/>
        <v>2026</v>
      </c>
    </row>
    <row r="1332" spans="1:16" x14ac:dyDescent="0.2">
      <c r="A1332" s="21">
        <v>3000000877</v>
      </c>
      <c r="B1332" s="22">
        <v>46204</v>
      </c>
      <c r="C1332" s="20">
        <v>14261542.75</v>
      </c>
      <c r="D1332" s="21" t="s">
        <v>398</v>
      </c>
      <c r="E1332" s="21">
        <v>97124512</v>
      </c>
      <c r="F1332" s="20">
        <v>14261542.75</v>
      </c>
      <c r="G1332" s="22">
        <v>46209</v>
      </c>
      <c r="H1332" s="21" t="s">
        <v>61</v>
      </c>
      <c r="I1332" s="40" t="str">
        <f>IFERROR(IF(VLOOKUP(E1332,extracto!C:C,1,FALSE)=E1332,"pagado","no pagado"),"no pagado")</f>
        <v>pagado</v>
      </c>
      <c r="J1332" s="41" t="str">
        <f t="shared" si="594"/>
        <v>pagado</v>
      </c>
      <c r="K1332" s="40" t="str">
        <f t="shared" ca="1" si="595"/>
        <v>excluir</v>
      </c>
      <c r="L1332" s="40" t="str">
        <f t="shared" ca="1" si="596"/>
        <v>no semana</v>
      </c>
      <c r="M1332" s="40" t="str">
        <f>IFERROR(VLOOKUP(E1332,'cheques a conf'!A:D,4,FALSE),"no clearing")</f>
        <v>no clearing</v>
      </c>
      <c r="N1332" s="40">
        <f t="shared" si="597"/>
        <v>28</v>
      </c>
      <c r="O1332" s="42">
        <f t="shared" si="598"/>
        <v>7</v>
      </c>
      <c r="P1332" s="42">
        <f t="shared" si="599"/>
        <v>2026</v>
      </c>
    </row>
    <row r="1333" spans="1:16" x14ac:dyDescent="0.2">
      <c r="A1333" s="21">
        <v>3000000878</v>
      </c>
      <c r="B1333" s="22">
        <v>46204</v>
      </c>
      <c r="C1333" s="20">
        <v>11987886.460000001</v>
      </c>
      <c r="D1333" s="21" t="s">
        <v>384</v>
      </c>
      <c r="E1333" s="21">
        <v>97124513</v>
      </c>
      <c r="F1333" s="20">
        <v>11987886.460000001</v>
      </c>
      <c r="G1333" s="22">
        <v>46209</v>
      </c>
      <c r="H1333" s="21" t="s">
        <v>61</v>
      </c>
      <c r="I1333" s="40" t="str">
        <f>IFERROR(IF(VLOOKUP(E1333,extracto!C:C,1,FALSE)=E1333,"pagado","no pagado"),"no pagado")</f>
        <v>pagado</v>
      </c>
      <c r="J1333" s="41" t="str">
        <f t="shared" si="594"/>
        <v>pagado</v>
      </c>
      <c r="K1333" s="40" t="str">
        <f t="shared" ca="1" si="595"/>
        <v>excluir</v>
      </c>
      <c r="L1333" s="40" t="str">
        <f t="shared" ca="1" si="596"/>
        <v>no semana</v>
      </c>
      <c r="M1333" s="40" t="str">
        <f>IFERROR(VLOOKUP(E1333,'cheques a conf'!A:D,4,FALSE),"no clearing")</f>
        <v>no clearing</v>
      </c>
      <c r="N1333" s="40">
        <f t="shared" si="597"/>
        <v>28</v>
      </c>
      <c r="O1333" s="42">
        <f t="shared" si="598"/>
        <v>7</v>
      </c>
      <c r="P1333" s="42">
        <f t="shared" si="599"/>
        <v>2026</v>
      </c>
    </row>
    <row r="1334" spans="1:16" x14ac:dyDescent="0.2">
      <c r="A1334" s="21">
        <v>3000000879</v>
      </c>
      <c r="B1334" s="22">
        <v>46204</v>
      </c>
      <c r="C1334" s="20">
        <v>16382120.58</v>
      </c>
      <c r="D1334" s="21" t="s">
        <v>303</v>
      </c>
      <c r="E1334" s="21">
        <v>97124514</v>
      </c>
      <c r="F1334" s="20">
        <v>16382120.58</v>
      </c>
      <c r="G1334" s="22">
        <v>46209</v>
      </c>
      <c r="H1334" s="21" t="s">
        <v>61</v>
      </c>
      <c r="I1334" s="40" t="str">
        <f>IFERROR(IF(VLOOKUP(E1334,extracto!C:C,1,FALSE)=E1334,"pagado","no pagado"),"no pagado")</f>
        <v>pagado</v>
      </c>
      <c r="J1334" s="41" t="str">
        <f t="shared" si="594"/>
        <v>pagado</v>
      </c>
      <c r="K1334" s="40" t="str">
        <f t="shared" ca="1" si="595"/>
        <v>excluir</v>
      </c>
      <c r="L1334" s="40" t="str">
        <f t="shared" ca="1" si="596"/>
        <v>no semana</v>
      </c>
      <c r="M1334" s="40" t="str">
        <f>IFERROR(VLOOKUP(E1334,'cheques a conf'!A:D,4,FALSE),"no clearing")</f>
        <v>no clearing</v>
      </c>
      <c r="N1334" s="40">
        <f t="shared" si="597"/>
        <v>28</v>
      </c>
      <c r="O1334" s="42">
        <f t="shared" si="598"/>
        <v>7</v>
      </c>
      <c r="P1334" s="42">
        <f t="shared" si="599"/>
        <v>2026</v>
      </c>
    </row>
    <row r="1335" spans="1:16" x14ac:dyDescent="0.2">
      <c r="A1335" s="21">
        <v>3000000880</v>
      </c>
      <c r="B1335" s="22">
        <v>46204</v>
      </c>
      <c r="C1335" s="20">
        <v>19203466.359999999</v>
      </c>
      <c r="D1335" s="21" t="s">
        <v>393</v>
      </c>
      <c r="E1335" s="21">
        <v>97124515</v>
      </c>
      <c r="F1335" s="20">
        <v>19203466.359999999</v>
      </c>
      <c r="G1335" s="22">
        <v>46209</v>
      </c>
      <c r="H1335" s="21" t="s">
        <v>61</v>
      </c>
      <c r="I1335" s="40" t="str">
        <f>IFERROR(IF(VLOOKUP(E1335,extracto!C:C,1,FALSE)=E1335,"pagado","no pagado"),"no pagado")</f>
        <v>pagado</v>
      </c>
      <c r="J1335" s="41" t="str">
        <f t="shared" ref="J1335:J1398" si="600">IF(I1335="pagado","pagado",IF(G1335&lt;$V$1-30,"fuera de fecha","en periodo de pago"))</f>
        <v>pagado</v>
      </c>
      <c r="K1335" s="40" t="str">
        <f t="shared" ref="K1335:K1398" ca="1" si="601">+IF(B1335&gt;$V$1,"excluir",IF(J1335="en periodo de pago",IF($V$1&gt;G1335,"a pagar","proximo a vencer"),"excluir"))</f>
        <v>excluir</v>
      </c>
      <c r="L1335" s="40" t="str">
        <f t="shared" ref="L1335:L1398" ca="1" si="602">+IF(K1335="proximo a vencer",IF($V$1+5&gt;G1335,"para la semana","no semana"),"no semana")</f>
        <v>no semana</v>
      </c>
      <c r="M1335" s="40" t="str">
        <f>IFERROR(VLOOKUP(E1335,'cheques a conf'!A:D,4,FALSE),"no clearing")</f>
        <v>no clearing</v>
      </c>
      <c r="N1335" s="40">
        <f t="shared" ref="N1335:N1398" si="603">+WEEKNUM(G1335,2)</f>
        <v>28</v>
      </c>
      <c r="O1335" s="42">
        <f t="shared" ref="O1335:O1398" si="604">+MONTH(G1335)</f>
        <v>7</v>
      </c>
      <c r="P1335" s="42">
        <f t="shared" ref="P1335:P1398" si="605">+YEAR(G1335)</f>
        <v>2026</v>
      </c>
    </row>
    <row r="1336" spans="1:16" x14ac:dyDescent="0.2">
      <c r="A1336" s="21">
        <v>3000000905</v>
      </c>
      <c r="B1336" s="22">
        <v>46209</v>
      </c>
      <c r="C1336" s="20">
        <v>30141525.699999999</v>
      </c>
      <c r="D1336" s="21" t="s">
        <v>383</v>
      </c>
      <c r="E1336" s="21">
        <v>97124516</v>
      </c>
      <c r="F1336" s="20">
        <v>30141525.699999999</v>
      </c>
      <c r="G1336" s="22">
        <v>46216</v>
      </c>
      <c r="H1336" s="21" t="s">
        <v>61</v>
      </c>
      <c r="I1336" s="40" t="str">
        <f>IFERROR(IF(VLOOKUP(E1336,extracto!C:C,1,FALSE)=E1336,"pagado","no pagado"),"no pagado")</f>
        <v>pagado</v>
      </c>
      <c r="J1336" s="41" t="str">
        <f t="shared" si="600"/>
        <v>pagado</v>
      </c>
      <c r="K1336" s="40" t="str">
        <f t="shared" ca="1" si="601"/>
        <v>excluir</v>
      </c>
      <c r="L1336" s="40" t="str">
        <f t="shared" ca="1" si="602"/>
        <v>no semana</v>
      </c>
      <c r="M1336" s="40" t="str">
        <f>IFERROR(VLOOKUP(E1336,'cheques a conf'!A:D,4,FALSE),"no clearing")</f>
        <v>no clearing</v>
      </c>
      <c r="N1336" s="40">
        <f t="shared" si="603"/>
        <v>29</v>
      </c>
      <c r="O1336" s="42">
        <f t="shared" si="604"/>
        <v>7</v>
      </c>
      <c r="P1336" s="42">
        <f t="shared" si="605"/>
        <v>2026</v>
      </c>
    </row>
    <row r="1337" spans="1:16" x14ac:dyDescent="0.2">
      <c r="A1337" s="21">
        <v>3000000906</v>
      </c>
      <c r="B1337" s="22">
        <v>46209</v>
      </c>
      <c r="C1337" s="20">
        <v>15720081.48</v>
      </c>
      <c r="D1337" s="21" t="s">
        <v>300</v>
      </c>
      <c r="E1337" s="21">
        <v>97124517</v>
      </c>
      <c r="F1337" s="20">
        <v>15720081.48</v>
      </c>
      <c r="G1337" s="22">
        <v>46216</v>
      </c>
      <c r="H1337" s="21" t="s">
        <v>61</v>
      </c>
      <c r="I1337" s="40" t="str">
        <f>IFERROR(IF(VLOOKUP(E1337,extracto!C:C,1,FALSE)=E1337,"pagado","no pagado"),"no pagado")</f>
        <v>pagado</v>
      </c>
      <c r="J1337" s="41" t="str">
        <f t="shared" si="600"/>
        <v>pagado</v>
      </c>
      <c r="K1337" s="40" t="str">
        <f t="shared" ca="1" si="601"/>
        <v>excluir</v>
      </c>
      <c r="L1337" s="40" t="str">
        <f t="shared" ca="1" si="602"/>
        <v>no semana</v>
      </c>
      <c r="M1337" s="40" t="str">
        <f>IFERROR(VLOOKUP(E1337,'cheques a conf'!A:D,4,FALSE),"no clearing")</f>
        <v>no clearing</v>
      </c>
      <c r="N1337" s="40">
        <f t="shared" si="603"/>
        <v>29</v>
      </c>
      <c r="O1337" s="42">
        <f t="shared" si="604"/>
        <v>7</v>
      </c>
      <c r="P1337" s="42">
        <f t="shared" si="605"/>
        <v>2026</v>
      </c>
    </row>
    <row r="1338" spans="1:16" x14ac:dyDescent="0.2">
      <c r="A1338" s="21">
        <v>3000000907</v>
      </c>
      <c r="B1338" s="22">
        <v>46209</v>
      </c>
      <c r="C1338" s="20">
        <v>5805977.9299999997</v>
      </c>
      <c r="D1338" s="21" t="s">
        <v>283</v>
      </c>
      <c r="E1338" s="21">
        <v>97124518</v>
      </c>
      <c r="F1338" s="20">
        <v>5805977.9299999997</v>
      </c>
      <c r="G1338" s="22">
        <v>46216</v>
      </c>
      <c r="H1338" s="21" t="s">
        <v>61</v>
      </c>
      <c r="I1338" s="40" t="str">
        <f>IFERROR(IF(VLOOKUP(E1338,extracto!C:C,1,FALSE)=E1338,"pagado","no pagado"),"no pagado")</f>
        <v>pagado</v>
      </c>
      <c r="J1338" s="41" t="str">
        <f t="shared" si="600"/>
        <v>pagado</v>
      </c>
      <c r="K1338" s="40" t="str">
        <f t="shared" ca="1" si="601"/>
        <v>excluir</v>
      </c>
      <c r="L1338" s="40" t="str">
        <f t="shared" ca="1" si="602"/>
        <v>no semana</v>
      </c>
      <c r="M1338" s="40" t="str">
        <f>IFERROR(VLOOKUP(E1338,'cheques a conf'!A:D,4,FALSE),"no clearing")</f>
        <v>no clearing</v>
      </c>
      <c r="N1338" s="40">
        <f t="shared" si="603"/>
        <v>29</v>
      </c>
      <c r="O1338" s="42">
        <f t="shared" si="604"/>
        <v>7</v>
      </c>
      <c r="P1338" s="42">
        <f t="shared" si="605"/>
        <v>2026</v>
      </c>
    </row>
    <row r="1339" spans="1:16" x14ac:dyDescent="0.2">
      <c r="A1339" s="21">
        <v>3000000908</v>
      </c>
      <c r="B1339" s="22">
        <v>46209</v>
      </c>
      <c r="C1339" s="20">
        <v>13423667.92</v>
      </c>
      <c r="D1339" s="21" t="s">
        <v>386</v>
      </c>
      <c r="E1339" s="21">
        <v>97124519</v>
      </c>
      <c r="F1339" s="20">
        <v>13423667.92</v>
      </c>
      <c r="G1339" s="22">
        <v>46216</v>
      </c>
      <c r="H1339" s="21" t="s">
        <v>61</v>
      </c>
      <c r="I1339" s="40" t="str">
        <f>IFERROR(IF(VLOOKUP(E1339,extracto!C:C,1,FALSE)=E1339,"pagado","no pagado"),"no pagado")</f>
        <v>pagado</v>
      </c>
      <c r="J1339" s="41" t="str">
        <f t="shared" si="600"/>
        <v>pagado</v>
      </c>
      <c r="K1339" s="40" t="str">
        <f t="shared" ca="1" si="601"/>
        <v>excluir</v>
      </c>
      <c r="L1339" s="40" t="str">
        <f t="shared" ca="1" si="602"/>
        <v>no semana</v>
      </c>
      <c r="M1339" s="40" t="str">
        <f>IFERROR(VLOOKUP(E1339,'cheques a conf'!A:D,4,FALSE),"no clearing")</f>
        <v>no clearing</v>
      </c>
      <c r="N1339" s="40">
        <f t="shared" si="603"/>
        <v>29</v>
      </c>
      <c r="O1339" s="42">
        <f t="shared" si="604"/>
        <v>7</v>
      </c>
      <c r="P1339" s="42">
        <f t="shared" si="605"/>
        <v>2026</v>
      </c>
    </row>
    <row r="1340" spans="1:16" x14ac:dyDescent="0.2">
      <c r="A1340" s="21">
        <v>3000000909</v>
      </c>
      <c r="B1340" s="22">
        <v>46209</v>
      </c>
      <c r="C1340" s="20">
        <v>5858098.1500000004</v>
      </c>
      <c r="D1340" s="21" t="s">
        <v>291</v>
      </c>
      <c r="E1340" s="21">
        <v>97124520</v>
      </c>
      <c r="F1340" s="20">
        <v>5858098.1500000004</v>
      </c>
      <c r="G1340" s="22">
        <v>46216</v>
      </c>
      <c r="H1340" s="21" t="s">
        <v>61</v>
      </c>
      <c r="I1340" s="40" t="str">
        <f>IFERROR(IF(VLOOKUP(E1340,extracto!C:C,1,FALSE)=E1340,"pagado","no pagado"),"no pagado")</f>
        <v>pagado</v>
      </c>
      <c r="J1340" s="41" t="str">
        <f t="shared" si="600"/>
        <v>pagado</v>
      </c>
      <c r="K1340" s="40" t="str">
        <f t="shared" ca="1" si="601"/>
        <v>excluir</v>
      </c>
      <c r="L1340" s="40" t="str">
        <f t="shared" ca="1" si="602"/>
        <v>no semana</v>
      </c>
      <c r="M1340" s="40" t="str">
        <f>IFERROR(VLOOKUP(E1340,'cheques a conf'!A:D,4,FALSE),"no clearing")</f>
        <v>no clearing</v>
      </c>
      <c r="N1340" s="40">
        <f t="shared" si="603"/>
        <v>29</v>
      </c>
      <c r="O1340" s="42">
        <f t="shared" si="604"/>
        <v>7</v>
      </c>
      <c r="P1340" s="42">
        <f t="shared" si="605"/>
        <v>2026</v>
      </c>
    </row>
    <row r="1341" spans="1:16" x14ac:dyDescent="0.2">
      <c r="A1341" s="21">
        <v>3000000910</v>
      </c>
      <c r="B1341" s="22">
        <v>46209</v>
      </c>
      <c r="C1341" s="20">
        <v>10319600.529999999</v>
      </c>
      <c r="D1341" s="21" t="s">
        <v>346</v>
      </c>
      <c r="E1341" s="21">
        <v>97124521</v>
      </c>
      <c r="F1341" s="20">
        <v>10319600.529999999</v>
      </c>
      <c r="G1341" s="22">
        <v>46216</v>
      </c>
      <c r="H1341" s="21" t="s">
        <v>61</v>
      </c>
      <c r="I1341" s="40" t="str">
        <f>IFERROR(IF(VLOOKUP(E1341,extracto!C:C,1,FALSE)=E1341,"pagado","no pagado"),"no pagado")</f>
        <v>pagado</v>
      </c>
      <c r="J1341" s="41" t="str">
        <f t="shared" si="600"/>
        <v>pagado</v>
      </c>
      <c r="K1341" s="40" t="str">
        <f t="shared" ca="1" si="601"/>
        <v>excluir</v>
      </c>
      <c r="L1341" s="40" t="str">
        <f t="shared" ca="1" si="602"/>
        <v>no semana</v>
      </c>
      <c r="M1341" s="40" t="str">
        <f>IFERROR(VLOOKUP(E1341,'cheques a conf'!A:D,4,FALSE),"no clearing")</f>
        <v>no clearing</v>
      </c>
      <c r="N1341" s="40">
        <f t="shared" si="603"/>
        <v>29</v>
      </c>
      <c r="O1341" s="42">
        <f t="shared" si="604"/>
        <v>7</v>
      </c>
      <c r="P1341" s="42">
        <f t="shared" si="605"/>
        <v>2026</v>
      </c>
    </row>
    <row r="1342" spans="1:16" x14ac:dyDescent="0.2">
      <c r="A1342" s="21">
        <v>3000000911</v>
      </c>
      <c r="B1342" s="22">
        <v>46209</v>
      </c>
      <c r="C1342" s="20">
        <v>23154483.899999999</v>
      </c>
      <c r="D1342" s="21" t="s">
        <v>365</v>
      </c>
      <c r="E1342" s="21">
        <v>97124522</v>
      </c>
      <c r="F1342" s="20">
        <v>23154483.899999999</v>
      </c>
      <c r="G1342" s="22">
        <v>46216</v>
      </c>
      <c r="H1342" s="21" t="s">
        <v>61</v>
      </c>
      <c r="I1342" s="40" t="str">
        <f>IFERROR(IF(VLOOKUP(E1342,extracto!C:C,1,FALSE)=E1342,"pagado","no pagado"),"no pagado")</f>
        <v>pagado</v>
      </c>
      <c r="J1342" s="41" t="str">
        <f t="shared" si="600"/>
        <v>pagado</v>
      </c>
      <c r="K1342" s="40" t="str">
        <f t="shared" ca="1" si="601"/>
        <v>excluir</v>
      </c>
      <c r="L1342" s="40" t="str">
        <f t="shared" ca="1" si="602"/>
        <v>no semana</v>
      </c>
      <c r="M1342" s="40" t="str">
        <f>IFERROR(VLOOKUP(E1342,'cheques a conf'!A:D,4,FALSE),"no clearing")</f>
        <v>no clearing</v>
      </c>
      <c r="N1342" s="40">
        <f t="shared" si="603"/>
        <v>29</v>
      </c>
      <c r="O1342" s="42">
        <f t="shared" si="604"/>
        <v>7</v>
      </c>
      <c r="P1342" s="42">
        <f t="shared" si="605"/>
        <v>2026</v>
      </c>
    </row>
    <row r="1343" spans="1:16" x14ac:dyDescent="0.2">
      <c r="A1343" s="21">
        <v>3000000912</v>
      </c>
      <c r="B1343" s="22">
        <v>46209</v>
      </c>
      <c r="C1343" s="20">
        <v>10485049.050000001</v>
      </c>
      <c r="D1343" s="21" t="s">
        <v>355</v>
      </c>
      <c r="E1343" s="21">
        <v>97124523</v>
      </c>
      <c r="F1343" s="20">
        <v>10485049.050000001</v>
      </c>
      <c r="G1343" s="22">
        <v>46216</v>
      </c>
      <c r="H1343" s="21" t="s">
        <v>61</v>
      </c>
      <c r="I1343" s="40" t="str">
        <f>IFERROR(IF(VLOOKUP(E1343,extracto!C:C,1,FALSE)=E1343,"pagado","no pagado"),"no pagado")</f>
        <v>pagado</v>
      </c>
      <c r="J1343" s="41" t="str">
        <f t="shared" si="600"/>
        <v>pagado</v>
      </c>
      <c r="K1343" s="40" t="str">
        <f t="shared" ca="1" si="601"/>
        <v>excluir</v>
      </c>
      <c r="L1343" s="40" t="str">
        <f t="shared" ca="1" si="602"/>
        <v>no semana</v>
      </c>
      <c r="M1343" s="40" t="str">
        <f>IFERROR(VLOOKUP(E1343,'cheques a conf'!A:D,4,FALSE),"no clearing")</f>
        <v>no clearing</v>
      </c>
      <c r="N1343" s="40">
        <f t="shared" si="603"/>
        <v>29</v>
      </c>
      <c r="O1343" s="42">
        <f t="shared" si="604"/>
        <v>7</v>
      </c>
      <c r="P1343" s="42">
        <f t="shared" si="605"/>
        <v>2026</v>
      </c>
    </row>
    <row r="1344" spans="1:16" x14ac:dyDescent="0.2">
      <c r="A1344" s="21">
        <v>3000000929</v>
      </c>
      <c r="B1344" s="22">
        <v>46216</v>
      </c>
      <c r="C1344" s="20">
        <v>10981812.15</v>
      </c>
      <c r="D1344" s="21" t="s">
        <v>56</v>
      </c>
      <c r="E1344" s="21">
        <v>97124524</v>
      </c>
      <c r="F1344" s="20">
        <v>10981812.15</v>
      </c>
      <c r="G1344" s="22">
        <v>46225</v>
      </c>
      <c r="H1344" s="21" t="s">
        <v>61</v>
      </c>
      <c r="I1344" s="40" t="str">
        <f>IFERROR(IF(VLOOKUP(E1344,extracto!C:C,1,FALSE)=E1344,"pagado","no pagado"),"no pagado")</f>
        <v>pagado</v>
      </c>
      <c r="J1344" s="41" t="str">
        <f t="shared" si="600"/>
        <v>pagado</v>
      </c>
      <c r="K1344" s="40" t="str">
        <f t="shared" ca="1" si="601"/>
        <v>excluir</v>
      </c>
      <c r="L1344" s="40" t="str">
        <f t="shared" ca="1" si="602"/>
        <v>no semana</v>
      </c>
      <c r="M1344" s="40" t="str">
        <f>IFERROR(VLOOKUP(E1344,'cheques a conf'!A:D,4,FALSE),"no clearing")</f>
        <v>no clearing</v>
      </c>
      <c r="N1344" s="40">
        <f t="shared" si="603"/>
        <v>30</v>
      </c>
      <c r="O1344" s="42">
        <f t="shared" si="604"/>
        <v>7</v>
      </c>
      <c r="P1344" s="42">
        <f t="shared" si="605"/>
        <v>2026</v>
      </c>
    </row>
    <row r="1345" spans="1:16" x14ac:dyDescent="0.2">
      <c r="A1345" s="21">
        <v>3000000930</v>
      </c>
      <c r="B1345" s="22">
        <v>46216</v>
      </c>
      <c r="C1345" s="20">
        <v>9825984.3399999999</v>
      </c>
      <c r="D1345" s="21" t="s">
        <v>471</v>
      </c>
      <c r="E1345" s="21">
        <v>97124525</v>
      </c>
      <c r="F1345" s="20">
        <v>9825984.3399999999</v>
      </c>
      <c r="G1345" s="22">
        <v>46225</v>
      </c>
      <c r="H1345" s="21" t="s">
        <v>61</v>
      </c>
      <c r="I1345" s="40" t="str">
        <f>IFERROR(IF(VLOOKUP(E1345,extracto!C:C,1,FALSE)=E1345,"pagado","no pagado"),"no pagado")</f>
        <v>pagado</v>
      </c>
      <c r="J1345" s="41" t="str">
        <f t="shared" si="600"/>
        <v>pagado</v>
      </c>
      <c r="K1345" s="40" t="str">
        <f t="shared" ca="1" si="601"/>
        <v>excluir</v>
      </c>
      <c r="L1345" s="40" t="str">
        <f t="shared" ca="1" si="602"/>
        <v>no semana</v>
      </c>
      <c r="M1345" s="40" t="str">
        <f>IFERROR(VLOOKUP(E1345,'cheques a conf'!A:D,4,FALSE),"no clearing")</f>
        <v>no clearing</v>
      </c>
      <c r="N1345" s="40">
        <f t="shared" si="603"/>
        <v>30</v>
      </c>
      <c r="O1345" s="42">
        <f t="shared" si="604"/>
        <v>7</v>
      </c>
      <c r="P1345" s="42">
        <f t="shared" si="605"/>
        <v>2026</v>
      </c>
    </row>
    <row r="1346" spans="1:16" x14ac:dyDescent="0.2">
      <c r="A1346" s="21">
        <v>3000000931</v>
      </c>
      <c r="B1346" s="22">
        <v>46217</v>
      </c>
      <c r="C1346" s="20">
        <v>30000000</v>
      </c>
      <c r="D1346" s="21" t="s">
        <v>571</v>
      </c>
      <c r="E1346" s="21">
        <v>97124526</v>
      </c>
      <c r="F1346" s="20">
        <v>30000000</v>
      </c>
      <c r="G1346" s="22">
        <v>46228</v>
      </c>
      <c r="H1346" s="21" t="s">
        <v>61</v>
      </c>
      <c r="I1346" s="40" t="str">
        <f>IFERROR(IF(VLOOKUP(E1346,extracto!C:C,1,FALSE)=E1346,"pagado","no pagado"),"no pagado")</f>
        <v>pagado</v>
      </c>
      <c r="J1346" s="41" t="str">
        <f t="shared" si="600"/>
        <v>pagado</v>
      </c>
      <c r="K1346" s="40" t="str">
        <f t="shared" ca="1" si="601"/>
        <v>excluir</v>
      </c>
      <c r="L1346" s="40" t="str">
        <f t="shared" ca="1" si="602"/>
        <v>no semana</v>
      </c>
      <c r="M1346" s="40" t="str">
        <f>IFERROR(VLOOKUP(E1346,'cheques a conf'!A:D,4,FALSE),"no clearing")</f>
        <v>no clearing</v>
      </c>
      <c r="N1346" s="40">
        <f t="shared" si="603"/>
        <v>30</v>
      </c>
      <c r="O1346" s="42">
        <f t="shared" si="604"/>
        <v>7</v>
      </c>
      <c r="P1346" s="42">
        <f t="shared" si="605"/>
        <v>2026</v>
      </c>
    </row>
    <row r="1347" spans="1:16" x14ac:dyDescent="0.2">
      <c r="A1347" s="21">
        <v>3000000931</v>
      </c>
      <c r="B1347" s="22">
        <v>46217</v>
      </c>
      <c r="C1347" s="20">
        <v>30262600</v>
      </c>
      <c r="D1347" s="21" t="s">
        <v>571</v>
      </c>
      <c r="E1347" s="21">
        <v>97124527</v>
      </c>
      <c r="F1347" s="20">
        <v>30262600</v>
      </c>
      <c r="G1347" s="22">
        <v>46259</v>
      </c>
      <c r="H1347" s="21" t="s">
        <v>61</v>
      </c>
      <c r="I1347" s="40" t="str">
        <f>IFERROR(IF(VLOOKUP(E1347,extracto!C:C,1,FALSE)=E1347,"pagado","no pagado"),"no pagado")</f>
        <v>pagado</v>
      </c>
      <c r="J1347" s="41" t="str">
        <f t="shared" si="600"/>
        <v>pagado</v>
      </c>
      <c r="K1347" s="40" t="str">
        <f t="shared" ca="1" si="601"/>
        <v>excluir</v>
      </c>
      <c r="L1347" s="40" t="str">
        <f t="shared" ca="1" si="602"/>
        <v>no semana</v>
      </c>
      <c r="M1347" s="40" t="str">
        <f>IFERROR(VLOOKUP(E1347,'cheques a conf'!A:D,4,FALSE),"no clearing")</f>
        <v>no clearing</v>
      </c>
      <c r="N1347" s="40">
        <f t="shared" si="603"/>
        <v>35</v>
      </c>
      <c r="O1347" s="42">
        <f t="shared" si="604"/>
        <v>8</v>
      </c>
      <c r="P1347" s="42">
        <f t="shared" si="605"/>
        <v>2026</v>
      </c>
    </row>
    <row r="1348" spans="1:16" x14ac:dyDescent="0.2">
      <c r="A1348" s="21">
        <v>3000000945</v>
      </c>
      <c r="B1348" s="22">
        <v>46218</v>
      </c>
      <c r="C1348" s="20">
        <v>8371185.4900000002</v>
      </c>
      <c r="D1348" s="21" t="s">
        <v>340</v>
      </c>
      <c r="E1348" s="21">
        <v>97124528</v>
      </c>
      <c r="F1348" s="20">
        <v>8371185.4900000002</v>
      </c>
      <c r="G1348" s="22">
        <v>46225</v>
      </c>
      <c r="H1348" s="21" t="s">
        <v>61</v>
      </c>
      <c r="I1348" s="40" t="str">
        <f>IFERROR(IF(VLOOKUP(E1348,extracto!C:C,1,FALSE)=E1348,"pagado","no pagado"),"no pagado")</f>
        <v>pagado</v>
      </c>
      <c r="J1348" s="41" t="str">
        <f t="shared" si="600"/>
        <v>pagado</v>
      </c>
      <c r="K1348" s="40" t="str">
        <f t="shared" ca="1" si="601"/>
        <v>excluir</v>
      </c>
      <c r="L1348" s="40" t="str">
        <f t="shared" ca="1" si="602"/>
        <v>no semana</v>
      </c>
      <c r="M1348" s="40" t="str">
        <f>IFERROR(VLOOKUP(E1348,'cheques a conf'!A:D,4,FALSE),"no clearing")</f>
        <v>no clearing</v>
      </c>
      <c r="N1348" s="40">
        <f t="shared" si="603"/>
        <v>30</v>
      </c>
      <c r="O1348" s="42">
        <f t="shared" si="604"/>
        <v>7</v>
      </c>
      <c r="P1348" s="42">
        <f t="shared" si="605"/>
        <v>2026</v>
      </c>
    </row>
    <row r="1349" spans="1:16" x14ac:dyDescent="0.2">
      <c r="A1349" s="21">
        <v>3000000960</v>
      </c>
      <c r="B1349" s="22">
        <v>46223</v>
      </c>
      <c r="C1349" s="20">
        <v>8579684.5299999993</v>
      </c>
      <c r="D1349" s="21" t="s">
        <v>307</v>
      </c>
      <c r="E1349" s="21">
        <v>97124529</v>
      </c>
      <c r="F1349" s="20">
        <v>8579684.5299999993</v>
      </c>
      <c r="G1349" s="22">
        <v>46230</v>
      </c>
      <c r="H1349" s="21" t="s">
        <v>61</v>
      </c>
      <c r="I1349" s="40" t="str">
        <f>IFERROR(IF(VLOOKUP(E1349,extracto!C:C,1,FALSE)=E1349,"pagado","no pagado"),"no pagado")</f>
        <v>pagado</v>
      </c>
      <c r="J1349" s="41" t="str">
        <f t="shared" si="600"/>
        <v>pagado</v>
      </c>
      <c r="K1349" s="40" t="str">
        <f t="shared" ca="1" si="601"/>
        <v>excluir</v>
      </c>
      <c r="L1349" s="40" t="str">
        <f t="shared" ca="1" si="602"/>
        <v>no semana</v>
      </c>
      <c r="M1349" s="40" t="str">
        <f>IFERROR(VLOOKUP(E1349,'cheques a conf'!A:D,4,FALSE),"no clearing")</f>
        <v>no clearing</v>
      </c>
      <c r="N1349" s="40">
        <f t="shared" si="603"/>
        <v>31</v>
      </c>
      <c r="O1349" s="42">
        <f t="shared" si="604"/>
        <v>7</v>
      </c>
      <c r="P1349" s="42">
        <f t="shared" si="605"/>
        <v>2026</v>
      </c>
    </row>
    <row r="1350" spans="1:16" x14ac:dyDescent="0.2">
      <c r="A1350" s="21">
        <v>3000000961</v>
      </c>
      <c r="B1350" s="22">
        <v>46223</v>
      </c>
      <c r="C1350" s="20">
        <v>6423589.4199999999</v>
      </c>
      <c r="D1350" s="21" t="s">
        <v>297</v>
      </c>
      <c r="E1350" s="21">
        <v>97124530</v>
      </c>
      <c r="F1350" s="20">
        <v>6423589.4199999999</v>
      </c>
      <c r="G1350" s="22">
        <v>46230</v>
      </c>
      <c r="H1350" s="21" t="s">
        <v>61</v>
      </c>
      <c r="I1350" s="40" t="str">
        <f>IFERROR(IF(VLOOKUP(E1350,extracto!C:C,1,FALSE)=E1350,"pagado","no pagado"),"no pagado")</f>
        <v>pagado</v>
      </c>
      <c r="J1350" s="41" t="str">
        <f t="shared" si="600"/>
        <v>pagado</v>
      </c>
      <c r="K1350" s="40" t="str">
        <f t="shared" ca="1" si="601"/>
        <v>excluir</v>
      </c>
      <c r="L1350" s="40" t="str">
        <f t="shared" ca="1" si="602"/>
        <v>no semana</v>
      </c>
      <c r="M1350" s="40" t="str">
        <f>IFERROR(VLOOKUP(E1350,'cheques a conf'!A:D,4,FALSE),"no clearing")</f>
        <v>no clearing</v>
      </c>
      <c r="N1350" s="40">
        <f t="shared" si="603"/>
        <v>31</v>
      </c>
      <c r="O1350" s="42">
        <f t="shared" si="604"/>
        <v>7</v>
      </c>
      <c r="P1350" s="42">
        <f t="shared" si="605"/>
        <v>2026</v>
      </c>
    </row>
    <row r="1351" spans="1:16" x14ac:dyDescent="0.2">
      <c r="A1351" s="21">
        <v>3000000962</v>
      </c>
      <c r="B1351" s="22">
        <v>46223</v>
      </c>
      <c r="C1351" s="20">
        <v>22608000</v>
      </c>
      <c r="D1351" s="21" t="s">
        <v>386</v>
      </c>
      <c r="E1351" s="21">
        <v>97124531</v>
      </c>
      <c r="F1351" s="20">
        <v>22608000</v>
      </c>
      <c r="G1351" s="22">
        <v>46230</v>
      </c>
      <c r="H1351" s="21" t="s">
        <v>61</v>
      </c>
      <c r="I1351" s="40" t="str">
        <f>IFERROR(IF(VLOOKUP(E1351,extracto!C:C,1,FALSE)=E1351,"pagado","no pagado"),"no pagado")</f>
        <v>pagado</v>
      </c>
      <c r="J1351" s="41" t="str">
        <f t="shared" si="600"/>
        <v>pagado</v>
      </c>
      <c r="K1351" s="40" t="str">
        <f t="shared" ca="1" si="601"/>
        <v>excluir</v>
      </c>
      <c r="L1351" s="40" t="str">
        <f t="shared" ca="1" si="602"/>
        <v>no semana</v>
      </c>
      <c r="M1351" s="40" t="str">
        <f>IFERROR(VLOOKUP(E1351,'cheques a conf'!A:D,4,FALSE),"no clearing")</f>
        <v>no clearing</v>
      </c>
      <c r="N1351" s="40">
        <f t="shared" si="603"/>
        <v>31</v>
      </c>
      <c r="O1351" s="42">
        <f t="shared" si="604"/>
        <v>7</v>
      </c>
      <c r="P1351" s="42">
        <f t="shared" si="605"/>
        <v>2026</v>
      </c>
    </row>
    <row r="1352" spans="1:16" x14ac:dyDescent="0.2">
      <c r="A1352" s="21">
        <v>3000000963</v>
      </c>
      <c r="B1352" s="22">
        <v>46223</v>
      </c>
      <c r="C1352" s="20">
        <v>10141885.949999999</v>
      </c>
      <c r="D1352" s="21" t="s">
        <v>303</v>
      </c>
      <c r="E1352" s="21">
        <v>97124532</v>
      </c>
      <c r="F1352" s="20">
        <v>10141885.949999999</v>
      </c>
      <c r="G1352" s="22">
        <v>46230</v>
      </c>
      <c r="H1352" s="21" t="s">
        <v>61</v>
      </c>
      <c r="I1352" s="40" t="str">
        <f>IFERROR(IF(VLOOKUP(E1352,extracto!C:C,1,FALSE)=E1352,"pagado","no pagado"),"no pagado")</f>
        <v>pagado</v>
      </c>
      <c r="J1352" s="41" t="str">
        <f t="shared" si="600"/>
        <v>pagado</v>
      </c>
      <c r="K1352" s="40" t="str">
        <f t="shared" ca="1" si="601"/>
        <v>excluir</v>
      </c>
      <c r="L1352" s="40" t="str">
        <f t="shared" ca="1" si="602"/>
        <v>no semana</v>
      </c>
      <c r="M1352" s="40" t="str">
        <f>IFERROR(VLOOKUP(E1352,'cheques a conf'!A:D,4,FALSE),"no clearing")</f>
        <v>no clearing</v>
      </c>
      <c r="N1352" s="40">
        <f t="shared" si="603"/>
        <v>31</v>
      </c>
      <c r="O1352" s="42">
        <f t="shared" si="604"/>
        <v>7</v>
      </c>
      <c r="P1352" s="42">
        <f t="shared" si="605"/>
        <v>2026</v>
      </c>
    </row>
    <row r="1353" spans="1:16" x14ac:dyDescent="0.2">
      <c r="A1353" s="21">
        <v>3000000964</v>
      </c>
      <c r="B1353" s="22">
        <v>46223</v>
      </c>
      <c r="C1353" s="20">
        <v>7630354.5099999998</v>
      </c>
      <c r="D1353" s="21" t="s">
        <v>384</v>
      </c>
      <c r="E1353" s="21">
        <v>97124533</v>
      </c>
      <c r="F1353" s="20">
        <v>7630354.5099999998</v>
      </c>
      <c r="G1353" s="22">
        <v>46230</v>
      </c>
      <c r="H1353" s="21" t="s">
        <v>61</v>
      </c>
      <c r="I1353" s="40" t="str">
        <f>IFERROR(IF(VLOOKUP(E1353,extracto!C:C,1,FALSE)=E1353,"pagado","no pagado"),"no pagado")</f>
        <v>pagado</v>
      </c>
      <c r="J1353" s="41" t="str">
        <f t="shared" si="600"/>
        <v>pagado</v>
      </c>
      <c r="K1353" s="40" t="str">
        <f t="shared" ca="1" si="601"/>
        <v>excluir</v>
      </c>
      <c r="L1353" s="40" t="str">
        <f t="shared" ca="1" si="602"/>
        <v>no semana</v>
      </c>
      <c r="M1353" s="40" t="str">
        <f>IFERROR(VLOOKUP(E1353,'cheques a conf'!A:D,4,FALSE),"no clearing")</f>
        <v>no clearing</v>
      </c>
      <c r="N1353" s="40">
        <f t="shared" si="603"/>
        <v>31</v>
      </c>
      <c r="O1353" s="42">
        <f t="shared" si="604"/>
        <v>7</v>
      </c>
      <c r="P1353" s="42">
        <f t="shared" si="605"/>
        <v>2026</v>
      </c>
    </row>
    <row r="1354" spans="1:16" x14ac:dyDescent="0.2">
      <c r="A1354" s="21">
        <v>3000000965</v>
      </c>
      <c r="B1354" s="22">
        <v>46223</v>
      </c>
      <c r="C1354" s="20">
        <v>20509347.620000001</v>
      </c>
      <c r="D1354" s="21" t="s">
        <v>16</v>
      </c>
      <c r="E1354" s="21">
        <v>97124534</v>
      </c>
      <c r="F1354" s="20">
        <v>20509347.620000001</v>
      </c>
      <c r="G1354" s="22">
        <v>46230</v>
      </c>
      <c r="H1354" s="21" t="s">
        <v>61</v>
      </c>
      <c r="I1354" s="40" t="str">
        <f>IFERROR(IF(VLOOKUP(E1354,extracto!C:C,1,FALSE)=E1354,"pagado","no pagado"),"no pagado")</f>
        <v>pagado</v>
      </c>
      <c r="J1354" s="41" t="str">
        <f t="shared" si="600"/>
        <v>pagado</v>
      </c>
      <c r="K1354" s="40" t="str">
        <f t="shared" ca="1" si="601"/>
        <v>excluir</v>
      </c>
      <c r="L1354" s="40" t="str">
        <f t="shared" ca="1" si="602"/>
        <v>no semana</v>
      </c>
      <c r="M1354" s="40" t="str">
        <f>IFERROR(VLOOKUP(E1354,'cheques a conf'!A:D,4,FALSE),"no clearing")</f>
        <v>no clearing</v>
      </c>
      <c r="N1354" s="40">
        <f t="shared" si="603"/>
        <v>31</v>
      </c>
      <c r="O1354" s="42">
        <f t="shared" si="604"/>
        <v>7</v>
      </c>
      <c r="P1354" s="42">
        <f t="shared" si="605"/>
        <v>2026</v>
      </c>
    </row>
    <row r="1355" spans="1:16" x14ac:dyDescent="0.2">
      <c r="A1355" s="21">
        <v>3000000966</v>
      </c>
      <c r="B1355" s="22">
        <v>46223</v>
      </c>
      <c r="C1355" s="20">
        <v>11830993.4</v>
      </c>
      <c r="D1355" s="21" t="s">
        <v>574</v>
      </c>
      <c r="E1355" s="21">
        <v>97124535</v>
      </c>
      <c r="F1355" s="20">
        <v>11830993.4</v>
      </c>
      <c r="G1355" s="22">
        <v>46230</v>
      </c>
      <c r="H1355" s="21" t="s">
        <v>61</v>
      </c>
      <c r="I1355" s="40" t="str">
        <f>IFERROR(IF(VLOOKUP(E1355,extracto!C:C,1,FALSE)=E1355,"pagado","no pagado"),"no pagado")</f>
        <v>pagado</v>
      </c>
      <c r="J1355" s="41" t="str">
        <f t="shared" si="600"/>
        <v>pagado</v>
      </c>
      <c r="K1355" s="40" t="str">
        <f t="shared" ca="1" si="601"/>
        <v>excluir</v>
      </c>
      <c r="L1355" s="40" t="str">
        <f t="shared" ca="1" si="602"/>
        <v>no semana</v>
      </c>
      <c r="M1355" s="40" t="str">
        <f>IFERROR(VLOOKUP(E1355,'cheques a conf'!A:D,4,FALSE),"no clearing")</f>
        <v>no clearing</v>
      </c>
      <c r="N1355" s="40">
        <f t="shared" si="603"/>
        <v>31</v>
      </c>
      <c r="O1355" s="42">
        <f t="shared" si="604"/>
        <v>7</v>
      </c>
      <c r="P1355" s="42">
        <f t="shared" si="605"/>
        <v>2026</v>
      </c>
    </row>
    <row r="1356" spans="1:16" x14ac:dyDescent="0.2">
      <c r="A1356" s="21">
        <v>3000000967</v>
      </c>
      <c r="B1356" s="22">
        <v>46223</v>
      </c>
      <c r="C1356" s="20">
        <v>5802305.3799999999</v>
      </c>
      <c r="D1356" s="21" t="s">
        <v>283</v>
      </c>
      <c r="E1356" s="21">
        <v>97124536</v>
      </c>
      <c r="F1356" s="20">
        <v>5802305.3799999999</v>
      </c>
      <c r="G1356" s="22">
        <v>46230</v>
      </c>
      <c r="H1356" s="21" t="s">
        <v>61</v>
      </c>
      <c r="I1356" s="40" t="str">
        <f>IFERROR(IF(VLOOKUP(E1356,extracto!C:C,1,FALSE)=E1356,"pagado","no pagado"),"no pagado")</f>
        <v>pagado</v>
      </c>
      <c r="J1356" s="41" t="str">
        <f t="shared" si="600"/>
        <v>pagado</v>
      </c>
      <c r="K1356" s="40" t="str">
        <f t="shared" ca="1" si="601"/>
        <v>excluir</v>
      </c>
      <c r="L1356" s="40" t="str">
        <f t="shared" ca="1" si="602"/>
        <v>no semana</v>
      </c>
      <c r="M1356" s="40" t="str">
        <f>IFERROR(VLOOKUP(E1356,'cheques a conf'!A:D,4,FALSE),"no clearing")</f>
        <v>no clearing</v>
      </c>
      <c r="N1356" s="40">
        <f t="shared" si="603"/>
        <v>31</v>
      </c>
      <c r="O1356" s="42">
        <f t="shared" si="604"/>
        <v>7</v>
      </c>
      <c r="P1356" s="42">
        <f t="shared" si="605"/>
        <v>2026</v>
      </c>
    </row>
    <row r="1357" spans="1:16" x14ac:dyDescent="0.2">
      <c r="A1357" s="21">
        <v>3000000968</v>
      </c>
      <c r="B1357" s="22">
        <v>46223</v>
      </c>
      <c r="C1357" s="20">
        <v>6200993.4000000004</v>
      </c>
      <c r="D1357" s="21" t="s">
        <v>138</v>
      </c>
      <c r="E1357" s="21">
        <v>97124537</v>
      </c>
      <c r="F1357" s="20">
        <v>6200993.4000000004</v>
      </c>
      <c r="G1357" s="22">
        <v>46230</v>
      </c>
      <c r="H1357" s="21" t="s">
        <v>61</v>
      </c>
      <c r="I1357" s="40" t="str">
        <f>IFERROR(IF(VLOOKUP(E1357,extracto!C:C,1,FALSE)=E1357,"pagado","no pagado"),"no pagado")</f>
        <v>pagado</v>
      </c>
      <c r="J1357" s="41" t="str">
        <f t="shared" si="600"/>
        <v>pagado</v>
      </c>
      <c r="K1357" s="40" t="str">
        <f t="shared" ca="1" si="601"/>
        <v>excluir</v>
      </c>
      <c r="L1357" s="40" t="str">
        <f t="shared" ca="1" si="602"/>
        <v>no semana</v>
      </c>
      <c r="M1357" s="40" t="str">
        <f>IFERROR(VLOOKUP(E1357,'cheques a conf'!A:D,4,FALSE),"no clearing")</f>
        <v>no clearing</v>
      </c>
      <c r="N1357" s="40">
        <f t="shared" si="603"/>
        <v>31</v>
      </c>
      <c r="O1357" s="42">
        <f t="shared" si="604"/>
        <v>7</v>
      </c>
      <c r="P1357" s="42">
        <f t="shared" si="605"/>
        <v>2026</v>
      </c>
    </row>
    <row r="1358" spans="1:16" x14ac:dyDescent="0.2">
      <c r="A1358" s="21">
        <v>3000000969</v>
      </c>
      <c r="B1358" s="22">
        <v>46223</v>
      </c>
      <c r="C1358" s="20">
        <v>11050117.720000001</v>
      </c>
      <c r="D1358" s="21" t="s">
        <v>350</v>
      </c>
      <c r="E1358" s="21">
        <v>97124538</v>
      </c>
      <c r="F1358" s="20">
        <v>11050117.720000001</v>
      </c>
      <c r="G1358" s="22">
        <v>46230</v>
      </c>
      <c r="H1358" s="21" t="s">
        <v>61</v>
      </c>
      <c r="I1358" s="40" t="str">
        <f>IFERROR(IF(VLOOKUP(E1358,extracto!C:C,1,FALSE)=E1358,"pagado","no pagado"),"no pagado")</f>
        <v>pagado</v>
      </c>
      <c r="J1358" s="41" t="str">
        <f t="shared" si="600"/>
        <v>pagado</v>
      </c>
      <c r="K1358" s="40" t="str">
        <f t="shared" ca="1" si="601"/>
        <v>excluir</v>
      </c>
      <c r="L1358" s="40" t="str">
        <f t="shared" ca="1" si="602"/>
        <v>no semana</v>
      </c>
      <c r="M1358" s="40" t="str">
        <f>IFERROR(VLOOKUP(E1358,'cheques a conf'!A:D,4,FALSE),"no clearing")</f>
        <v>no clearing</v>
      </c>
      <c r="N1358" s="40">
        <f t="shared" si="603"/>
        <v>31</v>
      </c>
      <c r="O1358" s="42">
        <f t="shared" si="604"/>
        <v>7</v>
      </c>
      <c r="P1358" s="42">
        <f t="shared" si="605"/>
        <v>2026</v>
      </c>
    </row>
    <row r="1359" spans="1:16" x14ac:dyDescent="0.2">
      <c r="A1359" s="21">
        <v>3000000992</v>
      </c>
      <c r="B1359" s="22">
        <v>46225</v>
      </c>
      <c r="C1359" s="20">
        <v>3160406.72</v>
      </c>
      <c r="D1359" s="21" t="s">
        <v>301</v>
      </c>
      <c r="E1359" s="21">
        <v>97124539</v>
      </c>
      <c r="F1359" s="20">
        <v>3160406.72</v>
      </c>
      <c r="G1359" s="22">
        <v>46230</v>
      </c>
      <c r="H1359" s="21" t="s">
        <v>61</v>
      </c>
      <c r="I1359" s="40" t="str">
        <f>IFERROR(IF(VLOOKUP(E1359,extracto!C:C,1,FALSE)=E1359,"pagado","no pagado"),"no pagado")</f>
        <v>pagado</v>
      </c>
      <c r="J1359" s="41" t="str">
        <f t="shared" si="600"/>
        <v>pagado</v>
      </c>
      <c r="K1359" s="40" t="str">
        <f t="shared" ca="1" si="601"/>
        <v>excluir</v>
      </c>
      <c r="L1359" s="40" t="str">
        <f t="shared" ca="1" si="602"/>
        <v>no semana</v>
      </c>
      <c r="M1359" s="40" t="str">
        <f>IFERROR(VLOOKUP(E1359,'cheques a conf'!A:D,4,FALSE),"no clearing")</f>
        <v>no clearing</v>
      </c>
      <c r="N1359" s="40">
        <f t="shared" si="603"/>
        <v>31</v>
      </c>
      <c r="O1359" s="42">
        <f t="shared" si="604"/>
        <v>7</v>
      </c>
      <c r="P1359" s="42">
        <f t="shared" si="605"/>
        <v>2026</v>
      </c>
    </row>
    <row r="1360" spans="1:16" x14ac:dyDescent="0.2">
      <c r="A1360" s="21">
        <v>3000000994</v>
      </c>
      <c r="B1360" s="22">
        <v>46226</v>
      </c>
      <c r="C1360" s="20">
        <v>470000000</v>
      </c>
      <c r="D1360" s="21" t="s">
        <v>575</v>
      </c>
      <c r="E1360" s="21">
        <v>97124540</v>
      </c>
      <c r="F1360" s="20">
        <v>470000000</v>
      </c>
      <c r="G1360" s="22">
        <v>46258</v>
      </c>
      <c r="H1360" s="21" t="s">
        <v>61</v>
      </c>
      <c r="I1360" s="40" t="str">
        <f>IFERROR(IF(VLOOKUP(E1360,extracto!C:C,1,FALSE)=E1360,"pagado","no pagado"),"no pagado")</f>
        <v>pagado</v>
      </c>
      <c r="J1360" s="41" t="str">
        <f t="shared" si="600"/>
        <v>pagado</v>
      </c>
      <c r="K1360" s="40" t="str">
        <f t="shared" ca="1" si="601"/>
        <v>excluir</v>
      </c>
      <c r="L1360" s="40" t="str">
        <f t="shared" ca="1" si="602"/>
        <v>no semana</v>
      </c>
      <c r="M1360" s="40" t="str">
        <f>IFERROR(VLOOKUP(E1360,'cheques a conf'!A:D,4,FALSE),"no clearing")</f>
        <v>no clearing</v>
      </c>
      <c r="N1360" s="40">
        <f t="shared" si="603"/>
        <v>35</v>
      </c>
      <c r="O1360" s="42">
        <f t="shared" si="604"/>
        <v>8</v>
      </c>
      <c r="P1360" s="42">
        <f t="shared" si="605"/>
        <v>2026</v>
      </c>
    </row>
    <row r="1361" spans="1:16" x14ac:dyDescent="0.2">
      <c r="A1361" s="21">
        <v>3000000994</v>
      </c>
      <c r="B1361" s="22">
        <v>46226</v>
      </c>
      <c r="C1361" s="20">
        <v>468216094.19999999</v>
      </c>
      <c r="D1361" s="21" t="s">
        <v>575</v>
      </c>
      <c r="E1361" s="21">
        <v>97124541</v>
      </c>
      <c r="F1361" s="20">
        <v>468216094.19999999</v>
      </c>
      <c r="G1361" s="22">
        <v>46265</v>
      </c>
      <c r="H1361" s="21" t="s">
        <v>61</v>
      </c>
      <c r="I1361" s="40" t="str">
        <f>IFERROR(IF(VLOOKUP(E1361,extracto!C:C,1,FALSE)=E1361,"pagado","no pagado"),"no pagado")</f>
        <v>pagado</v>
      </c>
      <c r="J1361" s="41" t="str">
        <f t="shared" si="600"/>
        <v>pagado</v>
      </c>
      <c r="K1361" s="40" t="str">
        <f t="shared" ca="1" si="601"/>
        <v>excluir</v>
      </c>
      <c r="L1361" s="40" t="str">
        <f t="shared" ca="1" si="602"/>
        <v>no semana</v>
      </c>
      <c r="M1361" s="40" t="str">
        <f>IFERROR(VLOOKUP(E1361,'cheques a conf'!A:D,4,FALSE),"no clearing")</f>
        <v>no clearing</v>
      </c>
      <c r="N1361" s="40">
        <f t="shared" si="603"/>
        <v>36</v>
      </c>
      <c r="O1361" s="42">
        <f t="shared" si="604"/>
        <v>8</v>
      </c>
      <c r="P1361" s="42">
        <f t="shared" si="605"/>
        <v>2026</v>
      </c>
    </row>
    <row r="1362" spans="1:16" x14ac:dyDescent="0.2">
      <c r="A1362" s="21">
        <v>3000001005</v>
      </c>
      <c r="B1362" s="22">
        <v>46230</v>
      </c>
      <c r="C1362" s="20">
        <v>26777571.600000001</v>
      </c>
      <c r="D1362" s="21" t="s">
        <v>383</v>
      </c>
      <c r="E1362" s="21">
        <v>97124542</v>
      </c>
      <c r="F1362" s="20">
        <v>26777571.600000001</v>
      </c>
      <c r="G1362" s="22">
        <v>46233</v>
      </c>
      <c r="H1362" s="21" t="s">
        <v>61</v>
      </c>
      <c r="I1362" s="40" t="str">
        <f>IFERROR(IF(VLOOKUP(E1362,extracto!C:C,1,FALSE)=E1362,"pagado","no pagado"),"no pagado")</f>
        <v>pagado</v>
      </c>
      <c r="J1362" s="41" t="str">
        <f t="shared" si="600"/>
        <v>pagado</v>
      </c>
      <c r="K1362" s="40" t="str">
        <f t="shared" ca="1" si="601"/>
        <v>excluir</v>
      </c>
      <c r="L1362" s="40" t="str">
        <f t="shared" ca="1" si="602"/>
        <v>no semana</v>
      </c>
      <c r="M1362" s="40" t="str">
        <f>IFERROR(VLOOKUP(E1362,'cheques a conf'!A:D,4,FALSE),"no clearing")</f>
        <v>no clearing</v>
      </c>
      <c r="N1362" s="40">
        <f t="shared" si="603"/>
        <v>31</v>
      </c>
      <c r="O1362" s="42">
        <f t="shared" si="604"/>
        <v>7</v>
      </c>
      <c r="P1362" s="42">
        <f t="shared" si="605"/>
        <v>2026</v>
      </c>
    </row>
    <row r="1363" spans="1:16" x14ac:dyDescent="0.2">
      <c r="A1363" s="21">
        <v>3000001006</v>
      </c>
      <c r="B1363" s="22">
        <v>46230</v>
      </c>
      <c r="C1363" s="20">
        <v>23348431.379999999</v>
      </c>
      <c r="D1363" s="21" t="s">
        <v>350</v>
      </c>
      <c r="E1363" s="21">
        <v>97124543</v>
      </c>
      <c r="F1363" s="20">
        <v>23348431.379999999</v>
      </c>
      <c r="G1363" s="22">
        <v>46233</v>
      </c>
      <c r="H1363" s="21" t="s">
        <v>61</v>
      </c>
      <c r="I1363" s="40" t="str">
        <f>IFERROR(IF(VLOOKUP(E1363,extracto!C:C,1,FALSE)=E1363,"pagado","no pagado"),"no pagado")</f>
        <v>pagado</v>
      </c>
      <c r="J1363" s="41" t="str">
        <f t="shared" si="600"/>
        <v>pagado</v>
      </c>
      <c r="K1363" s="40" t="str">
        <f t="shared" ca="1" si="601"/>
        <v>excluir</v>
      </c>
      <c r="L1363" s="40" t="str">
        <f t="shared" ca="1" si="602"/>
        <v>no semana</v>
      </c>
      <c r="M1363" s="40" t="str">
        <f>IFERROR(VLOOKUP(E1363,'cheques a conf'!A:D,4,FALSE),"no clearing")</f>
        <v>no clearing</v>
      </c>
      <c r="N1363" s="40">
        <f t="shared" si="603"/>
        <v>31</v>
      </c>
      <c r="O1363" s="42">
        <f t="shared" si="604"/>
        <v>7</v>
      </c>
      <c r="P1363" s="42">
        <f t="shared" si="605"/>
        <v>2026</v>
      </c>
    </row>
    <row r="1364" spans="1:16" x14ac:dyDescent="0.2">
      <c r="A1364" s="21">
        <v>3000001032</v>
      </c>
      <c r="B1364" s="22">
        <v>46232</v>
      </c>
      <c r="C1364" s="20">
        <v>10000000</v>
      </c>
      <c r="D1364" s="21" t="s">
        <v>558</v>
      </c>
      <c r="E1364" s="21">
        <v>97124553</v>
      </c>
      <c r="F1364" s="20">
        <v>10000000</v>
      </c>
      <c r="G1364" s="22">
        <v>46241</v>
      </c>
      <c r="H1364" s="21" t="s">
        <v>61</v>
      </c>
      <c r="I1364" s="40" t="str">
        <f>IFERROR(IF(VLOOKUP(E1364,extracto!C:C,1,FALSE)=E1364,"pagado","no pagado"),"no pagado")</f>
        <v>pagado</v>
      </c>
      <c r="J1364" s="41" t="str">
        <f t="shared" si="600"/>
        <v>pagado</v>
      </c>
      <c r="K1364" s="40" t="str">
        <f t="shared" ca="1" si="601"/>
        <v>excluir</v>
      </c>
      <c r="L1364" s="40" t="str">
        <f t="shared" ca="1" si="602"/>
        <v>no semana</v>
      </c>
      <c r="M1364" s="40" t="str">
        <f>IFERROR(VLOOKUP(E1364,'cheques a conf'!A:D,4,FALSE),"no clearing")</f>
        <v>no clearing</v>
      </c>
      <c r="N1364" s="40">
        <f t="shared" si="603"/>
        <v>32</v>
      </c>
      <c r="O1364" s="42">
        <f t="shared" si="604"/>
        <v>8</v>
      </c>
      <c r="P1364" s="42">
        <f t="shared" si="605"/>
        <v>2026</v>
      </c>
    </row>
    <row r="1365" spans="1:16" x14ac:dyDescent="0.2">
      <c r="A1365" s="21">
        <v>3000001032</v>
      </c>
      <c r="B1365" s="22">
        <v>46232</v>
      </c>
      <c r="C1365" s="20">
        <v>10000000</v>
      </c>
      <c r="D1365" s="21" t="s">
        <v>558</v>
      </c>
      <c r="E1365" s="21">
        <v>97124554</v>
      </c>
      <c r="F1365" s="20">
        <v>10000000</v>
      </c>
      <c r="G1365" s="22">
        <v>46241</v>
      </c>
      <c r="H1365" s="21" t="s">
        <v>61</v>
      </c>
      <c r="I1365" s="40" t="str">
        <f>IFERROR(IF(VLOOKUP(E1365,extracto!C:C,1,FALSE)=E1365,"pagado","no pagado"),"no pagado")</f>
        <v>pagado</v>
      </c>
      <c r="J1365" s="41" t="str">
        <f t="shared" si="600"/>
        <v>pagado</v>
      </c>
      <c r="K1365" s="40" t="str">
        <f t="shared" ca="1" si="601"/>
        <v>excluir</v>
      </c>
      <c r="L1365" s="40" t="str">
        <f t="shared" ca="1" si="602"/>
        <v>no semana</v>
      </c>
      <c r="M1365" s="40" t="str">
        <f>IFERROR(VLOOKUP(E1365,'cheques a conf'!A:D,4,FALSE),"no clearing")</f>
        <v>no clearing</v>
      </c>
      <c r="N1365" s="40">
        <f t="shared" si="603"/>
        <v>32</v>
      </c>
      <c r="O1365" s="42">
        <f t="shared" si="604"/>
        <v>8</v>
      </c>
      <c r="P1365" s="42">
        <f t="shared" si="605"/>
        <v>2026</v>
      </c>
    </row>
    <row r="1366" spans="1:16" x14ac:dyDescent="0.2">
      <c r="A1366" s="21">
        <v>3000001032</v>
      </c>
      <c r="B1366" s="22">
        <v>46232</v>
      </c>
      <c r="C1366" s="20">
        <v>10000000</v>
      </c>
      <c r="D1366" s="21" t="s">
        <v>558</v>
      </c>
      <c r="E1366" s="21">
        <v>97124555</v>
      </c>
      <c r="F1366" s="20">
        <v>10000000</v>
      </c>
      <c r="G1366" s="22">
        <v>46241</v>
      </c>
      <c r="H1366" s="21" t="s">
        <v>61</v>
      </c>
      <c r="I1366" s="40" t="str">
        <f>IFERROR(IF(VLOOKUP(E1366,extracto!C:C,1,FALSE)=E1366,"pagado","no pagado"),"no pagado")</f>
        <v>pagado</v>
      </c>
      <c r="J1366" s="41" t="str">
        <f t="shared" si="600"/>
        <v>pagado</v>
      </c>
      <c r="K1366" s="40" t="str">
        <f t="shared" ca="1" si="601"/>
        <v>excluir</v>
      </c>
      <c r="L1366" s="40" t="str">
        <f t="shared" ca="1" si="602"/>
        <v>no semana</v>
      </c>
      <c r="M1366" s="40" t="str">
        <f>IFERROR(VLOOKUP(E1366,'cheques a conf'!A:D,4,FALSE),"no clearing")</f>
        <v>no clearing</v>
      </c>
      <c r="N1366" s="40">
        <f t="shared" si="603"/>
        <v>32</v>
      </c>
      <c r="O1366" s="42">
        <f t="shared" si="604"/>
        <v>8</v>
      </c>
      <c r="P1366" s="42">
        <f t="shared" si="605"/>
        <v>2026</v>
      </c>
    </row>
    <row r="1367" spans="1:16" x14ac:dyDescent="0.2">
      <c r="A1367" s="21">
        <v>3000001032</v>
      </c>
      <c r="B1367" s="22">
        <v>46232</v>
      </c>
      <c r="C1367" s="20">
        <v>9744627.7200000007</v>
      </c>
      <c r="D1367" s="21" t="s">
        <v>558</v>
      </c>
      <c r="E1367" s="21">
        <v>97124556</v>
      </c>
      <c r="F1367" s="20">
        <v>9744627.7200000007</v>
      </c>
      <c r="G1367" s="22">
        <v>46241</v>
      </c>
      <c r="H1367" s="21" t="s">
        <v>61</v>
      </c>
      <c r="I1367" s="40" t="str">
        <f>IFERROR(IF(VLOOKUP(E1367,extracto!C:C,1,FALSE)=E1367,"pagado","no pagado"),"no pagado")</f>
        <v>pagado</v>
      </c>
      <c r="J1367" s="41" t="str">
        <f t="shared" si="600"/>
        <v>pagado</v>
      </c>
      <c r="K1367" s="40" t="str">
        <f t="shared" ca="1" si="601"/>
        <v>excluir</v>
      </c>
      <c r="L1367" s="40" t="str">
        <f t="shared" ca="1" si="602"/>
        <v>no semana</v>
      </c>
      <c r="M1367" s="40" t="str">
        <f>IFERROR(VLOOKUP(E1367,'cheques a conf'!A:D,4,FALSE),"no clearing")</f>
        <v>no clearing</v>
      </c>
      <c r="N1367" s="40">
        <f t="shared" si="603"/>
        <v>32</v>
      </c>
      <c r="O1367" s="42">
        <f t="shared" si="604"/>
        <v>8</v>
      </c>
      <c r="P1367" s="42">
        <f t="shared" si="605"/>
        <v>2026</v>
      </c>
    </row>
    <row r="1368" spans="1:16" x14ac:dyDescent="0.2">
      <c r="A1368" s="21">
        <v>3000001023</v>
      </c>
      <c r="B1368" s="22">
        <v>46232</v>
      </c>
      <c r="C1368" s="20">
        <v>5720868.3700000001</v>
      </c>
      <c r="D1368" s="21" t="s">
        <v>338</v>
      </c>
      <c r="E1368" s="21">
        <v>97124544</v>
      </c>
      <c r="F1368" s="20">
        <v>5720868.3700000001</v>
      </c>
      <c r="G1368" s="22">
        <v>46238</v>
      </c>
      <c r="H1368" s="21" t="s">
        <v>61</v>
      </c>
      <c r="I1368" s="40" t="str">
        <f>IFERROR(IF(VLOOKUP(E1368,extracto!C:C,1,FALSE)=E1368,"pagado","no pagado"),"no pagado")</f>
        <v>pagado</v>
      </c>
      <c r="J1368" s="41" t="str">
        <f t="shared" si="600"/>
        <v>pagado</v>
      </c>
      <c r="K1368" s="40" t="str">
        <f t="shared" ca="1" si="601"/>
        <v>excluir</v>
      </c>
      <c r="L1368" s="40" t="str">
        <f t="shared" ca="1" si="602"/>
        <v>no semana</v>
      </c>
      <c r="M1368" s="40" t="str">
        <f>IFERROR(VLOOKUP(E1368,'cheques a conf'!A:D,4,FALSE),"no clearing")</f>
        <v>no clearing</v>
      </c>
      <c r="N1368" s="40">
        <f t="shared" si="603"/>
        <v>32</v>
      </c>
      <c r="O1368" s="42">
        <f t="shared" si="604"/>
        <v>8</v>
      </c>
      <c r="P1368" s="42">
        <f t="shared" si="605"/>
        <v>2026</v>
      </c>
    </row>
    <row r="1369" spans="1:16" x14ac:dyDescent="0.2">
      <c r="A1369" s="21">
        <v>3000001024</v>
      </c>
      <c r="B1369" s="22">
        <v>46232</v>
      </c>
      <c r="C1369" s="20">
        <v>5670205.5499999998</v>
      </c>
      <c r="D1369" s="21" t="s">
        <v>16</v>
      </c>
      <c r="E1369" s="21">
        <v>97124545</v>
      </c>
      <c r="F1369" s="20">
        <v>5670205.5499999998</v>
      </c>
      <c r="G1369" s="22">
        <v>46238</v>
      </c>
      <c r="H1369" s="21" t="s">
        <v>61</v>
      </c>
      <c r="I1369" s="40" t="str">
        <f>IFERROR(IF(VLOOKUP(E1369,extracto!C:C,1,FALSE)=E1369,"pagado","no pagado"),"no pagado")</f>
        <v>pagado</v>
      </c>
      <c r="J1369" s="41" t="str">
        <f t="shared" si="600"/>
        <v>pagado</v>
      </c>
      <c r="K1369" s="40" t="str">
        <f t="shared" ca="1" si="601"/>
        <v>excluir</v>
      </c>
      <c r="L1369" s="40" t="str">
        <f t="shared" ca="1" si="602"/>
        <v>no semana</v>
      </c>
      <c r="M1369" s="40" t="str">
        <f>IFERROR(VLOOKUP(E1369,'cheques a conf'!A:D,4,FALSE),"no clearing")</f>
        <v>no clearing</v>
      </c>
      <c r="N1369" s="40">
        <f t="shared" si="603"/>
        <v>32</v>
      </c>
      <c r="O1369" s="42">
        <f t="shared" si="604"/>
        <v>8</v>
      </c>
      <c r="P1369" s="42">
        <f t="shared" si="605"/>
        <v>2026</v>
      </c>
    </row>
    <row r="1370" spans="1:16" x14ac:dyDescent="0.2">
      <c r="A1370" s="21">
        <v>3000001025</v>
      </c>
      <c r="B1370" s="22">
        <v>46232</v>
      </c>
      <c r="C1370" s="20">
        <v>15126590.32</v>
      </c>
      <c r="D1370" s="21" t="s">
        <v>414</v>
      </c>
      <c r="E1370" s="21">
        <v>97124546</v>
      </c>
      <c r="F1370" s="20">
        <v>15126590.32</v>
      </c>
      <c r="G1370" s="22">
        <v>46238</v>
      </c>
      <c r="H1370" s="21" t="s">
        <v>61</v>
      </c>
      <c r="I1370" s="40" t="str">
        <f>IFERROR(IF(VLOOKUP(E1370,extracto!C:C,1,FALSE)=E1370,"pagado","no pagado"),"no pagado")</f>
        <v>pagado</v>
      </c>
      <c r="J1370" s="41" t="str">
        <f t="shared" si="600"/>
        <v>pagado</v>
      </c>
      <c r="K1370" s="40" t="str">
        <f t="shared" ca="1" si="601"/>
        <v>excluir</v>
      </c>
      <c r="L1370" s="40" t="str">
        <f t="shared" ca="1" si="602"/>
        <v>no semana</v>
      </c>
      <c r="M1370" s="40" t="str">
        <f>IFERROR(VLOOKUP(E1370,'cheques a conf'!A:D,4,FALSE),"no clearing")</f>
        <v>no clearing</v>
      </c>
      <c r="N1370" s="40">
        <f t="shared" si="603"/>
        <v>32</v>
      </c>
      <c r="O1370" s="42">
        <f t="shared" si="604"/>
        <v>8</v>
      </c>
      <c r="P1370" s="42">
        <f t="shared" si="605"/>
        <v>2026</v>
      </c>
    </row>
    <row r="1371" spans="1:16" x14ac:dyDescent="0.2">
      <c r="A1371" s="21">
        <v>3000001026</v>
      </c>
      <c r="B1371" s="22">
        <v>46232</v>
      </c>
      <c r="C1371" s="20">
        <v>13223837.07</v>
      </c>
      <c r="D1371" s="21" t="s">
        <v>394</v>
      </c>
      <c r="E1371" s="21">
        <v>97124547</v>
      </c>
      <c r="F1371" s="20">
        <v>13223837.07</v>
      </c>
      <c r="G1371" s="22">
        <v>46238</v>
      </c>
      <c r="H1371" s="21" t="s">
        <v>61</v>
      </c>
      <c r="I1371" s="40" t="str">
        <f>IFERROR(IF(VLOOKUP(E1371,extracto!C:C,1,FALSE)=E1371,"pagado","no pagado"),"no pagado")</f>
        <v>pagado</v>
      </c>
      <c r="J1371" s="41" t="str">
        <f t="shared" si="600"/>
        <v>pagado</v>
      </c>
      <c r="K1371" s="40" t="str">
        <f t="shared" ca="1" si="601"/>
        <v>excluir</v>
      </c>
      <c r="L1371" s="40" t="str">
        <f t="shared" ca="1" si="602"/>
        <v>no semana</v>
      </c>
      <c r="M1371" s="40" t="str">
        <f>IFERROR(VLOOKUP(E1371,'cheques a conf'!A:D,4,FALSE),"no clearing")</f>
        <v>no clearing</v>
      </c>
      <c r="N1371" s="40">
        <f t="shared" si="603"/>
        <v>32</v>
      </c>
      <c r="O1371" s="42">
        <f t="shared" si="604"/>
        <v>8</v>
      </c>
      <c r="P1371" s="42">
        <f t="shared" si="605"/>
        <v>2026</v>
      </c>
    </row>
    <row r="1372" spans="1:16" x14ac:dyDescent="0.2">
      <c r="A1372" s="21">
        <v>3000001027</v>
      </c>
      <c r="B1372" s="22">
        <v>46232</v>
      </c>
      <c r="C1372" s="20">
        <v>17022511.420000002</v>
      </c>
      <c r="D1372" s="21" t="s">
        <v>371</v>
      </c>
      <c r="E1372" s="21">
        <v>97124548</v>
      </c>
      <c r="F1372" s="20">
        <v>17022511.420000002</v>
      </c>
      <c r="G1372" s="22">
        <v>46238</v>
      </c>
      <c r="H1372" s="21" t="s">
        <v>61</v>
      </c>
      <c r="I1372" s="40" t="str">
        <f>IFERROR(IF(VLOOKUP(E1372,extracto!C:C,1,FALSE)=E1372,"pagado","no pagado"),"no pagado")</f>
        <v>pagado</v>
      </c>
      <c r="J1372" s="41" t="str">
        <f t="shared" si="600"/>
        <v>pagado</v>
      </c>
      <c r="K1372" s="40" t="str">
        <f t="shared" ca="1" si="601"/>
        <v>excluir</v>
      </c>
      <c r="L1372" s="40" t="str">
        <f t="shared" ca="1" si="602"/>
        <v>no semana</v>
      </c>
      <c r="M1372" s="40" t="str">
        <f>IFERROR(VLOOKUP(E1372,'cheques a conf'!A:D,4,FALSE),"no clearing")</f>
        <v>no clearing</v>
      </c>
      <c r="N1372" s="40">
        <f t="shared" si="603"/>
        <v>32</v>
      </c>
      <c r="O1372" s="42">
        <f t="shared" si="604"/>
        <v>8</v>
      </c>
      <c r="P1372" s="42">
        <f t="shared" si="605"/>
        <v>2026</v>
      </c>
    </row>
    <row r="1373" spans="1:16" x14ac:dyDescent="0.2">
      <c r="A1373" s="21">
        <v>3000001028</v>
      </c>
      <c r="B1373" s="22">
        <v>46232</v>
      </c>
      <c r="C1373" s="20">
        <v>7294060.7199999997</v>
      </c>
      <c r="D1373" s="21" t="s">
        <v>386</v>
      </c>
      <c r="E1373" s="21">
        <v>97124549</v>
      </c>
      <c r="F1373" s="20">
        <v>7294060.7199999997</v>
      </c>
      <c r="G1373" s="22">
        <v>46238</v>
      </c>
      <c r="H1373" s="21" t="s">
        <v>61</v>
      </c>
      <c r="I1373" s="40" t="str">
        <f>IFERROR(IF(VLOOKUP(E1373,extracto!C:C,1,FALSE)=E1373,"pagado","no pagado"),"no pagado")</f>
        <v>pagado</v>
      </c>
      <c r="J1373" s="41" t="str">
        <f t="shared" si="600"/>
        <v>pagado</v>
      </c>
      <c r="K1373" s="40" t="str">
        <f t="shared" ca="1" si="601"/>
        <v>excluir</v>
      </c>
      <c r="L1373" s="40" t="str">
        <f t="shared" ca="1" si="602"/>
        <v>no semana</v>
      </c>
      <c r="M1373" s="40" t="str">
        <f>IFERROR(VLOOKUP(E1373,'cheques a conf'!A:D,4,FALSE),"no clearing")</f>
        <v>no clearing</v>
      </c>
      <c r="N1373" s="40">
        <f t="shared" si="603"/>
        <v>32</v>
      </c>
      <c r="O1373" s="42">
        <f t="shared" si="604"/>
        <v>8</v>
      </c>
      <c r="P1373" s="42">
        <f t="shared" si="605"/>
        <v>2026</v>
      </c>
    </row>
    <row r="1374" spans="1:16" x14ac:dyDescent="0.2">
      <c r="A1374" s="21">
        <v>3000001029</v>
      </c>
      <c r="B1374" s="22">
        <v>46232</v>
      </c>
      <c r="C1374" s="20">
        <v>7595580.4800000004</v>
      </c>
      <c r="D1374" s="21" t="s">
        <v>441</v>
      </c>
      <c r="E1374" s="21">
        <v>97124550</v>
      </c>
      <c r="F1374" s="20">
        <v>7595580.4800000004</v>
      </c>
      <c r="G1374" s="22">
        <v>46238</v>
      </c>
      <c r="H1374" s="21" t="s">
        <v>61</v>
      </c>
      <c r="I1374" s="40" t="str">
        <f>IFERROR(IF(VLOOKUP(E1374,extracto!C:C,1,FALSE)=E1374,"pagado","no pagado"),"no pagado")</f>
        <v>pagado</v>
      </c>
      <c r="J1374" s="41" t="str">
        <f t="shared" si="600"/>
        <v>pagado</v>
      </c>
      <c r="K1374" s="40" t="str">
        <f t="shared" ca="1" si="601"/>
        <v>excluir</v>
      </c>
      <c r="L1374" s="40" t="str">
        <f t="shared" ca="1" si="602"/>
        <v>no semana</v>
      </c>
      <c r="M1374" s="40" t="str">
        <f>IFERROR(VLOOKUP(E1374,'cheques a conf'!A:D,4,FALSE),"no clearing")</f>
        <v>no clearing</v>
      </c>
      <c r="N1374" s="40">
        <f t="shared" si="603"/>
        <v>32</v>
      </c>
      <c r="O1374" s="42">
        <f t="shared" si="604"/>
        <v>8</v>
      </c>
      <c r="P1374" s="42">
        <f t="shared" si="605"/>
        <v>2026</v>
      </c>
    </row>
    <row r="1375" spans="1:16" x14ac:dyDescent="0.2">
      <c r="A1375" s="21">
        <v>3000001030</v>
      </c>
      <c r="B1375" s="22">
        <v>46232</v>
      </c>
      <c r="C1375" s="20">
        <v>792616.06</v>
      </c>
      <c r="D1375" s="21" t="s">
        <v>384</v>
      </c>
      <c r="E1375" s="21">
        <v>97124551</v>
      </c>
      <c r="F1375" s="20">
        <v>792616.06</v>
      </c>
      <c r="G1375" s="22">
        <v>46238</v>
      </c>
      <c r="H1375" s="21" t="s">
        <v>61</v>
      </c>
      <c r="I1375" s="40" t="str">
        <f>IFERROR(IF(VLOOKUP(E1375,extracto!C:C,1,FALSE)=E1375,"pagado","no pagado"),"no pagado")</f>
        <v>pagado</v>
      </c>
      <c r="J1375" s="41" t="str">
        <f t="shared" si="600"/>
        <v>pagado</v>
      </c>
      <c r="K1375" s="40" t="str">
        <f t="shared" ca="1" si="601"/>
        <v>excluir</v>
      </c>
      <c r="L1375" s="40" t="str">
        <f t="shared" ca="1" si="602"/>
        <v>no semana</v>
      </c>
      <c r="M1375" s="40" t="str">
        <f>IFERROR(VLOOKUP(E1375,'cheques a conf'!A:D,4,FALSE),"no clearing")</f>
        <v>no clearing</v>
      </c>
      <c r="N1375" s="40">
        <f t="shared" si="603"/>
        <v>32</v>
      </c>
      <c r="O1375" s="42">
        <f t="shared" si="604"/>
        <v>8</v>
      </c>
      <c r="P1375" s="42">
        <f t="shared" si="605"/>
        <v>2026</v>
      </c>
    </row>
    <row r="1376" spans="1:16" x14ac:dyDescent="0.2">
      <c r="A1376" s="21">
        <v>3000001031</v>
      </c>
      <c r="B1376" s="22">
        <v>46232</v>
      </c>
      <c r="C1376" s="20">
        <v>23411119.449999999</v>
      </c>
      <c r="D1376" s="21" t="s">
        <v>303</v>
      </c>
      <c r="E1376" s="21">
        <v>97124552</v>
      </c>
      <c r="F1376" s="20">
        <v>23411119.449999999</v>
      </c>
      <c r="G1376" s="22">
        <v>46238</v>
      </c>
      <c r="H1376" s="21" t="s">
        <v>61</v>
      </c>
      <c r="I1376" s="40" t="str">
        <f>IFERROR(IF(VLOOKUP(E1376,extracto!C:C,1,FALSE)=E1376,"pagado","no pagado"),"no pagado")</f>
        <v>pagado</v>
      </c>
      <c r="J1376" s="41" t="str">
        <f t="shared" si="600"/>
        <v>pagado</v>
      </c>
      <c r="K1376" s="40" t="str">
        <f t="shared" ca="1" si="601"/>
        <v>excluir</v>
      </c>
      <c r="L1376" s="40" t="str">
        <f t="shared" ca="1" si="602"/>
        <v>no semana</v>
      </c>
      <c r="M1376" s="40" t="str">
        <f>IFERROR(VLOOKUP(E1376,'cheques a conf'!A:D,4,FALSE),"no clearing")</f>
        <v>no clearing</v>
      </c>
      <c r="N1376" s="40">
        <f t="shared" si="603"/>
        <v>32</v>
      </c>
      <c r="O1376" s="42">
        <f t="shared" si="604"/>
        <v>8</v>
      </c>
      <c r="P1376" s="42">
        <f t="shared" si="605"/>
        <v>2026</v>
      </c>
    </row>
    <row r="1377" spans="1:16" x14ac:dyDescent="0.2">
      <c r="A1377" s="21">
        <v>3000001043</v>
      </c>
      <c r="B1377" s="22">
        <v>46237</v>
      </c>
      <c r="C1377" s="20">
        <v>6956819.2800000003</v>
      </c>
      <c r="D1377" s="21" t="s">
        <v>437</v>
      </c>
      <c r="E1377" s="21">
        <v>97124557</v>
      </c>
      <c r="F1377" s="20">
        <v>6956819.2800000003</v>
      </c>
      <c r="G1377" s="22">
        <v>46244</v>
      </c>
      <c r="H1377" s="21" t="s">
        <v>61</v>
      </c>
      <c r="I1377" s="40" t="str">
        <f>IFERROR(IF(VLOOKUP(E1377,extracto!C:C,1,FALSE)=E1377,"pagado","no pagado"),"no pagado")</f>
        <v>pagado</v>
      </c>
      <c r="J1377" s="41" t="str">
        <f t="shared" si="600"/>
        <v>pagado</v>
      </c>
      <c r="K1377" s="40" t="str">
        <f t="shared" ca="1" si="601"/>
        <v>excluir</v>
      </c>
      <c r="L1377" s="40" t="str">
        <f t="shared" ca="1" si="602"/>
        <v>no semana</v>
      </c>
      <c r="M1377" s="40" t="str">
        <f>IFERROR(VLOOKUP(E1377,'cheques a conf'!A:D,4,FALSE),"no clearing")</f>
        <v>no clearing</v>
      </c>
      <c r="N1377" s="40">
        <f t="shared" si="603"/>
        <v>33</v>
      </c>
      <c r="O1377" s="42">
        <f t="shared" si="604"/>
        <v>8</v>
      </c>
      <c r="P1377" s="42">
        <f t="shared" si="605"/>
        <v>2026</v>
      </c>
    </row>
    <row r="1378" spans="1:16" x14ac:dyDescent="0.2">
      <c r="A1378" s="21">
        <v>3000001044</v>
      </c>
      <c r="B1378" s="22">
        <v>46237</v>
      </c>
      <c r="C1378" s="20">
        <v>7547084.4000000004</v>
      </c>
      <c r="D1378" s="21" t="s">
        <v>365</v>
      </c>
      <c r="E1378" s="21">
        <v>97124558</v>
      </c>
      <c r="F1378" s="20">
        <v>7547084.4000000004</v>
      </c>
      <c r="G1378" s="22">
        <v>46244</v>
      </c>
      <c r="H1378" s="21" t="s">
        <v>61</v>
      </c>
      <c r="I1378" s="40" t="str">
        <f>IFERROR(IF(VLOOKUP(E1378,extracto!C:C,1,FALSE)=E1378,"pagado","no pagado"),"no pagado")</f>
        <v>pagado</v>
      </c>
      <c r="J1378" s="41" t="str">
        <f t="shared" si="600"/>
        <v>pagado</v>
      </c>
      <c r="K1378" s="40" t="str">
        <f t="shared" ca="1" si="601"/>
        <v>excluir</v>
      </c>
      <c r="L1378" s="40" t="str">
        <f t="shared" ca="1" si="602"/>
        <v>no semana</v>
      </c>
      <c r="M1378" s="40" t="str">
        <f>IFERROR(VLOOKUP(E1378,'cheques a conf'!A:D,4,FALSE),"no clearing")</f>
        <v>no clearing</v>
      </c>
      <c r="N1378" s="40">
        <f t="shared" si="603"/>
        <v>33</v>
      </c>
      <c r="O1378" s="42">
        <f t="shared" si="604"/>
        <v>8</v>
      </c>
      <c r="P1378" s="42">
        <f t="shared" si="605"/>
        <v>2026</v>
      </c>
    </row>
    <row r="1379" spans="1:16" x14ac:dyDescent="0.2">
      <c r="A1379" s="21">
        <v>3000001045</v>
      </c>
      <c r="B1379" s="22">
        <v>46237</v>
      </c>
      <c r="C1379" s="20">
        <v>45921778.399999999</v>
      </c>
      <c r="D1379" s="21" t="s">
        <v>350</v>
      </c>
      <c r="E1379" s="21">
        <v>97124559</v>
      </c>
      <c r="F1379" s="20">
        <v>45921778.399999999</v>
      </c>
      <c r="G1379" s="22">
        <v>46244</v>
      </c>
      <c r="H1379" s="21" t="s">
        <v>61</v>
      </c>
      <c r="I1379" s="40" t="str">
        <f>IFERROR(IF(VLOOKUP(E1379,extracto!C:C,1,FALSE)=E1379,"pagado","no pagado"),"no pagado")</f>
        <v>pagado</v>
      </c>
      <c r="J1379" s="41" t="str">
        <f t="shared" si="600"/>
        <v>pagado</v>
      </c>
      <c r="K1379" s="40" t="str">
        <f t="shared" ca="1" si="601"/>
        <v>excluir</v>
      </c>
      <c r="L1379" s="40" t="str">
        <f t="shared" ca="1" si="602"/>
        <v>no semana</v>
      </c>
      <c r="M1379" s="40" t="str">
        <f>IFERROR(VLOOKUP(E1379,'cheques a conf'!A:D,4,FALSE),"no clearing")</f>
        <v>no clearing</v>
      </c>
      <c r="N1379" s="40">
        <f t="shared" si="603"/>
        <v>33</v>
      </c>
      <c r="O1379" s="42">
        <f t="shared" si="604"/>
        <v>8</v>
      </c>
      <c r="P1379" s="42">
        <f t="shared" si="605"/>
        <v>2026</v>
      </c>
    </row>
    <row r="1380" spans="1:16" x14ac:dyDescent="0.2">
      <c r="A1380" s="21">
        <v>3000001046</v>
      </c>
      <c r="B1380" s="22">
        <v>46237</v>
      </c>
      <c r="C1380" s="20">
        <v>10167538.4</v>
      </c>
      <c r="D1380" s="21" t="s">
        <v>300</v>
      </c>
      <c r="E1380" s="21">
        <v>97124560</v>
      </c>
      <c r="F1380" s="20">
        <v>10167538.4</v>
      </c>
      <c r="G1380" s="22">
        <v>46244</v>
      </c>
      <c r="H1380" s="21" t="s">
        <v>61</v>
      </c>
      <c r="I1380" s="40" t="str">
        <f>IFERROR(IF(VLOOKUP(E1380,extracto!C:C,1,FALSE)=E1380,"pagado","no pagado"),"no pagado")</f>
        <v>pagado</v>
      </c>
      <c r="J1380" s="41" t="str">
        <f t="shared" si="600"/>
        <v>pagado</v>
      </c>
      <c r="K1380" s="40" t="str">
        <f t="shared" ca="1" si="601"/>
        <v>excluir</v>
      </c>
      <c r="L1380" s="40" t="str">
        <f t="shared" ca="1" si="602"/>
        <v>no semana</v>
      </c>
      <c r="M1380" s="40" t="str">
        <f>IFERROR(VLOOKUP(E1380,'cheques a conf'!A:D,4,FALSE),"no clearing")</f>
        <v>no clearing</v>
      </c>
      <c r="N1380" s="40">
        <f t="shared" si="603"/>
        <v>33</v>
      </c>
      <c r="O1380" s="42">
        <f t="shared" si="604"/>
        <v>8</v>
      </c>
      <c r="P1380" s="42">
        <f t="shared" si="605"/>
        <v>2026</v>
      </c>
    </row>
    <row r="1381" spans="1:16" x14ac:dyDescent="0.2">
      <c r="A1381" s="21">
        <v>1200001909</v>
      </c>
      <c r="B1381" s="22">
        <v>46237</v>
      </c>
      <c r="C1381" s="20">
        <v>600002.55000000005</v>
      </c>
      <c r="D1381" s="21" t="s">
        <v>538</v>
      </c>
      <c r="E1381" s="21">
        <v>12452662</v>
      </c>
      <c r="F1381" s="20">
        <v>600002.55000000005</v>
      </c>
      <c r="G1381" s="22">
        <v>46238</v>
      </c>
      <c r="H1381" s="21" t="s">
        <v>61</v>
      </c>
      <c r="I1381" s="40" t="str">
        <f>IFERROR(IF(VLOOKUP(E1381,extracto!C:C,1,FALSE)=E1381,"pagado","no pagado"),"no pagado")</f>
        <v>pagado</v>
      </c>
      <c r="J1381" s="41" t="str">
        <f t="shared" si="600"/>
        <v>pagado</v>
      </c>
      <c r="K1381" s="40" t="str">
        <f t="shared" ca="1" si="601"/>
        <v>excluir</v>
      </c>
      <c r="L1381" s="40" t="str">
        <f t="shared" ca="1" si="602"/>
        <v>no semana</v>
      </c>
      <c r="M1381" s="40" t="str">
        <f>IFERROR(VLOOKUP(E1381,'cheques a conf'!A:D,4,FALSE),"no clearing")</f>
        <v>no clearing</v>
      </c>
      <c r="N1381" s="40">
        <f t="shared" si="603"/>
        <v>32</v>
      </c>
      <c r="O1381" s="42">
        <f t="shared" si="604"/>
        <v>8</v>
      </c>
      <c r="P1381" s="42">
        <f t="shared" si="605"/>
        <v>2026</v>
      </c>
    </row>
    <row r="1382" spans="1:16" x14ac:dyDescent="0.2">
      <c r="A1382" s="21">
        <v>3000001064</v>
      </c>
      <c r="B1382" s="22">
        <v>46239</v>
      </c>
      <c r="C1382" s="20">
        <v>5733803.6500000004</v>
      </c>
      <c r="D1382" s="21" t="s">
        <v>306</v>
      </c>
      <c r="E1382" s="21">
        <v>97124561</v>
      </c>
      <c r="F1382" s="20">
        <v>5733803.6500000004</v>
      </c>
      <c r="G1382" s="22">
        <v>46245</v>
      </c>
      <c r="H1382" s="21" t="s">
        <v>61</v>
      </c>
      <c r="I1382" s="40" t="str">
        <f>IFERROR(IF(VLOOKUP(E1382,extracto!C:C,1,FALSE)=E1382,"pagado","no pagado"),"no pagado")</f>
        <v>pagado</v>
      </c>
      <c r="J1382" s="41" t="str">
        <f t="shared" si="600"/>
        <v>pagado</v>
      </c>
      <c r="K1382" s="40" t="str">
        <f t="shared" ca="1" si="601"/>
        <v>excluir</v>
      </c>
      <c r="L1382" s="40" t="str">
        <f t="shared" ca="1" si="602"/>
        <v>no semana</v>
      </c>
      <c r="M1382" s="40" t="str">
        <f>IFERROR(VLOOKUP(E1382,'cheques a conf'!A:D,4,FALSE),"no clearing")</f>
        <v>no clearing</v>
      </c>
      <c r="N1382" s="40">
        <f t="shared" si="603"/>
        <v>33</v>
      </c>
      <c r="O1382" s="42">
        <f t="shared" si="604"/>
        <v>8</v>
      </c>
      <c r="P1382" s="42">
        <f t="shared" si="605"/>
        <v>2026</v>
      </c>
    </row>
    <row r="1383" spans="1:16" x14ac:dyDescent="0.2">
      <c r="A1383" s="21">
        <v>3000001065</v>
      </c>
      <c r="B1383" s="22">
        <v>46239</v>
      </c>
      <c r="C1383" s="20">
        <v>17772649.149999999</v>
      </c>
      <c r="D1383" s="21" t="s">
        <v>393</v>
      </c>
      <c r="E1383" s="21">
        <v>97124562</v>
      </c>
      <c r="F1383" s="20">
        <v>17772649.149999999</v>
      </c>
      <c r="G1383" s="22">
        <v>46245</v>
      </c>
      <c r="H1383" s="21" t="s">
        <v>61</v>
      </c>
      <c r="I1383" s="40" t="str">
        <f>IFERROR(IF(VLOOKUP(E1383,extracto!C:C,1,FALSE)=E1383,"pagado","no pagado"),"no pagado")</f>
        <v>pagado</v>
      </c>
      <c r="J1383" s="41" t="str">
        <f t="shared" si="600"/>
        <v>pagado</v>
      </c>
      <c r="K1383" s="40" t="str">
        <f t="shared" ca="1" si="601"/>
        <v>excluir</v>
      </c>
      <c r="L1383" s="40" t="str">
        <f t="shared" ca="1" si="602"/>
        <v>no semana</v>
      </c>
      <c r="M1383" s="40" t="str">
        <f>IFERROR(VLOOKUP(E1383,'cheques a conf'!A:D,4,FALSE),"no clearing")</f>
        <v>no clearing</v>
      </c>
      <c r="N1383" s="40">
        <f t="shared" si="603"/>
        <v>33</v>
      </c>
      <c r="O1383" s="42">
        <f t="shared" si="604"/>
        <v>8</v>
      </c>
      <c r="P1383" s="42">
        <f t="shared" si="605"/>
        <v>2026</v>
      </c>
    </row>
    <row r="1384" spans="1:16" x14ac:dyDescent="0.2">
      <c r="A1384" s="21">
        <v>3000001066</v>
      </c>
      <c r="B1384" s="22">
        <v>46239</v>
      </c>
      <c r="C1384" s="20">
        <v>9539475.5399999991</v>
      </c>
      <c r="D1384" s="21" t="s">
        <v>584</v>
      </c>
      <c r="E1384" s="21">
        <v>97124563</v>
      </c>
      <c r="F1384" s="20">
        <v>9539475.5399999991</v>
      </c>
      <c r="G1384" s="22">
        <v>46245</v>
      </c>
      <c r="H1384" s="21" t="s">
        <v>61</v>
      </c>
      <c r="I1384" s="40" t="str">
        <f>IFERROR(IF(VLOOKUP(E1384,extracto!C:C,1,FALSE)=E1384,"pagado","no pagado"),"no pagado")</f>
        <v>pagado</v>
      </c>
      <c r="J1384" s="41" t="str">
        <f t="shared" si="600"/>
        <v>pagado</v>
      </c>
      <c r="K1384" s="40" t="str">
        <f t="shared" ca="1" si="601"/>
        <v>excluir</v>
      </c>
      <c r="L1384" s="40" t="str">
        <f t="shared" ca="1" si="602"/>
        <v>no semana</v>
      </c>
      <c r="M1384" s="40" t="str">
        <f>IFERROR(VLOOKUP(E1384,'cheques a conf'!A:D,4,FALSE),"no clearing")</f>
        <v>no clearing</v>
      </c>
      <c r="N1384" s="40">
        <f t="shared" si="603"/>
        <v>33</v>
      </c>
      <c r="O1384" s="42">
        <f t="shared" si="604"/>
        <v>8</v>
      </c>
      <c r="P1384" s="42">
        <f t="shared" si="605"/>
        <v>2026</v>
      </c>
    </row>
    <row r="1385" spans="1:16" x14ac:dyDescent="0.2">
      <c r="A1385" s="21">
        <v>3000001067</v>
      </c>
      <c r="B1385" s="22">
        <v>46239</v>
      </c>
      <c r="C1385" s="20">
        <v>8291483.7599999998</v>
      </c>
      <c r="D1385" s="21" t="s">
        <v>359</v>
      </c>
      <c r="E1385" s="21">
        <v>97124564</v>
      </c>
      <c r="F1385" s="20">
        <v>8291483.7599999998</v>
      </c>
      <c r="G1385" s="22">
        <v>46245</v>
      </c>
      <c r="H1385" s="21" t="s">
        <v>61</v>
      </c>
      <c r="I1385" s="40" t="str">
        <f>IFERROR(IF(VLOOKUP(E1385,extracto!C:C,1,FALSE)=E1385,"pagado","no pagado"),"no pagado")</f>
        <v>pagado</v>
      </c>
      <c r="J1385" s="41" t="str">
        <f t="shared" si="600"/>
        <v>pagado</v>
      </c>
      <c r="K1385" s="40" t="str">
        <f t="shared" ca="1" si="601"/>
        <v>excluir</v>
      </c>
      <c r="L1385" s="40" t="str">
        <f t="shared" ca="1" si="602"/>
        <v>no semana</v>
      </c>
      <c r="M1385" s="40" t="str">
        <f>IFERROR(VLOOKUP(E1385,'cheques a conf'!A:D,4,FALSE),"no clearing")</f>
        <v>no clearing</v>
      </c>
      <c r="N1385" s="40">
        <f t="shared" si="603"/>
        <v>33</v>
      </c>
      <c r="O1385" s="42">
        <f t="shared" si="604"/>
        <v>8</v>
      </c>
      <c r="P1385" s="42">
        <f t="shared" si="605"/>
        <v>2026</v>
      </c>
    </row>
    <row r="1386" spans="1:16" x14ac:dyDescent="0.2">
      <c r="A1386" s="21">
        <v>3000001068</v>
      </c>
      <c r="B1386" s="22">
        <v>46239</v>
      </c>
      <c r="C1386" s="20">
        <v>3757704</v>
      </c>
      <c r="D1386" s="21" t="s">
        <v>585</v>
      </c>
      <c r="E1386" s="21">
        <v>97124565</v>
      </c>
      <c r="F1386" s="20">
        <v>3757704</v>
      </c>
      <c r="G1386" s="22">
        <v>46245</v>
      </c>
      <c r="H1386" s="21" t="s">
        <v>61</v>
      </c>
      <c r="I1386" s="40" t="str">
        <f>IFERROR(IF(VLOOKUP(E1386,extracto!C:C,1,FALSE)=E1386,"pagado","no pagado"),"no pagado")</f>
        <v>pagado</v>
      </c>
      <c r="J1386" s="41" t="str">
        <f t="shared" si="600"/>
        <v>pagado</v>
      </c>
      <c r="K1386" s="40" t="str">
        <f t="shared" ca="1" si="601"/>
        <v>excluir</v>
      </c>
      <c r="L1386" s="40" t="str">
        <f t="shared" ca="1" si="602"/>
        <v>no semana</v>
      </c>
      <c r="M1386" s="40" t="str">
        <f>IFERROR(VLOOKUP(E1386,'cheques a conf'!A:D,4,FALSE),"no clearing")</f>
        <v>no clearing</v>
      </c>
      <c r="N1386" s="40">
        <f t="shared" si="603"/>
        <v>33</v>
      </c>
      <c r="O1386" s="42">
        <f t="shared" si="604"/>
        <v>8</v>
      </c>
      <c r="P1386" s="42">
        <f t="shared" si="605"/>
        <v>2026</v>
      </c>
    </row>
    <row r="1387" spans="1:16" x14ac:dyDescent="0.2">
      <c r="A1387" s="21">
        <v>3000001069</v>
      </c>
      <c r="B1387" s="22">
        <v>46239</v>
      </c>
      <c r="C1387" s="20">
        <v>7471579.0899999999</v>
      </c>
      <c r="D1387" s="21" t="s">
        <v>391</v>
      </c>
      <c r="E1387" s="21">
        <v>97124566</v>
      </c>
      <c r="F1387" s="20">
        <v>7471579.0899999999</v>
      </c>
      <c r="G1387" s="22">
        <v>46245</v>
      </c>
      <c r="H1387" s="21" t="s">
        <v>61</v>
      </c>
      <c r="I1387" s="40" t="str">
        <f>IFERROR(IF(VLOOKUP(E1387,extracto!C:C,1,FALSE)=E1387,"pagado","no pagado"),"no pagado")</f>
        <v>pagado</v>
      </c>
      <c r="J1387" s="41" t="str">
        <f t="shared" si="600"/>
        <v>pagado</v>
      </c>
      <c r="K1387" s="40" t="str">
        <f t="shared" ca="1" si="601"/>
        <v>excluir</v>
      </c>
      <c r="L1387" s="40" t="str">
        <f t="shared" ca="1" si="602"/>
        <v>no semana</v>
      </c>
      <c r="M1387" s="40" t="str">
        <f>IFERROR(VLOOKUP(E1387,'cheques a conf'!A:D,4,FALSE),"no clearing")</f>
        <v>no clearing</v>
      </c>
      <c r="N1387" s="40">
        <f t="shared" si="603"/>
        <v>33</v>
      </c>
      <c r="O1387" s="42">
        <f t="shared" si="604"/>
        <v>8</v>
      </c>
      <c r="P1387" s="42">
        <f t="shared" si="605"/>
        <v>2026</v>
      </c>
    </row>
    <row r="1388" spans="1:16" x14ac:dyDescent="0.2">
      <c r="A1388" s="21">
        <v>3000001088</v>
      </c>
      <c r="B1388" s="22">
        <v>46244</v>
      </c>
      <c r="C1388" s="20">
        <v>4730418.83</v>
      </c>
      <c r="D1388" s="21" t="s">
        <v>346</v>
      </c>
      <c r="E1388" s="21">
        <v>97124567</v>
      </c>
      <c r="F1388" s="20">
        <v>4730418.83</v>
      </c>
      <c r="G1388" s="22">
        <v>46247</v>
      </c>
      <c r="H1388" s="21" t="s">
        <v>61</v>
      </c>
      <c r="I1388" s="40" t="str">
        <f>IFERROR(IF(VLOOKUP(E1388,extracto!C:C,1,FALSE)=E1388,"pagado","no pagado"),"no pagado")</f>
        <v>pagado</v>
      </c>
      <c r="J1388" s="41" t="str">
        <f t="shared" si="600"/>
        <v>pagado</v>
      </c>
      <c r="K1388" s="40" t="str">
        <f t="shared" ca="1" si="601"/>
        <v>excluir</v>
      </c>
      <c r="L1388" s="40" t="str">
        <f t="shared" ca="1" si="602"/>
        <v>no semana</v>
      </c>
      <c r="M1388" s="40" t="str">
        <f>IFERROR(VLOOKUP(E1388,'cheques a conf'!A:D,4,FALSE),"no clearing")</f>
        <v>no clearing</v>
      </c>
      <c r="N1388" s="40">
        <f t="shared" si="603"/>
        <v>33</v>
      </c>
      <c r="O1388" s="42">
        <f t="shared" si="604"/>
        <v>8</v>
      </c>
      <c r="P1388" s="42">
        <f t="shared" si="605"/>
        <v>2026</v>
      </c>
    </row>
    <row r="1389" spans="1:16" x14ac:dyDescent="0.2">
      <c r="A1389" s="21">
        <v>3000001089</v>
      </c>
      <c r="B1389" s="22">
        <v>46244</v>
      </c>
      <c r="C1389" s="20">
        <v>24462703.399999999</v>
      </c>
      <c r="D1389" s="21" t="s">
        <v>287</v>
      </c>
      <c r="E1389" s="21">
        <v>97124568</v>
      </c>
      <c r="F1389" s="20">
        <v>24462703.399999999</v>
      </c>
      <c r="G1389" s="22">
        <v>46248</v>
      </c>
      <c r="H1389" s="21" t="s">
        <v>61</v>
      </c>
      <c r="I1389" s="40" t="str">
        <f>IFERROR(IF(VLOOKUP(E1389,extracto!C:C,1,FALSE)=E1389,"pagado","no pagado"),"no pagado")</f>
        <v>no pagado</v>
      </c>
      <c r="J1389" s="41" t="str">
        <f t="shared" ca="1" si="600"/>
        <v>en periodo de pago</v>
      </c>
      <c r="K1389" s="40" t="str">
        <f t="shared" ca="1" si="601"/>
        <v>a pagar</v>
      </c>
      <c r="L1389" s="40" t="str">
        <f t="shared" ca="1" si="602"/>
        <v>no semana</v>
      </c>
      <c r="M1389" s="40" t="str">
        <f>IFERROR(VLOOKUP(E1389,'cheques a conf'!A:D,4,FALSE),"no clearing")</f>
        <v>no clearing</v>
      </c>
      <c r="N1389" s="40">
        <f t="shared" si="603"/>
        <v>33</v>
      </c>
      <c r="O1389" s="42">
        <f t="shared" si="604"/>
        <v>8</v>
      </c>
      <c r="P1389" s="42">
        <f t="shared" si="605"/>
        <v>2026</v>
      </c>
    </row>
    <row r="1390" spans="1:16" x14ac:dyDescent="0.2">
      <c r="A1390" s="21">
        <v>3000001090</v>
      </c>
      <c r="B1390" s="22">
        <v>46244</v>
      </c>
      <c r="C1390" s="20">
        <v>6068600.8799999999</v>
      </c>
      <c r="D1390" s="21" t="s">
        <v>350</v>
      </c>
      <c r="E1390" s="21">
        <v>97124569</v>
      </c>
      <c r="F1390" s="20">
        <v>6068600.8799999999</v>
      </c>
      <c r="G1390" s="22">
        <v>46248</v>
      </c>
      <c r="H1390" s="21" t="s">
        <v>61</v>
      </c>
      <c r="I1390" s="40" t="str">
        <f>IFERROR(IF(VLOOKUP(E1390,extracto!C:C,1,FALSE)=E1390,"pagado","no pagado"),"no pagado")</f>
        <v>pagado</v>
      </c>
      <c r="J1390" s="41" t="str">
        <f t="shared" si="600"/>
        <v>pagado</v>
      </c>
      <c r="K1390" s="40" t="str">
        <f t="shared" ca="1" si="601"/>
        <v>excluir</v>
      </c>
      <c r="L1390" s="40" t="str">
        <f t="shared" ca="1" si="602"/>
        <v>no semana</v>
      </c>
      <c r="M1390" s="40" t="str">
        <f>IFERROR(VLOOKUP(E1390,'cheques a conf'!A:D,4,FALSE),"no clearing")</f>
        <v>no clearing</v>
      </c>
      <c r="N1390" s="40">
        <f t="shared" si="603"/>
        <v>33</v>
      </c>
      <c r="O1390" s="42">
        <f t="shared" si="604"/>
        <v>8</v>
      </c>
      <c r="P1390" s="42">
        <f t="shared" si="605"/>
        <v>2026</v>
      </c>
    </row>
    <row r="1391" spans="1:16" x14ac:dyDescent="0.2">
      <c r="A1391" s="21">
        <v>3000001091</v>
      </c>
      <c r="B1391" s="22">
        <v>46244</v>
      </c>
      <c r="C1391" s="20">
        <v>1945285.65</v>
      </c>
      <c r="D1391" s="21" t="s">
        <v>284</v>
      </c>
      <c r="E1391" s="21">
        <v>97124570</v>
      </c>
      <c r="F1391" s="20">
        <v>1945285.65</v>
      </c>
      <c r="G1391" s="22">
        <v>46248</v>
      </c>
      <c r="H1391" s="21" t="s">
        <v>61</v>
      </c>
      <c r="I1391" s="40" t="str">
        <f>IFERROR(IF(VLOOKUP(E1391,extracto!C:C,1,FALSE)=E1391,"pagado","no pagado"),"no pagado")</f>
        <v>pagado</v>
      </c>
      <c r="J1391" s="41" t="str">
        <f t="shared" si="600"/>
        <v>pagado</v>
      </c>
      <c r="K1391" s="40" t="str">
        <f t="shared" ca="1" si="601"/>
        <v>excluir</v>
      </c>
      <c r="L1391" s="40" t="str">
        <f t="shared" ca="1" si="602"/>
        <v>no semana</v>
      </c>
      <c r="M1391" s="40" t="str">
        <f>IFERROR(VLOOKUP(E1391,'cheques a conf'!A:D,4,FALSE),"no clearing")</f>
        <v>no clearing</v>
      </c>
      <c r="N1391" s="40">
        <f t="shared" si="603"/>
        <v>33</v>
      </c>
      <c r="O1391" s="42">
        <f t="shared" si="604"/>
        <v>8</v>
      </c>
      <c r="P1391" s="42">
        <f t="shared" si="605"/>
        <v>2026</v>
      </c>
    </row>
    <row r="1392" spans="1:16" x14ac:dyDescent="0.2">
      <c r="A1392" s="21">
        <v>3000001092</v>
      </c>
      <c r="B1392" s="22">
        <v>46244</v>
      </c>
      <c r="C1392" s="20">
        <v>6995139.4100000001</v>
      </c>
      <c r="D1392" s="21" t="s">
        <v>348</v>
      </c>
      <c r="E1392" s="21">
        <v>97124571</v>
      </c>
      <c r="F1392" s="20">
        <v>6995139.4100000001</v>
      </c>
      <c r="G1392" s="22">
        <v>46248</v>
      </c>
      <c r="H1392" s="21" t="s">
        <v>61</v>
      </c>
      <c r="I1392" s="40" t="str">
        <f>IFERROR(IF(VLOOKUP(E1392,extracto!C:C,1,FALSE)=E1392,"pagado","no pagado"),"no pagado")</f>
        <v>pagado</v>
      </c>
      <c r="J1392" s="41" t="str">
        <f t="shared" si="600"/>
        <v>pagado</v>
      </c>
      <c r="K1392" s="40" t="str">
        <f t="shared" ca="1" si="601"/>
        <v>excluir</v>
      </c>
      <c r="L1392" s="40" t="str">
        <f t="shared" ca="1" si="602"/>
        <v>no semana</v>
      </c>
      <c r="M1392" s="40" t="str">
        <f>IFERROR(VLOOKUP(E1392,'cheques a conf'!A:D,4,FALSE),"no clearing")</f>
        <v>no clearing</v>
      </c>
      <c r="N1392" s="40">
        <f t="shared" si="603"/>
        <v>33</v>
      </c>
      <c r="O1392" s="42">
        <f t="shared" si="604"/>
        <v>8</v>
      </c>
      <c r="P1392" s="42">
        <f t="shared" si="605"/>
        <v>2026</v>
      </c>
    </row>
    <row r="1393" spans="1:16" x14ac:dyDescent="0.2">
      <c r="A1393" s="21">
        <v>3000001093</v>
      </c>
      <c r="B1393" s="22">
        <v>46245</v>
      </c>
      <c r="C1393" s="20">
        <v>14076451.49</v>
      </c>
      <c r="D1393" s="21" t="s">
        <v>441</v>
      </c>
      <c r="E1393" s="21">
        <v>97124572</v>
      </c>
      <c r="F1393" s="20">
        <v>14076451.49</v>
      </c>
      <c r="G1393" s="22">
        <v>46248</v>
      </c>
      <c r="H1393" s="21" t="s">
        <v>61</v>
      </c>
      <c r="I1393" s="40" t="str">
        <f>IFERROR(IF(VLOOKUP(E1393,extracto!C:C,1,FALSE)=E1393,"pagado","no pagado"),"no pagado")</f>
        <v>pagado</v>
      </c>
      <c r="J1393" s="41" t="str">
        <f t="shared" si="600"/>
        <v>pagado</v>
      </c>
      <c r="K1393" s="40" t="str">
        <f t="shared" ca="1" si="601"/>
        <v>excluir</v>
      </c>
      <c r="L1393" s="40" t="str">
        <f t="shared" ca="1" si="602"/>
        <v>no semana</v>
      </c>
      <c r="M1393" s="40" t="str">
        <f>IFERROR(VLOOKUP(E1393,'cheques a conf'!A:D,4,FALSE),"no clearing")</f>
        <v>no clearing</v>
      </c>
      <c r="N1393" s="40">
        <f t="shared" si="603"/>
        <v>33</v>
      </c>
      <c r="O1393" s="42">
        <f t="shared" si="604"/>
        <v>8</v>
      </c>
      <c r="P1393" s="42">
        <f t="shared" si="605"/>
        <v>2026</v>
      </c>
    </row>
    <row r="1394" spans="1:16" x14ac:dyDescent="0.2">
      <c r="A1394" s="21">
        <v>3000001094</v>
      </c>
      <c r="B1394" s="22">
        <v>46245</v>
      </c>
      <c r="C1394" s="20">
        <v>19033404.379999999</v>
      </c>
      <c r="D1394" s="21" t="s">
        <v>338</v>
      </c>
      <c r="E1394" s="21">
        <v>97124573</v>
      </c>
      <c r="F1394" s="20">
        <v>19033404.379999999</v>
      </c>
      <c r="G1394" s="22">
        <v>46248</v>
      </c>
      <c r="H1394" s="21" t="s">
        <v>61</v>
      </c>
      <c r="I1394" s="40" t="str">
        <f>IFERROR(IF(VLOOKUP(E1394,extracto!C:C,1,FALSE)=E1394,"pagado","no pagado"),"no pagado")</f>
        <v>pagado</v>
      </c>
      <c r="J1394" s="41" t="str">
        <f t="shared" si="600"/>
        <v>pagado</v>
      </c>
      <c r="K1394" s="40" t="str">
        <f t="shared" ca="1" si="601"/>
        <v>excluir</v>
      </c>
      <c r="L1394" s="40" t="str">
        <f t="shared" ca="1" si="602"/>
        <v>no semana</v>
      </c>
      <c r="M1394" s="40" t="str">
        <f>IFERROR(VLOOKUP(E1394,'cheques a conf'!A:D,4,FALSE),"no clearing")</f>
        <v>no clearing</v>
      </c>
      <c r="N1394" s="40">
        <f t="shared" si="603"/>
        <v>33</v>
      </c>
      <c r="O1394" s="42">
        <f t="shared" si="604"/>
        <v>8</v>
      </c>
      <c r="P1394" s="42">
        <f t="shared" si="605"/>
        <v>2026</v>
      </c>
    </row>
    <row r="1395" spans="1:16" x14ac:dyDescent="0.2">
      <c r="A1395" s="21">
        <v>3000001095</v>
      </c>
      <c r="B1395" s="22">
        <v>46245</v>
      </c>
      <c r="C1395" s="20">
        <v>14938322.109999999</v>
      </c>
      <c r="D1395" s="21" t="s">
        <v>588</v>
      </c>
      <c r="E1395" s="21">
        <v>97124574</v>
      </c>
      <c r="F1395" s="20">
        <v>14938322.109999999</v>
      </c>
      <c r="G1395" s="22">
        <v>46248</v>
      </c>
      <c r="H1395" s="21" t="s">
        <v>61</v>
      </c>
      <c r="I1395" s="40" t="str">
        <f>IFERROR(IF(VLOOKUP(E1395,extracto!C:C,1,FALSE)=E1395,"pagado","no pagado"),"no pagado")</f>
        <v>pagado</v>
      </c>
      <c r="J1395" s="41" t="str">
        <f t="shared" si="600"/>
        <v>pagado</v>
      </c>
      <c r="K1395" s="40" t="str">
        <f t="shared" ca="1" si="601"/>
        <v>excluir</v>
      </c>
      <c r="L1395" s="40" t="str">
        <f t="shared" ca="1" si="602"/>
        <v>no semana</v>
      </c>
      <c r="M1395" s="40" t="str">
        <f>IFERROR(VLOOKUP(E1395,'cheques a conf'!A:D,4,FALSE),"no clearing")</f>
        <v>no clearing</v>
      </c>
      <c r="N1395" s="40">
        <f t="shared" si="603"/>
        <v>33</v>
      </c>
      <c r="O1395" s="42">
        <f t="shared" si="604"/>
        <v>8</v>
      </c>
      <c r="P1395" s="42">
        <f t="shared" si="605"/>
        <v>2026</v>
      </c>
    </row>
    <row r="1396" spans="1:16" x14ac:dyDescent="0.2">
      <c r="A1396" s="21">
        <v>1200002000</v>
      </c>
      <c r="B1396" s="22">
        <v>46246</v>
      </c>
      <c r="C1396" s="20">
        <v>961845.52</v>
      </c>
      <c r="D1396" s="21" t="s">
        <v>305</v>
      </c>
      <c r="E1396" s="21">
        <v>97124575</v>
      </c>
      <c r="F1396" s="20">
        <v>961845.52</v>
      </c>
      <c r="G1396" s="22">
        <v>46251</v>
      </c>
      <c r="H1396" s="21" t="s">
        <v>61</v>
      </c>
      <c r="I1396" s="40" t="str">
        <f>IFERROR(IF(VLOOKUP(E1396,extracto!C:C,1,FALSE)=E1396,"pagado","no pagado"),"no pagado")</f>
        <v>pagado</v>
      </c>
      <c r="J1396" s="41" t="str">
        <f t="shared" si="600"/>
        <v>pagado</v>
      </c>
      <c r="K1396" s="40" t="str">
        <f t="shared" ca="1" si="601"/>
        <v>excluir</v>
      </c>
      <c r="L1396" s="40" t="str">
        <f t="shared" ca="1" si="602"/>
        <v>no semana</v>
      </c>
      <c r="M1396" s="40" t="str">
        <f>IFERROR(VLOOKUP(E1396,'cheques a conf'!A:D,4,FALSE),"no clearing")</f>
        <v>no clearing</v>
      </c>
      <c r="N1396" s="40">
        <f t="shared" si="603"/>
        <v>34</v>
      </c>
      <c r="O1396" s="42">
        <f t="shared" si="604"/>
        <v>8</v>
      </c>
      <c r="P1396" s="42">
        <f t="shared" si="605"/>
        <v>2026</v>
      </c>
    </row>
    <row r="1397" spans="1:16" x14ac:dyDescent="0.2">
      <c r="A1397" s="21">
        <v>1200002000</v>
      </c>
      <c r="B1397" s="22">
        <v>46246</v>
      </c>
      <c r="C1397" s="20">
        <v>1005454.13</v>
      </c>
      <c r="D1397" s="21" t="s">
        <v>305</v>
      </c>
      <c r="E1397" s="21">
        <v>97124576</v>
      </c>
      <c r="F1397" s="20">
        <v>1005454.13</v>
      </c>
      <c r="G1397" s="22">
        <v>46251</v>
      </c>
      <c r="H1397" s="21" t="s">
        <v>61</v>
      </c>
      <c r="I1397" s="40" t="str">
        <f>IFERROR(IF(VLOOKUP(E1397,extracto!C:C,1,FALSE)=E1397,"pagado","no pagado"),"no pagado")</f>
        <v>pagado</v>
      </c>
      <c r="J1397" s="41" t="str">
        <f t="shared" si="600"/>
        <v>pagado</v>
      </c>
      <c r="K1397" s="40" t="str">
        <f t="shared" ca="1" si="601"/>
        <v>excluir</v>
      </c>
      <c r="L1397" s="40" t="str">
        <f t="shared" ca="1" si="602"/>
        <v>no semana</v>
      </c>
      <c r="M1397" s="40" t="str">
        <f>IFERROR(VLOOKUP(E1397,'cheques a conf'!A:D,4,FALSE),"no clearing")</f>
        <v>no clearing</v>
      </c>
      <c r="N1397" s="40">
        <f t="shared" si="603"/>
        <v>34</v>
      </c>
      <c r="O1397" s="42">
        <f t="shared" si="604"/>
        <v>8</v>
      </c>
      <c r="P1397" s="42">
        <f t="shared" si="605"/>
        <v>2026</v>
      </c>
    </row>
    <row r="1398" spans="1:16" x14ac:dyDescent="0.2">
      <c r="A1398" s="21">
        <v>1200002000</v>
      </c>
      <c r="B1398" s="22">
        <v>46246</v>
      </c>
      <c r="C1398" s="20">
        <v>986143.72</v>
      </c>
      <c r="D1398" s="21" t="s">
        <v>305</v>
      </c>
      <c r="E1398" s="21">
        <v>97124577</v>
      </c>
      <c r="F1398" s="20">
        <v>986143.72</v>
      </c>
      <c r="G1398" s="22">
        <v>46251</v>
      </c>
      <c r="H1398" s="21" t="s">
        <v>61</v>
      </c>
      <c r="I1398" s="40" t="str">
        <f>IFERROR(IF(VLOOKUP(E1398,extracto!C:C,1,FALSE)=E1398,"pagado","no pagado"),"no pagado")</f>
        <v>pagado</v>
      </c>
      <c r="J1398" s="41" t="str">
        <f t="shared" si="600"/>
        <v>pagado</v>
      </c>
      <c r="K1398" s="40" t="str">
        <f t="shared" ca="1" si="601"/>
        <v>excluir</v>
      </c>
      <c r="L1398" s="40" t="str">
        <f t="shared" ca="1" si="602"/>
        <v>no semana</v>
      </c>
      <c r="M1398" s="40" t="str">
        <f>IFERROR(VLOOKUP(E1398,'cheques a conf'!A:D,4,FALSE),"no clearing")</f>
        <v>no clearing</v>
      </c>
      <c r="N1398" s="40">
        <f t="shared" si="603"/>
        <v>34</v>
      </c>
      <c r="O1398" s="42">
        <f t="shared" si="604"/>
        <v>8</v>
      </c>
      <c r="P1398" s="42">
        <f t="shared" si="605"/>
        <v>2026</v>
      </c>
    </row>
    <row r="1399" spans="1:16" x14ac:dyDescent="0.2">
      <c r="A1399" s="21">
        <v>1200002000</v>
      </c>
      <c r="B1399" s="22">
        <v>46246</v>
      </c>
      <c r="C1399" s="20">
        <v>2517703.4</v>
      </c>
      <c r="D1399" s="21" t="s">
        <v>305</v>
      </c>
      <c r="E1399" s="21">
        <v>97124578</v>
      </c>
      <c r="F1399" s="20">
        <v>2517703.4</v>
      </c>
      <c r="G1399" s="22">
        <v>46251</v>
      </c>
      <c r="H1399" s="21" t="s">
        <v>61</v>
      </c>
      <c r="I1399" s="40" t="str">
        <f>IFERROR(IF(VLOOKUP(E1399,extracto!C:C,1,FALSE)=E1399,"pagado","no pagado"),"no pagado")</f>
        <v>pagado</v>
      </c>
      <c r="J1399" s="41" t="str">
        <f t="shared" ref="J1399:J1420" si="606">IF(I1399="pagado","pagado",IF(G1399&lt;$V$1-30,"fuera de fecha","en periodo de pago"))</f>
        <v>pagado</v>
      </c>
      <c r="K1399" s="40" t="str">
        <f t="shared" ref="K1399:K1420" ca="1" si="607">+IF(B1399&gt;$V$1,"excluir",IF(J1399="en periodo de pago",IF($V$1&gt;G1399,"a pagar","proximo a vencer"),"excluir"))</f>
        <v>excluir</v>
      </c>
      <c r="L1399" s="40" t="str">
        <f t="shared" ref="L1399:L1420" ca="1" si="608">+IF(K1399="proximo a vencer",IF($V$1+5&gt;G1399,"para la semana","no semana"),"no semana")</f>
        <v>no semana</v>
      </c>
      <c r="M1399" s="40" t="str">
        <f>IFERROR(VLOOKUP(E1399,'cheques a conf'!A:D,4,FALSE),"no clearing")</f>
        <v>no clearing</v>
      </c>
      <c r="N1399" s="40">
        <f t="shared" ref="N1399:N1420" si="609">+WEEKNUM(G1399,2)</f>
        <v>34</v>
      </c>
      <c r="O1399" s="42">
        <f t="shared" ref="O1399:O1420" si="610">+MONTH(G1399)</f>
        <v>8</v>
      </c>
      <c r="P1399" s="42">
        <f t="shared" ref="P1399:P1420" si="611">+YEAR(G1399)</f>
        <v>2026</v>
      </c>
    </row>
    <row r="1400" spans="1:16" x14ac:dyDescent="0.2">
      <c r="A1400" s="21">
        <v>1200002000</v>
      </c>
      <c r="B1400" s="22">
        <v>46246</v>
      </c>
      <c r="C1400" s="20">
        <v>1700000</v>
      </c>
      <c r="D1400" s="21" t="s">
        <v>305</v>
      </c>
      <c r="E1400" s="21">
        <v>97124579</v>
      </c>
      <c r="F1400" s="20">
        <v>1700000</v>
      </c>
      <c r="G1400" s="22">
        <v>46251</v>
      </c>
      <c r="H1400" s="21" t="s">
        <v>61</v>
      </c>
      <c r="I1400" s="40" t="str">
        <f>IFERROR(IF(VLOOKUP(E1400,extracto!C:C,1,FALSE)=E1400,"pagado","no pagado"),"no pagado")</f>
        <v>pagado</v>
      </c>
      <c r="J1400" s="41" t="str">
        <f t="shared" si="606"/>
        <v>pagado</v>
      </c>
      <c r="K1400" s="40" t="str">
        <f t="shared" ca="1" si="607"/>
        <v>excluir</v>
      </c>
      <c r="L1400" s="40" t="str">
        <f t="shared" ca="1" si="608"/>
        <v>no semana</v>
      </c>
      <c r="M1400" s="40" t="str">
        <f>IFERROR(VLOOKUP(E1400,'cheques a conf'!A:D,4,FALSE),"no clearing")</f>
        <v>no clearing</v>
      </c>
      <c r="N1400" s="40">
        <f t="shared" si="609"/>
        <v>34</v>
      </c>
      <c r="O1400" s="42">
        <f t="shared" si="610"/>
        <v>8</v>
      </c>
      <c r="P1400" s="42">
        <f t="shared" si="611"/>
        <v>2026</v>
      </c>
    </row>
    <row r="1401" spans="1:16" x14ac:dyDescent="0.2">
      <c r="A1401" s="21">
        <v>1200002000</v>
      </c>
      <c r="B1401" s="22">
        <v>46246</v>
      </c>
      <c r="C1401" s="20">
        <v>1454760.61</v>
      </c>
      <c r="D1401" s="21" t="s">
        <v>305</v>
      </c>
      <c r="E1401" s="21">
        <v>97124580</v>
      </c>
      <c r="F1401" s="20">
        <v>1454760.61</v>
      </c>
      <c r="G1401" s="22">
        <v>46251</v>
      </c>
      <c r="H1401" s="21" t="s">
        <v>61</v>
      </c>
      <c r="I1401" s="40" t="str">
        <f>IFERROR(IF(VLOOKUP(E1401,extracto!C:C,1,FALSE)=E1401,"pagado","no pagado"),"no pagado")</f>
        <v>pagado</v>
      </c>
      <c r="J1401" s="41" t="str">
        <f t="shared" si="606"/>
        <v>pagado</v>
      </c>
      <c r="K1401" s="40" t="str">
        <f t="shared" ca="1" si="607"/>
        <v>excluir</v>
      </c>
      <c r="L1401" s="40" t="str">
        <f t="shared" ca="1" si="608"/>
        <v>no semana</v>
      </c>
      <c r="M1401" s="40" t="str">
        <f>IFERROR(VLOOKUP(E1401,'cheques a conf'!A:D,4,FALSE),"no clearing")</f>
        <v>no clearing</v>
      </c>
      <c r="N1401" s="40">
        <f t="shared" si="609"/>
        <v>34</v>
      </c>
      <c r="O1401" s="42">
        <f t="shared" si="610"/>
        <v>8</v>
      </c>
      <c r="P1401" s="42">
        <f t="shared" si="611"/>
        <v>2026</v>
      </c>
    </row>
    <row r="1402" spans="1:16" x14ac:dyDescent="0.2">
      <c r="A1402" s="21">
        <v>1200002000</v>
      </c>
      <c r="B1402" s="22">
        <v>46246</v>
      </c>
      <c r="C1402" s="20">
        <v>2128465.09</v>
      </c>
      <c r="D1402" s="21" t="s">
        <v>305</v>
      </c>
      <c r="E1402" s="21">
        <v>97124581</v>
      </c>
      <c r="F1402" s="20">
        <v>2128465.09</v>
      </c>
      <c r="G1402" s="22">
        <v>46251</v>
      </c>
      <c r="H1402" s="21" t="s">
        <v>61</v>
      </c>
      <c r="I1402" s="40" t="str">
        <f>IFERROR(IF(VLOOKUP(E1402,extracto!C:C,1,FALSE)=E1402,"pagado","no pagado"),"no pagado")</f>
        <v>pagado</v>
      </c>
      <c r="J1402" s="41" t="str">
        <f t="shared" si="606"/>
        <v>pagado</v>
      </c>
      <c r="K1402" s="40" t="str">
        <f t="shared" ca="1" si="607"/>
        <v>excluir</v>
      </c>
      <c r="L1402" s="40" t="str">
        <f t="shared" ca="1" si="608"/>
        <v>no semana</v>
      </c>
      <c r="M1402" s="40" t="str">
        <f>IFERROR(VLOOKUP(E1402,'cheques a conf'!A:D,4,FALSE),"no clearing")</f>
        <v>no clearing</v>
      </c>
      <c r="N1402" s="40">
        <f t="shared" si="609"/>
        <v>34</v>
      </c>
      <c r="O1402" s="42">
        <f t="shared" si="610"/>
        <v>8</v>
      </c>
      <c r="P1402" s="42">
        <f t="shared" si="611"/>
        <v>2026</v>
      </c>
    </row>
    <row r="1403" spans="1:16" x14ac:dyDescent="0.2">
      <c r="A1403" s="21">
        <v>1200002000</v>
      </c>
      <c r="B1403" s="22">
        <v>46246</v>
      </c>
      <c r="C1403" s="20">
        <v>2307494.96</v>
      </c>
      <c r="D1403" s="21" t="s">
        <v>305</v>
      </c>
      <c r="E1403" s="21">
        <v>97124582</v>
      </c>
      <c r="F1403" s="20">
        <v>2307494.96</v>
      </c>
      <c r="G1403" s="22">
        <v>46251</v>
      </c>
      <c r="H1403" s="21" t="s">
        <v>61</v>
      </c>
      <c r="I1403" s="40" t="str">
        <f>IFERROR(IF(VLOOKUP(E1403,extracto!C:C,1,FALSE)=E1403,"pagado","no pagado"),"no pagado")</f>
        <v>pagado</v>
      </c>
      <c r="J1403" s="41" t="str">
        <f t="shared" si="606"/>
        <v>pagado</v>
      </c>
      <c r="K1403" s="40" t="str">
        <f t="shared" ca="1" si="607"/>
        <v>excluir</v>
      </c>
      <c r="L1403" s="40" t="str">
        <f t="shared" ca="1" si="608"/>
        <v>no semana</v>
      </c>
      <c r="M1403" s="40" t="str">
        <f>IFERROR(VLOOKUP(E1403,'cheques a conf'!A:D,4,FALSE),"no clearing")</f>
        <v>no clearing</v>
      </c>
      <c r="N1403" s="40">
        <f t="shared" si="609"/>
        <v>34</v>
      </c>
      <c r="O1403" s="42">
        <f t="shared" si="610"/>
        <v>8</v>
      </c>
      <c r="P1403" s="42">
        <f t="shared" si="611"/>
        <v>2026</v>
      </c>
    </row>
    <row r="1404" spans="1:16" x14ac:dyDescent="0.2">
      <c r="A1404" s="21">
        <v>1200002000</v>
      </c>
      <c r="B1404" s="22">
        <v>46246</v>
      </c>
      <c r="C1404" s="20">
        <v>2199922.09</v>
      </c>
      <c r="D1404" s="21" t="s">
        <v>305</v>
      </c>
      <c r="E1404" s="21">
        <v>97124583</v>
      </c>
      <c r="F1404" s="20">
        <v>2199922.09</v>
      </c>
      <c r="G1404" s="22">
        <v>46251</v>
      </c>
      <c r="H1404" s="21" t="s">
        <v>61</v>
      </c>
      <c r="I1404" s="40" t="str">
        <f>IFERROR(IF(VLOOKUP(E1404,extracto!C:C,1,FALSE)=E1404,"pagado","no pagado"),"no pagado")</f>
        <v>pagado</v>
      </c>
      <c r="J1404" s="41" t="str">
        <f t="shared" si="606"/>
        <v>pagado</v>
      </c>
      <c r="K1404" s="40" t="str">
        <f t="shared" ca="1" si="607"/>
        <v>excluir</v>
      </c>
      <c r="L1404" s="40" t="str">
        <f t="shared" ca="1" si="608"/>
        <v>no semana</v>
      </c>
      <c r="M1404" s="40" t="str">
        <f>IFERROR(VLOOKUP(E1404,'cheques a conf'!A:D,4,FALSE),"no clearing")</f>
        <v>no clearing</v>
      </c>
      <c r="N1404" s="40">
        <f t="shared" si="609"/>
        <v>34</v>
      </c>
      <c r="O1404" s="42">
        <f t="shared" si="610"/>
        <v>8</v>
      </c>
      <c r="P1404" s="42">
        <f t="shared" si="611"/>
        <v>2026</v>
      </c>
    </row>
    <row r="1405" spans="1:16" x14ac:dyDescent="0.2">
      <c r="A1405" s="21">
        <v>1200002000</v>
      </c>
      <c r="B1405" s="22">
        <v>46246</v>
      </c>
      <c r="C1405" s="20">
        <v>1798877.51</v>
      </c>
      <c r="D1405" s="21" t="s">
        <v>305</v>
      </c>
      <c r="E1405" s="21">
        <v>97124584</v>
      </c>
      <c r="F1405" s="20">
        <v>1798877.51</v>
      </c>
      <c r="G1405" s="22">
        <v>46251</v>
      </c>
      <c r="H1405" s="21" t="s">
        <v>61</v>
      </c>
      <c r="I1405" s="40" t="str">
        <f>IFERROR(IF(VLOOKUP(E1405,extracto!C:C,1,FALSE)=E1405,"pagado","no pagado"),"no pagado")</f>
        <v>pagado</v>
      </c>
      <c r="J1405" s="41" t="str">
        <f t="shared" si="606"/>
        <v>pagado</v>
      </c>
      <c r="K1405" s="40" t="str">
        <f t="shared" ca="1" si="607"/>
        <v>excluir</v>
      </c>
      <c r="L1405" s="40" t="str">
        <f t="shared" ca="1" si="608"/>
        <v>no semana</v>
      </c>
      <c r="M1405" s="40" t="str">
        <f>IFERROR(VLOOKUP(E1405,'cheques a conf'!A:D,4,FALSE),"no clearing")</f>
        <v>no clearing</v>
      </c>
      <c r="N1405" s="40">
        <f t="shared" si="609"/>
        <v>34</v>
      </c>
      <c r="O1405" s="42">
        <f t="shared" si="610"/>
        <v>8</v>
      </c>
      <c r="P1405" s="42">
        <f t="shared" si="611"/>
        <v>2026</v>
      </c>
    </row>
    <row r="1406" spans="1:16" x14ac:dyDescent="0.2">
      <c r="A1406" s="21">
        <v>1200002000</v>
      </c>
      <c r="B1406" s="22">
        <v>46246</v>
      </c>
      <c r="C1406" s="20">
        <v>27642343.399999999</v>
      </c>
      <c r="D1406" s="21" t="s">
        <v>305</v>
      </c>
      <c r="E1406" s="21">
        <v>97124585</v>
      </c>
      <c r="F1406" s="20">
        <v>27642343.399999999</v>
      </c>
      <c r="G1406" s="22">
        <v>46251</v>
      </c>
      <c r="H1406" s="21" t="s">
        <v>61</v>
      </c>
      <c r="I1406" s="40" t="str">
        <f>IFERROR(IF(VLOOKUP(E1406,extracto!C:C,1,FALSE)=E1406,"pagado","no pagado"),"no pagado")</f>
        <v>pagado</v>
      </c>
      <c r="J1406" s="41" t="str">
        <f t="shared" si="606"/>
        <v>pagado</v>
      </c>
      <c r="K1406" s="40" t="str">
        <f t="shared" ca="1" si="607"/>
        <v>excluir</v>
      </c>
      <c r="L1406" s="40" t="str">
        <f t="shared" ca="1" si="608"/>
        <v>no semana</v>
      </c>
      <c r="M1406" s="40" t="str">
        <f>IFERROR(VLOOKUP(E1406,'cheques a conf'!A:D,4,FALSE),"no clearing")</f>
        <v>no clearing</v>
      </c>
      <c r="N1406" s="40">
        <f t="shared" si="609"/>
        <v>34</v>
      </c>
      <c r="O1406" s="42">
        <f t="shared" si="610"/>
        <v>8</v>
      </c>
      <c r="P1406" s="42">
        <f t="shared" si="611"/>
        <v>2026</v>
      </c>
    </row>
    <row r="1407" spans="1:16" x14ac:dyDescent="0.2">
      <c r="A1407" s="21">
        <v>1200002000</v>
      </c>
      <c r="B1407" s="22">
        <v>46246</v>
      </c>
      <c r="C1407" s="20">
        <v>5085818.84</v>
      </c>
      <c r="D1407" s="21" t="s">
        <v>305</v>
      </c>
      <c r="E1407" s="21">
        <v>97124586</v>
      </c>
      <c r="F1407" s="20">
        <v>5085818.84</v>
      </c>
      <c r="G1407" s="22">
        <v>46251</v>
      </c>
      <c r="H1407" s="21" t="s">
        <v>61</v>
      </c>
      <c r="I1407" s="40" t="str">
        <f>IFERROR(IF(VLOOKUP(E1407,extracto!C:C,1,FALSE)=E1407,"pagado","no pagado"),"no pagado")</f>
        <v>pagado</v>
      </c>
      <c r="J1407" s="41" t="str">
        <f t="shared" si="606"/>
        <v>pagado</v>
      </c>
      <c r="K1407" s="40" t="str">
        <f t="shared" ca="1" si="607"/>
        <v>excluir</v>
      </c>
      <c r="L1407" s="40" t="str">
        <f t="shared" ca="1" si="608"/>
        <v>no semana</v>
      </c>
      <c r="M1407" s="40" t="str">
        <f>IFERROR(VLOOKUP(E1407,'cheques a conf'!A:D,4,FALSE),"no clearing")</f>
        <v>no clearing</v>
      </c>
      <c r="N1407" s="40">
        <f t="shared" si="609"/>
        <v>34</v>
      </c>
      <c r="O1407" s="42">
        <f t="shared" si="610"/>
        <v>8</v>
      </c>
      <c r="P1407" s="42">
        <f t="shared" si="611"/>
        <v>2026</v>
      </c>
    </row>
    <row r="1408" spans="1:16" x14ac:dyDescent="0.2">
      <c r="A1408" s="21">
        <v>1200002000</v>
      </c>
      <c r="B1408" s="22">
        <v>46246</v>
      </c>
      <c r="C1408" s="20">
        <v>4094806.23</v>
      </c>
      <c r="D1408" s="21" t="s">
        <v>305</v>
      </c>
      <c r="E1408" s="21">
        <v>97124587</v>
      </c>
      <c r="F1408" s="20">
        <v>4094806.23</v>
      </c>
      <c r="G1408" s="22">
        <v>46251</v>
      </c>
      <c r="H1408" s="21" t="s">
        <v>61</v>
      </c>
      <c r="I1408" s="40" t="str">
        <f>IFERROR(IF(VLOOKUP(E1408,extracto!C:C,1,FALSE)=E1408,"pagado","no pagado"),"no pagado")</f>
        <v>pagado</v>
      </c>
      <c r="J1408" s="41" t="str">
        <f t="shared" si="606"/>
        <v>pagado</v>
      </c>
      <c r="K1408" s="40" t="str">
        <f t="shared" ca="1" si="607"/>
        <v>excluir</v>
      </c>
      <c r="L1408" s="40" t="str">
        <f t="shared" ca="1" si="608"/>
        <v>no semana</v>
      </c>
      <c r="M1408" s="40" t="str">
        <f>IFERROR(VLOOKUP(E1408,'cheques a conf'!A:D,4,FALSE),"no clearing")</f>
        <v>no clearing</v>
      </c>
      <c r="N1408" s="40">
        <f t="shared" si="609"/>
        <v>34</v>
      </c>
      <c r="O1408" s="42">
        <f t="shared" si="610"/>
        <v>8</v>
      </c>
      <c r="P1408" s="42">
        <f t="shared" si="611"/>
        <v>2026</v>
      </c>
    </row>
    <row r="1409" spans="1:16" x14ac:dyDescent="0.2">
      <c r="A1409" s="21">
        <v>1200002000</v>
      </c>
      <c r="B1409" s="22">
        <v>46246</v>
      </c>
      <c r="C1409" s="20">
        <v>20231172.510000002</v>
      </c>
      <c r="D1409" s="21" t="s">
        <v>305</v>
      </c>
      <c r="E1409" s="21">
        <v>97124588</v>
      </c>
      <c r="F1409" s="20">
        <v>20231172.510000002</v>
      </c>
      <c r="G1409" s="22">
        <v>46251</v>
      </c>
      <c r="H1409" s="21" t="s">
        <v>61</v>
      </c>
      <c r="I1409" s="40" t="str">
        <f>IFERROR(IF(VLOOKUP(E1409,extracto!C:C,1,FALSE)=E1409,"pagado","no pagado"),"no pagado")</f>
        <v>pagado</v>
      </c>
      <c r="J1409" s="41" t="str">
        <f t="shared" si="606"/>
        <v>pagado</v>
      </c>
      <c r="K1409" s="40" t="str">
        <f t="shared" ca="1" si="607"/>
        <v>excluir</v>
      </c>
      <c r="L1409" s="40" t="str">
        <f t="shared" ca="1" si="608"/>
        <v>no semana</v>
      </c>
      <c r="M1409" s="40" t="str">
        <f>IFERROR(VLOOKUP(E1409,'cheques a conf'!A:D,4,FALSE),"no clearing")</f>
        <v>no clearing</v>
      </c>
      <c r="N1409" s="40">
        <f t="shared" si="609"/>
        <v>34</v>
      </c>
      <c r="O1409" s="42">
        <f t="shared" si="610"/>
        <v>8</v>
      </c>
      <c r="P1409" s="42">
        <f t="shared" si="611"/>
        <v>2026</v>
      </c>
    </row>
    <row r="1410" spans="1:16" x14ac:dyDescent="0.2">
      <c r="A1410" s="21">
        <v>1200002000</v>
      </c>
      <c r="B1410" s="22">
        <v>46246</v>
      </c>
      <c r="C1410" s="20">
        <v>4908915.92</v>
      </c>
      <c r="D1410" s="21" t="s">
        <v>305</v>
      </c>
      <c r="E1410" s="21">
        <v>97124589</v>
      </c>
      <c r="F1410" s="20">
        <v>4908915.92</v>
      </c>
      <c r="G1410" s="22">
        <v>46251</v>
      </c>
      <c r="H1410" s="21" t="s">
        <v>61</v>
      </c>
      <c r="I1410" s="40" t="str">
        <f>IFERROR(IF(VLOOKUP(E1410,extracto!C:C,1,FALSE)=E1410,"pagado","no pagado"),"no pagado")</f>
        <v>pagado</v>
      </c>
      <c r="J1410" s="41" t="str">
        <f t="shared" si="606"/>
        <v>pagado</v>
      </c>
      <c r="K1410" s="40" t="str">
        <f t="shared" ca="1" si="607"/>
        <v>excluir</v>
      </c>
      <c r="L1410" s="40" t="str">
        <f t="shared" ca="1" si="608"/>
        <v>no semana</v>
      </c>
      <c r="M1410" s="40" t="str">
        <f>IFERROR(VLOOKUP(E1410,'cheques a conf'!A:D,4,FALSE),"no clearing")</f>
        <v>no clearing</v>
      </c>
      <c r="N1410" s="40">
        <f t="shared" si="609"/>
        <v>34</v>
      </c>
      <c r="O1410" s="42">
        <f t="shared" si="610"/>
        <v>8</v>
      </c>
      <c r="P1410" s="42">
        <f t="shared" si="611"/>
        <v>2026</v>
      </c>
    </row>
    <row r="1411" spans="1:16" x14ac:dyDescent="0.2">
      <c r="A1411" s="21">
        <v>1200002000</v>
      </c>
      <c r="B1411" s="22">
        <v>46246</v>
      </c>
      <c r="C1411" s="20">
        <v>11198543.4</v>
      </c>
      <c r="D1411" s="21" t="s">
        <v>305</v>
      </c>
      <c r="E1411" s="21">
        <v>97124590</v>
      </c>
      <c r="F1411" s="20">
        <v>11198543.4</v>
      </c>
      <c r="G1411" s="22">
        <v>46251</v>
      </c>
      <c r="H1411" s="21" t="s">
        <v>61</v>
      </c>
      <c r="I1411" s="40" t="str">
        <f>IFERROR(IF(VLOOKUP(E1411,extracto!C:C,1,FALSE)=E1411,"pagado","no pagado"),"no pagado")</f>
        <v>pagado</v>
      </c>
      <c r="J1411" s="41" t="str">
        <f t="shared" si="606"/>
        <v>pagado</v>
      </c>
      <c r="K1411" s="40" t="str">
        <f t="shared" ca="1" si="607"/>
        <v>excluir</v>
      </c>
      <c r="L1411" s="40" t="str">
        <f t="shared" ca="1" si="608"/>
        <v>no semana</v>
      </c>
      <c r="M1411" s="40" t="str">
        <f>IFERROR(VLOOKUP(E1411,'cheques a conf'!A:D,4,FALSE),"no clearing")</f>
        <v>no clearing</v>
      </c>
      <c r="N1411" s="40">
        <f t="shared" si="609"/>
        <v>34</v>
      </c>
      <c r="O1411" s="42">
        <f t="shared" si="610"/>
        <v>8</v>
      </c>
      <c r="P1411" s="42">
        <f t="shared" si="611"/>
        <v>2026</v>
      </c>
    </row>
    <row r="1412" spans="1:16" x14ac:dyDescent="0.2">
      <c r="A1412" s="21">
        <v>1200002000</v>
      </c>
      <c r="B1412" s="22">
        <v>46246</v>
      </c>
      <c r="C1412" s="20">
        <v>13217657.550000001</v>
      </c>
      <c r="D1412" s="21" t="s">
        <v>305</v>
      </c>
      <c r="E1412" s="21">
        <v>97124591</v>
      </c>
      <c r="F1412" s="20">
        <v>13217657.550000001</v>
      </c>
      <c r="G1412" s="22">
        <v>46251</v>
      </c>
      <c r="H1412" s="21" t="s">
        <v>61</v>
      </c>
      <c r="I1412" s="40" t="str">
        <f>IFERROR(IF(VLOOKUP(E1412,extracto!C:C,1,FALSE)=E1412,"pagado","no pagado"),"no pagado")</f>
        <v>pagado</v>
      </c>
      <c r="J1412" s="41" t="str">
        <f t="shared" si="606"/>
        <v>pagado</v>
      </c>
      <c r="K1412" s="40" t="str">
        <f t="shared" ca="1" si="607"/>
        <v>excluir</v>
      </c>
      <c r="L1412" s="40" t="str">
        <f t="shared" ca="1" si="608"/>
        <v>no semana</v>
      </c>
      <c r="M1412" s="40" t="str">
        <f>IFERROR(VLOOKUP(E1412,'cheques a conf'!A:D,4,FALSE),"no clearing")</f>
        <v>no clearing</v>
      </c>
      <c r="N1412" s="40">
        <f t="shared" si="609"/>
        <v>34</v>
      </c>
      <c r="O1412" s="42">
        <f t="shared" si="610"/>
        <v>8</v>
      </c>
      <c r="P1412" s="42">
        <f t="shared" si="611"/>
        <v>2026</v>
      </c>
    </row>
    <row r="1413" spans="1:16" x14ac:dyDescent="0.2">
      <c r="A1413" s="21">
        <v>1200002000</v>
      </c>
      <c r="B1413" s="22">
        <v>46246</v>
      </c>
      <c r="C1413" s="20">
        <v>15651790</v>
      </c>
      <c r="D1413" s="21" t="s">
        <v>305</v>
      </c>
      <c r="E1413" s="21">
        <v>97124592</v>
      </c>
      <c r="F1413" s="20">
        <v>15651790</v>
      </c>
      <c r="G1413" s="22">
        <v>46251</v>
      </c>
      <c r="H1413" s="21" t="s">
        <v>61</v>
      </c>
      <c r="I1413" s="40" t="str">
        <f>IFERROR(IF(VLOOKUP(E1413,extracto!C:C,1,FALSE)=E1413,"pagado","no pagado"),"no pagado")</f>
        <v>pagado</v>
      </c>
      <c r="J1413" s="41" t="str">
        <f t="shared" si="606"/>
        <v>pagado</v>
      </c>
      <c r="K1413" s="40" t="str">
        <f t="shared" ca="1" si="607"/>
        <v>excluir</v>
      </c>
      <c r="L1413" s="40" t="str">
        <f t="shared" ca="1" si="608"/>
        <v>no semana</v>
      </c>
      <c r="M1413" s="40" t="str">
        <f>IFERROR(VLOOKUP(E1413,'cheques a conf'!A:D,4,FALSE),"no clearing")</f>
        <v>no clearing</v>
      </c>
      <c r="N1413" s="40">
        <f t="shared" si="609"/>
        <v>34</v>
      </c>
      <c r="O1413" s="42">
        <f t="shared" si="610"/>
        <v>8</v>
      </c>
      <c r="P1413" s="42">
        <f t="shared" si="611"/>
        <v>2026</v>
      </c>
    </row>
    <row r="1414" spans="1:16" x14ac:dyDescent="0.2">
      <c r="A1414" s="21">
        <v>1200002000</v>
      </c>
      <c r="B1414" s="22">
        <v>46246</v>
      </c>
      <c r="C1414" s="20">
        <v>27154458.43</v>
      </c>
      <c r="D1414" s="21" t="s">
        <v>305</v>
      </c>
      <c r="E1414" s="21">
        <v>97124593</v>
      </c>
      <c r="F1414" s="20">
        <v>27154458.43</v>
      </c>
      <c r="G1414" s="22">
        <v>46251</v>
      </c>
      <c r="H1414" s="21" t="s">
        <v>61</v>
      </c>
      <c r="I1414" s="40" t="str">
        <f>IFERROR(IF(VLOOKUP(E1414,extracto!C:C,1,FALSE)=E1414,"pagado","no pagado"),"no pagado")</f>
        <v>pagado</v>
      </c>
      <c r="J1414" s="41" t="str">
        <f t="shared" si="606"/>
        <v>pagado</v>
      </c>
      <c r="K1414" s="40" t="str">
        <f t="shared" ca="1" si="607"/>
        <v>excluir</v>
      </c>
      <c r="L1414" s="40" t="str">
        <f t="shared" ca="1" si="608"/>
        <v>no semana</v>
      </c>
      <c r="M1414" s="40" t="str">
        <f>IFERROR(VLOOKUP(E1414,'cheques a conf'!A:D,4,FALSE),"no clearing")</f>
        <v>no clearing</v>
      </c>
      <c r="N1414" s="40">
        <f t="shared" si="609"/>
        <v>34</v>
      </c>
      <c r="O1414" s="42">
        <f t="shared" si="610"/>
        <v>8</v>
      </c>
      <c r="P1414" s="42">
        <f t="shared" si="611"/>
        <v>2026</v>
      </c>
    </row>
    <row r="1415" spans="1:16" x14ac:dyDescent="0.2">
      <c r="A1415" s="21">
        <v>1200002000</v>
      </c>
      <c r="B1415" s="22">
        <v>46246</v>
      </c>
      <c r="C1415" s="20">
        <v>9061038.2300000004</v>
      </c>
      <c r="D1415" s="21" t="s">
        <v>305</v>
      </c>
      <c r="E1415" s="21">
        <v>97124594</v>
      </c>
      <c r="F1415" s="20">
        <v>9061038.2300000004</v>
      </c>
      <c r="G1415" s="22">
        <v>46251</v>
      </c>
      <c r="H1415" s="21" t="s">
        <v>61</v>
      </c>
      <c r="I1415" s="40" t="str">
        <f>IFERROR(IF(VLOOKUP(E1415,extracto!C:C,1,FALSE)=E1415,"pagado","no pagado"),"no pagado")</f>
        <v>pagado</v>
      </c>
      <c r="J1415" s="41" t="str">
        <f t="shared" si="606"/>
        <v>pagado</v>
      </c>
      <c r="K1415" s="40" t="str">
        <f t="shared" ca="1" si="607"/>
        <v>excluir</v>
      </c>
      <c r="L1415" s="40" t="str">
        <f t="shared" ca="1" si="608"/>
        <v>no semana</v>
      </c>
      <c r="M1415" s="40" t="str">
        <f>IFERROR(VLOOKUP(E1415,'cheques a conf'!A:D,4,FALSE),"no clearing")</f>
        <v>no clearing</v>
      </c>
      <c r="N1415" s="40">
        <f t="shared" si="609"/>
        <v>34</v>
      </c>
      <c r="O1415" s="42">
        <f t="shared" si="610"/>
        <v>8</v>
      </c>
      <c r="P1415" s="42">
        <f t="shared" si="611"/>
        <v>2026</v>
      </c>
    </row>
    <row r="1416" spans="1:16" x14ac:dyDescent="0.2">
      <c r="A1416" s="21">
        <v>1200002000</v>
      </c>
      <c r="B1416" s="22">
        <v>46246</v>
      </c>
      <c r="C1416" s="20">
        <v>29610909.670000002</v>
      </c>
      <c r="D1416" s="21" t="s">
        <v>305</v>
      </c>
      <c r="E1416" s="21">
        <v>97124595</v>
      </c>
      <c r="F1416" s="20">
        <v>29610909.670000002</v>
      </c>
      <c r="G1416" s="22">
        <v>46251</v>
      </c>
      <c r="H1416" s="21" t="s">
        <v>61</v>
      </c>
      <c r="I1416" s="40" t="str">
        <f>IFERROR(IF(VLOOKUP(E1416,extracto!C:C,1,FALSE)=E1416,"pagado","no pagado"),"no pagado")</f>
        <v>pagado</v>
      </c>
      <c r="J1416" s="41" t="str">
        <f t="shared" si="606"/>
        <v>pagado</v>
      </c>
      <c r="K1416" s="40" t="str">
        <f t="shared" ca="1" si="607"/>
        <v>excluir</v>
      </c>
      <c r="L1416" s="40" t="str">
        <f t="shared" ca="1" si="608"/>
        <v>no semana</v>
      </c>
      <c r="M1416" s="40" t="str">
        <f>IFERROR(VLOOKUP(E1416,'cheques a conf'!A:D,4,FALSE),"no clearing")</f>
        <v>no clearing</v>
      </c>
      <c r="N1416" s="40">
        <f t="shared" si="609"/>
        <v>34</v>
      </c>
      <c r="O1416" s="42">
        <f t="shared" si="610"/>
        <v>8</v>
      </c>
      <c r="P1416" s="42">
        <f t="shared" si="611"/>
        <v>2026</v>
      </c>
    </row>
    <row r="1417" spans="1:16" x14ac:dyDescent="0.2">
      <c r="A1417" s="21">
        <v>1200002000</v>
      </c>
      <c r="B1417" s="22">
        <v>46246</v>
      </c>
      <c r="C1417" s="20">
        <v>3504787.91</v>
      </c>
      <c r="D1417" s="21" t="s">
        <v>305</v>
      </c>
      <c r="E1417" s="21">
        <v>97124596</v>
      </c>
      <c r="F1417" s="20">
        <v>3504787.91</v>
      </c>
      <c r="G1417" s="22">
        <v>46251</v>
      </c>
      <c r="H1417" s="21" t="s">
        <v>61</v>
      </c>
      <c r="I1417" s="40" t="str">
        <f>IFERROR(IF(VLOOKUP(E1417,extracto!C:C,1,FALSE)=E1417,"pagado","no pagado"),"no pagado")</f>
        <v>pagado</v>
      </c>
      <c r="J1417" s="41" t="str">
        <f t="shared" si="606"/>
        <v>pagado</v>
      </c>
      <c r="K1417" s="40" t="str">
        <f t="shared" ca="1" si="607"/>
        <v>excluir</v>
      </c>
      <c r="L1417" s="40" t="str">
        <f t="shared" ca="1" si="608"/>
        <v>no semana</v>
      </c>
      <c r="M1417" s="40" t="str">
        <f>IFERROR(VLOOKUP(E1417,'cheques a conf'!A:D,4,FALSE),"no clearing")</f>
        <v>no clearing</v>
      </c>
      <c r="N1417" s="40">
        <f t="shared" si="609"/>
        <v>34</v>
      </c>
      <c r="O1417" s="42">
        <f t="shared" si="610"/>
        <v>8</v>
      </c>
      <c r="P1417" s="42">
        <f t="shared" si="611"/>
        <v>2026</v>
      </c>
    </row>
    <row r="1418" spans="1:16" x14ac:dyDescent="0.2">
      <c r="A1418" s="21">
        <v>1200002000</v>
      </c>
      <c r="B1418" s="22">
        <v>46246</v>
      </c>
      <c r="C1418" s="20">
        <v>17057543.399999999</v>
      </c>
      <c r="D1418" s="21" t="s">
        <v>305</v>
      </c>
      <c r="E1418" s="21">
        <v>97124597</v>
      </c>
      <c r="F1418" s="20">
        <v>17057543.399999999</v>
      </c>
      <c r="G1418" s="22">
        <v>46251</v>
      </c>
      <c r="H1418" s="21" t="s">
        <v>61</v>
      </c>
      <c r="I1418" s="40" t="str">
        <f>IFERROR(IF(VLOOKUP(E1418,extracto!C:C,1,FALSE)=E1418,"pagado","no pagado"),"no pagado")</f>
        <v>pagado</v>
      </c>
      <c r="J1418" s="41" t="str">
        <f t="shared" si="606"/>
        <v>pagado</v>
      </c>
      <c r="K1418" s="40" t="str">
        <f t="shared" ca="1" si="607"/>
        <v>excluir</v>
      </c>
      <c r="L1418" s="40" t="str">
        <f t="shared" ca="1" si="608"/>
        <v>no semana</v>
      </c>
      <c r="M1418" s="40" t="str">
        <f>IFERROR(VLOOKUP(E1418,'cheques a conf'!A:D,4,FALSE),"no clearing")</f>
        <v>no clearing</v>
      </c>
      <c r="N1418" s="40">
        <f t="shared" si="609"/>
        <v>34</v>
      </c>
      <c r="O1418" s="42">
        <f t="shared" si="610"/>
        <v>8</v>
      </c>
      <c r="P1418" s="42">
        <f t="shared" si="611"/>
        <v>2026</v>
      </c>
    </row>
    <row r="1419" spans="1:16" x14ac:dyDescent="0.2">
      <c r="A1419" s="21">
        <v>1200002001</v>
      </c>
      <c r="B1419" s="22">
        <v>46246</v>
      </c>
      <c r="C1419" s="20">
        <v>4380397.5199999996</v>
      </c>
      <c r="D1419" s="21" t="s">
        <v>305</v>
      </c>
      <c r="E1419" s="21">
        <v>97124598</v>
      </c>
      <c r="F1419" s="20">
        <v>4380397.5199999996</v>
      </c>
      <c r="G1419" s="22">
        <v>46251</v>
      </c>
      <c r="H1419" s="21" t="s">
        <v>61</v>
      </c>
      <c r="I1419" s="40" t="str">
        <f>IFERROR(IF(VLOOKUP(E1419,extracto!C:C,1,FALSE)=E1419,"pagado","no pagado"),"no pagado")</f>
        <v>pagado</v>
      </c>
      <c r="J1419" s="41" t="str">
        <f t="shared" si="606"/>
        <v>pagado</v>
      </c>
      <c r="K1419" s="40" t="str">
        <f t="shared" ca="1" si="607"/>
        <v>excluir</v>
      </c>
      <c r="L1419" s="40" t="str">
        <f t="shared" ca="1" si="608"/>
        <v>no semana</v>
      </c>
      <c r="M1419" s="40" t="str">
        <f>IFERROR(VLOOKUP(E1419,'cheques a conf'!A:D,4,FALSE),"no clearing")</f>
        <v>no clearing</v>
      </c>
      <c r="N1419" s="40">
        <f t="shared" si="609"/>
        <v>34</v>
      </c>
      <c r="O1419" s="42">
        <f t="shared" si="610"/>
        <v>8</v>
      </c>
      <c r="P1419" s="42">
        <f t="shared" si="611"/>
        <v>2026</v>
      </c>
    </row>
    <row r="1420" spans="1:16" x14ac:dyDescent="0.2">
      <c r="A1420" s="21">
        <v>1200002001</v>
      </c>
      <c r="B1420" s="22">
        <v>46246</v>
      </c>
      <c r="C1420" s="20">
        <v>28482262.600000001</v>
      </c>
      <c r="D1420" s="21" t="s">
        <v>305</v>
      </c>
      <c r="E1420" s="21">
        <v>97124599</v>
      </c>
      <c r="F1420" s="20">
        <v>28482262.600000001</v>
      </c>
      <c r="G1420" s="22">
        <v>46251</v>
      </c>
      <c r="H1420" s="21" t="s">
        <v>61</v>
      </c>
      <c r="I1420" s="40" t="str">
        <f>IFERROR(IF(VLOOKUP(E1420,extracto!C:C,1,FALSE)=E1420,"pagado","no pagado"),"no pagado")</f>
        <v>pagado</v>
      </c>
      <c r="J1420" s="41" t="str">
        <f t="shared" si="606"/>
        <v>pagado</v>
      </c>
      <c r="K1420" s="40" t="str">
        <f t="shared" ca="1" si="607"/>
        <v>excluir</v>
      </c>
      <c r="L1420" s="40" t="str">
        <f t="shared" ca="1" si="608"/>
        <v>no semana</v>
      </c>
      <c r="M1420" s="40" t="str">
        <f>IFERROR(VLOOKUP(E1420,'cheques a conf'!A:D,4,FALSE),"no clearing")</f>
        <v>no clearing</v>
      </c>
      <c r="N1420" s="40">
        <f t="shared" si="609"/>
        <v>34</v>
      </c>
      <c r="O1420" s="42">
        <f t="shared" si="610"/>
        <v>8</v>
      </c>
      <c r="P1420" s="42">
        <f t="shared" si="611"/>
        <v>2026</v>
      </c>
    </row>
    <row r="1421" spans="1:16" x14ac:dyDescent="0.2">
      <c r="A1421" s="21">
        <v>1200002001</v>
      </c>
      <c r="B1421" s="22">
        <v>46246</v>
      </c>
      <c r="C1421" s="20">
        <v>1522501.04</v>
      </c>
      <c r="D1421" s="21" t="s">
        <v>305</v>
      </c>
      <c r="E1421" s="21">
        <v>97124600</v>
      </c>
      <c r="F1421" s="20">
        <v>1522501.04</v>
      </c>
      <c r="G1421" s="22">
        <v>46251</v>
      </c>
      <c r="H1421" s="21" t="s">
        <v>61</v>
      </c>
      <c r="I1421" s="40" t="str">
        <f>IFERROR(IF(VLOOKUP(E1421,extracto!C:C,1,FALSE)=E1421,"pagado","no pagado"),"no pagado")</f>
        <v>pagado</v>
      </c>
      <c r="J1421" s="41" t="str">
        <f t="shared" ref="J1421:J1484" si="612">IF(I1421="pagado","pagado",IF(G1421&lt;$V$1-30,"fuera de fecha","en periodo de pago"))</f>
        <v>pagado</v>
      </c>
      <c r="K1421" s="40" t="str">
        <f t="shared" ref="K1421:K1484" ca="1" si="613">+IF(B1421&gt;$V$1,"excluir",IF(J1421="en periodo de pago",IF($V$1&gt;G1421,"a pagar","proximo a vencer"),"excluir"))</f>
        <v>excluir</v>
      </c>
      <c r="L1421" s="40" t="str">
        <f t="shared" ref="L1421:L1484" ca="1" si="614">+IF(K1421="proximo a vencer",IF($V$1+5&gt;G1421,"para la semana","no semana"),"no semana")</f>
        <v>no semana</v>
      </c>
      <c r="M1421" s="40" t="str">
        <f>IFERROR(VLOOKUP(E1421,'cheques a conf'!A:D,4,FALSE),"no clearing")</f>
        <v>no clearing</v>
      </c>
      <c r="N1421" s="40">
        <f t="shared" ref="N1421:N1484" si="615">+WEEKNUM(G1421,2)</f>
        <v>34</v>
      </c>
      <c r="O1421" s="42">
        <f t="shared" ref="O1421:O1484" si="616">+MONTH(G1421)</f>
        <v>8</v>
      </c>
      <c r="P1421" s="42">
        <f t="shared" ref="P1421:P1484" si="617">+YEAR(G1421)</f>
        <v>2026</v>
      </c>
    </row>
    <row r="1422" spans="1:16" x14ac:dyDescent="0.2">
      <c r="A1422" s="21">
        <v>1200002005</v>
      </c>
      <c r="B1422" s="22">
        <v>46253</v>
      </c>
      <c r="C1422" s="20">
        <v>4285746.5999999996</v>
      </c>
      <c r="D1422" s="21" t="s">
        <v>305</v>
      </c>
      <c r="E1422" s="21">
        <v>97124611</v>
      </c>
      <c r="F1422" s="20">
        <v>4285746.5999999996</v>
      </c>
      <c r="G1422" s="22">
        <v>46260</v>
      </c>
      <c r="H1422" s="21" t="s">
        <v>61</v>
      </c>
      <c r="I1422" s="40" t="str">
        <f>IFERROR(IF(VLOOKUP(E1422,extracto!C:C,1,FALSE)=E1422,"pagado","no pagado"),"no pagado")</f>
        <v>pagado</v>
      </c>
      <c r="J1422" s="41" t="str">
        <f t="shared" si="612"/>
        <v>pagado</v>
      </c>
      <c r="K1422" s="40" t="str">
        <f t="shared" ca="1" si="613"/>
        <v>excluir</v>
      </c>
      <c r="L1422" s="40" t="str">
        <f t="shared" ca="1" si="614"/>
        <v>no semana</v>
      </c>
      <c r="M1422" s="40" t="str">
        <f>IFERROR(VLOOKUP(E1422,'cheques a conf'!A:D,4,FALSE),"no clearing")</f>
        <v>no clearing</v>
      </c>
      <c r="N1422" s="40">
        <f t="shared" si="615"/>
        <v>35</v>
      </c>
      <c r="O1422" s="42">
        <f t="shared" si="616"/>
        <v>8</v>
      </c>
      <c r="P1422" s="42">
        <f t="shared" si="617"/>
        <v>2026</v>
      </c>
    </row>
    <row r="1423" spans="1:16" x14ac:dyDescent="0.2">
      <c r="A1423" s="21">
        <v>1200002005</v>
      </c>
      <c r="B1423" s="22">
        <v>46253</v>
      </c>
      <c r="C1423" s="20">
        <v>3639813.28</v>
      </c>
      <c r="D1423" s="21" t="s">
        <v>305</v>
      </c>
      <c r="E1423" s="21">
        <v>97124612</v>
      </c>
      <c r="F1423" s="20">
        <v>3639813.28</v>
      </c>
      <c r="G1423" s="22">
        <v>46260</v>
      </c>
      <c r="H1423" s="21" t="s">
        <v>61</v>
      </c>
      <c r="I1423" s="40" t="str">
        <f>IFERROR(IF(VLOOKUP(E1423,extracto!C:C,1,FALSE)=E1423,"pagado","no pagado"),"no pagado")</f>
        <v>pagado</v>
      </c>
      <c r="J1423" s="41" t="str">
        <f t="shared" si="612"/>
        <v>pagado</v>
      </c>
      <c r="K1423" s="40" t="str">
        <f t="shared" ca="1" si="613"/>
        <v>excluir</v>
      </c>
      <c r="L1423" s="40" t="str">
        <f t="shared" ca="1" si="614"/>
        <v>no semana</v>
      </c>
      <c r="M1423" s="40" t="str">
        <f>IFERROR(VLOOKUP(E1423,'cheques a conf'!A:D,4,FALSE),"no clearing")</f>
        <v>no clearing</v>
      </c>
      <c r="N1423" s="40">
        <f t="shared" si="615"/>
        <v>35</v>
      </c>
      <c r="O1423" s="42">
        <f t="shared" si="616"/>
        <v>8</v>
      </c>
      <c r="P1423" s="42">
        <f t="shared" si="617"/>
        <v>2026</v>
      </c>
    </row>
    <row r="1424" spans="1:16" x14ac:dyDescent="0.2">
      <c r="A1424" s="21">
        <v>1200002005</v>
      </c>
      <c r="B1424" s="22">
        <v>46253</v>
      </c>
      <c r="C1424" s="20">
        <v>13415875.960000001</v>
      </c>
      <c r="D1424" s="21" t="s">
        <v>305</v>
      </c>
      <c r="E1424" s="21">
        <v>97124613</v>
      </c>
      <c r="F1424" s="20">
        <v>13415875.960000001</v>
      </c>
      <c r="G1424" s="22">
        <v>46260</v>
      </c>
      <c r="H1424" s="21" t="s">
        <v>61</v>
      </c>
      <c r="I1424" s="40" t="str">
        <f>IFERROR(IF(VLOOKUP(E1424,extracto!C:C,1,FALSE)=E1424,"pagado","no pagado"),"no pagado")</f>
        <v>pagado</v>
      </c>
      <c r="J1424" s="41" t="str">
        <f t="shared" si="612"/>
        <v>pagado</v>
      </c>
      <c r="K1424" s="40" t="str">
        <f t="shared" ca="1" si="613"/>
        <v>excluir</v>
      </c>
      <c r="L1424" s="40" t="str">
        <f t="shared" ca="1" si="614"/>
        <v>no semana</v>
      </c>
      <c r="M1424" s="40" t="str">
        <f>IFERROR(VLOOKUP(E1424,'cheques a conf'!A:D,4,FALSE),"no clearing")</f>
        <v>no clearing</v>
      </c>
      <c r="N1424" s="40">
        <f t="shared" si="615"/>
        <v>35</v>
      </c>
      <c r="O1424" s="42">
        <f t="shared" si="616"/>
        <v>8</v>
      </c>
      <c r="P1424" s="42">
        <f t="shared" si="617"/>
        <v>2026</v>
      </c>
    </row>
    <row r="1425" spans="1:16" x14ac:dyDescent="0.2">
      <c r="A1425" s="21">
        <v>1200002005</v>
      </c>
      <c r="B1425" s="22">
        <v>46253</v>
      </c>
      <c r="C1425" s="20">
        <v>11901343.4</v>
      </c>
      <c r="D1425" s="21" t="s">
        <v>305</v>
      </c>
      <c r="E1425" s="21">
        <v>97124614</v>
      </c>
      <c r="F1425" s="20">
        <v>11901343.4</v>
      </c>
      <c r="G1425" s="22">
        <v>46260</v>
      </c>
      <c r="H1425" s="21" t="s">
        <v>61</v>
      </c>
      <c r="I1425" s="40" t="str">
        <f>IFERROR(IF(VLOOKUP(E1425,extracto!C:C,1,FALSE)=E1425,"pagado","no pagado"),"no pagado")</f>
        <v>pagado</v>
      </c>
      <c r="J1425" s="41" t="str">
        <f t="shared" si="612"/>
        <v>pagado</v>
      </c>
      <c r="K1425" s="40" t="str">
        <f t="shared" ca="1" si="613"/>
        <v>excluir</v>
      </c>
      <c r="L1425" s="40" t="str">
        <f t="shared" ca="1" si="614"/>
        <v>no semana</v>
      </c>
      <c r="M1425" s="40" t="str">
        <f>IFERROR(VLOOKUP(E1425,'cheques a conf'!A:D,4,FALSE),"no clearing")</f>
        <v>no clearing</v>
      </c>
      <c r="N1425" s="40">
        <f t="shared" si="615"/>
        <v>35</v>
      </c>
      <c r="O1425" s="42">
        <f t="shared" si="616"/>
        <v>8</v>
      </c>
      <c r="P1425" s="42">
        <f t="shared" si="617"/>
        <v>2026</v>
      </c>
    </row>
    <row r="1426" spans="1:16" x14ac:dyDescent="0.2">
      <c r="A1426" s="21">
        <v>1200002005</v>
      </c>
      <c r="B1426" s="22">
        <v>46253</v>
      </c>
      <c r="C1426" s="20">
        <v>21703321.93</v>
      </c>
      <c r="D1426" s="21" t="s">
        <v>305</v>
      </c>
      <c r="E1426" s="21">
        <v>97124615</v>
      </c>
      <c r="F1426" s="20">
        <v>21703321.93</v>
      </c>
      <c r="G1426" s="22">
        <v>46260</v>
      </c>
      <c r="H1426" s="21" t="s">
        <v>61</v>
      </c>
      <c r="I1426" s="40" t="str">
        <f>IFERROR(IF(VLOOKUP(E1426,extracto!C:C,1,FALSE)=E1426,"pagado","no pagado"),"no pagado")</f>
        <v>pagado</v>
      </c>
      <c r="J1426" s="41" t="str">
        <f t="shared" si="612"/>
        <v>pagado</v>
      </c>
      <c r="K1426" s="40" t="str">
        <f t="shared" ca="1" si="613"/>
        <v>excluir</v>
      </c>
      <c r="L1426" s="40" t="str">
        <f t="shared" ca="1" si="614"/>
        <v>no semana</v>
      </c>
      <c r="M1426" s="40" t="str">
        <f>IFERROR(VLOOKUP(E1426,'cheques a conf'!A:D,4,FALSE),"no clearing")</f>
        <v>no clearing</v>
      </c>
      <c r="N1426" s="40">
        <f t="shared" si="615"/>
        <v>35</v>
      </c>
      <c r="O1426" s="42">
        <f t="shared" si="616"/>
        <v>8</v>
      </c>
      <c r="P1426" s="42">
        <f t="shared" si="617"/>
        <v>2026</v>
      </c>
    </row>
    <row r="1427" spans="1:16" x14ac:dyDescent="0.2">
      <c r="A1427" s="21">
        <v>1200002005</v>
      </c>
      <c r="B1427" s="22">
        <v>46253</v>
      </c>
      <c r="C1427" s="20">
        <v>9122652.75</v>
      </c>
      <c r="D1427" s="21" t="s">
        <v>305</v>
      </c>
      <c r="E1427" s="21">
        <v>97124616</v>
      </c>
      <c r="F1427" s="20">
        <v>9122652.75</v>
      </c>
      <c r="G1427" s="22">
        <v>46260</v>
      </c>
      <c r="H1427" s="21" t="s">
        <v>61</v>
      </c>
      <c r="I1427" s="40" t="str">
        <f>IFERROR(IF(VLOOKUP(E1427,extracto!C:C,1,FALSE)=E1427,"pagado","no pagado"),"no pagado")</f>
        <v>pagado</v>
      </c>
      <c r="J1427" s="41" t="str">
        <f t="shared" si="612"/>
        <v>pagado</v>
      </c>
      <c r="K1427" s="40" t="str">
        <f t="shared" ca="1" si="613"/>
        <v>excluir</v>
      </c>
      <c r="L1427" s="40" t="str">
        <f t="shared" ca="1" si="614"/>
        <v>no semana</v>
      </c>
      <c r="M1427" s="40" t="str">
        <f>IFERROR(VLOOKUP(E1427,'cheques a conf'!A:D,4,FALSE),"no clearing")</f>
        <v>no clearing</v>
      </c>
      <c r="N1427" s="40">
        <f t="shared" si="615"/>
        <v>35</v>
      </c>
      <c r="O1427" s="42">
        <f t="shared" si="616"/>
        <v>8</v>
      </c>
      <c r="P1427" s="42">
        <f t="shared" si="617"/>
        <v>2026</v>
      </c>
    </row>
    <row r="1428" spans="1:16" x14ac:dyDescent="0.2">
      <c r="A1428" s="21">
        <v>1200002005</v>
      </c>
      <c r="B1428" s="22">
        <v>46253</v>
      </c>
      <c r="C1428" s="20">
        <v>6740095.9500000002</v>
      </c>
      <c r="D1428" s="21" t="s">
        <v>305</v>
      </c>
      <c r="E1428" s="21">
        <v>97124617</v>
      </c>
      <c r="F1428" s="20">
        <v>6740095.9500000002</v>
      </c>
      <c r="G1428" s="22">
        <v>46260</v>
      </c>
      <c r="H1428" s="21" t="s">
        <v>61</v>
      </c>
      <c r="I1428" s="40" t="str">
        <f>IFERROR(IF(VLOOKUP(E1428,extracto!C:C,1,FALSE)=E1428,"pagado","no pagado"),"no pagado")</f>
        <v>pagado</v>
      </c>
      <c r="J1428" s="41" t="str">
        <f t="shared" si="612"/>
        <v>pagado</v>
      </c>
      <c r="K1428" s="40" t="str">
        <f t="shared" ca="1" si="613"/>
        <v>excluir</v>
      </c>
      <c r="L1428" s="40" t="str">
        <f t="shared" ca="1" si="614"/>
        <v>no semana</v>
      </c>
      <c r="M1428" s="40" t="str">
        <f>IFERROR(VLOOKUP(E1428,'cheques a conf'!A:D,4,FALSE),"no clearing")</f>
        <v>no clearing</v>
      </c>
      <c r="N1428" s="40">
        <f t="shared" si="615"/>
        <v>35</v>
      </c>
      <c r="O1428" s="42">
        <f t="shared" si="616"/>
        <v>8</v>
      </c>
      <c r="P1428" s="42">
        <f t="shared" si="617"/>
        <v>2026</v>
      </c>
    </row>
    <row r="1429" spans="1:16" x14ac:dyDescent="0.2">
      <c r="A1429" s="21">
        <v>1200002005</v>
      </c>
      <c r="B1429" s="22">
        <v>46253</v>
      </c>
      <c r="C1429" s="20">
        <v>8269643.5499999998</v>
      </c>
      <c r="D1429" s="21" t="s">
        <v>305</v>
      </c>
      <c r="E1429" s="21">
        <v>97124618</v>
      </c>
      <c r="F1429" s="20">
        <v>8269643.5499999998</v>
      </c>
      <c r="G1429" s="22">
        <v>46260</v>
      </c>
      <c r="H1429" s="21" t="s">
        <v>61</v>
      </c>
      <c r="I1429" s="40" t="str">
        <f>IFERROR(IF(VLOOKUP(E1429,extracto!C:C,1,FALSE)=E1429,"pagado","no pagado"),"no pagado")</f>
        <v>pagado</v>
      </c>
      <c r="J1429" s="41" t="str">
        <f t="shared" si="612"/>
        <v>pagado</v>
      </c>
      <c r="K1429" s="40" t="str">
        <f t="shared" ca="1" si="613"/>
        <v>excluir</v>
      </c>
      <c r="L1429" s="40" t="str">
        <f t="shared" ca="1" si="614"/>
        <v>no semana</v>
      </c>
      <c r="M1429" s="40" t="str">
        <f>IFERROR(VLOOKUP(E1429,'cheques a conf'!A:D,4,FALSE),"no clearing")</f>
        <v>no clearing</v>
      </c>
      <c r="N1429" s="40">
        <f t="shared" si="615"/>
        <v>35</v>
      </c>
      <c r="O1429" s="42">
        <f t="shared" si="616"/>
        <v>8</v>
      </c>
      <c r="P1429" s="42">
        <f t="shared" si="617"/>
        <v>2026</v>
      </c>
    </row>
    <row r="1430" spans="1:16" x14ac:dyDescent="0.2">
      <c r="A1430" s="21">
        <v>1200002005</v>
      </c>
      <c r="B1430" s="22">
        <v>46253</v>
      </c>
      <c r="C1430" s="20">
        <v>8145986.96</v>
      </c>
      <c r="D1430" s="21" t="s">
        <v>305</v>
      </c>
      <c r="E1430" s="21">
        <v>97124619</v>
      </c>
      <c r="F1430" s="20">
        <v>8145986.96</v>
      </c>
      <c r="G1430" s="22">
        <v>46260</v>
      </c>
      <c r="H1430" s="21" t="s">
        <v>61</v>
      </c>
      <c r="I1430" s="40" t="str">
        <f>IFERROR(IF(VLOOKUP(E1430,extracto!C:C,1,FALSE)=E1430,"pagado","no pagado"),"no pagado")</f>
        <v>pagado</v>
      </c>
      <c r="J1430" s="41" t="str">
        <f t="shared" si="612"/>
        <v>pagado</v>
      </c>
      <c r="K1430" s="40" t="str">
        <f t="shared" ca="1" si="613"/>
        <v>excluir</v>
      </c>
      <c r="L1430" s="40" t="str">
        <f t="shared" ca="1" si="614"/>
        <v>no semana</v>
      </c>
      <c r="M1430" s="40" t="str">
        <f>IFERROR(VLOOKUP(E1430,'cheques a conf'!A:D,4,FALSE),"no clearing")</f>
        <v>no clearing</v>
      </c>
      <c r="N1430" s="40">
        <f t="shared" si="615"/>
        <v>35</v>
      </c>
      <c r="O1430" s="42">
        <f t="shared" si="616"/>
        <v>8</v>
      </c>
      <c r="P1430" s="42">
        <f t="shared" si="617"/>
        <v>2026</v>
      </c>
    </row>
    <row r="1431" spans="1:16" x14ac:dyDescent="0.2">
      <c r="A1431" s="21">
        <v>3000001131</v>
      </c>
      <c r="B1431" s="22">
        <v>46253</v>
      </c>
      <c r="C1431" s="20">
        <v>3901560.17</v>
      </c>
      <c r="D1431" s="21" t="s">
        <v>538</v>
      </c>
      <c r="E1431" s="21">
        <v>97121400</v>
      </c>
      <c r="F1431" s="20">
        <v>3901560.17</v>
      </c>
      <c r="G1431" s="22">
        <v>46254</v>
      </c>
      <c r="H1431" s="21" t="s">
        <v>61</v>
      </c>
      <c r="I1431" s="40" t="str">
        <f>IFERROR(IF(VLOOKUP(E1431,extracto!C:C,1,FALSE)=E1431,"pagado","no pagado"),"no pagado")</f>
        <v>pagado</v>
      </c>
      <c r="J1431" s="41" t="str">
        <f t="shared" si="612"/>
        <v>pagado</v>
      </c>
      <c r="K1431" s="40" t="str">
        <f t="shared" ca="1" si="613"/>
        <v>excluir</v>
      </c>
      <c r="L1431" s="40" t="str">
        <f t="shared" ca="1" si="614"/>
        <v>no semana</v>
      </c>
      <c r="M1431" s="40" t="str">
        <f>IFERROR(VLOOKUP(E1431,'cheques a conf'!A:D,4,FALSE),"no clearing")</f>
        <v>no clearing</v>
      </c>
      <c r="N1431" s="40">
        <f t="shared" si="615"/>
        <v>34</v>
      </c>
      <c r="O1431" s="42">
        <f t="shared" si="616"/>
        <v>8</v>
      </c>
      <c r="P1431" s="42">
        <f t="shared" si="617"/>
        <v>2026</v>
      </c>
    </row>
    <row r="1432" spans="1:16" x14ac:dyDescent="0.2">
      <c r="A1432" s="21">
        <v>3000001132</v>
      </c>
      <c r="B1432" s="22">
        <v>46253</v>
      </c>
      <c r="C1432" s="20">
        <v>6614654.2300000004</v>
      </c>
      <c r="D1432" s="21" t="s">
        <v>437</v>
      </c>
      <c r="E1432" s="21">
        <v>97124601</v>
      </c>
      <c r="F1432" s="20">
        <v>6614654.2300000004</v>
      </c>
      <c r="G1432" s="22">
        <v>46259</v>
      </c>
      <c r="H1432" s="21" t="s">
        <v>61</v>
      </c>
      <c r="I1432" s="40" t="str">
        <f>IFERROR(IF(VLOOKUP(E1432,extracto!C:C,1,FALSE)=E1432,"pagado","no pagado"),"no pagado")</f>
        <v>pagado</v>
      </c>
      <c r="J1432" s="41" t="str">
        <f t="shared" si="612"/>
        <v>pagado</v>
      </c>
      <c r="K1432" s="40" t="str">
        <f t="shared" ca="1" si="613"/>
        <v>excluir</v>
      </c>
      <c r="L1432" s="40" t="str">
        <f t="shared" ca="1" si="614"/>
        <v>no semana</v>
      </c>
      <c r="M1432" s="40" t="str">
        <f>IFERROR(VLOOKUP(E1432,'cheques a conf'!A:D,4,FALSE),"no clearing")</f>
        <v>no clearing</v>
      </c>
      <c r="N1432" s="40">
        <f t="shared" si="615"/>
        <v>35</v>
      </c>
      <c r="O1432" s="42">
        <f t="shared" si="616"/>
        <v>8</v>
      </c>
      <c r="P1432" s="42">
        <f t="shared" si="617"/>
        <v>2026</v>
      </c>
    </row>
    <row r="1433" spans="1:16" x14ac:dyDescent="0.2">
      <c r="A1433" s="21">
        <v>3000001133</v>
      </c>
      <c r="B1433" s="22">
        <v>46253</v>
      </c>
      <c r="C1433" s="20">
        <v>32516843.399999999</v>
      </c>
      <c r="D1433" s="21" t="s">
        <v>594</v>
      </c>
      <c r="E1433" s="21">
        <v>97124602</v>
      </c>
      <c r="F1433" s="20">
        <v>32516843.399999999</v>
      </c>
      <c r="G1433" s="22">
        <v>46259</v>
      </c>
      <c r="H1433" s="21" t="s">
        <v>61</v>
      </c>
      <c r="I1433" s="40" t="str">
        <f>IFERROR(IF(VLOOKUP(E1433,extracto!C:C,1,FALSE)=E1433,"pagado","no pagado"),"no pagado")</f>
        <v>pagado</v>
      </c>
      <c r="J1433" s="41" t="str">
        <f t="shared" si="612"/>
        <v>pagado</v>
      </c>
      <c r="K1433" s="40" t="str">
        <f t="shared" ca="1" si="613"/>
        <v>excluir</v>
      </c>
      <c r="L1433" s="40" t="str">
        <f t="shared" ca="1" si="614"/>
        <v>no semana</v>
      </c>
      <c r="M1433" s="40" t="str">
        <f>IFERROR(VLOOKUP(E1433,'cheques a conf'!A:D,4,FALSE),"no clearing")</f>
        <v>no clearing</v>
      </c>
      <c r="N1433" s="40">
        <f t="shared" si="615"/>
        <v>35</v>
      </c>
      <c r="O1433" s="42">
        <f t="shared" si="616"/>
        <v>8</v>
      </c>
      <c r="P1433" s="42">
        <f t="shared" si="617"/>
        <v>2026</v>
      </c>
    </row>
    <row r="1434" spans="1:16" x14ac:dyDescent="0.2">
      <c r="A1434" s="21">
        <v>3000001134</v>
      </c>
      <c r="B1434" s="22">
        <v>46253</v>
      </c>
      <c r="C1434" s="20">
        <v>16771441.75</v>
      </c>
      <c r="D1434" s="21" t="s">
        <v>365</v>
      </c>
      <c r="E1434" s="21">
        <v>97124603</v>
      </c>
      <c r="F1434" s="20">
        <v>16771441.75</v>
      </c>
      <c r="G1434" s="22">
        <v>46259</v>
      </c>
      <c r="H1434" s="21" t="s">
        <v>61</v>
      </c>
      <c r="I1434" s="40" t="str">
        <f>IFERROR(IF(VLOOKUP(E1434,extracto!C:C,1,FALSE)=E1434,"pagado","no pagado"),"no pagado")</f>
        <v>pagado</v>
      </c>
      <c r="J1434" s="41" t="str">
        <f t="shared" si="612"/>
        <v>pagado</v>
      </c>
      <c r="K1434" s="40" t="str">
        <f t="shared" ca="1" si="613"/>
        <v>excluir</v>
      </c>
      <c r="L1434" s="40" t="str">
        <f t="shared" ca="1" si="614"/>
        <v>no semana</v>
      </c>
      <c r="M1434" s="40" t="str">
        <f>IFERROR(VLOOKUP(E1434,'cheques a conf'!A:D,4,FALSE),"no clearing")</f>
        <v>no clearing</v>
      </c>
      <c r="N1434" s="40">
        <f t="shared" si="615"/>
        <v>35</v>
      </c>
      <c r="O1434" s="42">
        <f t="shared" si="616"/>
        <v>8</v>
      </c>
      <c r="P1434" s="42">
        <f t="shared" si="617"/>
        <v>2026</v>
      </c>
    </row>
    <row r="1435" spans="1:16" x14ac:dyDescent="0.2">
      <c r="A1435" s="21">
        <v>3000001135</v>
      </c>
      <c r="B1435" s="22">
        <v>46253</v>
      </c>
      <c r="C1435" s="20">
        <v>26695988</v>
      </c>
      <c r="D1435" s="21" t="s">
        <v>350</v>
      </c>
      <c r="E1435" s="21">
        <v>97124604</v>
      </c>
      <c r="F1435" s="20">
        <v>26695988</v>
      </c>
      <c r="G1435" s="22">
        <v>46259</v>
      </c>
      <c r="H1435" s="21" t="s">
        <v>61</v>
      </c>
      <c r="I1435" s="40" t="str">
        <f>IFERROR(IF(VLOOKUP(E1435,extracto!C:C,1,FALSE)=E1435,"pagado","no pagado"),"no pagado")</f>
        <v>pagado</v>
      </c>
      <c r="J1435" s="41" t="str">
        <f t="shared" si="612"/>
        <v>pagado</v>
      </c>
      <c r="K1435" s="40" t="str">
        <f t="shared" ca="1" si="613"/>
        <v>excluir</v>
      </c>
      <c r="L1435" s="40" t="str">
        <f t="shared" ca="1" si="614"/>
        <v>no semana</v>
      </c>
      <c r="M1435" s="40" t="str">
        <f>IFERROR(VLOOKUP(E1435,'cheques a conf'!A:D,4,FALSE),"no clearing")</f>
        <v>no clearing</v>
      </c>
      <c r="N1435" s="40">
        <f t="shared" si="615"/>
        <v>35</v>
      </c>
      <c r="O1435" s="42">
        <f t="shared" si="616"/>
        <v>8</v>
      </c>
      <c r="P1435" s="42">
        <f t="shared" si="617"/>
        <v>2026</v>
      </c>
    </row>
    <row r="1436" spans="1:16" x14ac:dyDescent="0.2">
      <c r="A1436" s="21">
        <v>3000001136</v>
      </c>
      <c r="B1436" s="22">
        <v>46253</v>
      </c>
      <c r="C1436" s="20">
        <v>5355577.2699999996</v>
      </c>
      <c r="D1436" s="21" t="s">
        <v>400</v>
      </c>
      <c r="E1436" s="21">
        <v>97124605</v>
      </c>
      <c r="F1436" s="20">
        <v>5355577.2699999996</v>
      </c>
      <c r="G1436" s="22">
        <v>46259</v>
      </c>
      <c r="H1436" s="21" t="s">
        <v>61</v>
      </c>
      <c r="I1436" s="40" t="str">
        <f>IFERROR(IF(VLOOKUP(E1436,extracto!C:C,1,FALSE)=E1436,"pagado","no pagado"),"no pagado")</f>
        <v>pagado</v>
      </c>
      <c r="J1436" s="41" t="str">
        <f t="shared" si="612"/>
        <v>pagado</v>
      </c>
      <c r="K1436" s="40" t="str">
        <f t="shared" ca="1" si="613"/>
        <v>excluir</v>
      </c>
      <c r="L1436" s="40" t="str">
        <f t="shared" ca="1" si="614"/>
        <v>no semana</v>
      </c>
      <c r="M1436" s="40" t="str">
        <f>IFERROR(VLOOKUP(E1436,'cheques a conf'!A:D,4,FALSE),"no clearing")</f>
        <v>no clearing</v>
      </c>
      <c r="N1436" s="40">
        <f t="shared" si="615"/>
        <v>35</v>
      </c>
      <c r="O1436" s="42">
        <f t="shared" si="616"/>
        <v>8</v>
      </c>
      <c r="P1436" s="42">
        <f t="shared" si="617"/>
        <v>2026</v>
      </c>
    </row>
    <row r="1437" spans="1:16" x14ac:dyDescent="0.2">
      <c r="A1437" s="21">
        <v>3000001137</v>
      </c>
      <c r="B1437" s="22">
        <v>46253</v>
      </c>
      <c r="C1437" s="20">
        <v>10153294.92</v>
      </c>
      <c r="D1437" s="21" t="s">
        <v>595</v>
      </c>
      <c r="E1437" s="21">
        <v>97124606</v>
      </c>
      <c r="F1437" s="20">
        <v>10153294.92</v>
      </c>
      <c r="G1437" s="22">
        <v>46259</v>
      </c>
      <c r="H1437" s="21" t="s">
        <v>61</v>
      </c>
      <c r="I1437" s="40" t="str">
        <f>IFERROR(IF(VLOOKUP(E1437,extracto!C:C,1,FALSE)=E1437,"pagado","no pagado"),"no pagado")</f>
        <v>pagado</v>
      </c>
      <c r="J1437" s="41" t="str">
        <f t="shared" si="612"/>
        <v>pagado</v>
      </c>
      <c r="K1437" s="40" t="str">
        <f t="shared" ca="1" si="613"/>
        <v>excluir</v>
      </c>
      <c r="L1437" s="40" t="str">
        <f t="shared" ca="1" si="614"/>
        <v>no semana</v>
      </c>
      <c r="M1437" s="40" t="str">
        <f>IFERROR(VLOOKUP(E1437,'cheques a conf'!A:D,4,FALSE),"no clearing")</f>
        <v>no clearing</v>
      </c>
      <c r="N1437" s="40">
        <f t="shared" si="615"/>
        <v>35</v>
      </c>
      <c r="O1437" s="42">
        <f t="shared" si="616"/>
        <v>8</v>
      </c>
      <c r="P1437" s="42">
        <f t="shared" si="617"/>
        <v>2026</v>
      </c>
    </row>
    <row r="1438" spans="1:16" x14ac:dyDescent="0.2">
      <c r="A1438" s="21">
        <v>3000001138</v>
      </c>
      <c r="B1438" s="22">
        <v>46253</v>
      </c>
      <c r="C1438" s="20">
        <v>13320893.58</v>
      </c>
      <c r="D1438" s="21" t="s">
        <v>393</v>
      </c>
      <c r="E1438" s="21">
        <v>97124607</v>
      </c>
      <c r="F1438" s="20">
        <v>13320893.58</v>
      </c>
      <c r="G1438" s="22">
        <v>46259</v>
      </c>
      <c r="H1438" s="21" t="s">
        <v>61</v>
      </c>
      <c r="I1438" s="40" t="str">
        <f>IFERROR(IF(VLOOKUP(E1438,extracto!C:C,1,FALSE)=E1438,"pagado","no pagado"),"no pagado")</f>
        <v>pagado</v>
      </c>
      <c r="J1438" s="41" t="str">
        <f t="shared" si="612"/>
        <v>pagado</v>
      </c>
      <c r="K1438" s="40" t="str">
        <f t="shared" ca="1" si="613"/>
        <v>excluir</v>
      </c>
      <c r="L1438" s="40" t="str">
        <f t="shared" ca="1" si="614"/>
        <v>no semana</v>
      </c>
      <c r="M1438" s="40" t="str">
        <f>IFERROR(VLOOKUP(E1438,'cheques a conf'!A:D,4,FALSE),"no clearing")</f>
        <v>no clearing</v>
      </c>
      <c r="N1438" s="40">
        <f t="shared" si="615"/>
        <v>35</v>
      </c>
      <c r="O1438" s="42">
        <f t="shared" si="616"/>
        <v>8</v>
      </c>
      <c r="P1438" s="42">
        <f t="shared" si="617"/>
        <v>2026</v>
      </c>
    </row>
    <row r="1439" spans="1:16" x14ac:dyDescent="0.2">
      <c r="A1439" s="21">
        <v>3000001139</v>
      </c>
      <c r="B1439" s="22">
        <v>46253</v>
      </c>
      <c r="C1439" s="20">
        <v>8475041.1199999992</v>
      </c>
      <c r="D1439" s="21" t="s">
        <v>414</v>
      </c>
      <c r="E1439" s="21">
        <v>97124608</v>
      </c>
      <c r="F1439" s="20">
        <v>8475041.1199999992</v>
      </c>
      <c r="G1439" s="22">
        <v>46259</v>
      </c>
      <c r="H1439" s="21" t="s">
        <v>61</v>
      </c>
      <c r="I1439" s="40" t="str">
        <f>IFERROR(IF(VLOOKUP(E1439,extracto!C:C,1,FALSE)=E1439,"pagado","no pagado"),"no pagado")</f>
        <v>pagado</v>
      </c>
      <c r="J1439" s="41" t="str">
        <f t="shared" si="612"/>
        <v>pagado</v>
      </c>
      <c r="K1439" s="40" t="str">
        <f t="shared" ca="1" si="613"/>
        <v>excluir</v>
      </c>
      <c r="L1439" s="40" t="str">
        <f t="shared" ca="1" si="614"/>
        <v>no semana</v>
      </c>
      <c r="M1439" s="40" t="str">
        <f>IFERROR(VLOOKUP(E1439,'cheques a conf'!A:D,4,FALSE),"no clearing")</f>
        <v>no clearing</v>
      </c>
      <c r="N1439" s="40">
        <f t="shared" si="615"/>
        <v>35</v>
      </c>
      <c r="O1439" s="42">
        <f t="shared" si="616"/>
        <v>8</v>
      </c>
      <c r="P1439" s="42">
        <f t="shared" si="617"/>
        <v>2026</v>
      </c>
    </row>
    <row r="1440" spans="1:16" x14ac:dyDescent="0.2">
      <c r="A1440" s="21">
        <v>3000001140</v>
      </c>
      <c r="B1440" s="22">
        <v>46253</v>
      </c>
      <c r="C1440" s="20">
        <v>13387257.369999999</v>
      </c>
      <c r="D1440" s="21" t="s">
        <v>372</v>
      </c>
      <c r="E1440" s="21">
        <v>97124609</v>
      </c>
      <c r="F1440" s="20">
        <v>13387257.369999999</v>
      </c>
      <c r="G1440" s="22">
        <v>46259</v>
      </c>
      <c r="H1440" s="21" t="s">
        <v>61</v>
      </c>
      <c r="I1440" s="40" t="str">
        <f>IFERROR(IF(VLOOKUP(E1440,extracto!C:C,1,FALSE)=E1440,"pagado","no pagado"),"no pagado")</f>
        <v>pagado</v>
      </c>
      <c r="J1440" s="41" t="str">
        <f t="shared" si="612"/>
        <v>pagado</v>
      </c>
      <c r="K1440" s="40" t="str">
        <f t="shared" ca="1" si="613"/>
        <v>excluir</v>
      </c>
      <c r="L1440" s="40" t="str">
        <f t="shared" ca="1" si="614"/>
        <v>no semana</v>
      </c>
      <c r="M1440" s="40" t="str">
        <f>IFERROR(VLOOKUP(E1440,'cheques a conf'!A:D,4,FALSE),"no clearing")</f>
        <v>no clearing</v>
      </c>
      <c r="N1440" s="40">
        <f t="shared" si="615"/>
        <v>35</v>
      </c>
      <c r="O1440" s="42">
        <f t="shared" si="616"/>
        <v>8</v>
      </c>
      <c r="P1440" s="42">
        <f t="shared" si="617"/>
        <v>2026</v>
      </c>
    </row>
    <row r="1441" spans="1:16" x14ac:dyDescent="0.2">
      <c r="A1441" s="21">
        <v>3000001141</v>
      </c>
      <c r="B1441" s="22">
        <v>46253</v>
      </c>
      <c r="C1441" s="20">
        <v>25651738.300000001</v>
      </c>
      <c r="D1441" s="21" t="s">
        <v>359</v>
      </c>
      <c r="E1441" s="21">
        <v>97124610</v>
      </c>
      <c r="F1441" s="20">
        <v>25651738.300000001</v>
      </c>
      <c r="G1441" s="22">
        <v>46259</v>
      </c>
      <c r="H1441" s="21" t="s">
        <v>61</v>
      </c>
      <c r="I1441" s="40" t="str">
        <f>IFERROR(IF(VLOOKUP(E1441,extracto!C:C,1,FALSE)=E1441,"pagado","no pagado"),"no pagado")</f>
        <v>pagado</v>
      </c>
      <c r="J1441" s="41" t="str">
        <f t="shared" si="612"/>
        <v>pagado</v>
      </c>
      <c r="K1441" s="40" t="str">
        <f t="shared" ca="1" si="613"/>
        <v>excluir</v>
      </c>
      <c r="L1441" s="40" t="str">
        <f t="shared" ca="1" si="614"/>
        <v>no semana</v>
      </c>
      <c r="M1441" s="40" t="str">
        <f>IFERROR(VLOOKUP(E1441,'cheques a conf'!A:D,4,FALSE),"no clearing")</f>
        <v>no clearing</v>
      </c>
      <c r="N1441" s="40">
        <f t="shared" si="615"/>
        <v>35</v>
      </c>
      <c r="O1441" s="42">
        <f t="shared" si="616"/>
        <v>8</v>
      </c>
      <c r="P1441" s="42">
        <f t="shared" si="617"/>
        <v>2026</v>
      </c>
    </row>
    <row r="1442" spans="1:16" x14ac:dyDescent="0.2">
      <c r="A1442" s="21">
        <v>3000001165</v>
      </c>
      <c r="B1442" s="22">
        <v>46258</v>
      </c>
      <c r="C1442" s="20">
        <v>39119079.82</v>
      </c>
      <c r="D1442" s="21" t="s">
        <v>307</v>
      </c>
      <c r="E1442" s="21">
        <v>97124620</v>
      </c>
      <c r="F1442" s="20">
        <v>39119079.82</v>
      </c>
      <c r="G1442" s="22">
        <v>46259</v>
      </c>
      <c r="H1442" s="21" t="s">
        <v>61</v>
      </c>
      <c r="I1442" s="40" t="str">
        <f>IFERROR(IF(VLOOKUP(E1442,extracto!C:C,1,FALSE)=E1442,"pagado","no pagado"),"no pagado")</f>
        <v>pagado</v>
      </c>
      <c r="J1442" s="41" t="str">
        <f t="shared" si="612"/>
        <v>pagado</v>
      </c>
      <c r="K1442" s="40" t="str">
        <f t="shared" ca="1" si="613"/>
        <v>excluir</v>
      </c>
      <c r="L1442" s="40" t="str">
        <f t="shared" ca="1" si="614"/>
        <v>no semana</v>
      </c>
      <c r="M1442" s="40" t="str">
        <f>IFERROR(VLOOKUP(E1442,'cheques a conf'!A:D,4,FALSE),"no clearing")</f>
        <v>no clearing</v>
      </c>
      <c r="N1442" s="40">
        <f t="shared" si="615"/>
        <v>35</v>
      </c>
      <c r="O1442" s="42">
        <f t="shared" si="616"/>
        <v>8</v>
      </c>
      <c r="P1442" s="42">
        <f t="shared" si="617"/>
        <v>2026</v>
      </c>
    </row>
    <row r="1443" spans="1:16" x14ac:dyDescent="0.2">
      <c r="A1443" s="21">
        <v>3000001166</v>
      </c>
      <c r="B1443" s="22">
        <v>46258</v>
      </c>
      <c r="C1443" s="20">
        <v>5112382.3499999996</v>
      </c>
      <c r="D1443" s="21" t="s">
        <v>284</v>
      </c>
      <c r="E1443" s="21">
        <v>97124621</v>
      </c>
      <c r="F1443" s="20">
        <v>5112382.3499999996</v>
      </c>
      <c r="G1443" s="22">
        <v>46267</v>
      </c>
      <c r="H1443" s="21" t="s">
        <v>61</v>
      </c>
      <c r="I1443" s="40" t="str">
        <f>IFERROR(IF(VLOOKUP(E1443,extracto!C:C,1,FALSE)=E1443,"pagado","no pagado"),"no pagado")</f>
        <v>pagado</v>
      </c>
      <c r="J1443" s="41" t="str">
        <f t="shared" si="612"/>
        <v>pagado</v>
      </c>
      <c r="K1443" s="40" t="str">
        <f t="shared" ca="1" si="613"/>
        <v>excluir</v>
      </c>
      <c r="L1443" s="40" t="str">
        <f t="shared" ca="1" si="614"/>
        <v>no semana</v>
      </c>
      <c r="M1443" s="40" t="str">
        <f>IFERROR(VLOOKUP(E1443,'cheques a conf'!A:D,4,FALSE),"no clearing")</f>
        <v>no clearing</v>
      </c>
      <c r="N1443" s="40">
        <f t="shared" si="615"/>
        <v>36</v>
      </c>
      <c r="O1443" s="42">
        <f t="shared" si="616"/>
        <v>9</v>
      </c>
      <c r="P1443" s="42">
        <f t="shared" si="617"/>
        <v>2026</v>
      </c>
    </row>
    <row r="1444" spans="1:16" x14ac:dyDescent="0.2">
      <c r="A1444" s="21">
        <v>3000001167</v>
      </c>
      <c r="B1444" s="22">
        <v>46258</v>
      </c>
      <c r="C1444" s="20">
        <v>13745643.689999999</v>
      </c>
      <c r="D1444" s="21" t="s">
        <v>385</v>
      </c>
      <c r="E1444" s="21">
        <v>97124622</v>
      </c>
      <c r="F1444" s="20">
        <v>13745643.689999999</v>
      </c>
      <c r="G1444" s="22">
        <v>46267</v>
      </c>
      <c r="H1444" s="21" t="s">
        <v>61</v>
      </c>
      <c r="I1444" s="40" t="str">
        <f>IFERROR(IF(VLOOKUP(E1444,extracto!C:C,1,FALSE)=E1444,"pagado","no pagado"),"no pagado")</f>
        <v>pagado</v>
      </c>
      <c r="J1444" s="41" t="str">
        <f t="shared" si="612"/>
        <v>pagado</v>
      </c>
      <c r="K1444" s="40" t="str">
        <f t="shared" ca="1" si="613"/>
        <v>excluir</v>
      </c>
      <c r="L1444" s="40" t="str">
        <f t="shared" ca="1" si="614"/>
        <v>no semana</v>
      </c>
      <c r="M1444" s="40" t="str">
        <f>IFERROR(VLOOKUP(E1444,'cheques a conf'!A:D,4,FALSE),"no clearing")</f>
        <v>no clearing</v>
      </c>
      <c r="N1444" s="40">
        <f t="shared" si="615"/>
        <v>36</v>
      </c>
      <c r="O1444" s="42">
        <f t="shared" si="616"/>
        <v>9</v>
      </c>
      <c r="P1444" s="42">
        <f t="shared" si="617"/>
        <v>2026</v>
      </c>
    </row>
    <row r="1445" spans="1:16" x14ac:dyDescent="0.2">
      <c r="A1445" s="21">
        <v>3000001168</v>
      </c>
      <c r="B1445" s="22">
        <v>46258</v>
      </c>
      <c r="C1445" s="20">
        <v>23961670.82</v>
      </c>
      <c r="D1445" s="21" t="s">
        <v>303</v>
      </c>
      <c r="E1445" s="21">
        <v>97124623</v>
      </c>
      <c r="F1445" s="20">
        <v>23961670.82</v>
      </c>
      <c r="G1445" s="22">
        <v>46267</v>
      </c>
      <c r="H1445" s="21" t="s">
        <v>61</v>
      </c>
      <c r="I1445" s="40" t="str">
        <f>IFERROR(IF(VLOOKUP(E1445,extracto!C:C,1,FALSE)=E1445,"pagado","no pagado"),"no pagado")</f>
        <v>pagado</v>
      </c>
      <c r="J1445" s="41" t="str">
        <f t="shared" si="612"/>
        <v>pagado</v>
      </c>
      <c r="K1445" s="40" t="str">
        <f t="shared" ca="1" si="613"/>
        <v>excluir</v>
      </c>
      <c r="L1445" s="40" t="str">
        <f t="shared" ca="1" si="614"/>
        <v>no semana</v>
      </c>
      <c r="M1445" s="40" t="str">
        <f>IFERROR(VLOOKUP(E1445,'cheques a conf'!A:D,4,FALSE),"no clearing")</f>
        <v>no clearing</v>
      </c>
      <c r="N1445" s="40">
        <f t="shared" si="615"/>
        <v>36</v>
      </c>
      <c r="O1445" s="42">
        <f t="shared" si="616"/>
        <v>9</v>
      </c>
      <c r="P1445" s="42">
        <f t="shared" si="617"/>
        <v>2026</v>
      </c>
    </row>
    <row r="1446" spans="1:16" x14ac:dyDescent="0.2">
      <c r="A1446" s="21">
        <v>3000001169</v>
      </c>
      <c r="B1446" s="22">
        <v>46258</v>
      </c>
      <c r="C1446" s="20">
        <v>16518800.85</v>
      </c>
      <c r="D1446" s="21" t="s">
        <v>394</v>
      </c>
      <c r="E1446" s="21">
        <v>97124624</v>
      </c>
      <c r="F1446" s="20">
        <v>16518800.85</v>
      </c>
      <c r="G1446" s="22">
        <v>46267</v>
      </c>
      <c r="H1446" s="21" t="s">
        <v>61</v>
      </c>
      <c r="I1446" s="40" t="str">
        <f>IFERROR(IF(VLOOKUP(E1446,extracto!C:C,1,FALSE)=E1446,"pagado","no pagado"),"no pagado")</f>
        <v>pagado</v>
      </c>
      <c r="J1446" s="41" t="str">
        <f t="shared" si="612"/>
        <v>pagado</v>
      </c>
      <c r="K1446" s="40" t="str">
        <f t="shared" ca="1" si="613"/>
        <v>excluir</v>
      </c>
      <c r="L1446" s="40" t="str">
        <f t="shared" ca="1" si="614"/>
        <v>no semana</v>
      </c>
      <c r="M1446" s="40" t="str">
        <f>IFERROR(VLOOKUP(E1446,'cheques a conf'!A:D,4,FALSE),"no clearing")</f>
        <v>no clearing</v>
      </c>
      <c r="N1446" s="40">
        <f t="shared" si="615"/>
        <v>36</v>
      </c>
      <c r="O1446" s="42">
        <f t="shared" si="616"/>
        <v>9</v>
      </c>
      <c r="P1446" s="42">
        <f t="shared" si="617"/>
        <v>2026</v>
      </c>
    </row>
    <row r="1447" spans="1:16" x14ac:dyDescent="0.2">
      <c r="A1447" s="21">
        <v>3000001170</v>
      </c>
      <c r="B1447" s="22">
        <v>46258</v>
      </c>
      <c r="C1447" s="20">
        <v>7201730.7199999997</v>
      </c>
      <c r="D1447" s="21" t="s">
        <v>371</v>
      </c>
      <c r="E1447" s="21">
        <v>97124625</v>
      </c>
      <c r="F1447" s="20">
        <v>7201730.7199999997</v>
      </c>
      <c r="G1447" s="22">
        <v>46267</v>
      </c>
      <c r="H1447" s="21" t="s">
        <v>61</v>
      </c>
      <c r="I1447" s="40" t="str">
        <f>IFERROR(IF(VLOOKUP(E1447,extracto!C:C,1,FALSE)=E1447,"pagado","no pagado"),"no pagado")</f>
        <v>pagado</v>
      </c>
      <c r="J1447" s="41" t="str">
        <f t="shared" si="612"/>
        <v>pagado</v>
      </c>
      <c r="K1447" s="40" t="str">
        <f t="shared" ca="1" si="613"/>
        <v>excluir</v>
      </c>
      <c r="L1447" s="40" t="str">
        <f t="shared" ca="1" si="614"/>
        <v>no semana</v>
      </c>
      <c r="M1447" s="40" t="str">
        <f>IFERROR(VLOOKUP(E1447,'cheques a conf'!A:D,4,FALSE),"no clearing")</f>
        <v>no clearing</v>
      </c>
      <c r="N1447" s="40">
        <f t="shared" si="615"/>
        <v>36</v>
      </c>
      <c r="O1447" s="42">
        <f t="shared" si="616"/>
        <v>9</v>
      </c>
      <c r="P1447" s="42">
        <f t="shared" si="617"/>
        <v>2026</v>
      </c>
    </row>
    <row r="1448" spans="1:16" x14ac:dyDescent="0.2">
      <c r="A1448" s="21">
        <v>3000001171</v>
      </c>
      <c r="B1448" s="22">
        <v>46258</v>
      </c>
      <c r="C1448" s="20">
        <v>15852618.869999999</v>
      </c>
      <c r="D1448" s="21" t="s">
        <v>546</v>
      </c>
      <c r="E1448" s="21">
        <v>97124626</v>
      </c>
      <c r="F1448" s="20">
        <v>15852618.869999999</v>
      </c>
      <c r="G1448" s="22">
        <v>46267</v>
      </c>
      <c r="H1448" s="21" t="s">
        <v>61</v>
      </c>
      <c r="I1448" s="40" t="str">
        <f>IFERROR(IF(VLOOKUP(E1448,extracto!C:C,1,FALSE)=E1448,"pagado","no pagado"),"no pagado")</f>
        <v>pagado</v>
      </c>
      <c r="J1448" s="41" t="str">
        <f t="shared" si="612"/>
        <v>pagado</v>
      </c>
      <c r="K1448" s="40" t="str">
        <f t="shared" ca="1" si="613"/>
        <v>excluir</v>
      </c>
      <c r="L1448" s="40" t="str">
        <f t="shared" ca="1" si="614"/>
        <v>no semana</v>
      </c>
      <c r="M1448" s="40" t="str">
        <f>IFERROR(VLOOKUP(E1448,'cheques a conf'!A:D,4,FALSE),"no clearing")</f>
        <v>no clearing</v>
      </c>
      <c r="N1448" s="40">
        <f t="shared" si="615"/>
        <v>36</v>
      </c>
      <c r="O1448" s="42">
        <f t="shared" si="616"/>
        <v>9</v>
      </c>
      <c r="P1448" s="42">
        <f t="shared" si="617"/>
        <v>2026</v>
      </c>
    </row>
    <row r="1449" spans="1:16" x14ac:dyDescent="0.2">
      <c r="A1449" s="21">
        <v>3000001172</v>
      </c>
      <c r="B1449" s="22">
        <v>46258</v>
      </c>
      <c r="C1449" s="20">
        <v>21422548.719999999</v>
      </c>
      <c r="D1449" s="21" t="s">
        <v>600</v>
      </c>
      <c r="E1449" s="21">
        <v>97124627</v>
      </c>
      <c r="F1449" s="20">
        <v>21422548.719999999</v>
      </c>
      <c r="G1449" s="22">
        <v>46267</v>
      </c>
      <c r="H1449" s="21" t="s">
        <v>61</v>
      </c>
      <c r="I1449" s="40" t="str">
        <f>IFERROR(IF(VLOOKUP(E1449,extracto!C:C,1,FALSE)=E1449,"pagado","no pagado"),"no pagado")</f>
        <v>pagado</v>
      </c>
      <c r="J1449" s="41" t="str">
        <f t="shared" si="612"/>
        <v>pagado</v>
      </c>
      <c r="K1449" s="40" t="str">
        <f t="shared" ca="1" si="613"/>
        <v>excluir</v>
      </c>
      <c r="L1449" s="40" t="str">
        <f t="shared" ca="1" si="614"/>
        <v>no semana</v>
      </c>
      <c r="M1449" s="40" t="str">
        <f>IFERROR(VLOOKUP(E1449,'cheques a conf'!A:D,4,FALSE),"no clearing")</f>
        <v>no clearing</v>
      </c>
      <c r="N1449" s="40">
        <f t="shared" si="615"/>
        <v>36</v>
      </c>
      <c r="O1449" s="42">
        <f t="shared" si="616"/>
        <v>9</v>
      </c>
      <c r="P1449" s="42">
        <f t="shared" si="617"/>
        <v>2026</v>
      </c>
    </row>
    <row r="1450" spans="1:16" x14ac:dyDescent="0.2">
      <c r="A1450" s="21">
        <v>3000001173</v>
      </c>
      <c r="B1450" s="22">
        <v>46258</v>
      </c>
      <c r="C1450" s="20">
        <v>19715626.260000002</v>
      </c>
      <c r="D1450" s="21" t="s">
        <v>391</v>
      </c>
      <c r="E1450" s="21">
        <v>97124628</v>
      </c>
      <c r="F1450" s="20">
        <v>19715626.260000002</v>
      </c>
      <c r="G1450" s="22">
        <v>46267</v>
      </c>
      <c r="H1450" s="21" t="s">
        <v>61</v>
      </c>
      <c r="I1450" s="40" t="str">
        <f>IFERROR(IF(VLOOKUP(E1450,extracto!C:C,1,FALSE)=E1450,"pagado","no pagado"),"no pagado")</f>
        <v>pagado</v>
      </c>
      <c r="J1450" s="41" t="str">
        <f t="shared" si="612"/>
        <v>pagado</v>
      </c>
      <c r="K1450" s="40" t="str">
        <f t="shared" ca="1" si="613"/>
        <v>excluir</v>
      </c>
      <c r="L1450" s="40" t="str">
        <f t="shared" ca="1" si="614"/>
        <v>no semana</v>
      </c>
      <c r="M1450" s="40" t="str">
        <f>IFERROR(VLOOKUP(E1450,'cheques a conf'!A:D,4,FALSE),"no clearing")</f>
        <v>no clearing</v>
      </c>
      <c r="N1450" s="40">
        <f t="shared" si="615"/>
        <v>36</v>
      </c>
      <c r="O1450" s="42">
        <f t="shared" si="616"/>
        <v>9</v>
      </c>
      <c r="P1450" s="42">
        <f t="shared" si="617"/>
        <v>2026</v>
      </c>
    </row>
    <row r="1451" spans="1:16" x14ac:dyDescent="0.2">
      <c r="A1451" s="21">
        <v>3000001174</v>
      </c>
      <c r="B1451" s="22">
        <v>46258</v>
      </c>
      <c r="C1451" s="20">
        <v>8602316.4399999995</v>
      </c>
      <c r="D1451" s="21" t="s">
        <v>302</v>
      </c>
      <c r="E1451" s="21">
        <v>97124629</v>
      </c>
      <c r="F1451" s="20">
        <v>8602316.4399999995</v>
      </c>
      <c r="G1451" s="22">
        <v>46267</v>
      </c>
      <c r="H1451" s="21" t="s">
        <v>61</v>
      </c>
      <c r="I1451" s="40" t="str">
        <f>IFERROR(IF(VLOOKUP(E1451,extracto!C:C,1,FALSE)=E1451,"pagado","no pagado"),"no pagado")</f>
        <v>pagado</v>
      </c>
      <c r="J1451" s="41" t="str">
        <f t="shared" si="612"/>
        <v>pagado</v>
      </c>
      <c r="K1451" s="40" t="str">
        <f t="shared" ca="1" si="613"/>
        <v>excluir</v>
      </c>
      <c r="L1451" s="40" t="str">
        <f t="shared" ca="1" si="614"/>
        <v>no semana</v>
      </c>
      <c r="M1451" s="40" t="str">
        <f>IFERROR(VLOOKUP(E1451,'cheques a conf'!A:D,4,FALSE),"no clearing")</f>
        <v>no clearing</v>
      </c>
      <c r="N1451" s="40">
        <f t="shared" si="615"/>
        <v>36</v>
      </c>
      <c r="O1451" s="42">
        <f t="shared" si="616"/>
        <v>9</v>
      </c>
      <c r="P1451" s="42">
        <f t="shared" si="617"/>
        <v>2026</v>
      </c>
    </row>
    <row r="1452" spans="1:16" x14ac:dyDescent="0.2">
      <c r="A1452" s="21">
        <v>3000001175</v>
      </c>
      <c r="B1452" s="22">
        <v>46258</v>
      </c>
      <c r="C1452" s="20">
        <v>23213701.489999998</v>
      </c>
      <c r="D1452" s="21" t="s">
        <v>283</v>
      </c>
      <c r="E1452" s="21">
        <v>97124630</v>
      </c>
      <c r="F1452" s="20">
        <v>23213701.489999998</v>
      </c>
      <c r="G1452" s="22">
        <v>46267</v>
      </c>
      <c r="H1452" s="21" t="s">
        <v>61</v>
      </c>
      <c r="I1452" s="40" t="str">
        <f>IFERROR(IF(VLOOKUP(E1452,extracto!C:C,1,FALSE)=E1452,"pagado","no pagado"),"no pagado")</f>
        <v>pagado</v>
      </c>
      <c r="J1452" s="41" t="str">
        <f t="shared" si="612"/>
        <v>pagado</v>
      </c>
      <c r="K1452" s="40" t="str">
        <f t="shared" ca="1" si="613"/>
        <v>excluir</v>
      </c>
      <c r="L1452" s="40" t="str">
        <f t="shared" ca="1" si="614"/>
        <v>no semana</v>
      </c>
      <c r="M1452" s="40" t="str">
        <f>IFERROR(VLOOKUP(E1452,'cheques a conf'!A:D,4,FALSE),"no clearing")</f>
        <v>no clearing</v>
      </c>
      <c r="N1452" s="40">
        <f t="shared" si="615"/>
        <v>36</v>
      </c>
      <c r="O1452" s="42">
        <f t="shared" si="616"/>
        <v>9</v>
      </c>
      <c r="P1452" s="42">
        <f t="shared" si="617"/>
        <v>2026</v>
      </c>
    </row>
    <row r="1453" spans="1:16" x14ac:dyDescent="0.2">
      <c r="A1453" s="21">
        <v>3000001176</v>
      </c>
      <c r="B1453" s="22">
        <v>46258</v>
      </c>
      <c r="C1453" s="20">
        <v>12117029.67</v>
      </c>
      <c r="D1453" s="21" t="s">
        <v>390</v>
      </c>
      <c r="E1453" s="21">
        <v>97124631</v>
      </c>
      <c r="F1453" s="20">
        <v>12117029.67</v>
      </c>
      <c r="G1453" s="22">
        <v>46267</v>
      </c>
      <c r="H1453" s="21" t="s">
        <v>61</v>
      </c>
      <c r="I1453" s="40" t="str">
        <f>IFERROR(IF(VLOOKUP(E1453,extracto!C:C,1,FALSE)=E1453,"pagado","no pagado"),"no pagado")</f>
        <v>pagado</v>
      </c>
      <c r="J1453" s="41" t="str">
        <f t="shared" si="612"/>
        <v>pagado</v>
      </c>
      <c r="K1453" s="40" t="str">
        <f t="shared" ca="1" si="613"/>
        <v>excluir</v>
      </c>
      <c r="L1453" s="40" t="str">
        <f t="shared" ca="1" si="614"/>
        <v>no semana</v>
      </c>
      <c r="M1453" s="40" t="str">
        <f>IFERROR(VLOOKUP(E1453,'cheques a conf'!A:D,4,FALSE),"no clearing")</f>
        <v>no clearing</v>
      </c>
      <c r="N1453" s="40">
        <f t="shared" si="615"/>
        <v>36</v>
      </c>
      <c r="O1453" s="42">
        <f t="shared" si="616"/>
        <v>9</v>
      </c>
      <c r="P1453" s="42">
        <f t="shared" si="617"/>
        <v>2026</v>
      </c>
    </row>
    <row r="1454" spans="1:16" x14ac:dyDescent="0.2">
      <c r="A1454" s="21">
        <v>3000001177</v>
      </c>
      <c r="B1454" s="22">
        <v>46258</v>
      </c>
      <c r="C1454" s="20">
        <v>5434059.75</v>
      </c>
      <c r="D1454" s="21" t="s">
        <v>347</v>
      </c>
      <c r="E1454" s="21">
        <v>97124632</v>
      </c>
      <c r="F1454" s="20">
        <v>5434059.75</v>
      </c>
      <c r="G1454" s="22">
        <v>46267</v>
      </c>
      <c r="H1454" s="21" t="s">
        <v>61</v>
      </c>
      <c r="I1454" s="40" t="str">
        <f>IFERROR(IF(VLOOKUP(E1454,extracto!C:C,1,FALSE)=E1454,"pagado","no pagado"),"no pagado")</f>
        <v>pagado</v>
      </c>
      <c r="J1454" s="41" t="str">
        <f t="shared" si="612"/>
        <v>pagado</v>
      </c>
      <c r="K1454" s="40" t="str">
        <f t="shared" ca="1" si="613"/>
        <v>excluir</v>
      </c>
      <c r="L1454" s="40" t="str">
        <f t="shared" ca="1" si="614"/>
        <v>no semana</v>
      </c>
      <c r="M1454" s="40" t="str">
        <f>IFERROR(VLOOKUP(E1454,'cheques a conf'!A:D,4,FALSE),"no clearing")</f>
        <v>no clearing</v>
      </c>
      <c r="N1454" s="40">
        <f t="shared" si="615"/>
        <v>36</v>
      </c>
      <c r="O1454" s="42">
        <f t="shared" si="616"/>
        <v>9</v>
      </c>
      <c r="P1454" s="42">
        <f t="shared" si="617"/>
        <v>2026</v>
      </c>
    </row>
    <row r="1455" spans="1:16" x14ac:dyDescent="0.2">
      <c r="A1455" s="21">
        <v>3000001178</v>
      </c>
      <c r="B1455" s="22">
        <v>46258</v>
      </c>
      <c r="C1455" s="20">
        <v>21597500</v>
      </c>
      <c r="D1455" s="21" t="s">
        <v>594</v>
      </c>
      <c r="E1455" s="21">
        <v>97124633</v>
      </c>
      <c r="F1455" s="20">
        <v>21597500</v>
      </c>
      <c r="G1455" s="22">
        <v>46267</v>
      </c>
      <c r="H1455" s="21" t="s">
        <v>61</v>
      </c>
      <c r="I1455" s="40" t="str">
        <f>IFERROR(IF(VLOOKUP(E1455,extracto!C:C,1,FALSE)=E1455,"pagado","no pagado"),"no pagado")</f>
        <v>pagado</v>
      </c>
      <c r="J1455" s="41" t="str">
        <f t="shared" si="612"/>
        <v>pagado</v>
      </c>
      <c r="K1455" s="40" t="str">
        <f t="shared" ca="1" si="613"/>
        <v>excluir</v>
      </c>
      <c r="L1455" s="40" t="str">
        <f t="shared" ca="1" si="614"/>
        <v>no semana</v>
      </c>
      <c r="M1455" s="40" t="str">
        <f>IFERROR(VLOOKUP(E1455,'cheques a conf'!A:D,4,FALSE),"no clearing")</f>
        <v>no clearing</v>
      </c>
      <c r="N1455" s="40">
        <f t="shared" si="615"/>
        <v>36</v>
      </c>
      <c r="O1455" s="42">
        <f t="shared" si="616"/>
        <v>9</v>
      </c>
      <c r="P1455" s="42">
        <f t="shared" si="617"/>
        <v>2026</v>
      </c>
    </row>
    <row r="1456" spans="1:16" x14ac:dyDescent="0.2">
      <c r="A1456" s="21">
        <v>3000001179</v>
      </c>
      <c r="B1456" s="22">
        <v>46258</v>
      </c>
      <c r="C1456" s="20">
        <v>17915480</v>
      </c>
      <c r="D1456" s="21" t="s">
        <v>287</v>
      </c>
      <c r="E1456" s="21">
        <v>97124634</v>
      </c>
      <c r="F1456" s="20">
        <v>17915480</v>
      </c>
      <c r="G1456" s="22">
        <v>46267</v>
      </c>
      <c r="H1456" s="21" t="s">
        <v>61</v>
      </c>
      <c r="I1456" s="40" t="str">
        <f>IFERROR(IF(VLOOKUP(E1456,extracto!C:C,1,FALSE)=E1456,"pagado","no pagado"),"no pagado")</f>
        <v>pagado</v>
      </c>
      <c r="J1456" s="41" t="str">
        <f t="shared" si="612"/>
        <v>pagado</v>
      </c>
      <c r="K1456" s="40" t="str">
        <f t="shared" ca="1" si="613"/>
        <v>excluir</v>
      </c>
      <c r="L1456" s="40" t="str">
        <f t="shared" ca="1" si="614"/>
        <v>no semana</v>
      </c>
      <c r="M1456" s="40" t="str">
        <f>IFERROR(VLOOKUP(E1456,'cheques a conf'!A:D,4,FALSE),"no clearing")</f>
        <v>no clearing</v>
      </c>
      <c r="N1456" s="40">
        <f t="shared" si="615"/>
        <v>36</v>
      </c>
      <c r="O1456" s="42">
        <f t="shared" si="616"/>
        <v>9</v>
      </c>
      <c r="P1456" s="42">
        <f t="shared" si="617"/>
        <v>2026</v>
      </c>
    </row>
    <row r="1457" spans="1:16" x14ac:dyDescent="0.2">
      <c r="A1457" s="21">
        <v>3000001180</v>
      </c>
      <c r="B1457" s="22">
        <v>46258</v>
      </c>
      <c r="C1457" s="20">
        <v>15403763.08</v>
      </c>
      <c r="D1457" s="21" t="s">
        <v>300</v>
      </c>
      <c r="E1457" s="21">
        <v>97124635</v>
      </c>
      <c r="F1457" s="20">
        <v>15403763.08</v>
      </c>
      <c r="G1457" s="22">
        <v>46267</v>
      </c>
      <c r="H1457" s="21" t="s">
        <v>61</v>
      </c>
      <c r="I1457" s="40" t="str">
        <f>IFERROR(IF(VLOOKUP(E1457,extracto!C:C,1,FALSE)=E1457,"pagado","no pagado"),"no pagado")</f>
        <v>no pagado</v>
      </c>
      <c r="J1457" s="41" t="str">
        <f t="shared" ca="1" si="612"/>
        <v>en periodo de pago</v>
      </c>
      <c r="K1457" s="40" t="str">
        <f t="shared" ca="1" si="613"/>
        <v>a pagar</v>
      </c>
      <c r="L1457" s="40" t="str">
        <f t="shared" ca="1" si="614"/>
        <v>no semana</v>
      </c>
      <c r="M1457" s="40" t="str">
        <f>IFERROR(VLOOKUP(E1457,'cheques a conf'!A:D,4,FALSE),"no clearing")</f>
        <v>no clearing</v>
      </c>
      <c r="N1457" s="40">
        <f t="shared" si="615"/>
        <v>36</v>
      </c>
      <c r="O1457" s="42">
        <f t="shared" si="616"/>
        <v>9</v>
      </c>
      <c r="P1457" s="42">
        <f t="shared" si="617"/>
        <v>2026</v>
      </c>
    </row>
    <row r="1458" spans="1:16" x14ac:dyDescent="0.2">
      <c r="A1458" s="21">
        <v>3000001181</v>
      </c>
      <c r="B1458" s="22">
        <v>46258</v>
      </c>
      <c r="C1458" s="20">
        <v>4239167.92</v>
      </c>
      <c r="D1458" s="21" t="s">
        <v>386</v>
      </c>
      <c r="E1458" s="21">
        <v>97124636</v>
      </c>
      <c r="F1458" s="20">
        <v>4239167.92</v>
      </c>
      <c r="G1458" s="22">
        <v>46267</v>
      </c>
      <c r="H1458" s="21" t="s">
        <v>61</v>
      </c>
      <c r="I1458" s="40" t="str">
        <f>IFERROR(IF(VLOOKUP(E1458,extracto!C:C,1,FALSE)=E1458,"pagado","no pagado"),"no pagado")</f>
        <v>pagado</v>
      </c>
      <c r="J1458" s="41" t="str">
        <f t="shared" si="612"/>
        <v>pagado</v>
      </c>
      <c r="K1458" s="40" t="str">
        <f t="shared" ca="1" si="613"/>
        <v>excluir</v>
      </c>
      <c r="L1458" s="40" t="str">
        <f t="shared" ca="1" si="614"/>
        <v>no semana</v>
      </c>
      <c r="M1458" s="40" t="str">
        <f>IFERROR(VLOOKUP(E1458,'cheques a conf'!A:D,4,FALSE),"no clearing")</f>
        <v>no clearing</v>
      </c>
      <c r="N1458" s="40">
        <f t="shared" si="615"/>
        <v>36</v>
      </c>
      <c r="O1458" s="42">
        <f t="shared" si="616"/>
        <v>9</v>
      </c>
      <c r="P1458" s="42">
        <f t="shared" si="617"/>
        <v>2026</v>
      </c>
    </row>
    <row r="1459" spans="1:16" x14ac:dyDescent="0.2">
      <c r="A1459" s="21">
        <v>3000001182</v>
      </c>
      <c r="B1459" s="22">
        <v>46258</v>
      </c>
      <c r="C1459" s="20">
        <v>1896020.5</v>
      </c>
      <c r="D1459" s="21" t="s">
        <v>584</v>
      </c>
      <c r="E1459" s="21">
        <v>97124637</v>
      </c>
      <c r="F1459" s="20">
        <v>1896020.5</v>
      </c>
      <c r="G1459" s="22">
        <v>46267</v>
      </c>
      <c r="H1459" s="21" t="s">
        <v>61</v>
      </c>
      <c r="I1459" s="40" t="str">
        <f>IFERROR(IF(VLOOKUP(E1459,extracto!C:C,1,FALSE)=E1459,"pagado","no pagado"),"no pagado")</f>
        <v>pagado</v>
      </c>
      <c r="J1459" s="41" t="str">
        <f t="shared" si="612"/>
        <v>pagado</v>
      </c>
      <c r="K1459" s="40" t="str">
        <f t="shared" ca="1" si="613"/>
        <v>excluir</v>
      </c>
      <c r="L1459" s="40" t="str">
        <f t="shared" ca="1" si="614"/>
        <v>no semana</v>
      </c>
      <c r="M1459" s="40" t="str">
        <f>IFERROR(VLOOKUP(E1459,'cheques a conf'!A:D,4,FALSE),"no clearing")</f>
        <v>no clearing</v>
      </c>
      <c r="N1459" s="40">
        <f t="shared" si="615"/>
        <v>36</v>
      </c>
      <c r="O1459" s="42">
        <f t="shared" si="616"/>
        <v>9</v>
      </c>
      <c r="P1459" s="42">
        <f t="shared" si="617"/>
        <v>2026</v>
      </c>
    </row>
    <row r="1460" spans="1:16" x14ac:dyDescent="0.2">
      <c r="A1460" s="21">
        <v>3000001183</v>
      </c>
      <c r="B1460" s="22">
        <v>46258</v>
      </c>
      <c r="C1460" s="20">
        <v>5268011</v>
      </c>
      <c r="D1460" s="21" t="s">
        <v>398</v>
      </c>
      <c r="E1460" s="21">
        <v>97124638</v>
      </c>
      <c r="F1460" s="20">
        <v>5268011</v>
      </c>
      <c r="G1460" s="22">
        <v>46267</v>
      </c>
      <c r="H1460" s="21" t="s">
        <v>61</v>
      </c>
      <c r="I1460" s="40" t="str">
        <f>IFERROR(IF(VLOOKUP(E1460,extracto!C:C,1,FALSE)=E1460,"pagado","no pagado"),"no pagado")</f>
        <v>pagado</v>
      </c>
      <c r="J1460" s="41" t="str">
        <f t="shared" si="612"/>
        <v>pagado</v>
      </c>
      <c r="K1460" s="40" t="str">
        <f t="shared" ca="1" si="613"/>
        <v>excluir</v>
      </c>
      <c r="L1460" s="40" t="str">
        <f t="shared" ca="1" si="614"/>
        <v>no semana</v>
      </c>
      <c r="M1460" s="40" t="str">
        <f>IFERROR(VLOOKUP(E1460,'cheques a conf'!A:D,4,FALSE),"no clearing")</f>
        <v>no clearing</v>
      </c>
      <c r="N1460" s="40">
        <f t="shared" si="615"/>
        <v>36</v>
      </c>
      <c r="O1460" s="42">
        <f t="shared" si="616"/>
        <v>9</v>
      </c>
      <c r="P1460" s="42">
        <f t="shared" si="617"/>
        <v>2026</v>
      </c>
    </row>
    <row r="1461" spans="1:16" x14ac:dyDescent="0.2">
      <c r="A1461" s="21">
        <v>3000001193</v>
      </c>
      <c r="B1461" s="22">
        <v>46259</v>
      </c>
      <c r="C1461" s="20">
        <v>9622132.0299999993</v>
      </c>
      <c r="D1461" s="21" t="s">
        <v>601</v>
      </c>
      <c r="E1461" s="21">
        <v>97124639</v>
      </c>
      <c r="F1461" s="20">
        <v>9622132.0299999993</v>
      </c>
      <c r="G1461" s="22">
        <v>46268</v>
      </c>
      <c r="H1461" s="21" t="s">
        <v>61</v>
      </c>
      <c r="I1461" s="40" t="str">
        <f>IFERROR(IF(VLOOKUP(E1461,extracto!C:C,1,FALSE)=E1461,"pagado","no pagado"),"no pagado")</f>
        <v>pagado</v>
      </c>
      <c r="J1461" s="41" t="str">
        <f t="shared" si="612"/>
        <v>pagado</v>
      </c>
      <c r="K1461" s="40" t="str">
        <f t="shared" ca="1" si="613"/>
        <v>excluir</v>
      </c>
      <c r="L1461" s="40" t="str">
        <f t="shared" ca="1" si="614"/>
        <v>no semana</v>
      </c>
      <c r="M1461" s="40" t="str">
        <f>IFERROR(VLOOKUP(E1461,'cheques a conf'!A:D,4,FALSE),"no clearing")</f>
        <v>no clearing</v>
      </c>
      <c r="N1461" s="40">
        <f t="shared" si="615"/>
        <v>36</v>
      </c>
      <c r="O1461" s="42">
        <f t="shared" si="616"/>
        <v>9</v>
      </c>
      <c r="P1461" s="42">
        <f t="shared" si="617"/>
        <v>2026</v>
      </c>
    </row>
    <row r="1462" spans="1:16" x14ac:dyDescent="0.2">
      <c r="A1462" s="21">
        <v>3000001194</v>
      </c>
      <c r="B1462" s="22">
        <v>46259</v>
      </c>
      <c r="C1462" s="20">
        <v>7168098.4500000002</v>
      </c>
      <c r="D1462" s="21" t="s">
        <v>359</v>
      </c>
      <c r="E1462" s="21">
        <v>97124640</v>
      </c>
      <c r="F1462" s="20">
        <v>7168098.4500000002</v>
      </c>
      <c r="G1462" s="22">
        <v>46268</v>
      </c>
      <c r="H1462" s="21" t="s">
        <v>61</v>
      </c>
      <c r="I1462" s="40" t="str">
        <f>IFERROR(IF(VLOOKUP(E1462,extracto!C:C,1,FALSE)=E1462,"pagado","no pagado"),"no pagado")</f>
        <v>pagado</v>
      </c>
      <c r="J1462" s="41" t="str">
        <f t="shared" si="612"/>
        <v>pagado</v>
      </c>
      <c r="K1462" s="40" t="str">
        <f t="shared" ca="1" si="613"/>
        <v>excluir</v>
      </c>
      <c r="L1462" s="40" t="str">
        <f t="shared" ca="1" si="614"/>
        <v>no semana</v>
      </c>
      <c r="M1462" s="40" t="str">
        <f>IFERROR(VLOOKUP(E1462,'cheques a conf'!A:D,4,FALSE),"no clearing")</f>
        <v>no clearing</v>
      </c>
      <c r="N1462" s="40">
        <f t="shared" si="615"/>
        <v>36</v>
      </c>
      <c r="O1462" s="42">
        <f t="shared" si="616"/>
        <v>9</v>
      </c>
      <c r="P1462" s="42">
        <f t="shared" si="617"/>
        <v>2026</v>
      </c>
    </row>
    <row r="1463" spans="1:16" x14ac:dyDescent="0.2">
      <c r="A1463" s="21">
        <v>3000001195</v>
      </c>
      <c r="B1463" s="22">
        <v>46259</v>
      </c>
      <c r="C1463" s="20">
        <v>12445216.41</v>
      </c>
      <c r="D1463" s="21" t="s">
        <v>384</v>
      </c>
      <c r="E1463" s="21">
        <v>97124641</v>
      </c>
      <c r="F1463" s="20">
        <v>12445216.41</v>
      </c>
      <c r="G1463" s="22">
        <v>46268</v>
      </c>
      <c r="H1463" s="21" t="s">
        <v>61</v>
      </c>
      <c r="I1463" s="40" t="str">
        <f>IFERROR(IF(VLOOKUP(E1463,extracto!C:C,1,FALSE)=E1463,"pagado","no pagado"),"no pagado")</f>
        <v>pagado</v>
      </c>
      <c r="J1463" s="41" t="str">
        <f t="shared" si="612"/>
        <v>pagado</v>
      </c>
      <c r="K1463" s="40" t="str">
        <f t="shared" ca="1" si="613"/>
        <v>excluir</v>
      </c>
      <c r="L1463" s="40" t="str">
        <f t="shared" ca="1" si="614"/>
        <v>no semana</v>
      </c>
      <c r="M1463" s="40" t="str">
        <f>IFERROR(VLOOKUP(E1463,'cheques a conf'!A:D,4,FALSE),"no clearing")</f>
        <v>no clearing</v>
      </c>
      <c r="N1463" s="40">
        <f t="shared" si="615"/>
        <v>36</v>
      </c>
      <c r="O1463" s="42">
        <f t="shared" si="616"/>
        <v>9</v>
      </c>
      <c r="P1463" s="42">
        <f t="shared" si="617"/>
        <v>2026</v>
      </c>
    </row>
    <row r="1464" spans="1:16" x14ac:dyDescent="0.2">
      <c r="A1464" s="21">
        <v>3000001212</v>
      </c>
      <c r="B1464" s="22">
        <v>46265</v>
      </c>
      <c r="C1464" s="20">
        <v>44935981.170000002</v>
      </c>
      <c r="D1464" s="21" t="s">
        <v>338</v>
      </c>
      <c r="E1464" s="21">
        <v>97124642</v>
      </c>
      <c r="F1464" s="20">
        <v>44935981.170000002</v>
      </c>
      <c r="G1464" s="22">
        <v>46269</v>
      </c>
      <c r="H1464" s="21" t="s">
        <v>61</v>
      </c>
      <c r="I1464" s="40" t="str">
        <f>IFERROR(IF(VLOOKUP(E1464,extracto!C:C,1,FALSE)=E1464,"pagado","no pagado"),"no pagado")</f>
        <v>no pagado</v>
      </c>
      <c r="J1464" s="41" t="str">
        <f t="shared" ca="1" si="612"/>
        <v>en periodo de pago</v>
      </c>
      <c r="K1464" s="40" t="str">
        <f t="shared" ca="1" si="613"/>
        <v>a pagar</v>
      </c>
      <c r="L1464" s="40" t="str">
        <f t="shared" ca="1" si="614"/>
        <v>no semana</v>
      </c>
      <c r="M1464" s="40" t="str">
        <f>IFERROR(VLOOKUP(E1464,'cheques a conf'!A:D,4,FALSE),"no clearing")</f>
        <v>clearing</v>
      </c>
      <c r="N1464" s="40">
        <f t="shared" si="615"/>
        <v>36</v>
      </c>
      <c r="O1464" s="42">
        <f t="shared" si="616"/>
        <v>9</v>
      </c>
      <c r="P1464" s="42">
        <f t="shared" si="617"/>
        <v>2026</v>
      </c>
    </row>
    <row r="1465" spans="1:16" x14ac:dyDescent="0.2">
      <c r="A1465" s="21">
        <v>3000001213</v>
      </c>
      <c r="B1465" s="22">
        <v>46265</v>
      </c>
      <c r="C1465" s="20">
        <v>6617092.5</v>
      </c>
      <c r="D1465" s="21" t="s">
        <v>372</v>
      </c>
      <c r="E1465" s="21">
        <v>97124643</v>
      </c>
      <c r="F1465" s="20">
        <v>6617092.5</v>
      </c>
      <c r="G1465" s="22">
        <v>46269</v>
      </c>
      <c r="H1465" s="21" t="s">
        <v>61</v>
      </c>
      <c r="I1465" s="40" t="str">
        <f>IFERROR(IF(VLOOKUP(E1465,extracto!C:C,1,FALSE)=E1465,"pagado","no pagado"),"no pagado")</f>
        <v>no pagado</v>
      </c>
      <c r="J1465" s="41" t="str">
        <f t="shared" ca="1" si="612"/>
        <v>en periodo de pago</v>
      </c>
      <c r="K1465" s="40" t="str">
        <f t="shared" ca="1" si="613"/>
        <v>a pagar</v>
      </c>
      <c r="L1465" s="40" t="str">
        <f t="shared" ca="1" si="614"/>
        <v>no semana</v>
      </c>
      <c r="M1465" s="40" t="str">
        <f>IFERROR(VLOOKUP(E1465,'cheques a conf'!A:D,4,FALSE),"no clearing")</f>
        <v>clearing</v>
      </c>
      <c r="N1465" s="40">
        <f t="shared" si="615"/>
        <v>36</v>
      </c>
      <c r="O1465" s="42">
        <f t="shared" si="616"/>
        <v>9</v>
      </c>
      <c r="P1465" s="42">
        <f t="shared" si="617"/>
        <v>2026</v>
      </c>
    </row>
    <row r="1466" spans="1:16" x14ac:dyDescent="0.2">
      <c r="A1466" s="21">
        <v>3000001214</v>
      </c>
      <c r="B1466" s="22">
        <v>46265</v>
      </c>
      <c r="C1466" s="20">
        <v>9242374.6300000008</v>
      </c>
      <c r="D1466" s="21" t="s">
        <v>398</v>
      </c>
      <c r="E1466" s="21">
        <v>97124644</v>
      </c>
      <c r="F1466" s="20">
        <v>9242374.6300000008</v>
      </c>
      <c r="G1466" s="22">
        <v>46269</v>
      </c>
      <c r="H1466" s="21" t="s">
        <v>61</v>
      </c>
      <c r="I1466" s="40" t="str">
        <f>IFERROR(IF(VLOOKUP(E1466,extracto!C:C,1,FALSE)=E1466,"pagado","no pagado"),"no pagado")</f>
        <v>no pagado</v>
      </c>
      <c r="J1466" s="41" t="str">
        <f t="shared" ca="1" si="612"/>
        <v>en periodo de pago</v>
      </c>
      <c r="K1466" s="40" t="str">
        <f t="shared" ca="1" si="613"/>
        <v>a pagar</v>
      </c>
      <c r="L1466" s="40" t="str">
        <f t="shared" ca="1" si="614"/>
        <v>no semana</v>
      </c>
      <c r="M1466" s="40" t="str">
        <f>IFERROR(VLOOKUP(E1466,'cheques a conf'!A:D,4,FALSE),"no clearing")</f>
        <v>clearing</v>
      </c>
      <c r="N1466" s="40">
        <f t="shared" si="615"/>
        <v>36</v>
      </c>
      <c r="O1466" s="42">
        <f t="shared" si="616"/>
        <v>9</v>
      </c>
      <c r="P1466" s="42">
        <f t="shared" si="617"/>
        <v>2026</v>
      </c>
    </row>
    <row r="1467" spans="1:16" x14ac:dyDescent="0.2">
      <c r="A1467" s="21">
        <v>3000001215</v>
      </c>
      <c r="B1467" s="22">
        <v>46265</v>
      </c>
      <c r="C1467" s="20">
        <v>6838598.46</v>
      </c>
      <c r="D1467" s="21" t="s">
        <v>393</v>
      </c>
      <c r="E1467" s="21">
        <v>97124645</v>
      </c>
      <c r="F1467" s="20">
        <v>6838598.46</v>
      </c>
      <c r="G1467" s="22">
        <v>46269</v>
      </c>
      <c r="H1467" s="21" t="s">
        <v>61</v>
      </c>
      <c r="I1467" s="40" t="str">
        <f>IFERROR(IF(VLOOKUP(E1467,extracto!C:C,1,FALSE)=E1467,"pagado","no pagado"),"no pagado")</f>
        <v>no pagado</v>
      </c>
      <c r="J1467" s="41" t="str">
        <f t="shared" ca="1" si="612"/>
        <v>en periodo de pago</v>
      </c>
      <c r="K1467" s="40" t="str">
        <f t="shared" ca="1" si="613"/>
        <v>a pagar</v>
      </c>
      <c r="L1467" s="40" t="str">
        <f t="shared" ca="1" si="614"/>
        <v>no semana</v>
      </c>
      <c r="M1467" s="40" t="str">
        <f>IFERROR(VLOOKUP(E1467,'cheques a conf'!A:D,4,FALSE),"no clearing")</f>
        <v>clearing</v>
      </c>
      <c r="N1467" s="40">
        <f t="shared" si="615"/>
        <v>36</v>
      </c>
      <c r="O1467" s="42">
        <f t="shared" si="616"/>
        <v>9</v>
      </c>
      <c r="P1467" s="42">
        <f t="shared" si="617"/>
        <v>2026</v>
      </c>
    </row>
    <row r="1468" spans="1:16" x14ac:dyDescent="0.2">
      <c r="A1468" s="21">
        <v>3000001216</v>
      </c>
      <c r="B1468" s="22">
        <v>46265</v>
      </c>
      <c r="C1468" s="20">
        <v>11569820.039999999</v>
      </c>
      <c r="D1468" s="21" t="s">
        <v>441</v>
      </c>
      <c r="E1468" s="21">
        <v>97124646</v>
      </c>
      <c r="F1468" s="20">
        <v>11569820.039999999</v>
      </c>
      <c r="G1468" s="22">
        <v>46269</v>
      </c>
      <c r="H1468" s="21" t="s">
        <v>61</v>
      </c>
      <c r="I1468" s="40" t="str">
        <f>IFERROR(IF(VLOOKUP(E1468,extracto!C:C,1,FALSE)=E1468,"pagado","no pagado"),"no pagado")</f>
        <v>no pagado</v>
      </c>
      <c r="J1468" s="41" t="str">
        <f t="shared" ca="1" si="612"/>
        <v>en periodo de pago</v>
      </c>
      <c r="K1468" s="40" t="str">
        <f t="shared" ca="1" si="613"/>
        <v>a pagar</v>
      </c>
      <c r="L1468" s="40" t="str">
        <f t="shared" ca="1" si="614"/>
        <v>no semana</v>
      </c>
      <c r="M1468" s="40" t="str">
        <f>IFERROR(VLOOKUP(E1468,'cheques a conf'!A:D,4,FALSE),"no clearing")</f>
        <v>clearing</v>
      </c>
      <c r="N1468" s="40">
        <f t="shared" si="615"/>
        <v>36</v>
      </c>
      <c r="O1468" s="42">
        <f t="shared" si="616"/>
        <v>9</v>
      </c>
      <c r="P1468" s="42">
        <f t="shared" si="617"/>
        <v>2026</v>
      </c>
    </row>
    <row r="1469" spans="1:16" x14ac:dyDescent="0.2">
      <c r="A1469" s="21">
        <v>3000001217</v>
      </c>
      <c r="B1469" s="22">
        <v>46265</v>
      </c>
      <c r="C1469" s="20">
        <v>12163459.77</v>
      </c>
      <c r="D1469" s="21" t="s">
        <v>400</v>
      </c>
      <c r="E1469" s="21">
        <v>97124647</v>
      </c>
      <c r="F1469" s="20">
        <v>12163459.77</v>
      </c>
      <c r="G1469" s="22">
        <v>46269</v>
      </c>
      <c r="H1469" s="21" t="s">
        <v>61</v>
      </c>
      <c r="I1469" s="40" t="str">
        <f>IFERROR(IF(VLOOKUP(E1469,extracto!C:C,1,FALSE)=E1469,"pagado","no pagado"),"no pagado")</f>
        <v>no pagado</v>
      </c>
      <c r="J1469" s="41" t="str">
        <f t="shared" ca="1" si="612"/>
        <v>en periodo de pago</v>
      </c>
      <c r="K1469" s="40" t="str">
        <f t="shared" ca="1" si="613"/>
        <v>a pagar</v>
      </c>
      <c r="L1469" s="40" t="str">
        <f t="shared" ca="1" si="614"/>
        <v>no semana</v>
      </c>
      <c r="M1469" s="40" t="str">
        <f>IFERROR(VLOOKUP(E1469,'cheques a conf'!A:D,4,FALSE),"no clearing")</f>
        <v>clearing</v>
      </c>
      <c r="N1469" s="40">
        <f t="shared" si="615"/>
        <v>36</v>
      </c>
      <c r="O1469" s="42">
        <f t="shared" si="616"/>
        <v>9</v>
      </c>
      <c r="P1469" s="42">
        <f t="shared" si="617"/>
        <v>2026</v>
      </c>
    </row>
    <row r="1470" spans="1:16" x14ac:dyDescent="0.2">
      <c r="A1470" s="21">
        <v>3000001228</v>
      </c>
      <c r="B1470" s="22">
        <v>46267</v>
      </c>
      <c r="C1470" s="20">
        <v>6682500.8799999999</v>
      </c>
      <c r="D1470" s="21" t="s">
        <v>538</v>
      </c>
      <c r="E1470" s="21">
        <v>12452663</v>
      </c>
      <c r="F1470" s="20">
        <v>6682500.8799999999</v>
      </c>
      <c r="G1470" s="22">
        <v>46269</v>
      </c>
      <c r="H1470" s="21" t="s">
        <v>61</v>
      </c>
      <c r="I1470" s="40" t="str">
        <f>IFERROR(IF(VLOOKUP(E1470,extracto!C:C,1,FALSE)=E1470,"pagado","no pagado"),"no pagado")</f>
        <v>pagado</v>
      </c>
      <c r="J1470" s="41" t="str">
        <f t="shared" si="612"/>
        <v>pagado</v>
      </c>
      <c r="K1470" s="40" t="str">
        <f t="shared" ca="1" si="613"/>
        <v>excluir</v>
      </c>
      <c r="L1470" s="40" t="str">
        <f t="shared" ca="1" si="614"/>
        <v>no semana</v>
      </c>
      <c r="M1470" s="40" t="str">
        <f>IFERROR(VLOOKUP(E1470,'cheques a conf'!A:D,4,FALSE),"no clearing")</f>
        <v>no clearing</v>
      </c>
      <c r="N1470" s="40">
        <f t="shared" si="615"/>
        <v>36</v>
      </c>
      <c r="O1470" s="42">
        <f t="shared" si="616"/>
        <v>9</v>
      </c>
      <c r="P1470" s="42">
        <f t="shared" si="617"/>
        <v>2026</v>
      </c>
    </row>
    <row r="1471" spans="1:16" x14ac:dyDescent="0.2">
      <c r="A1471" s="21">
        <v>3000001229</v>
      </c>
      <c r="B1471" s="22">
        <v>46267</v>
      </c>
      <c r="C1471" s="20">
        <v>14441329.720000001</v>
      </c>
      <c r="D1471" s="21" t="s">
        <v>546</v>
      </c>
      <c r="E1471" s="21">
        <v>97124648</v>
      </c>
      <c r="F1471" s="20">
        <v>14441329.720000001</v>
      </c>
      <c r="G1471" s="22">
        <v>46273</v>
      </c>
      <c r="H1471" s="21" t="s">
        <v>61</v>
      </c>
      <c r="I1471" s="40" t="str">
        <f>IFERROR(IF(VLOOKUP(E1471,extracto!C:C,1,FALSE)=E1471,"pagado","no pagado"),"no pagado")</f>
        <v>no pagado</v>
      </c>
      <c r="J1471" s="41" t="str">
        <f t="shared" ca="1" si="612"/>
        <v>en periodo de pago</v>
      </c>
      <c r="K1471" s="40" t="str">
        <f t="shared" ca="1" si="613"/>
        <v>proximo a vencer</v>
      </c>
      <c r="L1471" s="40" t="str">
        <f t="shared" ca="1" si="614"/>
        <v>para la semana</v>
      </c>
      <c r="M1471" s="40" t="str">
        <f>IFERROR(VLOOKUP(E1471,'cheques a conf'!A:D,4,FALSE),"no clearing")</f>
        <v>no clearing</v>
      </c>
      <c r="N1471" s="40">
        <f t="shared" si="615"/>
        <v>37</v>
      </c>
      <c r="O1471" s="42">
        <f t="shared" si="616"/>
        <v>9</v>
      </c>
      <c r="P1471" s="42">
        <f t="shared" si="617"/>
        <v>2026</v>
      </c>
    </row>
    <row r="1472" spans="1:16" x14ac:dyDescent="0.2">
      <c r="A1472" s="21">
        <v>3000001230</v>
      </c>
      <c r="B1472" s="22">
        <v>46267</v>
      </c>
      <c r="C1472" s="20">
        <v>9377491.0399999991</v>
      </c>
      <c r="D1472" s="21" t="s">
        <v>411</v>
      </c>
      <c r="E1472" s="21">
        <v>97124649</v>
      </c>
      <c r="F1472" s="20">
        <v>9377491.0399999991</v>
      </c>
      <c r="G1472" s="22">
        <v>46273</v>
      </c>
      <c r="H1472" s="21" t="s">
        <v>61</v>
      </c>
      <c r="I1472" s="40" t="str">
        <f>IFERROR(IF(VLOOKUP(E1472,extracto!C:C,1,FALSE)=E1472,"pagado","no pagado"),"no pagado")</f>
        <v>no pagado</v>
      </c>
      <c r="J1472" s="41" t="str">
        <f t="shared" ca="1" si="612"/>
        <v>en periodo de pago</v>
      </c>
      <c r="K1472" s="40" t="str">
        <f t="shared" ca="1" si="613"/>
        <v>proximo a vencer</v>
      </c>
      <c r="L1472" s="40" t="str">
        <f t="shared" ca="1" si="614"/>
        <v>para la semana</v>
      </c>
      <c r="M1472" s="40" t="str">
        <f>IFERROR(VLOOKUP(E1472,'cheques a conf'!A:D,4,FALSE),"no clearing")</f>
        <v>no clearing</v>
      </c>
      <c r="N1472" s="40">
        <f t="shared" si="615"/>
        <v>37</v>
      </c>
      <c r="O1472" s="42">
        <f t="shared" si="616"/>
        <v>9</v>
      </c>
      <c r="P1472" s="42">
        <f t="shared" si="617"/>
        <v>2026</v>
      </c>
    </row>
    <row r="1473" spans="1:16" x14ac:dyDescent="0.2">
      <c r="A1473" s="21">
        <v>3000001231</v>
      </c>
      <c r="B1473" s="22">
        <v>46267</v>
      </c>
      <c r="C1473" s="20">
        <v>8437567.5600000005</v>
      </c>
      <c r="D1473" s="21" t="s">
        <v>354</v>
      </c>
      <c r="E1473" s="21">
        <v>97124650</v>
      </c>
      <c r="F1473" s="20">
        <v>8437567.5600000005</v>
      </c>
      <c r="G1473" s="22">
        <v>46273</v>
      </c>
      <c r="H1473" s="21" t="s">
        <v>61</v>
      </c>
      <c r="I1473" s="40" t="str">
        <f>IFERROR(IF(VLOOKUP(E1473,extracto!C:C,1,FALSE)=E1473,"pagado","no pagado"),"no pagado")</f>
        <v>no pagado</v>
      </c>
      <c r="J1473" s="41" t="str">
        <f t="shared" ca="1" si="612"/>
        <v>en periodo de pago</v>
      </c>
      <c r="K1473" s="40" t="str">
        <f t="shared" ca="1" si="613"/>
        <v>proximo a vencer</v>
      </c>
      <c r="L1473" s="40" t="str">
        <f t="shared" ca="1" si="614"/>
        <v>para la semana</v>
      </c>
      <c r="M1473" s="40" t="str">
        <f>IFERROR(VLOOKUP(E1473,'cheques a conf'!A:D,4,FALSE),"no clearing")</f>
        <v>no clearing</v>
      </c>
      <c r="N1473" s="40">
        <f t="shared" si="615"/>
        <v>37</v>
      </c>
      <c r="O1473" s="42">
        <f t="shared" si="616"/>
        <v>9</v>
      </c>
      <c r="P1473" s="42">
        <f t="shared" si="617"/>
        <v>2026</v>
      </c>
    </row>
    <row r="1474" spans="1:16" x14ac:dyDescent="0.2">
      <c r="A1474" s="21">
        <v>3000001232</v>
      </c>
      <c r="B1474" s="22">
        <v>46267</v>
      </c>
      <c r="C1474" s="20">
        <v>22752607.420000002</v>
      </c>
      <c r="D1474" s="21" t="s">
        <v>303</v>
      </c>
      <c r="E1474" s="21">
        <v>97124651</v>
      </c>
      <c r="F1474" s="20">
        <v>22752607.420000002</v>
      </c>
      <c r="G1474" s="22">
        <v>46273</v>
      </c>
      <c r="H1474" s="21" t="s">
        <v>61</v>
      </c>
      <c r="I1474" s="40" t="str">
        <f>IFERROR(IF(VLOOKUP(E1474,extracto!C:C,1,FALSE)=E1474,"pagado","no pagado"),"no pagado")</f>
        <v>no pagado</v>
      </c>
      <c r="J1474" s="41" t="str">
        <f t="shared" ca="1" si="612"/>
        <v>en periodo de pago</v>
      </c>
      <c r="K1474" s="40" t="str">
        <f t="shared" ca="1" si="613"/>
        <v>proximo a vencer</v>
      </c>
      <c r="L1474" s="40" t="str">
        <f t="shared" ca="1" si="614"/>
        <v>para la semana</v>
      </c>
      <c r="M1474" s="40" t="str">
        <f>IFERROR(VLOOKUP(E1474,'cheques a conf'!A:D,4,FALSE),"no clearing")</f>
        <v>no clearing</v>
      </c>
      <c r="N1474" s="40">
        <f t="shared" si="615"/>
        <v>37</v>
      </c>
      <c r="O1474" s="42">
        <f t="shared" si="616"/>
        <v>9</v>
      </c>
      <c r="P1474" s="42">
        <f t="shared" si="617"/>
        <v>2026</v>
      </c>
    </row>
    <row r="1475" spans="1:16" x14ac:dyDescent="0.2">
      <c r="A1475" s="21">
        <v>3000001233</v>
      </c>
      <c r="B1475" s="22">
        <v>46267</v>
      </c>
      <c r="C1475" s="20">
        <v>8576316.9199999999</v>
      </c>
      <c r="D1475" s="21" t="s">
        <v>595</v>
      </c>
      <c r="E1475" s="21">
        <v>97124652</v>
      </c>
      <c r="F1475" s="20">
        <v>8576316.9199999999</v>
      </c>
      <c r="G1475" s="22">
        <v>46273</v>
      </c>
      <c r="H1475" s="21" t="s">
        <v>61</v>
      </c>
      <c r="I1475" s="40" t="str">
        <f>IFERROR(IF(VLOOKUP(E1475,extracto!C:C,1,FALSE)=E1475,"pagado","no pagado"),"no pagado")</f>
        <v>no pagado</v>
      </c>
      <c r="J1475" s="41" t="str">
        <f t="shared" ca="1" si="612"/>
        <v>en periodo de pago</v>
      </c>
      <c r="K1475" s="40" t="str">
        <f t="shared" ca="1" si="613"/>
        <v>proximo a vencer</v>
      </c>
      <c r="L1475" s="40" t="str">
        <f t="shared" ca="1" si="614"/>
        <v>para la semana</v>
      </c>
      <c r="M1475" s="40" t="str">
        <f>IFERROR(VLOOKUP(E1475,'cheques a conf'!A:D,4,FALSE),"no clearing")</f>
        <v>no clearing</v>
      </c>
      <c r="N1475" s="40">
        <f t="shared" si="615"/>
        <v>37</v>
      </c>
      <c r="O1475" s="42">
        <f t="shared" si="616"/>
        <v>9</v>
      </c>
      <c r="P1475" s="42">
        <f t="shared" si="617"/>
        <v>2026</v>
      </c>
    </row>
    <row r="1476" spans="1:16" x14ac:dyDescent="0.2">
      <c r="A1476" s="21">
        <v>3000001234</v>
      </c>
      <c r="B1476" s="22">
        <v>46267</v>
      </c>
      <c r="C1476" s="20">
        <v>9846655.1999999993</v>
      </c>
      <c r="D1476" s="21" t="s">
        <v>585</v>
      </c>
      <c r="E1476" s="21">
        <v>97124653</v>
      </c>
      <c r="F1476" s="20">
        <v>9846655.1999999993</v>
      </c>
      <c r="G1476" s="22">
        <v>46273</v>
      </c>
      <c r="H1476" s="21" t="s">
        <v>61</v>
      </c>
      <c r="I1476" s="40" t="str">
        <f>IFERROR(IF(VLOOKUP(E1476,extracto!C:C,1,FALSE)=E1476,"pagado","no pagado"),"no pagado")</f>
        <v>no pagado</v>
      </c>
      <c r="J1476" s="41" t="str">
        <f t="shared" ca="1" si="612"/>
        <v>en periodo de pago</v>
      </c>
      <c r="K1476" s="40" t="str">
        <f t="shared" ca="1" si="613"/>
        <v>proximo a vencer</v>
      </c>
      <c r="L1476" s="40" t="str">
        <f t="shared" ca="1" si="614"/>
        <v>para la semana</v>
      </c>
      <c r="M1476" s="40" t="str">
        <f>IFERROR(VLOOKUP(E1476,'cheques a conf'!A:D,4,FALSE),"no clearing")</f>
        <v>no clearing</v>
      </c>
      <c r="N1476" s="40">
        <f t="shared" si="615"/>
        <v>37</v>
      </c>
      <c r="O1476" s="42">
        <f t="shared" si="616"/>
        <v>9</v>
      </c>
      <c r="P1476" s="42">
        <f t="shared" si="617"/>
        <v>2026</v>
      </c>
    </row>
    <row r="1477" spans="1:16" x14ac:dyDescent="0.2">
      <c r="A1477" s="21">
        <v>3000001235</v>
      </c>
      <c r="B1477" s="22">
        <v>46267</v>
      </c>
      <c r="C1477" s="20">
        <v>5962450.4199999999</v>
      </c>
      <c r="D1477" s="21" t="s">
        <v>298</v>
      </c>
      <c r="E1477" s="21">
        <v>97124654</v>
      </c>
      <c r="F1477" s="20">
        <v>5962450.4199999999</v>
      </c>
      <c r="G1477" s="22">
        <v>46273</v>
      </c>
      <c r="H1477" s="21" t="s">
        <v>61</v>
      </c>
      <c r="I1477" s="40" t="str">
        <f>IFERROR(IF(VLOOKUP(E1477,extracto!C:C,1,FALSE)=E1477,"pagado","no pagado"),"no pagado")</f>
        <v>no pagado</v>
      </c>
      <c r="J1477" s="41" t="str">
        <f t="shared" ca="1" si="612"/>
        <v>en periodo de pago</v>
      </c>
      <c r="K1477" s="40" t="str">
        <f t="shared" ca="1" si="613"/>
        <v>proximo a vencer</v>
      </c>
      <c r="L1477" s="40" t="str">
        <f t="shared" ca="1" si="614"/>
        <v>para la semana</v>
      </c>
      <c r="M1477" s="40" t="str">
        <f>IFERROR(VLOOKUP(E1477,'cheques a conf'!A:D,4,FALSE),"no clearing")</f>
        <v>no clearing</v>
      </c>
      <c r="N1477" s="40">
        <f t="shared" si="615"/>
        <v>37</v>
      </c>
      <c r="O1477" s="42">
        <f t="shared" si="616"/>
        <v>9</v>
      </c>
      <c r="P1477" s="42">
        <f t="shared" si="617"/>
        <v>2026</v>
      </c>
    </row>
    <row r="1478" spans="1:16" x14ac:dyDescent="0.2">
      <c r="A1478" s="21">
        <v>3000001236</v>
      </c>
      <c r="B1478" s="22">
        <v>46267</v>
      </c>
      <c r="C1478" s="20">
        <v>7573756.0599999996</v>
      </c>
      <c r="D1478" s="21" t="s">
        <v>384</v>
      </c>
      <c r="E1478" s="21">
        <v>97124655</v>
      </c>
      <c r="F1478" s="20">
        <v>7573756.0599999996</v>
      </c>
      <c r="G1478" s="22">
        <v>46273</v>
      </c>
      <c r="H1478" s="21" t="s">
        <v>61</v>
      </c>
      <c r="I1478" s="40" t="str">
        <f>IFERROR(IF(VLOOKUP(E1478,extracto!C:C,1,FALSE)=E1478,"pagado","no pagado"),"no pagado")</f>
        <v>no pagado</v>
      </c>
      <c r="J1478" s="41" t="str">
        <f t="shared" ca="1" si="612"/>
        <v>en periodo de pago</v>
      </c>
      <c r="K1478" s="40" t="str">
        <f t="shared" ca="1" si="613"/>
        <v>proximo a vencer</v>
      </c>
      <c r="L1478" s="40" t="str">
        <f t="shared" ca="1" si="614"/>
        <v>para la semana</v>
      </c>
      <c r="M1478" s="40" t="str">
        <f>IFERROR(VLOOKUP(E1478,'cheques a conf'!A:D,4,FALSE),"no clearing")</f>
        <v>no clearing</v>
      </c>
      <c r="N1478" s="40">
        <f t="shared" si="615"/>
        <v>37</v>
      </c>
      <c r="O1478" s="42">
        <f t="shared" si="616"/>
        <v>9</v>
      </c>
      <c r="P1478" s="42">
        <f t="shared" si="617"/>
        <v>2026</v>
      </c>
    </row>
    <row r="1479" spans="1:16" x14ac:dyDescent="0.2">
      <c r="A1479" s="21">
        <v>3000001237</v>
      </c>
      <c r="B1479" s="22">
        <v>46267</v>
      </c>
      <c r="C1479" s="20">
        <v>44769025.859999999</v>
      </c>
      <c r="D1479" s="21" t="s">
        <v>394</v>
      </c>
      <c r="E1479" s="21">
        <v>97124656</v>
      </c>
      <c r="F1479" s="20">
        <v>44769025.859999999</v>
      </c>
      <c r="G1479" s="22">
        <v>46273</v>
      </c>
      <c r="H1479" s="21" t="s">
        <v>61</v>
      </c>
      <c r="I1479" s="40" t="str">
        <f>IFERROR(IF(VLOOKUP(E1479,extracto!C:C,1,FALSE)=E1479,"pagado","no pagado"),"no pagado")</f>
        <v>no pagado</v>
      </c>
      <c r="J1479" s="41" t="str">
        <f t="shared" ca="1" si="612"/>
        <v>en periodo de pago</v>
      </c>
      <c r="K1479" s="40" t="str">
        <f t="shared" ca="1" si="613"/>
        <v>proximo a vencer</v>
      </c>
      <c r="L1479" s="40" t="str">
        <f t="shared" ca="1" si="614"/>
        <v>para la semana</v>
      </c>
      <c r="M1479" s="40" t="str">
        <f>IFERROR(VLOOKUP(E1479,'cheques a conf'!A:D,4,FALSE),"no clearing")</f>
        <v>no clearing</v>
      </c>
      <c r="N1479" s="40">
        <f t="shared" si="615"/>
        <v>37</v>
      </c>
      <c r="O1479" s="42">
        <f t="shared" si="616"/>
        <v>9</v>
      </c>
      <c r="P1479" s="42">
        <f t="shared" si="617"/>
        <v>2026</v>
      </c>
    </row>
    <row r="1480" spans="1:16" x14ac:dyDescent="0.25">
      <c r="A1480" s="21"/>
      <c r="B1480" s="22"/>
      <c r="C1480" s="20"/>
      <c r="D1480" s="21"/>
      <c r="E1480" s="21"/>
      <c r="F1480" s="20"/>
      <c r="G1480" s="22"/>
      <c r="I1480" s="40" t="str">
        <f>IFERROR(IF(VLOOKUP(E1480,extracto!C:C,1,FALSE)=E1480,"pagado","no pagado"),"no pagado")</f>
        <v>no pagado</v>
      </c>
      <c r="J1480" s="41" t="str">
        <f t="shared" ca="1" si="612"/>
        <v>fuera de fecha</v>
      </c>
      <c r="K1480" s="40" t="str">
        <f t="shared" ca="1" si="613"/>
        <v>excluir</v>
      </c>
      <c r="L1480" s="40" t="str">
        <f t="shared" ca="1" si="614"/>
        <v>no semana</v>
      </c>
      <c r="M1480" s="40" t="str">
        <f>IFERROR(VLOOKUP(E1480,'cheques a conf'!A:D,4,FALSE),"no clearing")</f>
        <v>no clearing</v>
      </c>
      <c r="N1480" s="40">
        <f t="shared" si="615"/>
        <v>1</v>
      </c>
      <c r="O1480" s="42">
        <f t="shared" si="616"/>
        <v>1</v>
      </c>
      <c r="P1480" s="42">
        <f t="shared" si="617"/>
        <v>1900</v>
      </c>
    </row>
    <row r="1481" spans="1:16" x14ac:dyDescent="0.25">
      <c r="A1481" s="21"/>
      <c r="B1481" s="22"/>
      <c r="C1481" s="20"/>
      <c r="D1481" s="21"/>
      <c r="E1481" s="21"/>
      <c r="F1481" s="20"/>
      <c r="G1481" s="22"/>
      <c r="I1481" s="40" t="str">
        <f>IFERROR(IF(VLOOKUP(E1481,extracto!C:C,1,FALSE)=E1481,"pagado","no pagado"),"no pagado")</f>
        <v>no pagado</v>
      </c>
      <c r="J1481" s="41" t="str">
        <f t="shared" ca="1" si="612"/>
        <v>fuera de fecha</v>
      </c>
      <c r="K1481" s="40" t="str">
        <f t="shared" ca="1" si="613"/>
        <v>excluir</v>
      </c>
      <c r="L1481" s="40" t="str">
        <f t="shared" ca="1" si="614"/>
        <v>no semana</v>
      </c>
      <c r="M1481" s="40" t="str">
        <f>IFERROR(VLOOKUP(E1481,'cheques a conf'!A:D,4,FALSE),"no clearing")</f>
        <v>no clearing</v>
      </c>
      <c r="N1481" s="40">
        <f t="shared" si="615"/>
        <v>1</v>
      </c>
      <c r="O1481" s="42">
        <f t="shared" si="616"/>
        <v>1</v>
      </c>
      <c r="P1481" s="42">
        <f t="shared" si="617"/>
        <v>1900</v>
      </c>
    </row>
    <row r="1482" spans="1:16" x14ac:dyDescent="0.25">
      <c r="A1482" s="21"/>
      <c r="B1482" s="22"/>
      <c r="C1482" s="20"/>
      <c r="D1482" s="21"/>
      <c r="E1482" s="21"/>
      <c r="F1482" s="20"/>
      <c r="G1482" s="22"/>
      <c r="I1482" s="40" t="str">
        <f>IFERROR(IF(VLOOKUP(E1482,extracto!C:C,1,FALSE)=E1482,"pagado","no pagado"),"no pagado")</f>
        <v>no pagado</v>
      </c>
      <c r="J1482" s="41" t="str">
        <f t="shared" ca="1" si="612"/>
        <v>fuera de fecha</v>
      </c>
      <c r="K1482" s="40" t="str">
        <f t="shared" ca="1" si="613"/>
        <v>excluir</v>
      </c>
      <c r="L1482" s="40" t="str">
        <f t="shared" ca="1" si="614"/>
        <v>no semana</v>
      </c>
      <c r="M1482" s="40" t="str">
        <f>IFERROR(VLOOKUP(E1482,'cheques a conf'!A:D,4,FALSE),"no clearing")</f>
        <v>no clearing</v>
      </c>
      <c r="N1482" s="40">
        <f t="shared" si="615"/>
        <v>1</v>
      </c>
      <c r="O1482" s="42">
        <f t="shared" si="616"/>
        <v>1</v>
      </c>
      <c r="P1482" s="42">
        <f t="shared" si="617"/>
        <v>1900</v>
      </c>
    </row>
    <row r="1483" spans="1:16" x14ac:dyDescent="0.25">
      <c r="A1483" s="21"/>
      <c r="B1483" s="22"/>
      <c r="C1483" s="20"/>
      <c r="D1483" s="21"/>
      <c r="E1483" s="21"/>
      <c r="F1483" s="20"/>
      <c r="G1483" s="22"/>
      <c r="I1483" s="40" t="str">
        <f>IFERROR(IF(VLOOKUP(E1483,extracto!C:C,1,FALSE)=E1483,"pagado","no pagado"),"no pagado")</f>
        <v>no pagado</v>
      </c>
      <c r="J1483" s="41" t="str">
        <f t="shared" ca="1" si="612"/>
        <v>fuera de fecha</v>
      </c>
      <c r="K1483" s="40" t="str">
        <f t="shared" ca="1" si="613"/>
        <v>excluir</v>
      </c>
      <c r="L1483" s="40" t="str">
        <f t="shared" ca="1" si="614"/>
        <v>no semana</v>
      </c>
      <c r="M1483" s="40" t="str">
        <f>IFERROR(VLOOKUP(E1483,'cheques a conf'!A:D,4,FALSE),"no clearing")</f>
        <v>no clearing</v>
      </c>
      <c r="N1483" s="40">
        <f t="shared" si="615"/>
        <v>1</v>
      </c>
      <c r="O1483" s="42">
        <f t="shared" si="616"/>
        <v>1</v>
      </c>
      <c r="P1483" s="42">
        <f t="shared" si="617"/>
        <v>1900</v>
      </c>
    </row>
    <row r="1484" spans="1:16" x14ac:dyDescent="0.25">
      <c r="A1484" s="21"/>
      <c r="B1484" s="22"/>
      <c r="C1484" s="20"/>
      <c r="D1484" s="21"/>
      <c r="E1484" s="21"/>
      <c r="F1484" s="20"/>
      <c r="G1484" s="22"/>
      <c r="I1484" s="40" t="str">
        <f>IFERROR(IF(VLOOKUP(E1484,extracto!C:C,1,FALSE)=E1484,"pagado","no pagado"),"no pagado")</f>
        <v>no pagado</v>
      </c>
      <c r="J1484" s="41" t="str">
        <f t="shared" ca="1" si="612"/>
        <v>fuera de fecha</v>
      </c>
      <c r="K1484" s="40" t="str">
        <f t="shared" ca="1" si="613"/>
        <v>excluir</v>
      </c>
      <c r="L1484" s="40" t="str">
        <f t="shared" ca="1" si="614"/>
        <v>no semana</v>
      </c>
      <c r="M1484" s="40" t="str">
        <f>IFERROR(VLOOKUP(E1484,'cheques a conf'!A:D,4,FALSE),"no clearing")</f>
        <v>no clearing</v>
      </c>
      <c r="N1484" s="40">
        <f t="shared" si="615"/>
        <v>1</v>
      </c>
      <c r="O1484" s="42">
        <f t="shared" si="616"/>
        <v>1</v>
      </c>
      <c r="P1484" s="42">
        <f t="shared" si="617"/>
        <v>1900</v>
      </c>
    </row>
    <row r="1485" spans="1:16" x14ac:dyDescent="0.25">
      <c r="A1485" s="21"/>
      <c r="B1485" s="22"/>
      <c r="C1485" s="20"/>
      <c r="D1485" s="21"/>
      <c r="E1485" s="21"/>
      <c r="F1485" s="20"/>
      <c r="G1485" s="22"/>
      <c r="I1485" s="40" t="str">
        <f>IFERROR(IF(VLOOKUP(E1485,extracto!C:C,1,FALSE)=E1485,"pagado","no pagado"),"no pagado")</f>
        <v>no pagado</v>
      </c>
      <c r="J1485" s="41" t="str">
        <f t="shared" ref="J1485:J1538" ca="1" si="618">IF(I1485="pagado","pagado",IF(G1485&lt;$V$1-30,"fuera de fecha","en periodo de pago"))</f>
        <v>fuera de fecha</v>
      </c>
      <c r="K1485" s="40" t="str">
        <f t="shared" ref="K1485:K1538" ca="1" si="619">+IF(B1485&gt;$V$1,"excluir",IF(J1485="en periodo de pago",IF($V$1&gt;G1485,"a pagar","proximo a vencer"),"excluir"))</f>
        <v>excluir</v>
      </c>
      <c r="L1485" s="40" t="str">
        <f t="shared" ref="L1485:L1538" ca="1" si="620">+IF(K1485="proximo a vencer",IF($V$1+5&gt;G1485,"para la semana","no semana"),"no semana")</f>
        <v>no semana</v>
      </c>
      <c r="M1485" s="40" t="str">
        <f>IFERROR(VLOOKUP(E1485,'cheques a conf'!A:D,4,FALSE),"no clearing")</f>
        <v>no clearing</v>
      </c>
      <c r="N1485" s="40">
        <f t="shared" ref="N1485:N1538" si="621">+WEEKNUM(G1485,2)</f>
        <v>1</v>
      </c>
      <c r="O1485" s="42">
        <f t="shared" ref="O1485:O1538" si="622">+MONTH(G1485)</f>
        <v>1</v>
      </c>
      <c r="P1485" s="42">
        <f t="shared" ref="P1485:P1538" si="623">+YEAR(G1485)</f>
        <v>1900</v>
      </c>
    </row>
    <row r="1486" spans="1:16" x14ac:dyDescent="0.25">
      <c r="A1486" s="21"/>
      <c r="B1486" s="22"/>
      <c r="C1486" s="20"/>
      <c r="D1486" s="21"/>
      <c r="E1486" s="21"/>
      <c r="F1486" s="20"/>
      <c r="G1486" s="22"/>
      <c r="I1486" s="40" t="str">
        <f>IFERROR(IF(VLOOKUP(E1486,extracto!C:C,1,FALSE)=E1486,"pagado","no pagado"),"no pagado")</f>
        <v>no pagado</v>
      </c>
      <c r="J1486" s="41" t="str">
        <f t="shared" ca="1" si="618"/>
        <v>fuera de fecha</v>
      </c>
      <c r="K1486" s="40" t="str">
        <f t="shared" ca="1" si="619"/>
        <v>excluir</v>
      </c>
      <c r="L1486" s="40" t="str">
        <f t="shared" ca="1" si="620"/>
        <v>no semana</v>
      </c>
      <c r="M1486" s="40" t="str">
        <f>IFERROR(VLOOKUP(E1486,'cheques a conf'!A:D,4,FALSE),"no clearing")</f>
        <v>no clearing</v>
      </c>
      <c r="N1486" s="40">
        <f t="shared" si="621"/>
        <v>1</v>
      </c>
      <c r="O1486" s="42">
        <f t="shared" si="622"/>
        <v>1</v>
      </c>
      <c r="P1486" s="42">
        <f t="shared" si="623"/>
        <v>1900</v>
      </c>
    </row>
    <row r="1487" spans="1:16" x14ac:dyDescent="0.25">
      <c r="A1487" s="21"/>
      <c r="B1487" s="22"/>
      <c r="C1487" s="20"/>
      <c r="D1487" s="21"/>
      <c r="E1487" s="21"/>
      <c r="F1487" s="20"/>
      <c r="G1487" s="22"/>
      <c r="I1487" s="40" t="str">
        <f>IFERROR(IF(VLOOKUP(E1487,extracto!C:C,1,FALSE)=E1487,"pagado","no pagado"),"no pagado")</f>
        <v>no pagado</v>
      </c>
      <c r="J1487" s="41" t="str">
        <f t="shared" ca="1" si="618"/>
        <v>fuera de fecha</v>
      </c>
      <c r="K1487" s="40" t="str">
        <f t="shared" ca="1" si="619"/>
        <v>excluir</v>
      </c>
      <c r="L1487" s="40" t="str">
        <f t="shared" ca="1" si="620"/>
        <v>no semana</v>
      </c>
      <c r="M1487" s="40" t="str">
        <f>IFERROR(VLOOKUP(E1487,'cheques a conf'!A:D,4,FALSE),"no clearing")</f>
        <v>no clearing</v>
      </c>
      <c r="N1487" s="40">
        <f t="shared" si="621"/>
        <v>1</v>
      </c>
      <c r="O1487" s="42">
        <f t="shared" si="622"/>
        <v>1</v>
      </c>
      <c r="P1487" s="42">
        <f t="shared" si="623"/>
        <v>1900</v>
      </c>
    </row>
    <row r="1488" spans="1:16" x14ac:dyDescent="0.25">
      <c r="A1488" s="21"/>
      <c r="B1488" s="22"/>
      <c r="C1488" s="20"/>
      <c r="D1488" s="21"/>
      <c r="E1488" s="21"/>
      <c r="F1488" s="20"/>
      <c r="G1488" s="22"/>
      <c r="I1488" s="40" t="str">
        <f>IFERROR(IF(VLOOKUP(E1488,extracto!C:C,1,FALSE)=E1488,"pagado","no pagado"),"no pagado")</f>
        <v>no pagado</v>
      </c>
      <c r="J1488" s="41" t="str">
        <f t="shared" ca="1" si="618"/>
        <v>fuera de fecha</v>
      </c>
      <c r="K1488" s="40" t="str">
        <f t="shared" ca="1" si="619"/>
        <v>excluir</v>
      </c>
      <c r="L1488" s="40" t="str">
        <f t="shared" ca="1" si="620"/>
        <v>no semana</v>
      </c>
      <c r="M1488" s="40" t="str">
        <f>IFERROR(VLOOKUP(E1488,'cheques a conf'!A:D,4,FALSE),"no clearing")</f>
        <v>no clearing</v>
      </c>
      <c r="N1488" s="40">
        <f t="shared" si="621"/>
        <v>1</v>
      </c>
      <c r="O1488" s="42">
        <f t="shared" si="622"/>
        <v>1</v>
      </c>
      <c r="P1488" s="42">
        <f t="shared" si="623"/>
        <v>1900</v>
      </c>
    </row>
    <row r="1489" spans="1:16" x14ac:dyDescent="0.25">
      <c r="A1489" s="21"/>
      <c r="B1489" s="22"/>
      <c r="C1489" s="20"/>
      <c r="D1489" s="21"/>
      <c r="E1489" s="21"/>
      <c r="F1489" s="20"/>
      <c r="G1489" s="22"/>
      <c r="I1489" s="40" t="str">
        <f>IFERROR(IF(VLOOKUP(E1489,extracto!C:C,1,FALSE)=E1489,"pagado","no pagado"),"no pagado")</f>
        <v>no pagado</v>
      </c>
      <c r="J1489" s="41" t="str">
        <f t="shared" ca="1" si="618"/>
        <v>fuera de fecha</v>
      </c>
      <c r="K1489" s="40" t="str">
        <f t="shared" ca="1" si="619"/>
        <v>excluir</v>
      </c>
      <c r="L1489" s="40" t="str">
        <f t="shared" ca="1" si="620"/>
        <v>no semana</v>
      </c>
      <c r="M1489" s="40" t="str">
        <f>IFERROR(VLOOKUP(E1489,'cheques a conf'!A:D,4,FALSE),"no clearing")</f>
        <v>no clearing</v>
      </c>
      <c r="N1489" s="40">
        <f t="shared" si="621"/>
        <v>1</v>
      </c>
      <c r="O1489" s="42">
        <f t="shared" si="622"/>
        <v>1</v>
      </c>
      <c r="P1489" s="42">
        <f t="shared" si="623"/>
        <v>1900</v>
      </c>
    </row>
    <row r="1490" spans="1:16" x14ac:dyDescent="0.25">
      <c r="A1490" s="21"/>
      <c r="B1490" s="22"/>
      <c r="C1490" s="20"/>
      <c r="D1490" s="21"/>
      <c r="E1490" s="21"/>
      <c r="F1490" s="20"/>
      <c r="G1490" s="22"/>
      <c r="I1490" s="40" t="str">
        <f>IFERROR(IF(VLOOKUP(E1490,extracto!C:C,1,FALSE)=E1490,"pagado","no pagado"),"no pagado")</f>
        <v>no pagado</v>
      </c>
      <c r="J1490" s="41" t="str">
        <f t="shared" ca="1" si="618"/>
        <v>fuera de fecha</v>
      </c>
      <c r="K1490" s="40" t="str">
        <f t="shared" ca="1" si="619"/>
        <v>excluir</v>
      </c>
      <c r="L1490" s="40" t="str">
        <f t="shared" ca="1" si="620"/>
        <v>no semana</v>
      </c>
      <c r="M1490" s="40" t="str">
        <f>IFERROR(VLOOKUP(E1490,'cheques a conf'!A:D,4,FALSE),"no clearing")</f>
        <v>no clearing</v>
      </c>
      <c r="N1490" s="40">
        <f t="shared" si="621"/>
        <v>1</v>
      </c>
      <c r="O1490" s="42">
        <f t="shared" si="622"/>
        <v>1</v>
      </c>
      <c r="P1490" s="42">
        <f t="shared" si="623"/>
        <v>1900</v>
      </c>
    </row>
    <row r="1491" spans="1:16" x14ac:dyDescent="0.25">
      <c r="A1491" s="21"/>
      <c r="B1491" s="22"/>
      <c r="C1491" s="20"/>
      <c r="D1491" s="21"/>
      <c r="E1491" s="21"/>
      <c r="F1491" s="20"/>
      <c r="G1491" s="22"/>
      <c r="I1491" s="40" t="str">
        <f>IFERROR(IF(VLOOKUP(E1491,extracto!C:C,1,FALSE)=E1491,"pagado","no pagado"),"no pagado")</f>
        <v>no pagado</v>
      </c>
      <c r="J1491" s="41" t="str">
        <f t="shared" ca="1" si="618"/>
        <v>fuera de fecha</v>
      </c>
      <c r="K1491" s="40" t="str">
        <f t="shared" ca="1" si="619"/>
        <v>excluir</v>
      </c>
      <c r="L1491" s="40" t="str">
        <f t="shared" ca="1" si="620"/>
        <v>no semana</v>
      </c>
      <c r="M1491" s="40" t="str">
        <f>IFERROR(VLOOKUP(E1491,'cheques a conf'!A:D,4,FALSE),"no clearing")</f>
        <v>no clearing</v>
      </c>
      <c r="N1491" s="40">
        <f t="shared" si="621"/>
        <v>1</v>
      </c>
      <c r="O1491" s="42">
        <f t="shared" si="622"/>
        <v>1</v>
      </c>
      <c r="P1491" s="42">
        <f t="shared" si="623"/>
        <v>1900</v>
      </c>
    </row>
    <row r="1492" spans="1:16" x14ac:dyDescent="0.25">
      <c r="A1492" s="21"/>
      <c r="B1492" s="22"/>
      <c r="C1492" s="20"/>
      <c r="D1492" s="21"/>
      <c r="E1492" s="21"/>
      <c r="F1492" s="20"/>
      <c r="G1492" s="22"/>
      <c r="I1492" s="40" t="str">
        <f>IFERROR(IF(VLOOKUP(E1492,extracto!C:C,1,FALSE)=E1492,"pagado","no pagado"),"no pagado")</f>
        <v>no pagado</v>
      </c>
      <c r="J1492" s="41" t="str">
        <f t="shared" ca="1" si="618"/>
        <v>fuera de fecha</v>
      </c>
      <c r="K1492" s="40" t="str">
        <f t="shared" ca="1" si="619"/>
        <v>excluir</v>
      </c>
      <c r="L1492" s="40" t="str">
        <f t="shared" ca="1" si="620"/>
        <v>no semana</v>
      </c>
      <c r="M1492" s="40" t="str">
        <f>IFERROR(VLOOKUP(E1492,'cheques a conf'!A:D,4,FALSE),"no clearing")</f>
        <v>no clearing</v>
      </c>
      <c r="N1492" s="40">
        <f t="shared" si="621"/>
        <v>1</v>
      </c>
      <c r="O1492" s="42">
        <f t="shared" si="622"/>
        <v>1</v>
      </c>
      <c r="P1492" s="42">
        <f t="shared" si="623"/>
        <v>1900</v>
      </c>
    </row>
    <row r="1493" spans="1:16" x14ac:dyDescent="0.25">
      <c r="A1493" s="21"/>
      <c r="B1493" s="22"/>
      <c r="C1493" s="20"/>
      <c r="D1493" s="21"/>
      <c r="E1493" s="21"/>
      <c r="F1493" s="20"/>
      <c r="G1493" s="22"/>
      <c r="I1493" s="40" t="str">
        <f>IFERROR(IF(VLOOKUP(E1493,extracto!C:C,1,FALSE)=E1493,"pagado","no pagado"),"no pagado")</f>
        <v>no pagado</v>
      </c>
      <c r="J1493" s="41" t="str">
        <f t="shared" ca="1" si="618"/>
        <v>fuera de fecha</v>
      </c>
      <c r="K1493" s="40" t="str">
        <f t="shared" ca="1" si="619"/>
        <v>excluir</v>
      </c>
      <c r="L1493" s="40" t="str">
        <f t="shared" ca="1" si="620"/>
        <v>no semana</v>
      </c>
      <c r="M1493" s="40" t="str">
        <f>IFERROR(VLOOKUP(E1493,'cheques a conf'!A:D,4,FALSE),"no clearing")</f>
        <v>no clearing</v>
      </c>
      <c r="N1493" s="40">
        <f t="shared" si="621"/>
        <v>1</v>
      </c>
      <c r="O1493" s="42">
        <f t="shared" si="622"/>
        <v>1</v>
      </c>
      <c r="P1493" s="42">
        <f t="shared" si="623"/>
        <v>1900</v>
      </c>
    </row>
    <row r="1494" spans="1:16" x14ac:dyDescent="0.25">
      <c r="A1494" s="21"/>
      <c r="B1494" s="22"/>
      <c r="C1494" s="20"/>
      <c r="D1494" s="21"/>
      <c r="E1494" s="21"/>
      <c r="F1494" s="20"/>
      <c r="G1494" s="22"/>
      <c r="I1494" s="40" t="str">
        <f>IFERROR(IF(VLOOKUP(E1494,extracto!C:C,1,FALSE)=E1494,"pagado","no pagado"),"no pagado")</f>
        <v>no pagado</v>
      </c>
      <c r="J1494" s="41" t="str">
        <f t="shared" ca="1" si="618"/>
        <v>fuera de fecha</v>
      </c>
      <c r="K1494" s="40" t="str">
        <f t="shared" ca="1" si="619"/>
        <v>excluir</v>
      </c>
      <c r="L1494" s="40" t="str">
        <f t="shared" ca="1" si="620"/>
        <v>no semana</v>
      </c>
      <c r="M1494" s="40" t="str">
        <f>IFERROR(VLOOKUP(E1494,'cheques a conf'!A:D,4,FALSE),"no clearing")</f>
        <v>no clearing</v>
      </c>
      <c r="N1494" s="40">
        <f t="shared" si="621"/>
        <v>1</v>
      </c>
      <c r="O1494" s="42">
        <f t="shared" si="622"/>
        <v>1</v>
      </c>
      <c r="P1494" s="42">
        <f t="shared" si="623"/>
        <v>1900</v>
      </c>
    </row>
    <row r="1495" spans="1:16" x14ac:dyDescent="0.25">
      <c r="A1495" s="21"/>
      <c r="B1495" s="22"/>
      <c r="C1495" s="20"/>
      <c r="D1495" s="21"/>
      <c r="E1495" s="21"/>
      <c r="F1495" s="20"/>
      <c r="G1495" s="22"/>
      <c r="I1495" s="40" t="str">
        <f>IFERROR(IF(VLOOKUP(E1495,extracto!C:C,1,FALSE)=E1495,"pagado","no pagado"),"no pagado")</f>
        <v>no pagado</v>
      </c>
      <c r="J1495" s="41" t="str">
        <f t="shared" ca="1" si="618"/>
        <v>fuera de fecha</v>
      </c>
      <c r="K1495" s="40" t="str">
        <f t="shared" ca="1" si="619"/>
        <v>excluir</v>
      </c>
      <c r="L1495" s="40" t="str">
        <f t="shared" ca="1" si="620"/>
        <v>no semana</v>
      </c>
      <c r="M1495" s="40" t="str">
        <f>IFERROR(VLOOKUP(E1495,'cheques a conf'!A:D,4,FALSE),"no clearing")</f>
        <v>no clearing</v>
      </c>
      <c r="N1495" s="40">
        <f t="shared" si="621"/>
        <v>1</v>
      </c>
      <c r="O1495" s="42">
        <f t="shared" si="622"/>
        <v>1</v>
      </c>
      <c r="P1495" s="42">
        <f t="shared" si="623"/>
        <v>1900</v>
      </c>
    </row>
    <row r="1496" spans="1:16" x14ac:dyDescent="0.25">
      <c r="A1496" s="21"/>
      <c r="B1496" s="22"/>
      <c r="C1496" s="20"/>
      <c r="D1496" s="21"/>
      <c r="E1496" s="21"/>
      <c r="F1496" s="20"/>
      <c r="G1496" s="22"/>
      <c r="I1496" s="40" t="str">
        <f>IFERROR(IF(VLOOKUP(E1496,extracto!C:C,1,FALSE)=E1496,"pagado","no pagado"),"no pagado")</f>
        <v>no pagado</v>
      </c>
      <c r="J1496" s="41" t="str">
        <f t="shared" ca="1" si="618"/>
        <v>fuera de fecha</v>
      </c>
      <c r="K1496" s="40" t="str">
        <f t="shared" ca="1" si="619"/>
        <v>excluir</v>
      </c>
      <c r="L1496" s="40" t="str">
        <f t="shared" ca="1" si="620"/>
        <v>no semana</v>
      </c>
      <c r="M1496" s="40" t="str">
        <f>IFERROR(VLOOKUP(E1496,'cheques a conf'!A:D,4,FALSE),"no clearing")</f>
        <v>no clearing</v>
      </c>
      <c r="N1496" s="40">
        <f t="shared" si="621"/>
        <v>1</v>
      </c>
      <c r="O1496" s="42">
        <f t="shared" si="622"/>
        <v>1</v>
      </c>
      <c r="P1496" s="42">
        <f t="shared" si="623"/>
        <v>1900</v>
      </c>
    </row>
    <row r="1497" spans="1:16" x14ac:dyDescent="0.25">
      <c r="A1497" s="21"/>
      <c r="B1497" s="22"/>
      <c r="C1497" s="20"/>
      <c r="D1497" s="21"/>
      <c r="E1497" s="21"/>
      <c r="F1497" s="20"/>
      <c r="G1497" s="22"/>
      <c r="I1497" s="40" t="str">
        <f>IFERROR(IF(VLOOKUP(E1497,extracto!C:C,1,FALSE)=E1497,"pagado","no pagado"),"no pagado")</f>
        <v>no pagado</v>
      </c>
      <c r="J1497" s="41" t="str">
        <f t="shared" ca="1" si="618"/>
        <v>fuera de fecha</v>
      </c>
      <c r="K1497" s="40" t="str">
        <f t="shared" ca="1" si="619"/>
        <v>excluir</v>
      </c>
      <c r="L1497" s="40" t="str">
        <f t="shared" ca="1" si="620"/>
        <v>no semana</v>
      </c>
      <c r="M1497" s="40" t="str">
        <f>IFERROR(VLOOKUP(E1497,'cheques a conf'!A:D,4,FALSE),"no clearing")</f>
        <v>no clearing</v>
      </c>
      <c r="N1497" s="40">
        <f t="shared" si="621"/>
        <v>1</v>
      </c>
      <c r="O1497" s="42">
        <f t="shared" si="622"/>
        <v>1</v>
      </c>
      <c r="P1497" s="42">
        <f t="shared" si="623"/>
        <v>1900</v>
      </c>
    </row>
    <row r="1498" spans="1:16" x14ac:dyDescent="0.25">
      <c r="A1498" s="21"/>
      <c r="B1498" s="22"/>
      <c r="C1498" s="20"/>
      <c r="D1498" s="21"/>
      <c r="E1498" s="21"/>
      <c r="F1498" s="20"/>
      <c r="G1498" s="22"/>
      <c r="I1498" s="40" t="str">
        <f>IFERROR(IF(VLOOKUP(E1498,extracto!C:C,1,FALSE)=E1498,"pagado","no pagado"),"no pagado")</f>
        <v>no pagado</v>
      </c>
      <c r="J1498" s="41" t="str">
        <f t="shared" ca="1" si="618"/>
        <v>fuera de fecha</v>
      </c>
      <c r="K1498" s="40" t="str">
        <f t="shared" ca="1" si="619"/>
        <v>excluir</v>
      </c>
      <c r="L1498" s="40" t="str">
        <f t="shared" ca="1" si="620"/>
        <v>no semana</v>
      </c>
      <c r="M1498" s="40" t="str">
        <f>IFERROR(VLOOKUP(E1498,'cheques a conf'!A:D,4,FALSE),"no clearing")</f>
        <v>no clearing</v>
      </c>
      <c r="N1498" s="40">
        <f t="shared" si="621"/>
        <v>1</v>
      </c>
      <c r="O1498" s="42">
        <f t="shared" si="622"/>
        <v>1</v>
      </c>
      <c r="P1498" s="42">
        <f t="shared" si="623"/>
        <v>1900</v>
      </c>
    </row>
    <row r="1499" spans="1:16" x14ac:dyDescent="0.25">
      <c r="A1499" s="21"/>
      <c r="B1499" s="22"/>
      <c r="C1499" s="20"/>
      <c r="D1499" s="21"/>
      <c r="E1499" s="21"/>
      <c r="F1499" s="20"/>
      <c r="G1499" s="22"/>
      <c r="I1499" s="40" t="str">
        <f>IFERROR(IF(VLOOKUP(E1499,extracto!C:C,1,FALSE)=E1499,"pagado","no pagado"),"no pagado")</f>
        <v>no pagado</v>
      </c>
      <c r="J1499" s="41" t="str">
        <f t="shared" ca="1" si="618"/>
        <v>fuera de fecha</v>
      </c>
      <c r="K1499" s="40" t="str">
        <f t="shared" ca="1" si="619"/>
        <v>excluir</v>
      </c>
      <c r="L1499" s="40" t="str">
        <f t="shared" ca="1" si="620"/>
        <v>no semana</v>
      </c>
      <c r="M1499" s="40" t="str">
        <f>IFERROR(VLOOKUP(E1499,'cheques a conf'!A:D,4,FALSE),"no clearing")</f>
        <v>no clearing</v>
      </c>
      <c r="N1499" s="40">
        <f t="shared" si="621"/>
        <v>1</v>
      </c>
      <c r="O1499" s="42">
        <f t="shared" si="622"/>
        <v>1</v>
      </c>
      <c r="P1499" s="42">
        <f t="shared" si="623"/>
        <v>1900</v>
      </c>
    </row>
    <row r="1500" spans="1:16" x14ac:dyDescent="0.25">
      <c r="A1500" s="21"/>
      <c r="B1500" s="22"/>
      <c r="C1500" s="20"/>
      <c r="D1500" s="21"/>
      <c r="E1500" s="21"/>
      <c r="F1500" s="20"/>
      <c r="G1500" s="22"/>
      <c r="I1500" s="40" t="str">
        <f>IFERROR(IF(VLOOKUP(E1500,extracto!C:C,1,FALSE)=E1500,"pagado","no pagado"),"no pagado")</f>
        <v>no pagado</v>
      </c>
      <c r="J1500" s="41" t="str">
        <f t="shared" ca="1" si="618"/>
        <v>fuera de fecha</v>
      </c>
      <c r="K1500" s="40" t="str">
        <f t="shared" ca="1" si="619"/>
        <v>excluir</v>
      </c>
      <c r="L1500" s="40" t="str">
        <f t="shared" ca="1" si="620"/>
        <v>no semana</v>
      </c>
      <c r="M1500" s="40" t="str">
        <f>IFERROR(VLOOKUP(E1500,'cheques a conf'!A:D,4,FALSE),"no clearing")</f>
        <v>no clearing</v>
      </c>
      <c r="N1500" s="40">
        <f t="shared" si="621"/>
        <v>1</v>
      </c>
      <c r="O1500" s="42">
        <f t="shared" si="622"/>
        <v>1</v>
      </c>
      <c r="P1500" s="42">
        <f t="shared" si="623"/>
        <v>1900</v>
      </c>
    </row>
    <row r="1501" spans="1:16" x14ac:dyDescent="0.25">
      <c r="A1501" s="21"/>
      <c r="B1501" s="22"/>
      <c r="C1501" s="20"/>
      <c r="D1501" s="21"/>
      <c r="E1501" s="21"/>
      <c r="F1501" s="20"/>
      <c r="G1501" s="22"/>
      <c r="I1501" s="40" t="str">
        <f>IFERROR(IF(VLOOKUP(E1501,extracto!C:C,1,FALSE)=E1501,"pagado","no pagado"),"no pagado")</f>
        <v>no pagado</v>
      </c>
      <c r="J1501" s="41" t="str">
        <f t="shared" ca="1" si="618"/>
        <v>fuera de fecha</v>
      </c>
      <c r="K1501" s="40" t="str">
        <f t="shared" ca="1" si="619"/>
        <v>excluir</v>
      </c>
      <c r="L1501" s="40" t="str">
        <f t="shared" ca="1" si="620"/>
        <v>no semana</v>
      </c>
      <c r="M1501" s="40" t="str">
        <f>IFERROR(VLOOKUP(E1501,'cheques a conf'!A:D,4,FALSE),"no clearing")</f>
        <v>no clearing</v>
      </c>
      <c r="N1501" s="40">
        <f t="shared" si="621"/>
        <v>1</v>
      </c>
      <c r="O1501" s="42">
        <f t="shared" si="622"/>
        <v>1</v>
      </c>
      <c r="P1501" s="42">
        <f t="shared" si="623"/>
        <v>1900</v>
      </c>
    </row>
    <row r="1502" spans="1:16" x14ac:dyDescent="0.25">
      <c r="A1502" s="21"/>
      <c r="B1502" s="22"/>
      <c r="C1502" s="20"/>
      <c r="D1502" s="21"/>
      <c r="E1502" s="21"/>
      <c r="F1502" s="20"/>
      <c r="G1502" s="22"/>
      <c r="I1502" s="40" t="str">
        <f>IFERROR(IF(VLOOKUP(E1502,extracto!C:C,1,FALSE)=E1502,"pagado","no pagado"),"no pagado")</f>
        <v>no pagado</v>
      </c>
      <c r="J1502" s="41" t="str">
        <f t="shared" ca="1" si="618"/>
        <v>fuera de fecha</v>
      </c>
      <c r="K1502" s="40" t="str">
        <f t="shared" ca="1" si="619"/>
        <v>excluir</v>
      </c>
      <c r="L1502" s="40" t="str">
        <f t="shared" ca="1" si="620"/>
        <v>no semana</v>
      </c>
      <c r="M1502" s="40" t="str">
        <f>IFERROR(VLOOKUP(E1502,'cheques a conf'!A:D,4,FALSE),"no clearing")</f>
        <v>no clearing</v>
      </c>
      <c r="N1502" s="40">
        <f t="shared" si="621"/>
        <v>1</v>
      </c>
      <c r="O1502" s="42">
        <f t="shared" si="622"/>
        <v>1</v>
      </c>
      <c r="P1502" s="42">
        <f t="shared" si="623"/>
        <v>1900</v>
      </c>
    </row>
    <row r="1503" spans="1:16" x14ac:dyDescent="0.25">
      <c r="A1503" s="21"/>
      <c r="B1503" s="22"/>
      <c r="C1503" s="20"/>
      <c r="D1503" s="21"/>
      <c r="E1503" s="21"/>
      <c r="F1503" s="20"/>
      <c r="G1503" s="22"/>
      <c r="I1503" s="40" t="str">
        <f>IFERROR(IF(VLOOKUP(E1503,extracto!C:C,1,FALSE)=E1503,"pagado","no pagado"),"no pagado")</f>
        <v>no pagado</v>
      </c>
      <c r="J1503" s="41" t="str">
        <f t="shared" ca="1" si="618"/>
        <v>fuera de fecha</v>
      </c>
      <c r="K1503" s="40" t="str">
        <f t="shared" ca="1" si="619"/>
        <v>excluir</v>
      </c>
      <c r="L1503" s="40" t="str">
        <f t="shared" ca="1" si="620"/>
        <v>no semana</v>
      </c>
      <c r="M1503" s="40" t="str">
        <f>IFERROR(VLOOKUP(E1503,'cheques a conf'!A:D,4,FALSE),"no clearing")</f>
        <v>no clearing</v>
      </c>
      <c r="N1503" s="40">
        <f t="shared" si="621"/>
        <v>1</v>
      </c>
      <c r="O1503" s="42">
        <f t="shared" si="622"/>
        <v>1</v>
      </c>
      <c r="P1503" s="42">
        <f t="shared" si="623"/>
        <v>1900</v>
      </c>
    </row>
    <row r="1504" spans="1:16" x14ac:dyDescent="0.25">
      <c r="A1504" s="21"/>
      <c r="B1504" s="22"/>
      <c r="C1504" s="20"/>
      <c r="D1504" s="21"/>
      <c r="E1504" s="21"/>
      <c r="F1504" s="20"/>
      <c r="G1504" s="22"/>
      <c r="I1504" s="40" t="str">
        <f>IFERROR(IF(VLOOKUP(E1504,extracto!C:C,1,FALSE)=E1504,"pagado","no pagado"),"no pagado")</f>
        <v>no pagado</v>
      </c>
      <c r="J1504" s="41" t="str">
        <f t="shared" ca="1" si="618"/>
        <v>fuera de fecha</v>
      </c>
      <c r="K1504" s="40" t="str">
        <f t="shared" ca="1" si="619"/>
        <v>excluir</v>
      </c>
      <c r="L1504" s="40" t="str">
        <f t="shared" ca="1" si="620"/>
        <v>no semana</v>
      </c>
      <c r="M1504" s="40" t="str">
        <f>IFERROR(VLOOKUP(E1504,'cheques a conf'!A:D,4,FALSE),"no clearing")</f>
        <v>no clearing</v>
      </c>
      <c r="N1504" s="40">
        <f t="shared" si="621"/>
        <v>1</v>
      </c>
      <c r="O1504" s="42">
        <f t="shared" si="622"/>
        <v>1</v>
      </c>
      <c r="P1504" s="42">
        <f t="shared" si="623"/>
        <v>1900</v>
      </c>
    </row>
    <row r="1505" spans="1:16" x14ac:dyDescent="0.25">
      <c r="A1505" s="21"/>
      <c r="B1505" s="22"/>
      <c r="C1505" s="20"/>
      <c r="D1505" s="21"/>
      <c r="E1505" s="21"/>
      <c r="F1505" s="20"/>
      <c r="G1505" s="22"/>
      <c r="I1505" s="40" t="str">
        <f>IFERROR(IF(VLOOKUP(E1505,extracto!C:C,1,FALSE)=E1505,"pagado","no pagado"),"no pagado")</f>
        <v>no pagado</v>
      </c>
      <c r="J1505" s="41" t="str">
        <f t="shared" ca="1" si="618"/>
        <v>fuera de fecha</v>
      </c>
      <c r="K1505" s="40" t="str">
        <f t="shared" ca="1" si="619"/>
        <v>excluir</v>
      </c>
      <c r="L1505" s="40" t="str">
        <f t="shared" ca="1" si="620"/>
        <v>no semana</v>
      </c>
      <c r="M1505" s="40" t="str">
        <f>IFERROR(VLOOKUP(E1505,'cheques a conf'!A:D,4,FALSE),"no clearing")</f>
        <v>no clearing</v>
      </c>
      <c r="N1505" s="40">
        <f t="shared" si="621"/>
        <v>1</v>
      </c>
      <c r="O1505" s="42">
        <f t="shared" si="622"/>
        <v>1</v>
      </c>
      <c r="P1505" s="42">
        <f t="shared" si="623"/>
        <v>1900</v>
      </c>
    </row>
    <row r="1506" spans="1:16" x14ac:dyDescent="0.25">
      <c r="A1506" s="21"/>
      <c r="B1506" s="22"/>
      <c r="C1506" s="20"/>
      <c r="D1506" s="21"/>
      <c r="E1506" s="21"/>
      <c r="F1506" s="20"/>
      <c r="G1506" s="22"/>
      <c r="I1506" s="40" t="str">
        <f>IFERROR(IF(VLOOKUP(E1506,extracto!C:C,1,FALSE)=E1506,"pagado","no pagado"),"no pagado")</f>
        <v>no pagado</v>
      </c>
      <c r="J1506" s="41" t="str">
        <f t="shared" ca="1" si="618"/>
        <v>fuera de fecha</v>
      </c>
      <c r="K1506" s="40" t="str">
        <f t="shared" ca="1" si="619"/>
        <v>excluir</v>
      </c>
      <c r="L1506" s="40" t="str">
        <f t="shared" ca="1" si="620"/>
        <v>no semana</v>
      </c>
      <c r="M1506" s="40" t="str">
        <f>IFERROR(VLOOKUP(E1506,'cheques a conf'!A:D,4,FALSE),"no clearing")</f>
        <v>no clearing</v>
      </c>
      <c r="N1506" s="40">
        <f t="shared" si="621"/>
        <v>1</v>
      </c>
      <c r="O1506" s="42">
        <f t="shared" si="622"/>
        <v>1</v>
      </c>
      <c r="P1506" s="42">
        <f t="shared" si="623"/>
        <v>1900</v>
      </c>
    </row>
    <row r="1507" spans="1:16" x14ac:dyDescent="0.25">
      <c r="A1507" s="21"/>
      <c r="B1507" s="22"/>
      <c r="C1507" s="20"/>
      <c r="D1507" s="21"/>
      <c r="E1507" s="21"/>
      <c r="F1507" s="20"/>
      <c r="G1507" s="22"/>
      <c r="I1507" s="40" t="str">
        <f>IFERROR(IF(VLOOKUP(E1507,extracto!C:C,1,FALSE)=E1507,"pagado","no pagado"),"no pagado")</f>
        <v>no pagado</v>
      </c>
      <c r="J1507" s="41" t="str">
        <f t="shared" ca="1" si="618"/>
        <v>fuera de fecha</v>
      </c>
      <c r="K1507" s="40" t="str">
        <f t="shared" ca="1" si="619"/>
        <v>excluir</v>
      </c>
      <c r="L1507" s="40" t="str">
        <f t="shared" ca="1" si="620"/>
        <v>no semana</v>
      </c>
      <c r="M1507" s="40" t="str">
        <f>IFERROR(VLOOKUP(E1507,'cheques a conf'!A:D,4,FALSE),"no clearing")</f>
        <v>no clearing</v>
      </c>
      <c r="N1507" s="40">
        <f t="shared" si="621"/>
        <v>1</v>
      </c>
      <c r="O1507" s="42">
        <f t="shared" si="622"/>
        <v>1</v>
      </c>
      <c r="P1507" s="42">
        <f t="shared" si="623"/>
        <v>1900</v>
      </c>
    </row>
    <row r="1508" spans="1:16" x14ac:dyDescent="0.25">
      <c r="A1508" s="21"/>
      <c r="B1508" s="22"/>
      <c r="C1508" s="20"/>
      <c r="D1508" s="21"/>
      <c r="E1508" s="21"/>
      <c r="F1508" s="20"/>
      <c r="G1508" s="22"/>
      <c r="I1508" s="40" t="str">
        <f>IFERROR(IF(VLOOKUP(E1508,extracto!C:C,1,FALSE)=E1508,"pagado","no pagado"),"no pagado")</f>
        <v>no pagado</v>
      </c>
      <c r="J1508" s="41" t="str">
        <f t="shared" ca="1" si="618"/>
        <v>fuera de fecha</v>
      </c>
      <c r="K1508" s="40" t="str">
        <f t="shared" ca="1" si="619"/>
        <v>excluir</v>
      </c>
      <c r="L1508" s="40" t="str">
        <f t="shared" ca="1" si="620"/>
        <v>no semana</v>
      </c>
      <c r="M1508" s="40" t="str">
        <f>IFERROR(VLOOKUP(E1508,'cheques a conf'!A:D,4,FALSE),"no clearing")</f>
        <v>no clearing</v>
      </c>
      <c r="N1508" s="40">
        <f t="shared" si="621"/>
        <v>1</v>
      </c>
      <c r="O1508" s="42">
        <f t="shared" si="622"/>
        <v>1</v>
      </c>
      <c r="P1508" s="42">
        <f t="shared" si="623"/>
        <v>1900</v>
      </c>
    </row>
    <row r="1509" spans="1:16" x14ac:dyDescent="0.25">
      <c r="A1509" s="21"/>
      <c r="B1509" s="22"/>
      <c r="C1509" s="20"/>
      <c r="D1509" s="21"/>
      <c r="E1509" s="21"/>
      <c r="F1509" s="20"/>
      <c r="G1509" s="22"/>
      <c r="I1509" s="40" t="str">
        <f>IFERROR(IF(VLOOKUP(E1509,extracto!C:C,1,FALSE)=E1509,"pagado","no pagado"),"no pagado")</f>
        <v>no pagado</v>
      </c>
      <c r="J1509" s="41" t="str">
        <f t="shared" ca="1" si="618"/>
        <v>fuera de fecha</v>
      </c>
      <c r="K1509" s="40" t="str">
        <f t="shared" ca="1" si="619"/>
        <v>excluir</v>
      </c>
      <c r="L1509" s="40" t="str">
        <f t="shared" ca="1" si="620"/>
        <v>no semana</v>
      </c>
      <c r="M1509" s="40" t="str">
        <f>IFERROR(VLOOKUP(E1509,'cheques a conf'!A:D,4,FALSE),"no clearing")</f>
        <v>no clearing</v>
      </c>
      <c r="N1509" s="40">
        <f t="shared" si="621"/>
        <v>1</v>
      </c>
      <c r="O1509" s="42">
        <f t="shared" si="622"/>
        <v>1</v>
      </c>
      <c r="P1509" s="42">
        <f t="shared" si="623"/>
        <v>1900</v>
      </c>
    </row>
    <row r="1510" spans="1:16" x14ac:dyDescent="0.25">
      <c r="A1510" s="21"/>
      <c r="B1510" s="22"/>
      <c r="C1510" s="20"/>
      <c r="D1510" s="21"/>
      <c r="E1510" s="21"/>
      <c r="F1510" s="20"/>
      <c r="G1510" s="22"/>
      <c r="I1510" s="40" t="str">
        <f>IFERROR(IF(VLOOKUP(E1510,extracto!C:C,1,FALSE)=E1510,"pagado","no pagado"),"no pagado")</f>
        <v>no pagado</v>
      </c>
      <c r="J1510" s="41" t="str">
        <f t="shared" ca="1" si="618"/>
        <v>fuera de fecha</v>
      </c>
      <c r="K1510" s="40" t="str">
        <f t="shared" ca="1" si="619"/>
        <v>excluir</v>
      </c>
      <c r="L1510" s="40" t="str">
        <f t="shared" ca="1" si="620"/>
        <v>no semana</v>
      </c>
      <c r="M1510" s="40" t="str">
        <f>IFERROR(VLOOKUP(E1510,'cheques a conf'!A:D,4,FALSE),"no clearing")</f>
        <v>no clearing</v>
      </c>
      <c r="N1510" s="40">
        <f t="shared" si="621"/>
        <v>1</v>
      </c>
      <c r="O1510" s="42">
        <f t="shared" si="622"/>
        <v>1</v>
      </c>
      <c r="P1510" s="42">
        <f t="shared" si="623"/>
        <v>1900</v>
      </c>
    </row>
    <row r="1511" spans="1:16" x14ac:dyDescent="0.25">
      <c r="A1511" s="21"/>
      <c r="B1511" s="22"/>
      <c r="C1511" s="20"/>
      <c r="D1511" s="21"/>
      <c r="E1511" s="21"/>
      <c r="F1511" s="20"/>
      <c r="G1511" s="22"/>
      <c r="I1511" s="40" t="str">
        <f>IFERROR(IF(VLOOKUP(E1511,extracto!C:C,1,FALSE)=E1511,"pagado","no pagado"),"no pagado")</f>
        <v>no pagado</v>
      </c>
      <c r="J1511" s="41" t="str">
        <f t="shared" ca="1" si="618"/>
        <v>fuera de fecha</v>
      </c>
      <c r="K1511" s="40" t="str">
        <f t="shared" ca="1" si="619"/>
        <v>excluir</v>
      </c>
      <c r="L1511" s="40" t="str">
        <f t="shared" ca="1" si="620"/>
        <v>no semana</v>
      </c>
      <c r="M1511" s="40" t="str">
        <f>IFERROR(VLOOKUP(E1511,'cheques a conf'!A:D,4,FALSE),"no clearing")</f>
        <v>no clearing</v>
      </c>
      <c r="N1511" s="40">
        <f t="shared" si="621"/>
        <v>1</v>
      </c>
      <c r="O1511" s="42">
        <f t="shared" si="622"/>
        <v>1</v>
      </c>
      <c r="P1511" s="42">
        <f t="shared" si="623"/>
        <v>1900</v>
      </c>
    </row>
    <row r="1512" spans="1:16" x14ac:dyDescent="0.25">
      <c r="A1512" s="21"/>
      <c r="B1512" s="22"/>
      <c r="C1512" s="20"/>
      <c r="D1512" s="21"/>
      <c r="E1512" s="21"/>
      <c r="F1512" s="20"/>
      <c r="G1512" s="22"/>
      <c r="I1512" s="40" t="str">
        <f>IFERROR(IF(VLOOKUP(E1512,extracto!C:C,1,FALSE)=E1512,"pagado","no pagado"),"no pagado")</f>
        <v>no pagado</v>
      </c>
      <c r="J1512" s="41" t="str">
        <f t="shared" ca="1" si="618"/>
        <v>fuera de fecha</v>
      </c>
      <c r="K1512" s="40" t="str">
        <f t="shared" ca="1" si="619"/>
        <v>excluir</v>
      </c>
      <c r="L1512" s="40" t="str">
        <f t="shared" ca="1" si="620"/>
        <v>no semana</v>
      </c>
      <c r="M1512" s="40" t="str">
        <f>IFERROR(VLOOKUP(E1512,'cheques a conf'!A:D,4,FALSE),"no clearing")</f>
        <v>no clearing</v>
      </c>
      <c r="N1512" s="40">
        <f t="shared" si="621"/>
        <v>1</v>
      </c>
      <c r="O1512" s="42">
        <f t="shared" si="622"/>
        <v>1</v>
      </c>
      <c r="P1512" s="42">
        <f t="shared" si="623"/>
        <v>1900</v>
      </c>
    </row>
    <row r="1513" spans="1:16" x14ac:dyDescent="0.25">
      <c r="A1513" s="21"/>
      <c r="B1513" s="22"/>
      <c r="C1513" s="20"/>
      <c r="D1513" s="21"/>
      <c r="E1513" s="21"/>
      <c r="F1513" s="20"/>
      <c r="G1513" s="22"/>
      <c r="I1513" s="40" t="str">
        <f>IFERROR(IF(VLOOKUP(E1513,extracto!C:C,1,FALSE)=E1513,"pagado","no pagado"),"no pagado")</f>
        <v>no pagado</v>
      </c>
      <c r="J1513" s="41" t="str">
        <f t="shared" ca="1" si="618"/>
        <v>fuera de fecha</v>
      </c>
      <c r="K1513" s="40" t="str">
        <f t="shared" ca="1" si="619"/>
        <v>excluir</v>
      </c>
      <c r="L1513" s="40" t="str">
        <f t="shared" ca="1" si="620"/>
        <v>no semana</v>
      </c>
      <c r="M1513" s="40" t="str">
        <f>IFERROR(VLOOKUP(E1513,'cheques a conf'!A:D,4,FALSE),"no clearing")</f>
        <v>no clearing</v>
      </c>
      <c r="N1513" s="40">
        <f t="shared" si="621"/>
        <v>1</v>
      </c>
      <c r="O1513" s="42">
        <f t="shared" si="622"/>
        <v>1</v>
      </c>
      <c r="P1513" s="42">
        <f t="shared" si="623"/>
        <v>1900</v>
      </c>
    </row>
    <row r="1514" spans="1:16" x14ac:dyDescent="0.25">
      <c r="A1514" s="21"/>
      <c r="B1514" s="22"/>
      <c r="C1514" s="20"/>
      <c r="D1514" s="21"/>
      <c r="E1514" s="21"/>
      <c r="F1514" s="20"/>
      <c r="G1514" s="22"/>
      <c r="I1514" s="40" t="str">
        <f>IFERROR(IF(VLOOKUP(E1514,extracto!C:C,1,FALSE)=E1514,"pagado","no pagado"),"no pagado")</f>
        <v>no pagado</v>
      </c>
      <c r="J1514" s="41" t="str">
        <f t="shared" ca="1" si="618"/>
        <v>fuera de fecha</v>
      </c>
      <c r="K1514" s="40" t="str">
        <f t="shared" ca="1" si="619"/>
        <v>excluir</v>
      </c>
      <c r="L1514" s="40" t="str">
        <f t="shared" ca="1" si="620"/>
        <v>no semana</v>
      </c>
      <c r="M1514" s="40" t="str">
        <f>IFERROR(VLOOKUP(E1514,'cheques a conf'!A:D,4,FALSE),"no clearing")</f>
        <v>no clearing</v>
      </c>
      <c r="N1514" s="40">
        <f t="shared" si="621"/>
        <v>1</v>
      </c>
      <c r="O1514" s="42">
        <f t="shared" si="622"/>
        <v>1</v>
      </c>
      <c r="P1514" s="42">
        <f t="shared" si="623"/>
        <v>1900</v>
      </c>
    </row>
    <row r="1515" spans="1:16" x14ac:dyDescent="0.25">
      <c r="A1515" s="21"/>
      <c r="B1515" s="22"/>
      <c r="C1515" s="20"/>
      <c r="D1515" s="21"/>
      <c r="E1515" s="21"/>
      <c r="F1515" s="20"/>
      <c r="G1515" s="22"/>
      <c r="I1515" s="40" t="str">
        <f>IFERROR(IF(VLOOKUP(E1515,extracto!C:C,1,FALSE)=E1515,"pagado","no pagado"),"no pagado")</f>
        <v>no pagado</v>
      </c>
      <c r="J1515" s="41" t="str">
        <f t="shared" ca="1" si="618"/>
        <v>fuera de fecha</v>
      </c>
      <c r="K1515" s="40" t="str">
        <f t="shared" ca="1" si="619"/>
        <v>excluir</v>
      </c>
      <c r="L1515" s="40" t="str">
        <f t="shared" ca="1" si="620"/>
        <v>no semana</v>
      </c>
      <c r="M1515" s="40" t="str">
        <f>IFERROR(VLOOKUP(E1515,'cheques a conf'!A:D,4,FALSE),"no clearing")</f>
        <v>no clearing</v>
      </c>
      <c r="N1515" s="40">
        <f t="shared" si="621"/>
        <v>1</v>
      </c>
      <c r="O1515" s="42">
        <f t="shared" si="622"/>
        <v>1</v>
      </c>
      <c r="P1515" s="42">
        <f t="shared" si="623"/>
        <v>1900</v>
      </c>
    </row>
    <row r="1516" spans="1:16" x14ac:dyDescent="0.25">
      <c r="A1516" s="21"/>
      <c r="B1516" s="22"/>
      <c r="C1516" s="20"/>
      <c r="D1516" s="21"/>
      <c r="E1516" s="21"/>
      <c r="F1516" s="20"/>
      <c r="G1516" s="22"/>
      <c r="I1516" s="40" t="str">
        <f>IFERROR(IF(VLOOKUP(E1516,extracto!C:C,1,FALSE)=E1516,"pagado","no pagado"),"no pagado")</f>
        <v>no pagado</v>
      </c>
      <c r="J1516" s="41" t="str">
        <f t="shared" ca="1" si="618"/>
        <v>fuera de fecha</v>
      </c>
      <c r="K1516" s="40" t="str">
        <f t="shared" ca="1" si="619"/>
        <v>excluir</v>
      </c>
      <c r="L1516" s="40" t="str">
        <f t="shared" ca="1" si="620"/>
        <v>no semana</v>
      </c>
      <c r="M1516" s="40" t="str">
        <f>IFERROR(VLOOKUP(E1516,'cheques a conf'!A:D,4,FALSE),"no clearing")</f>
        <v>no clearing</v>
      </c>
      <c r="N1516" s="40">
        <f t="shared" si="621"/>
        <v>1</v>
      </c>
      <c r="O1516" s="42">
        <f t="shared" si="622"/>
        <v>1</v>
      </c>
      <c r="P1516" s="42">
        <f t="shared" si="623"/>
        <v>1900</v>
      </c>
    </row>
    <row r="1517" spans="1:16" x14ac:dyDescent="0.25">
      <c r="A1517" s="21"/>
      <c r="B1517" s="22"/>
      <c r="C1517" s="20"/>
      <c r="D1517" s="21"/>
      <c r="E1517" s="21"/>
      <c r="F1517" s="20"/>
      <c r="G1517" s="22"/>
      <c r="I1517" s="40" t="str">
        <f>IFERROR(IF(VLOOKUP(E1517,extracto!C:C,1,FALSE)=E1517,"pagado","no pagado"),"no pagado")</f>
        <v>no pagado</v>
      </c>
      <c r="J1517" s="41" t="str">
        <f t="shared" ca="1" si="618"/>
        <v>fuera de fecha</v>
      </c>
      <c r="K1517" s="40" t="str">
        <f t="shared" ca="1" si="619"/>
        <v>excluir</v>
      </c>
      <c r="L1517" s="40" t="str">
        <f t="shared" ca="1" si="620"/>
        <v>no semana</v>
      </c>
      <c r="M1517" s="40" t="str">
        <f>IFERROR(VLOOKUP(E1517,'cheques a conf'!A:D,4,FALSE),"no clearing")</f>
        <v>no clearing</v>
      </c>
      <c r="N1517" s="40">
        <f t="shared" si="621"/>
        <v>1</v>
      </c>
      <c r="O1517" s="42">
        <f t="shared" si="622"/>
        <v>1</v>
      </c>
      <c r="P1517" s="42">
        <f t="shared" si="623"/>
        <v>1900</v>
      </c>
    </row>
    <row r="1518" spans="1:16" x14ac:dyDescent="0.25">
      <c r="A1518" s="21"/>
      <c r="B1518" s="22"/>
      <c r="C1518" s="20"/>
      <c r="D1518" s="21"/>
      <c r="E1518" s="21"/>
      <c r="F1518" s="20"/>
      <c r="G1518" s="22"/>
      <c r="I1518" s="40" t="str">
        <f>IFERROR(IF(VLOOKUP(E1518,extracto!C:C,1,FALSE)=E1518,"pagado","no pagado"),"no pagado")</f>
        <v>no pagado</v>
      </c>
      <c r="J1518" s="41" t="str">
        <f t="shared" ca="1" si="618"/>
        <v>fuera de fecha</v>
      </c>
      <c r="K1518" s="40" t="str">
        <f t="shared" ca="1" si="619"/>
        <v>excluir</v>
      </c>
      <c r="L1518" s="40" t="str">
        <f t="shared" ca="1" si="620"/>
        <v>no semana</v>
      </c>
      <c r="M1518" s="40" t="str">
        <f>IFERROR(VLOOKUP(E1518,'cheques a conf'!A:D,4,FALSE),"no clearing")</f>
        <v>no clearing</v>
      </c>
      <c r="N1518" s="40">
        <f t="shared" si="621"/>
        <v>1</v>
      </c>
      <c r="O1518" s="42">
        <f t="shared" si="622"/>
        <v>1</v>
      </c>
      <c r="P1518" s="42">
        <f t="shared" si="623"/>
        <v>1900</v>
      </c>
    </row>
    <row r="1519" spans="1:16" x14ac:dyDescent="0.25">
      <c r="A1519" s="21"/>
      <c r="B1519" s="22"/>
      <c r="C1519" s="20"/>
      <c r="D1519" s="21"/>
      <c r="E1519" s="21"/>
      <c r="F1519" s="20"/>
      <c r="G1519" s="22"/>
      <c r="I1519" s="40" t="str">
        <f>IFERROR(IF(VLOOKUP(E1519,extracto!C:C,1,FALSE)=E1519,"pagado","no pagado"),"no pagado")</f>
        <v>no pagado</v>
      </c>
      <c r="J1519" s="41" t="str">
        <f t="shared" ca="1" si="618"/>
        <v>fuera de fecha</v>
      </c>
      <c r="K1519" s="40" t="str">
        <f t="shared" ca="1" si="619"/>
        <v>excluir</v>
      </c>
      <c r="L1519" s="40" t="str">
        <f t="shared" ca="1" si="620"/>
        <v>no semana</v>
      </c>
      <c r="M1519" s="40" t="str">
        <f>IFERROR(VLOOKUP(E1519,'cheques a conf'!A:D,4,FALSE),"no clearing")</f>
        <v>no clearing</v>
      </c>
      <c r="N1519" s="40">
        <f t="shared" si="621"/>
        <v>1</v>
      </c>
      <c r="O1519" s="42">
        <f t="shared" si="622"/>
        <v>1</v>
      </c>
      <c r="P1519" s="42">
        <f t="shared" si="623"/>
        <v>1900</v>
      </c>
    </row>
    <row r="1520" spans="1:16" x14ac:dyDescent="0.25">
      <c r="A1520" s="21"/>
      <c r="B1520" s="22"/>
      <c r="C1520" s="20"/>
      <c r="D1520" s="21"/>
      <c r="E1520" s="21"/>
      <c r="F1520" s="20"/>
      <c r="G1520" s="22"/>
      <c r="I1520" s="40" t="str">
        <f>IFERROR(IF(VLOOKUP(E1520,extracto!C:C,1,FALSE)=E1520,"pagado","no pagado"),"no pagado")</f>
        <v>no pagado</v>
      </c>
      <c r="J1520" s="41" t="str">
        <f t="shared" ca="1" si="618"/>
        <v>fuera de fecha</v>
      </c>
      <c r="K1520" s="40" t="str">
        <f t="shared" ca="1" si="619"/>
        <v>excluir</v>
      </c>
      <c r="L1520" s="40" t="str">
        <f t="shared" ca="1" si="620"/>
        <v>no semana</v>
      </c>
      <c r="M1520" s="40" t="str">
        <f>IFERROR(VLOOKUP(E1520,'cheques a conf'!A:D,4,FALSE),"no clearing")</f>
        <v>no clearing</v>
      </c>
      <c r="N1520" s="40">
        <f t="shared" si="621"/>
        <v>1</v>
      </c>
      <c r="O1520" s="42">
        <f t="shared" si="622"/>
        <v>1</v>
      </c>
      <c r="P1520" s="42">
        <f t="shared" si="623"/>
        <v>1900</v>
      </c>
    </row>
    <row r="1521" spans="1:16" x14ac:dyDescent="0.25">
      <c r="A1521" s="21"/>
      <c r="B1521" s="22"/>
      <c r="C1521" s="20"/>
      <c r="D1521" s="21"/>
      <c r="E1521" s="21"/>
      <c r="F1521" s="20"/>
      <c r="G1521" s="22"/>
      <c r="I1521" s="40" t="str">
        <f>IFERROR(IF(VLOOKUP(E1521,extracto!C:C,1,FALSE)=E1521,"pagado","no pagado"),"no pagado")</f>
        <v>no pagado</v>
      </c>
      <c r="J1521" s="41" t="str">
        <f t="shared" ca="1" si="618"/>
        <v>fuera de fecha</v>
      </c>
      <c r="K1521" s="40" t="str">
        <f t="shared" ca="1" si="619"/>
        <v>excluir</v>
      </c>
      <c r="L1521" s="40" t="str">
        <f t="shared" ca="1" si="620"/>
        <v>no semana</v>
      </c>
      <c r="M1521" s="40" t="str">
        <f>IFERROR(VLOOKUP(E1521,'cheques a conf'!A:D,4,FALSE),"no clearing")</f>
        <v>no clearing</v>
      </c>
      <c r="N1521" s="40">
        <f t="shared" si="621"/>
        <v>1</v>
      </c>
      <c r="O1521" s="42">
        <f t="shared" si="622"/>
        <v>1</v>
      </c>
      <c r="P1521" s="42">
        <f t="shared" si="623"/>
        <v>1900</v>
      </c>
    </row>
    <row r="1522" spans="1:16" x14ac:dyDescent="0.25">
      <c r="A1522" s="21"/>
      <c r="B1522" s="22"/>
      <c r="C1522" s="20"/>
      <c r="D1522" s="21"/>
      <c r="E1522" s="21"/>
      <c r="F1522" s="20"/>
      <c r="G1522" s="22"/>
      <c r="I1522" s="40" t="str">
        <f>IFERROR(IF(VLOOKUP(E1522,extracto!C:C,1,FALSE)=E1522,"pagado","no pagado"),"no pagado")</f>
        <v>no pagado</v>
      </c>
      <c r="J1522" s="41" t="str">
        <f t="shared" ca="1" si="618"/>
        <v>fuera de fecha</v>
      </c>
      <c r="K1522" s="40" t="str">
        <f t="shared" ca="1" si="619"/>
        <v>excluir</v>
      </c>
      <c r="L1522" s="40" t="str">
        <f t="shared" ca="1" si="620"/>
        <v>no semana</v>
      </c>
      <c r="M1522" s="40" t="str">
        <f>IFERROR(VLOOKUP(E1522,'cheques a conf'!A:D,4,FALSE),"no clearing")</f>
        <v>no clearing</v>
      </c>
      <c r="N1522" s="40">
        <f t="shared" si="621"/>
        <v>1</v>
      </c>
      <c r="O1522" s="42">
        <f t="shared" si="622"/>
        <v>1</v>
      </c>
      <c r="P1522" s="42">
        <f t="shared" si="623"/>
        <v>1900</v>
      </c>
    </row>
    <row r="1523" spans="1:16" x14ac:dyDescent="0.25">
      <c r="A1523" s="21"/>
      <c r="B1523" s="22"/>
      <c r="C1523" s="20"/>
      <c r="D1523" s="21"/>
      <c r="E1523" s="21"/>
      <c r="F1523" s="20"/>
      <c r="G1523" s="22"/>
      <c r="I1523" s="40" t="str">
        <f>IFERROR(IF(VLOOKUP(E1523,extracto!C:C,1,FALSE)=E1523,"pagado","no pagado"),"no pagado")</f>
        <v>no pagado</v>
      </c>
      <c r="J1523" s="41" t="str">
        <f t="shared" ca="1" si="618"/>
        <v>fuera de fecha</v>
      </c>
      <c r="K1523" s="40" t="str">
        <f t="shared" ca="1" si="619"/>
        <v>excluir</v>
      </c>
      <c r="L1523" s="40" t="str">
        <f t="shared" ca="1" si="620"/>
        <v>no semana</v>
      </c>
      <c r="M1523" s="40" t="str">
        <f>IFERROR(VLOOKUP(E1523,'cheques a conf'!A:D,4,FALSE),"no clearing")</f>
        <v>no clearing</v>
      </c>
      <c r="N1523" s="40">
        <f t="shared" si="621"/>
        <v>1</v>
      </c>
      <c r="O1523" s="42">
        <f t="shared" si="622"/>
        <v>1</v>
      </c>
      <c r="P1523" s="42">
        <f t="shared" si="623"/>
        <v>1900</v>
      </c>
    </row>
    <row r="1524" spans="1:16" x14ac:dyDescent="0.25">
      <c r="A1524" s="21"/>
      <c r="B1524" s="22"/>
      <c r="C1524" s="20"/>
      <c r="D1524" s="21"/>
      <c r="E1524" s="21"/>
      <c r="F1524" s="20"/>
      <c r="G1524" s="22"/>
      <c r="I1524" s="40" t="str">
        <f>IFERROR(IF(VLOOKUP(E1524,extracto!C:C,1,FALSE)=E1524,"pagado","no pagado"),"no pagado")</f>
        <v>no pagado</v>
      </c>
      <c r="J1524" s="41" t="str">
        <f t="shared" ca="1" si="618"/>
        <v>fuera de fecha</v>
      </c>
      <c r="K1524" s="40" t="str">
        <f t="shared" ca="1" si="619"/>
        <v>excluir</v>
      </c>
      <c r="L1524" s="40" t="str">
        <f t="shared" ca="1" si="620"/>
        <v>no semana</v>
      </c>
      <c r="M1524" s="40" t="str">
        <f>IFERROR(VLOOKUP(E1524,'cheques a conf'!A:D,4,FALSE),"no clearing")</f>
        <v>no clearing</v>
      </c>
      <c r="N1524" s="40">
        <f t="shared" si="621"/>
        <v>1</v>
      </c>
      <c r="O1524" s="42">
        <f t="shared" si="622"/>
        <v>1</v>
      </c>
      <c r="P1524" s="42">
        <f t="shared" si="623"/>
        <v>1900</v>
      </c>
    </row>
    <row r="1525" spans="1:16" x14ac:dyDescent="0.25">
      <c r="A1525" s="21"/>
      <c r="B1525" s="22"/>
      <c r="C1525" s="20"/>
      <c r="D1525" s="21"/>
      <c r="E1525" s="21"/>
      <c r="F1525" s="20"/>
      <c r="G1525" s="22"/>
      <c r="I1525" s="40" t="str">
        <f>IFERROR(IF(VLOOKUP(E1525,extracto!C:C,1,FALSE)=E1525,"pagado","no pagado"),"no pagado")</f>
        <v>no pagado</v>
      </c>
      <c r="J1525" s="41" t="str">
        <f t="shared" ca="1" si="618"/>
        <v>fuera de fecha</v>
      </c>
      <c r="K1525" s="40" t="str">
        <f t="shared" ca="1" si="619"/>
        <v>excluir</v>
      </c>
      <c r="L1525" s="40" t="str">
        <f t="shared" ca="1" si="620"/>
        <v>no semana</v>
      </c>
      <c r="M1525" s="40" t="str">
        <f>IFERROR(VLOOKUP(E1525,'cheques a conf'!A:D,4,FALSE),"no clearing")</f>
        <v>no clearing</v>
      </c>
      <c r="N1525" s="40">
        <f t="shared" si="621"/>
        <v>1</v>
      </c>
      <c r="O1525" s="42">
        <f t="shared" si="622"/>
        <v>1</v>
      </c>
      <c r="P1525" s="42">
        <f t="shared" si="623"/>
        <v>1900</v>
      </c>
    </row>
    <row r="1526" spans="1:16" x14ac:dyDescent="0.25">
      <c r="A1526" s="21"/>
      <c r="B1526" s="22"/>
      <c r="C1526" s="20"/>
      <c r="D1526" s="21"/>
      <c r="E1526" s="21"/>
      <c r="F1526" s="20"/>
      <c r="G1526" s="22"/>
      <c r="I1526" s="40" t="str">
        <f>IFERROR(IF(VLOOKUP(E1526,extracto!C:C,1,FALSE)=E1526,"pagado","no pagado"),"no pagado")</f>
        <v>no pagado</v>
      </c>
      <c r="J1526" s="41" t="str">
        <f t="shared" ca="1" si="618"/>
        <v>fuera de fecha</v>
      </c>
      <c r="K1526" s="40" t="str">
        <f t="shared" ca="1" si="619"/>
        <v>excluir</v>
      </c>
      <c r="L1526" s="40" t="str">
        <f t="shared" ca="1" si="620"/>
        <v>no semana</v>
      </c>
      <c r="M1526" s="40" t="str">
        <f>IFERROR(VLOOKUP(E1526,'cheques a conf'!A:D,4,FALSE),"no clearing")</f>
        <v>no clearing</v>
      </c>
      <c r="N1526" s="40">
        <f t="shared" si="621"/>
        <v>1</v>
      </c>
      <c r="O1526" s="42">
        <f t="shared" si="622"/>
        <v>1</v>
      </c>
      <c r="P1526" s="42">
        <f t="shared" si="623"/>
        <v>1900</v>
      </c>
    </row>
    <row r="1527" spans="1:16" x14ac:dyDescent="0.25">
      <c r="A1527" s="21"/>
      <c r="B1527" s="22"/>
      <c r="C1527" s="20"/>
      <c r="D1527" s="21"/>
      <c r="E1527" s="21"/>
      <c r="F1527" s="20"/>
      <c r="G1527" s="22"/>
      <c r="I1527" s="40" t="str">
        <f>IFERROR(IF(VLOOKUP(E1527,extracto!C:C,1,FALSE)=E1527,"pagado","no pagado"),"no pagado")</f>
        <v>no pagado</v>
      </c>
      <c r="J1527" s="41" t="str">
        <f t="shared" ca="1" si="618"/>
        <v>fuera de fecha</v>
      </c>
      <c r="K1527" s="40" t="str">
        <f t="shared" ca="1" si="619"/>
        <v>excluir</v>
      </c>
      <c r="L1527" s="40" t="str">
        <f t="shared" ca="1" si="620"/>
        <v>no semana</v>
      </c>
      <c r="M1527" s="40" t="str">
        <f>IFERROR(VLOOKUP(E1527,'cheques a conf'!A:D,4,FALSE),"no clearing")</f>
        <v>no clearing</v>
      </c>
      <c r="N1527" s="40">
        <f t="shared" si="621"/>
        <v>1</v>
      </c>
      <c r="O1527" s="42">
        <f t="shared" si="622"/>
        <v>1</v>
      </c>
      <c r="P1527" s="42">
        <f t="shared" si="623"/>
        <v>1900</v>
      </c>
    </row>
    <row r="1528" spans="1:16" x14ac:dyDescent="0.25">
      <c r="A1528" s="21"/>
      <c r="B1528" s="22"/>
      <c r="C1528" s="20"/>
      <c r="D1528" s="21"/>
      <c r="E1528" s="21"/>
      <c r="F1528" s="20"/>
      <c r="G1528" s="22"/>
      <c r="I1528" s="40" t="str">
        <f>IFERROR(IF(VLOOKUP(E1528,extracto!C:C,1,FALSE)=E1528,"pagado","no pagado"),"no pagado")</f>
        <v>no pagado</v>
      </c>
      <c r="J1528" s="41" t="str">
        <f t="shared" ca="1" si="618"/>
        <v>fuera de fecha</v>
      </c>
      <c r="K1528" s="40" t="str">
        <f t="shared" ca="1" si="619"/>
        <v>excluir</v>
      </c>
      <c r="L1528" s="40" t="str">
        <f t="shared" ca="1" si="620"/>
        <v>no semana</v>
      </c>
      <c r="M1528" s="40" t="str">
        <f>IFERROR(VLOOKUP(E1528,'cheques a conf'!A:D,4,FALSE),"no clearing")</f>
        <v>no clearing</v>
      </c>
      <c r="N1528" s="40">
        <f t="shared" si="621"/>
        <v>1</v>
      </c>
      <c r="O1528" s="42">
        <f t="shared" si="622"/>
        <v>1</v>
      </c>
      <c r="P1528" s="42">
        <f t="shared" si="623"/>
        <v>1900</v>
      </c>
    </row>
    <row r="1529" spans="1:16" x14ac:dyDescent="0.25">
      <c r="A1529" s="21"/>
      <c r="B1529" s="22"/>
      <c r="C1529" s="20"/>
      <c r="D1529" s="21"/>
      <c r="E1529" s="21"/>
      <c r="F1529" s="20"/>
      <c r="G1529" s="22"/>
      <c r="I1529" s="40" t="str">
        <f>IFERROR(IF(VLOOKUP(E1529,extracto!C:C,1,FALSE)=E1529,"pagado","no pagado"),"no pagado")</f>
        <v>no pagado</v>
      </c>
      <c r="J1529" s="41" t="str">
        <f t="shared" ca="1" si="618"/>
        <v>fuera de fecha</v>
      </c>
      <c r="K1529" s="40" t="str">
        <f t="shared" ca="1" si="619"/>
        <v>excluir</v>
      </c>
      <c r="L1529" s="40" t="str">
        <f t="shared" ca="1" si="620"/>
        <v>no semana</v>
      </c>
      <c r="M1529" s="40" t="str">
        <f>IFERROR(VLOOKUP(E1529,'cheques a conf'!A:D,4,FALSE),"no clearing")</f>
        <v>no clearing</v>
      </c>
      <c r="N1529" s="40">
        <f t="shared" si="621"/>
        <v>1</v>
      </c>
      <c r="O1529" s="42">
        <f t="shared" si="622"/>
        <v>1</v>
      </c>
      <c r="P1529" s="42">
        <f t="shared" si="623"/>
        <v>1900</v>
      </c>
    </row>
    <row r="1530" spans="1:16" x14ac:dyDescent="0.25">
      <c r="A1530" s="21"/>
      <c r="B1530" s="22"/>
      <c r="C1530" s="20"/>
      <c r="D1530" s="21"/>
      <c r="E1530" s="21"/>
      <c r="F1530" s="20"/>
      <c r="G1530" s="22"/>
      <c r="I1530" s="40" t="str">
        <f>IFERROR(IF(VLOOKUP(E1530,extracto!C:C,1,FALSE)=E1530,"pagado","no pagado"),"no pagado")</f>
        <v>no pagado</v>
      </c>
      <c r="J1530" s="41" t="str">
        <f t="shared" ca="1" si="618"/>
        <v>fuera de fecha</v>
      </c>
      <c r="K1530" s="40" t="str">
        <f t="shared" ca="1" si="619"/>
        <v>excluir</v>
      </c>
      <c r="L1530" s="40" t="str">
        <f t="shared" ca="1" si="620"/>
        <v>no semana</v>
      </c>
      <c r="M1530" s="40" t="str">
        <f>IFERROR(VLOOKUP(E1530,'cheques a conf'!A:D,4,FALSE),"no clearing")</f>
        <v>no clearing</v>
      </c>
      <c r="N1530" s="40">
        <f t="shared" si="621"/>
        <v>1</v>
      </c>
      <c r="O1530" s="42">
        <f t="shared" si="622"/>
        <v>1</v>
      </c>
      <c r="P1530" s="42">
        <f t="shared" si="623"/>
        <v>1900</v>
      </c>
    </row>
    <row r="1531" spans="1:16" x14ac:dyDescent="0.25">
      <c r="A1531" s="21"/>
      <c r="B1531" s="22"/>
      <c r="C1531" s="20"/>
      <c r="D1531" s="21"/>
      <c r="E1531" s="21"/>
      <c r="F1531" s="20"/>
      <c r="G1531" s="22"/>
      <c r="I1531" s="40" t="str">
        <f>IFERROR(IF(VLOOKUP(E1531,extracto!C:C,1,FALSE)=E1531,"pagado","no pagado"),"no pagado")</f>
        <v>no pagado</v>
      </c>
      <c r="J1531" s="41" t="str">
        <f t="shared" ca="1" si="618"/>
        <v>fuera de fecha</v>
      </c>
      <c r="K1531" s="40" t="str">
        <f t="shared" ca="1" si="619"/>
        <v>excluir</v>
      </c>
      <c r="L1531" s="40" t="str">
        <f t="shared" ca="1" si="620"/>
        <v>no semana</v>
      </c>
      <c r="M1531" s="40" t="str">
        <f>IFERROR(VLOOKUP(E1531,'cheques a conf'!A:D,4,FALSE),"no clearing")</f>
        <v>no clearing</v>
      </c>
      <c r="N1531" s="40">
        <f t="shared" si="621"/>
        <v>1</v>
      </c>
      <c r="O1531" s="42">
        <f t="shared" si="622"/>
        <v>1</v>
      </c>
      <c r="P1531" s="42">
        <f t="shared" si="623"/>
        <v>1900</v>
      </c>
    </row>
    <row r="1532" spans="1:16" x14ac:dyDescent="0.25">
      <c r="A1532" s="21"/>
      <c r="B1532" s="22"/>
      <c r="C1532" s="20"/>
      <c r="D1532" s="21"/>
      <c r="E1532" s="21"/>
      <c r="F1532" s="20"/>
      <c r="G1532" s="22"/>
      <c r="I1532" s="40" t="str">
        <f>IFERROR(IF(VLOOKUP(E1532,extracto!C:C,1,FALSE)=E1532,"pagado","no pagado"),"no pagado")</f>
        <v>no pagado</v>
      </c>
      <c r="J1532" s="41" t="str">
        <f t="shared" ca="1" si="618"/>
        <v>fuera de fecha</v>
      </c>
      <c r="K1532" s="40" t="str">
        <f t="shared" ca="1" si="619"/>
        <v>excluir</v>
      </c>
      <c r="L1532" s="40" t="str">
        <f t="shared" ca="1" si="620"/>
        <v>no semana</v>
      </c>
      <c r="M1532" s="40" t="str">
        <f>IFERROR(VLOOKUP(E1532,'cheques a conf'!A:D,4,FALSE),"no clearing")</f>
        <v>no clearing</v>
      </c>
      <c r="N1532" s="40">
        <f t="shared" si="621"/>
        <v>1</v>
      </c>
      <c r="O1532" s="42">
        <f t="shared" si="622"/>
        <v>1</v>
      </c>
      <c r="P1532" s="42">
        <f t="shared" si="623"/>
        <v>1900</v>
      </c>
    </row>
    <row r="1533" spans="1:16" x14ac:dyDescent="0.25">
      <c r="A1533" s="21"/>
      <c r="B1533" s="22"/>
      <c r="C1533" s="20"/>
      <c r="D1533" s="21"/>
      <c r="E1533" s="21"/>
      <c r="F1533" s="20"/>
      <c r="G1533" s="22"/>
      <c r="I1533" s="40" t="str">
        <f>IFERROR(IF(VLOOKUP(E1533,extracto!C:C,1,FALSE)=E1533,"pagado","no pagado"),"no pagado")</f>
        <v>no pagado</v>
      </c>
      <c r="J1533" s="41" t="str">
        <f t="shared" ca="1" si="618"/>
        <v>fuera de fecha</v>
      </c>
      <c r="K1533" s="40" t="str">
        <f t="shared" ca="1" si="619"/>
        <v>excluir</v>
      </c>
      <c r="L1533" s="40" t="str">
        <f t="shared" ca="1" si="620"/>
        <v>no semana</v>
      </c>
      <c r="M1533" s="40" t="str">
        <f>IFERROR(VLOOKUP(E1533,'cheques a conf'!A:D,4,FALSE),"no clearing")</f>
        <v>no clearing</v>
      </c>
      <c r="N1533" s="40">
        <f t="shared" si="621"/>
        <v>1</v>
      </c>
      <c r="O1533" s="42">
        <f t="shared" si="622"/>
        <v>1</v>
      </c>
      <c r="P1533" s="42">
        <f t="shared" si="623"/>
        <v>1900</v>
      </c>
    </row>
    <row r="1534" spans="1:16" x14ac:dyDescent="0.25">
      <c r="A1534" s="21"/>
      <c r="B1534" s="22"/>
      <c r="C1534" s="20"/>
      <c r="D1534" s="21"/>
      <c r="E1534" s="21"/>
      <c r="F1534" s="20"/>
      <c r="G1534" s="22"/>
      <c r="I1534" s="40" t="str">
        <f>IFERROR(IF(VLOOKUP(E1534,extracto!C:C,1,FALSE)=E1534,"pagado","no pagado"),"no pagado")</f>
        <v>no pagado</v>
      </c>
      <c r="J1534" s="41" t="str">
        <f t="shared" ca="1" si="618"/>
        <v>fuera de fecha</v>
      </c>
      <c r="K1534" s="40" t="str">
        <f t="shared" ca="1" si="619"/>
        <v>excluir</v>
      </c>
      <c r="L1534" s="40" t="str">
        <f t="shared" ca="1" si="620"/>
        <v>no semana</v>
      </c>
      <c r="M1534" s="40" t="str">
        <f>IFERROR(VLOOKUP(E1534,'cheques a conf'!A:D,4,FALSE),"no clearing")</f>
        <v>no clearing</v>
      </c>
      <c r="N1534" s="40">
        <f t="shared" si="621"/>
        <v>1</v>
      </c>
      <c r="O1534" s="42">
        <f t="shared" si="622"/>
        <v>1</v>
      </c>
      <c r="P1534" s="42">
        <f t="shared" si="623"/>
        <v>1900</v>
      </c>
    </row>
    <row r="1535" spans="1:16" x14ac:dyDescent="0.25">
      <c r="A1535" s="21"/>
      <c r="B1535" s="22"/>
      <c r="C1535" s="20"/>
      <c r="D1535" s="21"/>
      <c r="E1535" s="21"/>
      <c r="F1535" s="20"/>
      <c r="G1535" s="22"/>
      <c r="I1535" s="40" t="str">
        <f>IFERROR(IF(VLOOKUP(E1535,extracto!C:C,1,FALSE)=E1535,"pagado","no pagado"),"no pagado")</f>
        <v>no pagado</v>
      </c>
      <c r="J1535" s="41" t="str">
        <f t="shared" ca="1" si="618"/>
        <v>fuera de fecha</v>
      </c>
      <c r="K1535" s="40" t="str">
        <f t="shared" ca="1" si="619"/>
        <v>excluir</v>
      </c>
      <c r="L1535" s="40" t="str">
        <f t="shared" ca="1" si="620"/>
        <v>no semana</v>
      </c>
      <c r="M1535" s="40" t="str">
        <f>IFERROR(VLOOKUP(E1535,'cheques a conf'!A:D,4,FALSE),"no clearing")</f>
        <v>no clearing</v>
      </c>
      <c r="N1535" s="40">
        <f t="shared" si="621"/>
        <v>1</v>
      </c>
      <c r="O1535" s="42">
        <f t="shared" si="622"/>
        <v>1</v>
      </c>
      <c r="P1535" s="42">
        <f t="shared" si="623"/>
        <v>1900</v>
      </c>
    </row>
    <row r="1536" spans="1:16" x14ac:dyDescent="0.25">
      <c r="A1536" s="21"/>
      <c r="B1536" s="22"/>
      <c r="C1536" s="20"/>
      <c r="D1536" s="21"/>
      <c r="E1536" s="21"/>
      <c r="F1536" s="20"/>
      <c r="G1536" s="22"/>
      <c r="I1536" s="40" t="str">
        <f>IFERROR(IF(VLOOKUP(E1536,extracto!C:C,1,FALSE)=E1536,"pagado","no pagado"),"no pagado")</f>
        <v>no pagado</v>
      </c>
      <c r="J1536" s="41" t="str">
        <f t="shared" ca="1" si="618"/>
        <v>fuera de fecha</v>
      </c>
      <c r="K1536" s="40" t="str">
        <f t="shared" ca="1" si="619"/>
        <v>excluir</v>
      </c>
      <c r="L1536" s="40" t="str">
        <f t="shared" ca="1" si="620"/>
        <v>no semana</v>
      </c>
      <c r="M1536" s="40" t="str">
        <f>IFERROR(VLOOKUP(E1536,'cheques a conf'!A:D,4,FALSE),"no clearing")</f>
        <v>no clearing</v>
      </c>
      <c r="N1536" s="40">
        <f t="shared" si="621"/>
        <v>1</v>
      </c>
      <c r="O1536" s="42">
        <f t="shared" si="622"/>
        <v>1</v>
      </c>
      <c r="P1536" s="42">
        <f t="shared" si="623"/>
        <v>1900</v>
      </c>
    </row>
    <row r="1537" spans="1:16" x14ac:dyDescent="0.25">
      <c r="A1537" s="21"/>
      <c r="B1537" s="22"/>
      <c r="C1537" s="20"/>
      <c r="D1537" s="21"/>
      <c r="E1537" s="21"/>
      <c r="F1537" s="20"/>
      <c r="G1537" s="22"/>
      <c r="I1537" s="40" t="str">
        <f>IFERROR(IF(VLOOKUP(E1537,extracto!C:C,1,FALSE)=E1537,"pagado","no pagado"),"no pagado")</f>
        <v>no pagado</v>
      </c>
      <c r="J1537" s="41" t="str">
        <f t="shared" ca="1" si="618"/>
        <v>fuera de fecha</v>
      </c>
      <c r="K1537" s="40" t="str">
        <f t="shared" ca="1" si="619"/>
        <v>excluir</v>
      </c>
      <c r="L1537" s="40" t="str">
        <f t="shared" ca="1" si="620"/>
        <v>no semana</v>
      </c>
      <c r="M1537" s="40" t="str">
        <f>IFERROR(VLOOKUP(E1537,'cheques a conf'!A:D,4,FALSE),"no clearing")</f>
        <v>no clearing</v>
      </c>
      <c r="N1537" s="40">
        <f t="shared" si="621"/>
        <v>1</v>
      </c>
      <c r="O1537" s="42">
        <f t="shared" si="622"/>
        <v>1</v>
      </c>
      <c r="P1537" s="42">
        <f t="shared" si="623"/>
        <v>1900</v>
      </c>
    </row>
    <row r="1538" spans="1:16" x14ac:dyDescent="0.25">
      <c r="A1538" s="21"/>
      <c r="B1538" s="22"/>
      <c r="C1538" s="20"/>
      <c r="D1538" s="21"/>
      <c r="E1538" s="21"/>
      <c r="F1538" s="20"/>
      <c r="G1538" s="22"/>
      <c r="I1538" s="40" t="str">
        <f>IFERROR(IF(VLOOKUP(E1538,extracto!C:C,1,FALSE)=E1538,"pagado","no pagado"),"no pagado")</f>
        <v>no pagado</v>
      </c>
      <c r="J1538" s="41" t="str">
        <f t="shared" ca="1" si="618"/>
        <v>fuera de fecha</v>
      </c>
      <c r="K1538" s="40" t="str">
        <f t="shared" ca="1" si="619"/>
        <v>excluir</v>
      </c>
      <c r="L1538" s="40" t="str">
        <f t="shared" ca="1" si="620"/>
        <v>no semana</v>
      </c>
      <c r="M1538" s="40" t="str">
        <f>IFERROR(VLOOKUP(E1538,'cheques a conf'!A:D,4,FALSE),"no clearing")</f>
        <v>no clearing</v>
      </c>
      <c r="N1538" s="40">
        <f t="shared" si="621"/>
        <v>1</v>
      </c>
      <c r="O1538" s="42">
        <f t="shared" si="622"/>
        <v>1</v>
      </c>
      <c r="P1538" s="42">
        <f t="shared" si="623"/>
        <v>1900</v>
      </c>
    </row>
    <row r="1539" spans="1:16" x14ac:dyDescent="0.25">
      <c r="A1539" s="21"/>
      <c r="B1539" s="22"/>
      <c r="C1539" s="20"/>
      <c r="D1539" s="21"/>
      <c r="E1539" s="21"/>
      <c r="F1539" s="20"/>
      <c r="G1539" s="22"/>
      <c r="I1539" s="40" t="str">
        <f>IFERROR(IF(VLOOKUP(E1539,extracto!C:C,1,FALSE)=E1539,"pagado","no pagado"),"no pagado")</f>
        <v>no pagado</v>
      </c>
      <c r="J1539" s="41" t="str">
        <f t="shared" ref="J1539:J1562" ca="1" si="624">IF(I1539="pagado","pagado",IF(G1539&lt;$V$1-30,"fuera de fecha","en periodo de pago"))</f>
        <v>fuera de fecha</v>
      </c>
      <c r="K1539" s="40" t="str">
        <f t="shared" ref="K1539:K1562" ca="1" si="625">+IF(B1539&gt;$V$1,"excluir",IF(J1539="en periodo de pago",IF($V$1&gt;G1539,"a pagar","proximo a vencer"),"excluir"))</f>
        <v>excluir</v>
      </c>
      <c r="L1539" s="40" t="str">
        <f t="shared" ref="L1539:L1562" ca="1" si="626">+IF(K1539="proximo a vencer",IF($V$1+5&gt;G1539,"para la semana","no semana"),"no semana")</f>
        <v>no semana</v>
      </c>
      <c r="M1539" s="40" t="str">
        <f>IFERROR(VLOOKUP(E1539,'cheques a conf'!A:D,4,FALSE),"no clearing")</f>
        <v>no clearing</v>
      </c>
      <c r="N1539" s="40">
        <f t="shared" ref="N1539:N1562" si="627">+WEEKNUM(G1539,2)</f>
        <v>1</v>
      </c>
      <c r="O1539" s="42">
        <f t="shared" ref="O1539:O1562" si="628">+MONTH(G1539)</f>
        <v>1</v>
      </c>
      <c r="P1539" s="42">
        <f t="shared" ref="P1539:P1562" si="629">+YEAR(G1539)</f>
        <v>1900</v>
      </c>
    </row>
    <row r="1540" spans="1:16" x14ac:dyDescent="0.25">
      <c r="A1540" s="21"/>
      <c r="B1540" s="22"/>
      <c r="C1540" s="20"/>
      <c r="D1540" s="21"/>
      <c r="E1540" s="21"/>
      <c r="F1540" s="20"/>
      <c r="G1540" s="22"/>
      <c r="I1540" s="40" t="str">
        <f>IFERROR(IF(VLOOKUP(E1540,extracto!C:C,1,FALSE)=E1540,"pagado","no pagado"),"no pagado")</f>
        <v>no pagado</v>
      </c>
      <c r="J1540" s="41" t="str">
        <f t="shared" ca="1" si="624"/>
        <v>fuera de fecha</v>
      </c>
      <c r="K1540" s="40" t="str">
        <f t="shared" ca="1" si="625"/>
        <v>excluir</v>
      </c>
      <c r="L1540" s="40" t="str">
        <f t="shared" ca="1" si="626"/>
        <v>no semana</v>
      </c>
      <c r="M1540" s="40" t="str">
        <f>IFERROR(VLOOKUP(E1540,'cheques a conf'!A:D,4,FALSE),"no clearing")</f>
        <v>no clearing</v>
      </c>
      <c r="N1540" s="40">
        <f t="shared" si="627"/>
        <v>1</v>
      </c>
      <c r="O1540" s="42">
        <f t="shared" si="628"/>
        <v>1</v>
      </c>
      <c r="P1540" s="42">
        <f t="shared" si="629"/>
        <v>1900</v>
      </c>
    </row>
    <row r="1541" spans="1:16" x14ac:dyDescent="0.25">
      <c r="A1541" s="21"/>
      <c r="B1541" s="22"/>
      <c r="C1541" s="20"/>
      <c r="D1541" s="21"/>
      <c r="E1541" s="21"/>
      <c r="F1541" s="20"/>
      <c r="G1541" s="22"/>
      <c r="I1541" s="40" t="str">
        <f>IFERROR(IF(VLOOKUP(E1541,extracto!C:C,1,FALSE)=E1541,"pagado","no pagado"),"no pagado")</f>
        <v>no pagado</v>
      </c>
      <c r="J1541" s="41" t="str">
        <f t="shared" ca="1" si="624"/>
        <v>fuera de fecha</v>
      </c>
      <c r="K1541" s="40" t="str">
        <f t="shared" ca="1" si="625"/>
        <v>excluir</v>
      </c>
      <c r="L1541" s="40" t="str">
        <f t="shared" ca="1" si="626"/>
        <v>no semana</v>
      </c>
      <c r="M1541" s="40" t="str">
        <f>IFERROR(VLOOKUP(E1541,'cheques a conf'!A:D,4,FALSE),"no clearing")</f>
        <v>no clearing</v>
      </c>
      <c r="N1541" s="40">
        <f t="shared" si="627"/>
        <v>1</v>
      </c>
      <c r="O1541" s="42">
        <f t="shared" si="628"/>
        <v>1</v>
      </c>
      <c r="P1541" s="42">
        <f t="shared" si="629"/>
        <v>1900</v>
      </c>
    </row>
    <row r="1542" spans="1:16" x14ac:dyDescent="0.25">
      <c r="A1542" s="21"/>
      <c r="B1542" s="22"/>
      <c r="C1542" s="20"/>
      <c r="D1542" s="21"/>
      <c r="E1542" s="21"/>
      <c r="F1542" s="20"/>
      <c r="G1542" s="22"/>
      <c r="I1542" s="40" t="str">
        <f>IFERROR(IF(VLOOKUP(E1542,extracto!C:C,1,FALSE)=E1542,"pagado","no pagado"),"no pagado")</f>
        <v>no pagado</v>
      </c>
      <c r="J1542" s="41" t="str">
        <f t="shared" ca="1" si="624"/>
        <v>fuera de fecha</v>
      </c>
      <c r="K1542" s="40" t="str">
        <f t="shared" ca="1" si="625"/>
        <v>excluir</v>
      </c>
      <c r="L1542" s="40" t="str">
        <f t="shared" ca="1" si="626"/>
        <v>no semana</v>
      </c>
      <c r="M1542" s="40" t="str">
        <f>IFERROR(VLOOKUP(E1542,'cheques a conf'!A:D,4,FALSE),"no clearing")</f>
        <v>no clearing</v>
      </c>
      <c r="N1542" s="40">
        <f t="shared" si="627"/>
        <v>1</v>
      </c>
      <c r="O1542" s="42">
        <f t="shared" si="628"/>
        <v>1</v>
      </c>
      <c r="P1542" s="42">
        <f t="shared" si="629"/>
        <v>1900</v>
      </c>
    </row>
    <row r="1543" spans="1:16" x14ac:dyDescent="0.25">
      <c r="A1543" s="21"/>
      <c r="B1543" s="22"/>
      <c r="C1543" s="20"/>
      <c r="D1543" s="21"/>
      <c r="E1543" s="21"/>
      <c r="F1543" s="20"/>
      <c r="G1543" s="22"/>
      <c r="I1543" s="40" t="str">
        <f>IFERROR(IF(VLOOKUP(E1543,extracto!C:C,1,FALSE)=E1543,"pagado","no pagado"),"no pagado")</f>
        <v>no pagado</v>
      </c>
      <c r="J1543" s="41" t="str">
        <f t="shared" ca="1" si="624"/>
        <v>fuera de fecha</v>
      </c>
      <c r="K1543" s="40" t="str">
        <f t="shared" ca="1" si="625"/>
        <v>excluir</v>
      </c>
      <c r="L1543" s="40" t="str">
        <f t="shared" ca="1" si="626"/>
        <v>no semana</v>
      </c>
      <c r="M1543" s="40" t="str">
        <f>IFERROR(VLOOKUP(E1543,'cheques a conf'!A:D,4,FALSE),"no clearing")</f>
        <v>no clearing</v>
      </c>
      <c r="N1543" s="40">
        <f t="shared" si="627"/>
        <v>1</v>
      </c>
      <c r="O1543" s="42">
        <f t="shared" si="628"/>
        <v>1</v>
      </c>
      <c r="P1543" s="42">
        <f t="shared" si="629"/>
        <v>1900</v>
      </c>
    </row>
    <row r="1544" spans="1:16" x14ac:dyDescent="0.25">
      <c r="A1544" s="21"/>
      <c r="B1544" s="22"/>
      <c r="C1544" s="20"/>
      <c r="D1544" s="21"/>
      <c r="E1544" s="21"/>
      <c r="F1544" s="20"/>
      <c r="G1544" s="22"/>
      <c r="I1544" s="40" t="str">
        <f>IFERROR(IF(VLOOKUP(E1544,extracto!C:C,1,FALSE)=E1544,"pagado","no pagado"),"no pagado")</f>
        <v>no pagado</v>
      </c>
      <c r="J1544" s="41" t="str">
        <f t="shared" ca="1" si="624"/>
        <v>fuera de fecha</v>
      </c>
      <c r="K1544" s="40" t="str">
        <f t="shared" ca="1" si="625"/>
        <v>excluir</v>
      </c>
      <c r="L1544" s="40" t="str">
        <f t="shared" ca="1" si="626"/>
        <v>no semana</v>
      </c>
      <c r="M1544" s="40" t="str">
        <f>IFERROR(VLOOKUP(E1544,'cheques a conf'!A:D,4,FALSE),"no clearing")</f>
        <v>no clearing</v>
      </c>
      <c r="N1544" s="40">
        <f t="shared" si="627"/>
        <v>1</v>
      </c>
      <c r="O1544" s="42">
        <f t="shared" si="628"/>
        <v>1</v>
      </c>
      <c r="P1544" s="42">
        <f t="shared" si="629"/>
        <v>1900</v>
      </c>
    </row>
    <row r="1545" spans="1:16" x14ac:dyDescent="0.25">
      <c r="A1545" s="21"/>
      <c r="B1545" s="22"/>
      <c r="C1545" s="20"/>
      <c r="D1545" s="21"/>
      <c r="E1545" s="21"/>
      <c r="F1545" s="20"/>
      <c r="G1545" s="22"/>
      <c r="I1545" s="40" t="str">
        <f>IFERROR(IF(VLOOKUP(E1545,extracto!C:C,1,FALSE)=E1545,"pagado","no pagado"),"no pagado")</f>
        <v>no pagado</v>
      </c>
      <c r="J1545" s="41" t="str">
        <f t="shared" ca="1" si="624"/>
        <v>fuera de fecha</v>
      </c>
      <c r="K1545" s="40" t="str">
        <f t="shared" ca="1" si="625"/>
        <v>excluir</v>
      </c>
      <c r="L1545" s="40" t="str">
        <f t="shared" ca="1" si="626"/>
        <v>no semana</v>
      </c>
      <c r="M1545" s="40" t="str">
        <f>IFERROR(VLOOKUP(E1545,'cheques a conf'!A:D,4,FALSE),"no clearing")</f>
        <v>no clearing</v>
      </c>
      <c r="N1545" s="40">
        <f t="shared" si="627"/>
        <v>1</v>
      </c>
      <c r="O1545" s="42">
        <f t="shared" si="628"/>
        <v>1</v>
      </c>
      <c r="P1545" s="42">
        <f t="shared" si="629"/>
        <v>1900</v>
      </c>
    </row>
    <row r="1546" spans="1:16" x14ac:dyDescent="0.25">
      <c r="A1546" s="21"/>
      <c r="B1546" s="22"/>
      <c r="C1546" s="20"/>
      <c r="D1546" s="21"/>
      <c r="E1546" s="21"/>
      <c r="F1546" s="20"/>
      <c r="G1546" s="22"/>
      <c r="I1546" s="40" t="str">
        <f>IFERROR(IF(VLOOKUP(E1546,extracto!C:C,1,FALSE)=E1546,"pagado","no pagado"),"no pagado")</f>
        <v>no pagado</v>
      </c>
      <c r="J1546" s="41" t="str">
        <f t="shared" ca="1" si="624"/>
        <v>fuera de fecha</v>
      </c>
      <c r="K1546" s="40" t="str">
        <f t="shared" ca="1" si="625"/>
        <v>excluir</v>
      </c>
      <c r="L1546" s="40" t="str">
        <f t="shared" ca="1" si="626"/>
        <v>no semana</v>
      </c>
      <c r="M1546" s="40" t="str">
        <f>IFERROR(VLOOKUP(E1546,'cheques a conf'!A:D,4,FALSE),"no clearing")</f>
        <v>no clearing</v>
      </c>
      <c r="N1546" s="40">
        <f t="shared" si="627"/>
        <v>1</v>
      </c>
      <c r="O1546" s="42">
        <f t="shared" si="628"/>
        <v>1</v>
      </c>
      <c r="P1546" s="42">
        <f t="shared" si="629"/>
        <v>1900</v>
      </c>
    </row>
    <row r="1547" spans="1:16" x14ac:dyDescent="0.25">
      <c r="A1547" s="21"/>
      <c r="B1547" s="22"/>
      <c r="C1547" s="20"/>
      <c r="D1547" s="21"/>
      <c r="E1547" s="21"/>
      <c r="F1547" s="20"/>
      <c r="G1547" s="22"/>
      <c r="I1547" s="40" t="str">
        <f>IFERROR(IF(VLOOKUP(E1547,extracto!C:C,1,FALSE)=E1547,"pagado","no pagado"),"no pagado")</f>
        <v>no pagado</v>
      </c>
      <c r="J1547" s="41" t="str">
        <f t="shared" ca="1" si="624"/>
        <v>fuera de fecha</v>
      </c>
      <c r="K1547" s="40" t="str">
        <f t="shared" ca="1" si="625"/>
        <v>excluir</v>
      </c>
      <c r="L1547" s="40" t="str">
        <f t="shared" ca="1" si="626"/>
        <v>no semana</v>
      </c>
      <c r="M1547" s="40" t="str">
        <f>IFERROR(VLOOKUP(E1547,'cheques a conf'!A:D,4,FALSE),"no clearing")</f>
        <v>no clearing</v>
      </c>
      <c r="N1547" s="40">
        <f t="shared" si="627"/>
        <v>1</v>
      </c>
      <c r="O1547" s="42">
        <f t="shared" si="628"/>
        <v>1</v>
      </c>
      <c r="P1547" s="42">
        <f t="shared" si="629"/>
        <v>1900</v>
      </c>
    </row>
    <row r="1548" spans="1:16" x14ac:dyDescent="0.25">
      <c r="A1548" s="21"/>
      <c r="B1548" s="22"/>
      <c r="C1548" s="20"/>
      <c r="D1548" s="21"/>
      <c r="E1548" s="21"/>
      <c r="F1548" s="20"/>
      <c r="G1548" s="22"/>
      <c r="I1548" s="40" t="str">
        <f>IFERROR(IF(VLOOKUP(E1548,extracto!C:C,1,FALSE)=E1548,"pagado","no pagado"),"no pagado")</f>
        <v>no pagado</v>
      </c>
      <c r="J1548" s="41" t="str">
        <f t="shared" ca="1" si="624"/>
        <v>fuera de fecha</v>
      </c>
      <c r="K1548" s="40" t="str">
        <f t="shared" ca="1" si="625"/>
        <v>excluir</v>
      </c>
      <c r="L1548" s="40" t="str">
        <f t="shared" ca="1" si="626"/>
        <v>no semana</v>
      </c>
      <c r="M1548" s="40" t="str">
        <f>IFERROR(VLOOKUP(E1548,'cheques a conf'!A:D,4,FALSE),"no clearing")</f>
        <v>no clearing</v>
      </c>
      <c r="N1548" s="40">
        <f t="shared" si="627"/>
        <v>1</v>
      </c>
      <c r="O1548" s="42">
        <f t="shared" si="628"/>
        <v>1</v>
      </c>
      <c r="P1548" s="42">
        <f t="shared" si="629"/>
        <v>1900</v>
      </c>
    </row>
    <row r="1549" spans="1:16" x14ac:dyDescent="0.25">
      <c r="A1549" s="21"/>
      <c r="B1549" s="22"/>
      <c r="C1549" s="20"/>
      <c r="D1549" s="21"/>
      <c r="E1549" s="21"/>
      <c r="F1549" s="20"/>
      <c r="G1549" s="22"/>
      <c r="I1549" s="40" t="str">
        <f>IFERROR(IF(VLOOKUP(E1549,extracto!C:C,1,FALSE)=E1549,"pagado","no pagado"),"no pagado")</f>
        <v>no pagado</v>
      </c>
      <c r="J1549" s="41" t="str">
        <f t="shared" ca="1" si="624"/>
        <v>fuera de fecha</v>
      </c>
      <c r="K1549" s="40" t="str">
        <f t="shared" ca="1" si="625"/>
        <v>excluir</v>
      </c>
      <c r="L1549" s="40" t="str">
        <f t="shared" ca="1" si="626"/>
        <v>no semana</v>
      </c>
      <c r="M1549" s="40" t="str">
        <f>IFERROR(VLOOKUP(E1549,'cheques a conf'!A:D,4,FALSE),"no clearing")</f>
        <v>no clearing</v>
      </c>
      <c r="N1549" s="40">
        <f t="shared" si="627"/>
        <v>1</v>
      </c>
      <c r="O1549" s="42">
        <f t="shared" si="628"/>
        <v>1</v>
      </c>
      <c r="P1549" s="42">
        <f t="shared" si="629"/>
        <v>1900</v>
      </c>
    </row>
    <row r="1550" spans="1:16" x14ac:dyDescent="0.25">
      <c r="A1550" s="21"/>
      <c r="B1550" s="22"/>
      <c r="C1550" s="20"/>
      <c r="D1550" s="21"/>
      <c r="E1550" s="21"/>
      <c r="F1550" s="20"/>
      <c r="G1550" s="22"/>
      <c r="I1550" s="40" t="str">
        <f>IFERROR(IF(VLOOKUP(E1550,extracto!C:C,1,FALSE)=E1550,"pagado","no pagado"),"no pagado")</f>
        <v>no pagado</v>
      </c>
      <c r="J1550" s="41" t="str">
        <f t="shared" ca="1" si="624"/>
        <v>fuera de fecha</v>
      </c>
      <c r="K1550" s="40" t="str">
        <f t="shared" ca="1" si="625"/>
        <v>excluir</v>
      </c>
      <c r="L1550" s="40" t="str">
        <f t="shared" ca="1" si="626"/>
        <v>no semana</v>
      </c>
      <c r="M1550" s="40" t="str">
        <f>IFERROR(VLOOKUP(E1550,'cheques a conf'!A:D,4,FALSE),"no clearing")</f>
        <v>no clearing</v>
      </c>
      <c r="N1550" s="40">
        <f t="shared" si="627"/>
        <v>1</v>
      </c>
      <c r="O1550" s="42">
        <f t="shared" si="628"/>
        <v>1</v>
      </c>
      <c r="P1550" s="42">
        <f t="shared" si="629"/>
        <v>1900</v>
      </c>
    </row>
    <row r="1551" spans="1:16" x14ac:dyDescent="0.25">
      <c r="A1551" s="21"/>
      <c r="B1551" s="22"/>
      <c r="C1551" s="20"/>
      <c r="D1551" s="21"/>
      <c r="E1551" s="21"/>
      <c r="F1551" s="20"/>
      <c r="G1551" s="22"/>
      <c r="I1551" s="40" t="str">
        <f>IFERROR(IF(VLOOKUP(E1551,extracto!C:C,1,FALSE)=E1551,"pagado","no pagado"),"no pagado")</f>
        <v>no pagado</v>
      </c>
      <c r="J1551" s="41" t="str">
        <f t="shared" ca="1" si="624"/>
        <v>fuera de fecha</v>
      </c>
      <c r="K1551" s="40" t="str">
        <f t="shared" ca="1" si="625"/>
        <v>excluir</v>
      </c>
      <c r="L1551" s="40" t="str">
        <f t="shared" ca="1" si="626"/>
        <v>no semana</v>
      </c>
      <c r="M1551" s="40" t="str">
        <f>IFERROR(VLOOKUP(E1551,'cheques a conf'!A:D,4,FALSE),"no clearing")</f>
        <v>no clearing</v>
      </c>
      <c r="N1551" s="40">
        <f t="shared" si="627"/>
        <v>1</v>
      </c>
      <c r="O1551" s="42">
        <f t="shared" si="628"/>
        <v>1</v>
      </c>
      <c r="P1551" s="42">
        <f t="shared" si="629"/>
        <v>1900</v>
      </c>
    </row>
    <row r="1552" spans="1:16" x14ac:dyDescent="0.25">
      <c r="A1552" s="21"/>
      <c r="B1552" s="22"/>
      <c r="C1552" s="20"/>
      <c r="D1552" s="21"/>
      <c r="E1552" s="21"/>
      <c r="F1552" s="20"/>
      <c r="G1552" s="22"/>
      <c r="I1552" s="40" t="str">
        <f>IFERROR(IF(VLOOKUP(E1552,extracto!C:C,1,FALSE)=E1552,"pagado","no pagado"),"no pagado")</f>
        <v>no pagado</v>
      </c>
      <c r="J1552" s="41" t="str">
        <f t="shared" ca="1" si="624"/>
        <v>fuera de fecha</v>
      </c>
      <c r="K1552" s="40" t="str">
        <f t="shared" ca="1" si="625"/>
        <v>excluir</v>
      </c>
      <c r="L1552" s="40" t="str">
        <f t="shared" ca="1" si="626"/>
        <v>no semana</v>
      </c>
      <c r="M1552" s="40" t="str">
        <f>IFERROR(VLOOKUP(E1552,'cheques a conf'!A:D,4,FALSE),"no clearing")</f>
        <v>no clearing</v>
      </c>
      <c r="N1552" s="40">
        <f t="shared" si="627"/>
        <v>1</v>
      </c>
      <c r="O1552" s="42">
        <f t="shared" si="628"/>
        <v>1</v>
      </c>
      <c r="P1552" s="42">
        <f t="shared" si="629"/>
        <v>1900</v>
      </c>
    </row>
    <row r="1553" spans="1:16" x14ac:dyDescent="0.25">
      <c r="A1553" s="21"/>
      <c r="B1553" s="22"/>
      <c r="C1553" s="20"/>
      <c r="D1553" s="21"/>
      <c r="E1553" s="21"/>
      <c r="F1553" s="20"/>
      <c r="G1553" s="22"/>
      <c r="I1553" s="40" t="str">
        <f>IFERROR(IF(VLOOKUP(E1553,extracto!C:C,1,FALSE)=E1553,"pagado","no pagado"),"no pagado")</f>
        <v>no pagado</v>
      </c>
      <c r="J1553" s="41" t="str">
        <f t="shared" ca="1" si="624"/>
        <v>fuera de fecha</v>
      </c>
      <c r="K1553" s="40" t="str">
        <f t="shared" ca="1" si="625"/>
        <v>excluir</v>
      </c>
      <c r="L1553" s="40" t="str">
        <f t="shared" ca="1" si="626"/>
        <v>no semana</v>
      </c>
      <c r="M1553" s="40" t="str">
        <f>IFERROR(VLOOKUP(E1553,'cheques a conf'!A:D,4,FALSE),"no clearing")</f>
        <v>no clearing</v>
      </c>
      <c r="N1553" s="40">
        <f t="shared" si="627"/>
        <v>1</v>
      </c>
      <c r="O1553" s="42">
        <f t="shared" si="628"/>
        <v>1</v>
      </c>
      <c r="P1553" s="42">
        <f t="shared" si="629"/>
        <v>1900</v>
      </c>
    </row>
    <row r="1554" spans="1:16" x14ac:dyDescent="0.25">
      <c r="A1554" s="21"/>
      <c r="B1554" s="22"/>
      <c r="C1554" s="20"/>
      <c r="D1554" s="21"/>
      <c r="E1554" s="21"/>
      <c r="F1554" s="20"/>
      <c r="G1554" s="22"/>
      <c r="I1554" s="40" t="str">
        <f>IFERROR(IF(VLOOKUP(E1554,extracto!C:C,1,FALSE)=E1554,"pagado","no pagado"),"no pagado")</f>
        <v>no pagado</v>
      </c>
      <c r="J1554" s="41" t="str">
        <f t="shared" ca="1" si="624"/>
        <v>fuera de fecha</v>
      </c>
      <c r="K1554" s="40" t="str">
        <f t="shared" ca="1" si="625"/>
        <v>excluir</v>
      </c>
      <c r="L1554" s="40" t="str">
        <f t="shared" ca="1" si="626"/>
        <v>no semana</v>
      </c>
      <c r="M1554" s="40" t="str">
        <f>IFERROR(VLOOKUP(E1554,'cheques a conf'!A:D,4,FALSE),"no clearing")</f>
        <v>no clearing</v>
      </c>
      <c r="N1554" s="40">
        <f t="shared" si="627"/>
        <v>1</v>
      </c>
      <c r="O1554" s="42">
        <f t="shared" si="628"/>
        <v>1</v>
      </c>
      <c r="P1554" s="42">
        <f t="shared" si="629"/>
        <v>1900</v>
      </c>
    </row>
    <row r="1555" spans="1:16" x14ac:dyDescent="0.25">
      <c r="A1555" s="21"/>
      <c r="B1555" s="22"/>
      <c r="C1555" s="20"/>
      <c r="D1555" s="21"/>
      <c r="E1555" s="21"/>
      <c r="F1555" s="20"/>
      <c r="G1555" s="22"/>
      <c r="I1555" s="40" t="str">
        <f>IFERROR(IF(VLOOKUP(E1555,extracto!C:C,1,FALSE)=E1555,"pagado","no pagado"),"no pagado")</f>
        <v>no pagado</v>
      </c>
      <c r="J1555" s="41" t="str">
        <f t="shared" ca="1" si="624"/>
        <v>fuera de fecha</v>
      </c>
      <c r="K1555" s="40" t="str">
        <f t="shared" ca="1" si="625"/>
        <v>excluir</v>
      </c>
      <c r="L1555" s="40" t="str">
        <f t="shared" ca="1" si="626"/>
        <v>no semana</v>
      </c>
      <c r="M1555" s="40" t="str">
        <f>IFERROR(VLOOKUP(E1555,'cheques a conf'!A:D,4,FALSE),"no clearing")</f>
        <v>no clearing</v>
      </c>
      <c r="N1555" s="40">
        <f t="shared" si="627"/>
        <v>1</v>
      </c>
      <c r="O1555" s="42">
        <f t="shared" si="628"/>
        <v>1</v>
      </c>
      <c r="P1555" s="42">
        <f t="shared" si="629"/>
        <v>1900</v>
      </c>
    </row>
    <row r="1556" spans="1:16" x14ac:dyDescent="0.25">
      <c r="A1556" s="21"/>
      <c r="B1556" s="22"/>
      <c r="C1556" s="20"/>
      <c r="D1556" s="21"/>
      <c r="E1556" s="21"/>
      <c r="F1556" s="20"/>
      <c r="G1556" s="22"/>
      <c r="I1556" s="40" t="str">
        <f>IFERROR(IF(VLOOKUP(E1556,extracto!C:C,1,FALSE)=E1556,"pagado","no pagado"),"no pagado")</f>
        <v>no pagado</v>
      </c>
      <c r="J1556" s="41" t="str">
        <f t="shared" ca="1" si="624"/>
        <v>fuera de fecha</v>
      </c>
      <c r="K1556" s="40" t="str">
        <f t="shared" ca="1" si="625"/>
        <v>excluir</v>
      </c>
      <c r="L1556" s="40" t="str">
        <f t="shared" ca="1" si="626"/>
        <v>no semana</v>
      </c>
      <c r="M1556" s="40" t="str">
        <f>IFERROR(VLOOKUP(E1556,'cheques a conf'!A:D,4,FALSE),"no clearing")</f>
        <v>no clearing</v>
      </c>
      <c r="N1556" s="40">
        <f t="shared" si="627"/>
        <v>1</v>
      </c>
      <c r="O1556" s="42">
        <f t="shared" si="628"/>
        <v>1</v>
      </c>
      <c r="P1556" s="42">
        <f t="shared" si="629"/>
        <v>1900</v>
      </c>
    </row>
    <row r="1557" spans="1:16" x14ac:dyDescent="0.25">
      <c r="A1557" s="21"/>
      <c r="B1557" s="22"/>
      <c r="C1557" s="20"/>
      <c r="D1557" s="21"/>
      <c r="E1557" s="21"/>
      <c r="F1557" s="20"/>
      <c r="G1557" s="22"/>
      <c r="I1557" s="40" t="str">
        <f>IFERROR(IF(VLOOKUP(E1557,extracto!C:C,1,FALSE)=E1557,"pagado","no pagado"),"no pagado")</f>
        <v>no pagado</v>
      </c>
      <c r="J1557" s="41" t="str">
        <f t="shared" ca="1" si="624"/>
        <v>fuera de fecha</v>
      </c>
      <c r="K1557" s="40" t="str">
        <f t="shared" ca="1" si="625"/>
        <v>excluir</v>
      </c>
      <c r="L1557" s="40" t="str">
        <f t="shared" ca="1" si="626"/>
        <v>no semana</v>
      </c>
      <c r="M1557" s="40" t="str">
        <f>IFERROR(VLOOKUP(E1557,'cheques a conf'!A:D,4,FALSE),"no clearing")</f>
        <v>no clearing</v>
      </c>
      <c r="N1557" s="40">
        <f t="shared" si="627"/>
        <v>1</v>
      </c>
      <c r="O1557" s="42">
        <f t="shared" si="628"/>
        <v>1</v>
      </c>
      <c r="P1557" s="42">
        <f t="shared" si="629"/>
        <v>1900</v>
      </c>
    </row>
    <row r="1558" spans="1:16" x14ac:dyDescent="0.25">
      <c r="A1558" s="21"/>
      <c r="B1558" s="22"/>
      <c r="C1558" s="20"/>
      <c r="D1558" s="21"/>
      <c r="E1558" s="21"/>
      <c r="F1558" s="20"/>
      <c r="G1558" s="22"/>
      <c r="I1558" s="40" t="str">
        <f>IFERROR(IF(VLOOKUP(E1558,extracto!C:C,1,FALSE)=E1558,"pagado","no pagado"),"no pagado")</f>
        <v>no pagado</v>
      </c>
      <c r="J1558" s="41" t="str">
        <f t="shared" ca="1" si="624"/>
        <v>fuera de fecha</v>
      </c>
      <c r="K1558" s="40" t="str">
        <f t="shared" ca="1" si="625"/>
        <v>excluir</v>
      </c>
      <c r="L1558" s="40" t="str">
        <f t="shared" ca="1" si="626"/>
        <v>no semana</v>
      </c>
      <c r="M1558" s="40" t="str">
        <f>IFERROR(VLOOKUP(E1558,'cheques a conf'!A:D,4,FALSE),"no clearing")</f>
        <v>no clearing</v>
      </c>
      <c r="N1558" s="40">
        <f t="shared" si="627"/>
        <v>1</v>
      </c>
      <c r="O1558" s="42">
        <f t="shared" si="628"/>
        <v>1</v>
      </c>
      <c r="P1558" s="42">
        <f t="shared" si="629"/>
        <v>1900</v>
      </c>
    </row>
    <row r="1559" spans="1:16" x14ac:dyDescent="0.25">
      <c r="A1559" s="21"/>
      <c r="B1559" s="22"/>
      <c r="C1559" s="20"/>
      <c r="D1559" s="21"/>
      <c r="E1559" s="21"/>
      <c r="F1559" s="20"/>
      <c r="G1559" s="22"/>
      <c r="I1559" s="40" t="str">
        <f>IFERROR(IF(VLOOKUP(E1559,extracto!C:C,1,FALSE)=E1559,"pagado","no pagado"),"no pagado")</f>
        <v>no pagado</v>
      </c>
      <c r="J1559" s="41" t="str">
        <f t="shared" ca="1" si="624"/>
        <v>fuera de fecha</v>
      </c>
      <c r="K1559" s="40" t="str">
        <f t="shared" ca="1" si="625"/>
        <v>excluir</v>
      </c>
      <c r="L1559" s="40" t="str">
        <f t="shared" ca="1" si="626"/>
        <v>no semana</v>
      </c>
      <c r="M1559" s="40" t="str">
        <f>IFERROR(VLOOKUP(E1559,'cheques a conf'!A:D,4,FALSE),"no clearing")</f>
        <v>no clearing</v>
      </c>
      <c r="N1559" s="40">
        <f t="shared" si="627"/>
        <v>1</v>
      </c>
      <c r="O1559" s="42">
        <f t="shared" si="628"/>
        <v>1</v>
      </c>
      <c r="P1559" s="42">
        <f t="shared" si="629"/>
        <v>1900</v>
      </c>
    </row>
    <row r="1560" spans="1:16" x14ac:dyDescent="0.25">
      <c r="A1560" s="21"/>
      <c r="B1560" s="22"/>
      <c r="C1560" s="20"/>
      <c r="D1560" s="21"/>
      <c r="E1560" s="21"/>
      <c r="F1560" s="20"/>
      <c r="G1560" s="22"/>
      <c r="I1560" s="40" t="str">
        <f>IFERROR(IF(VLOOKUP(E1560,extracto!C:C,1,FALSE)=E1560,"pagado","no pagado"),"no pagado")</f>
        <v>no pagado</v>
      </c>
      <c r="J1560" s="41" t="str">
        <f t="shared" ca="1" si="624"/>
        <v>fuera de fecha</v>
      </c>
      <c r="K1560" s="40" t="str">
        <f t="shared" ca="1" si="625"/>
        <v>excluir</v>
      </c>
      <c r="L1560" s="40" t="str">
        <f t="shared" ca="1" si="626"/>
        <v>no semana</v>
      </c>
      <c r="M1560" s="40" t="str">
        <f>IFERROR(VLOOKUP(E1560,'cheques a conf'!A:D,4,FALSE),"no clearing")</f>
        <v>no clearing</v>
      </c>
      <c r="N1560" s="40">
        <f t="shared" si="627"/>
        <v>1</v>
      </c>
      <c r="O1560" s="42">
        <f t="shared" si="628"/>
        <v>1</v>
      </c>
      <c r="P1560" s="42">
        <f t="shared" si="629"/>
        <v>1900</v>
      </c>
    </row>
    <row r="1561" spans="1:16" x14ac:dyDescent="0.25">
      <c r="A1561" s="21"/>
      <c r="B1561" s="22"/>
      <c r="C1561" s="20"/>
      <c r="D1561" s="21"/>
      <c r="E1561" s="21"/>
      <c r="F1561" s="20"/>
      <c r="G1561" s="22"/>
      <c r="I1561" s="40" t="str">
        <f>IFERROR(IF(VLOOKUP(E1561,extracto!C:C,1,FALSE)=E1561,"pagado","no pagado"),"no pagado")</f>
        <v>no pagado</v>
      </c>
      <c r="J1561" s="41" t="str">
        <f t="shared" ca="1" si="624"/>
        <v>fuera de fecha</v>
      </c>
      <c r="K1561" s="40" t="str">
        <f t="shared" ca="1" si="625"/>
        <v>excluir</v>
      </c>
      <c r="L1561" s="40" t="str">
        <f t="shared" ca="1" si="626"/>
        <v>no semana</v>
      </c>
      <c r="M1561" s="40" t="str">
        <f>IFERROR(VLOOKUP(E1561,'cheques a conf'!A:D,4,FALSE),"no clearing")</f>
        <v>no clearing</v>
      </c>
      <c r="N1561" s="40">
        <f t="shared" si="627"/>
        <v>1</v>
      </c>
      <c r="O1561" s="42">
        <f t="shared" si="628"/>
        <v>1</v>
      </c>
      <c r="P1561" s="42">
        <f t="shared" si="629"/>
        <v>1900</v>
      </c>
    </row>
    <row r="1562" spans="1:16" x14ac:dyDescent="0.25">
      <c r="A1562" s="21"/>
      <c r="B1562" s="22"/>
      <c r="C1562" s="20"/>
      <c r="D1562" s="21"/>
      <c r="E1562" s="21"/>
      <c r="F1562" s="20"/>
      <c r="G1562" s="22"/>
      <c r="I1562" s="40" t="str">
        <f>IFERROR(IF(VLOOKUP(E1562,extracto!C:C,1,FALSE)=E1562,"pagado","no pagado"),"no pagado")</f>
        <v>no pagado</v>
      </c>
      <c r="J1562" s="41" t="str">
        <f t="shared" ca="1" si="624"/>
        <v>fuera de fecha</v>
      </c>
      <c r="K1562" s="40" t="str">
        <f t="shared" ca="1" si="625"/>
        <v>excluir</v>
      </c>
      <c r="L1562" s="40" t="str">
        <f t="shared" ca="1" si="626"/>
        <v>no semana</v>
      </c>
      <c r="M1562" s="40" t="str">
        <f>IFERROR(VLOOKUP(E1562,'cheques a conf'!A:D,4,FALSE),"no clearing")</f>
        <v>no clearing</v>
      </c>
      <c r="N1562" s="40">
        <f t="shared" si="627"/>
        <v>1</v>
      </c>
      <c r="O1562" s="42">
        <f t="shared" si="628"/>
        <v>1</v>
      </c>
      <c r="P1562" s="42">
        <f t="shared" si="629"/>
        <v>1900</v>
      </c>
    </row>
    <row r="1563" spans="1:16" x14ac:dyDescent="0.25">
      <c r="A1563" s="21"/>
      <c r="B1563" s="22"/>
      <c r="C1563" s="20"/>
      <c r="D1563" s="21"/>
      <c r="E1563" s="21"/>
      <c r="F1563" s="20"/>
      <c r="G1563" s="22"/>
      <c r="I1563" s="40" t="str">
        <f>IFERROR(IF(VLOOKUP(E1563,extracto!C:C,1,FALSE)=E1563,"pagado","no pagado"),"no pagado")</f>
        <v>no pagado</v>
      </c>
      <c r="J1563" s="41" t="str">
        <f t="shared" ref="J1563:J1625" ca="1" si="630">IF(I1563="pagado","pagado",IF(G1563&lt;$V$1-30,"fuera de fecha","en periodo de pago"))</f>
        <v>fuera de fecha</v>
      </c>
      <c r="K1563" s="40" t="str">
        <f t="shared" ref="K1563:K1625" ca="1" si="631">+IF(B1563&gt;$V$1,"excluir",IF(J1563="en periodo de pago",IF($V$1&gt;G1563,"a pagar","proximo a vencer"),"excluir"))</f>
        <v>excluir</v>
      </c>
      <c r="L1563" s="40" t="str">
        <f t="shared" ref="L1563:L1625" ca="1" si="632">+IF(K1563="proximo a vencer",IF($V$1+5&gt;G1563,"para la semana","no semana"),"no semana")</f>
        <v>no semana</v>
      </c>
      <c r="M1563" s="40" t="str">
        <f>IFERROR(VLOOKUP(E1563,'cheques a conf'!A:D,4,FALSE),"no clearing")</f>
        <v>no clearing</v>
      </c>
      <c r="N1563" s="40">
        <f t="shared" ref="N1563:N1625" si="633">+WEEKNUM(G1563,2)</f>
        <v>1</v>
      </c>
      <c r="O1563" s="42">
        <f t="shared" ref="O1563:O1625" si="634">+MONTH(G1563)</f>
        <v>1</v>
      </c>
      <c r="P1563" s="42">
        <f t="shared" ref="P1563:P1625" si="635">+YEAR(G1563)</f>
        <v>1900</v>
      </c>
    </row>
    <row r="1564" spans="1:16" x14ac:dyDescent="0.25">
      <c r="A1564" s="21"/>
      <c r="B1564" s="22"/>
      <c r="C1564" s="20"/>
      <c r="D1564" s="21"/>
      <c r="E1564" s="21"/>
      <c r="F1564" s="20"/>
      <c r="G1564" s="22"/>
      <c r="I1564" s="40" t="str">
        <f>IFERROR(IF(VLOOKUP(E1564,extracto!C:C,1,FALSE)=E1564,"pagado","no pagado"),"no pagado")</f>
        <v>no pagado</v>
      </c>
      <c r="J1564" s="41" t="str">
        <f t="shared" ca="1" si="630"/>
        <v>fuera de fecha</v>
      </c>
      <c r="K1564" s="40" t="str">
        <f t="shared" ca="1" si="631"/>
        <v>excluir</v>
      </c>
      <c r="L1564" s="40" t="str">
        <f t="shared" ca="1" si="632"/>
        <v>no semana</v>
      </c>
      <c r="M1564" s="40" t="str">
        <f>IFERROR(VLOOKUP(E1564,'cheques a conf'!A:D,4,FALSE),"no clearing")</f>
        <v>no clearing</v>
      </c>
      <c r="N1564" s="40">
        <f t="shared" si="633"/>
        <v>1</v>
      </c>
      <c r="O1564" s="42">
        <f t="shared" si="634"/>
        <v>1</v>
      </c>
      <c r="P1564" s="42">
        <f t="shared" si="635"/>
        <v>1900</v>
      </c>
    </row>
    <row r="1565" spans="1:16" x14ac:dyDescent="0.25">
      <c r="A1565" s="21"/>
      <c r="B1565" s="22"/>
      <c r="C1565" s="20"/>
      <c r="D1565" s="21"/>
      <c r="E1565" s="21"/>
      <c r="F1565" s="20"/>
      <c r="G1565" s="22"/>
      <c r="I1565" s="40" t="str">
        <f>IFERROR(IF(VLOOKUP(E1565,extracto!C:C,1,FALSE)=E1565,"pagado","no pagado"),"no pagado")</f>
        <v>no pagado</v>
      </c>
      <c r="J1565" s="41" t="str">
        <f t="shared" ca="1" si="630"/>
        <v>fuera de fecha</v>
      </c>
      <c r="K1565" s="40" t="str">
        <f t="shared" ca="1" si="631"/>
        <v>excluir</v>
      </c>
      <c r="L1565" s="40" t="str">
        <f t="shared" ca="1" si="632"/>
        <v>no semana</v>
      </c>
      <c r="M1565" s="40" t="str">
        <f>IFERROR(VLOOKUP(E1565,'cheques a conf'!A:D,4,FALSE),"no clearing")</f>
        <v>no clearing</v>
      </c>
      <c r="N1565" s="40">
        <f t="shared" si="633"/>
        <v>1</v>
      </c>
      <c r="O1565" s="42">
        <f t="shared" si="634"/>
        <v>1</v>
      </c>
      <c r="P1565" s="42">
        <f t="shared" si="635"/>
        <v>1900</v>
      </c>
    </row>
    <row r="1566" spans="1:16" x14ac:dyDescent="0.25">
      <c r="A1566" s="21"/>
      <c r="B1566" s="22"/>
      <c r="C1566" s="20"/>
      <c r="D1566" s="21"/>
      <c r="E1566" s="21"/>
      <c r="F1566" s="20"/>
      <c r="G1566" s="22"/>
      <c r="I1566" s="40" t="str">
        <f>IFERROR(IF(VLOOKUP(E1566,extracto!C:C,1,FALSE)=E1566,"pagado","no pagado"),"no pagado")</f>
        <v>no pagado</v>
      </c>
      <c r="J1566" s="41" t="str">
        <f t="shared" ca="1" si="630"/>
        <v>fuera de fecha</v>
      </c>
      <c r="K1566" s="40" t="str">
        <f t="shared" ca="1" si="631"/>
        <v>excluir</v>
      </c>
      <c r="L1566" s="40" t="str">
        <f t="shared" ca="1" si="632"/>
        <v>no semana</v>
      </c>
      <c r="M1566" s="40" t="str">
        <f>IFERROR(VLOOKUP(E1566,'cheques a conf'!A:D,4,FALSE),"no clearing")</f>
        <v>no clearing</v>
      </c>
      <c r="N1566" s="40">
        <f t="shared" si="633"/>
        <v>1</v>
      </c>
      <c r="O1566" s="42">
        <f t="shared" si="634"/>
        <v>1</v>
      </c>
      <c r="P1566" s="42">
        <f t="shared" si="635"/>
        <v>1900</v>
      </c>
    </row>
    <row r="1567" spans="1:16" x14ac:dyDescent="0.25">
      <c r="A1567" s="21"/>
      <c r="B1567" s="22"/>
      <c r="C1567" s="20"/>
      <c r="D1567" s="21"/>
      <c r="E1567" s="21"/>
      <c r="F1567" s="20"/>
      <c r="G1567" s="22"/>
      <c r="I1567" s="40" t="str">
        <f>IFERROR(IF(VLOOKUP(E1567,extracto!C:C,1,FALSE)=E1567,"pagado","no pagado"),"no pagado")</f>
        <v>no pagado</v>
      </c>
      <c r="J1567" s="41" t="str">
        <f t="shared" ca="1" si="630"/>
        <v>fuera de fecha</v>
      </c>
      <c r="K1567" s="40" t="str">
        <f t="shared" ca="1" si="631"/>
        <v>excluir</v>
      </c>
      <c r="L1567" s="40" t="str">
        <f t="shared" ca="1" si="632"/>
        <v>no semana</v>
      </c>
      <c r="M1567" s="40" t="str">
        <f>IFERROR(VLOOKUP(E1567,'cheques a conf'!A:D,4,FALSE),"no clearing")</f>
        <v>no clearing</v>
      </c>
      <c r="N1567" s="40">
        <f t="shared" si="633"/>
        <v>1</v>
      </c>
      <c r="O1567" s="42">
        <f t="shared" si="634"/>
        <v>1</v>
      </c>
      <c r="P1567" s="42">
        <f t="shared" si="635"/>
        <v>1900</v>
      </c>
    </row>
    <row r="1568" spans="1:16" x14ac:dyDescent="0.25">
      <c r="A1568" s="21"/>
      <c r="B1568" s="22"/>
      <c r="C1568" s="20"/>
      <c r="D1568" s="21"/>
      <c r="E1568" s="21"/>
      <c r="F1568" s="20"/>
      <c r="G1568" s="22"/>
      <c r="I1568" s="40" t="str">
        <f>IFERROR(IF(VLOOKUP(E1568,extracto!C:C,1,FALSE)=E1568,"pagado","no pagado"),"no pagado")</f>
        <v>no pagado</v>
      </c>
      <c r="J1568" s="41" t="str">
        <f t="shared" ca="1" si="630"/>
        <v>fuera de fecha</v>
      </c>
      <c r="K1568" s="40" t="str">
        <f t="shared" ca="1" si="631"/>
        <v>excluir</v>
      </c>
      <c r="L1568" s="40" t="str">
        <f t="shared" ca="1" si="632"/>
        <v>no semana</v>
      </c>
      <c r="M1568" s="40" t="str">
        <f>IFERROR(VLOOKUP(E1568,'cheques a conf'!A:D,4,FALSE),"no clearing")</f>
        <v>no clearing</v>
      </c>
      <c r="N1568" s="40">
        <f t="shared" si="633"/>
        <v>1</v>
      </c>
      <c r="O1568" s="42">
        <f t="shared" si="634"/>
        <v>1</v>
      </c>
      <c r="P1568" s="42">
        <f t="shared" si="635"/>
        <v>1900</v>
      </c>
    </row>
    <row r="1569" spans="1:16" x14ac:dyDescent="0.25">
      <c r="A1569" s="21"/>
      <c r="B1569" s="22"/>
      <c r="C1569" s="20"/>
      <c r="D1569" s="21"/>
      <c r="E1569" s="21"/>
      <c r="F1569" s="20"/>
      <c r="G1569" s="22"/>
      <c r="I1569" s="40" t="str">
        <f>IFERROR(IF(VLOOKUP(E1569,extracto!C:C,1,FALSE)=E1569,"pagado","no pagado"),"no pagado")</f>
        <v>no pagado</v>
      </c>
      <c r="J1569" s="41" t="str">
        <f t="shared" ca="1" si="630"/>
        <v>fuera de fecha</v>
      </c>
      <c r="K1569" s="40" t="str">
        <f t="shared" ca="1" si="631"/>
        <v>excluir</v>
      </c>
      <c r="L1569" s="40" t="str">
        <f t="shared" ca="1" si="632"/>
        <v>no semana</v>
      </c>
      <c r="M1569" s="40" t="str">
        <f>IFERROR(VLOOKUP(E1569,'cheques a conf'!A:D,4,FALSE),"no clearing")</f>
        <v>no clearing</v>
      </c>
      <c r="N1569" s="40">
        <f t="shared" si="633"/>
        <v>1</v>
      </c>
      <c r="O1569" s="42">
        <f t="shared" si="634"/>
        <v>1</v>
      </c>
      <c r="P1569" s="42">
        <f t="shared" si="635"/>
        <v>1900</v>
      </c>
    </row>
    <row r="1570" spans="1:16" x14ac:dyDescent="0.25">
      <c r="A1570" s="21"/>
      <c r="B1570" s="22"/>
      <c r="C1570" s="20"/>
      <c r="D1570" s="21"/>
      <c r="E1570" s="21"/>
      <c r="F1570" s="20"/>
      <c r="G1570" s="22"/>
      <c r="I1570" s="40" t="str">
        <f>IFERROR(IF(VLOOKUP(E1570,extracto!C:C,1,FALSE)=E1570,"pagado","no pagado"),"no pagado")</f>
        <v>no pagado</v>
      </c>
      <c r="J1570" s="41" t="str">
        <f t="shared" ca="1" si="630"/>
        <v>fuera de fecha</v>
      </c>
      <c r="K1570" s="40" t="str">
        <f t="shared" ca="1" si="631"/>
        <v>excluir</v>
      </c>
      <c r="L1570" s="40" t="str">
        <f t="shared" ca="1" si="632"/>
        <v>no semana</v>
      </c>
      <c r="M1570" s="40" t="str">
        <f>IFERROR(VLOOKUP(E1570,'cheques a conf'!A:D,4,FALSE),"no clearing")</f>
        <v>no clearing</v>
      </c>
      <c r="N1570" s="40">
        <f t="shared" si="633"/>
        <v>1</v>
      </c>
      <c r="O1570" s="42">
        <f t="shared" si="634"/>
        <v>1</v>
      </c>
      <c r="P1570" s="42">
        <f t="shared" si="635"/>
        <v>1900</v>
      </c>
    </row>
    <row r="1571" spans="1:16" x14ac:dyDescent="0.25">
      <c r="A1571" s="21"/>
      <c r="B1571" s="22"/>
      <c r="C1571" s="20"/>
      <c r="D1571" s="21"/>
      <c r="E1571" s="21"/>
      <c r="F1571" s="20"/>
      <c r="G1571" s="22"/>
      <c r="I1571" s="40" t="str">
        <f>IFERROR(IF(VLOOKUP(E1571,extracto!C:C,1,FALSE)=E1571,"pagado","no pagado"),"no pagado")</f>
        <v>no pagado</v>
      </c>
      <c r="J1571" s="41" t="str">
        <f t="shared" ca="1" si="630"/>
        <v>fuera de fecha</v>
      </c>
      <c r="K1571" s="40" t="str">
        <f t="shared" ca="1" si="631"/>
        <v>excluir</v>
      </c>
      <c r="L1571" s="40" t="str">
        <f t="shared" ca="1" si="632"/>
        <v>no semana</v>
      </c>
      <c r="M1571" s="40" t="str">
        <f>IFERROR(VLOOKUP(E1571,'cheques a conf'!A:D,4,FALSE),"no clearing")</f>
        <v>no clearing</v>
      </c>
      <c r="N1571" s="40">
        <f t="shared" si="633"/>
        <v>1</v>
      </c>
      <c r="O1571" s="42">
        <f t="shared" si="634"/>
        <v>1</v>
      </c>
      <c r="P1571" s="42">
        <f t="shared" si="635"/>
        <v>1900</v>
      </c>
    </row>
    <row r="1572" spans="1:16" x14ac:dyDescent="0.25">
      <c r="A1572" s="21"/>
      <c r="B1572" s="22"/>
      <c r="C1572" s="20"/>
      <c r="D1572" s="21"/>
      <c r="E1572" s="21"/>
      <c r="F1572" s="20"/>
      <c r="G1572" s="22"/>
      <c r="I1572" s="40" t="str">
        <f>IFERROR(IF(VLOOKUP(E1572,extracto!C:C,1,FALSE)=E1572,"pagado","no pagado"),"no pagado")</f>
        <v>no pagado</v>
      </c>
      <c r="J1572" s="41" t="str">
        <f t="shared" ca="1" si="630"/>
        <v>fuera de fecha</v>
      </c>
      <c r="K1572" s="40" t="str">
        <f t="shared" ca="1" si="631"/>
        <v>excluir</v>
      </c>
      <c r="L1572" s="40" t="str">
        <f t="shared" ca="1" si="632"/>
        <v>no semana</v>
      </c>
      <c r="M1572" s="40" t="str">
        <f>IFERROR(VLOOKUP(E1572,'cheques a conf'!A:D,4,FALSE),"no clearing")</f>
        <v>no clearing</v>
      </c>
      <c r="N1572" s="40">
        <f t="shared" si="633"/>
        <v>1</v>
      </c>
      <c r="O1572" s="42">
        <f t="shared" si="634"/>
        <v>1</v>
      </c>
      <c r="P1572" s="42">
        <f t="shared" si="635"/>
        <v>1900</v>
      </c>
    </row>
    <row r="1573" spans="1:16" x14ac:dyDescent="0.25">
      <c r="A1573" s="21"/>
      <c r="B1573" s="22"/>
      <c r="C1573" s="20"/>
      <c r="D1573" s="21"/>
      <c r="E1573" s="21"/>
      <c r="F1573" s="20"/>
      <c r="G1573" s="22"/>
      <c r="I1573" s="40" t="str">
        <f>IFERROR(IF(VLOOKUP(E1573,extracto!C:C,1,FALSE)=E1573,"pagado","no pagado"),"no pagado")</f>
        <v>no pagado</v>
      </c>
      <c r="J1573" s="41" t="str">
        <f t="shared" ca="1" si="630"/>
        <v>fuera de fecha</v>
      </c>
      <c r="K1573" s="40" t="str">
        <f t="shared" ca="1" si="631"/>
        <v>excluir</v>
      </c>
      <c r="L1573" s="40" t="str">
        <f t="shared" ca="1" si="632"/>
        <v>no semana</v>
      </c>
      <c r="M1573" s="40" t="str">
        <f>IFERROR(VLOOKUP(E1573,'cheques a conf'!A:D,4,FALSE),"no clearing")</f>
        <v>no clearing</v>
      </c>
      <c r="N1573" s="40">
        <f t="shared" si="633"/>
        <v>1</v>
      </c>
      <c r="O1573" s="42">
        <f t="shared" si="634"/>
        <v>1</v>
      </c>
      <c r="P1573" s="42">
        <f t="shared" si="635"/>
        <v>1900</v>
      </c>
    </row>
    <row r="1574" spans="1:16" x14ac:dyDescent="0.25">
      <c r="A1574" s="21"/>
      <c r="B1574" s="22"/>
      <c r="C1574" s="20"/>
      <c r="D1574" s="21"/>
      <c r="E1574" s="21"/>
      <c r="F1574" s="20"/>
      <c r="G1574" s="22"/>
      <c r="I1574" s="40" t="str">
        <f>IFERROR(IF(VLOOKUP(E1574,extracto!C:C,1,FALSE)=E1574,"pagado","no pagado"),"no pagado")</f>
        <v>no pagado</v>
      </c>
      <c r="J1574" s="41" t="str">
        <f t="shared" ca="1" si="630"/>
        <v>fuera de fecha</v>
      </c>
      <c r="K1574" s="40" t="str">
        <f t="shared" ca="1" si="631"/>
        <v>excluir</v>
      </c>
      <c r="L1574" s="40" t="str">
        <f t="shared" ca="1" si="632"/>
        <v>no semana</v>
      </c>
      <c r="M1574" s="40" t="str">
        <f>IFERROR(VLOOKUP(E1574,'cheques a conf'!A:D,4,FALSE),"no clearing")</f>
        <v>no clearing</v>
      </c>
      <c r="N1574" s="40">
        <f t="shared" si="633"/>
        <v>1</v>
      </c>
      <c r="O1574" s="42">
        <f t="shared" si="634"/>
        <v>1</v>
      </c>
      <c r="P1574" s="42">
        <f t="shared" si="635"/>
        <v>1900</v>
      </c>
    </row>
    <row r="1575" spans="1:16" x14ac:dyDescent="0.25">
      <c r="A1575" s="21"/>
      <c r="B1575" s="22"/>
      <c r="C1575" s="20"/>
      <c r="D1575" s="21"/>
      <c r="E1575" s="21"/>
      <c r="F1575" s="20"/>
      <c r="G1575" s="22"/>
      <c r="I1575" s="40" t="str">
        <f>IFERROR(IF(VLOOKUP(E1575,extracto!C:C,1,FALSE)=E1575,"pagado","no pagado"),"no pagado")</f>
        <v>no pagado</v>
      </c>
      <c r="J1575" s="41" t="str">
        <f t="shared" ca="1" si="630"/>
        <v>fuera de fecha</v>
      </c>
      <c r="K1575" s="40" t="str">
        <f t="shared" ca="1" si="631"/>
        <v>excluir</v>
      </c>
      <c r="L1575" s="40" t="str">
        <f t="shared" ca="1" si="632"/>
        <v>no semana</v>
      </c>
      <c r="M1575" s="40" t="str">
        <f>IFERROR(VLOOKUP(E1575,'cheques a conf'!A:D,4,FALSE),"no clearing")</f>
        <v>no clearing</v>
      </c>
      <c r="N1575" s="40">
        <f t="shared" si="633"/>
        <v>1</v>
      </c>
      <c r="O1575" s="42">
        <f t="shared" si="634"/>
        <v>1</v>
      </c>
      <c r="P1575" s="42">
        <f t="shared" si="635"/>
        <v>1900</v>
      </c>
    </row>
    <row r="1576" spans="1:16" x14ac:dyDescent="0.25">
      <c r="A1576" s="21"/>
      <c r="B1576" s="22"/>
      <c r="C1576" s="20"/>
      <c r="D1576" s="21"/>
      <c r="E1576" s="21"/>
      <c r="F1576" s="20"/>
      <c r="G1576" s="22"/>
      <c r="I1576" s="40" t="str">
        <f>IFERROR(IF(VLOOKUP(E1576,extracto!C:C,1,FALSE)=E1576,"pagado","no pagado"),"no pagado")</f>
        <v>no pagado</v>
      </c>
      <c r="J1576" s="41" t="str">
        <f t="shared" ca="1" si="630"/>
        <v>fuera de fecha</v>
      </c>
      <c r="K1576" s="40" t="str">
        <f t="shared" ca="1" si="631"/>
        <v>excluir</v>
      </c>
      <c r="L1576" s="40" t="str">
        <f t="shared" ca="1" si="632"/>
        <v>no semana</v>
      </c>
      <c r="M1576" s="40" t="str">
        <f>IFERROR(VLOOKUP(E1576,'cheques a conf'!A:D,4,FALSE),"no clearing")</f>
        <v>no clearing</v>
      </c>
      <c r="N1576" s="40">
        <f t="shared" si="633"/>
        <v>1</v>
      </c>
      <c r="O1576" s="42">
        <f t="shared" si="634"/>
        <v>1</v>
      </c>
      <c r="P1576" s="42">
        <f t="shared" si="635"/>
        <v>1900</v>
      </c>
    </row>
    <row r="1577" spans="1:16" x14ac:dyDescent="0.25">
      <c r="A1577" s="21"/>
      <c r="B1577" s="22"/>
      <c r="C1577" s="20"/>
      <c r="D1577" s="21"/>
      <c r="E1577" s="21"/>
      <c r="F1577" s="20"/>
      <c r="G1577" s="22"/>
      <c r="I1577" s="40" t="str">
        <f>IFERROR(IF(VLOOKUP(E1577,extracto!C:C,1,FALSE)=E1577,"pagado","no pagado"),"no pagado")</f>
        <v>no pagado</v>
      </c>
      <c r="J1577" s="41" t="str">
        <f t="shared" ca="1" si="630"/>
        <v>fuera de fecha</v>
      </c>
      <c r="K1577" s="40" t="str">
        <f t="shared" ca="1" si="631"/>
        <v>excluir</v>
      </c>
      <c r="L1577" s="40" t="str">
        <f t="shared" ca="1" si="632"/>
        <v>no semana</v>
      </c>
      <c r="M1577" s="40" t="str">
        <f>IFERROR(VLOOKUP(E1577,'cheques a conf'!A:D,4,FALSE),"no clearing")</f>
        <v>no clearing</v>
      </c>
      <c r="N1577" s="40">
        <f t="shared" si="633"/>
        <v>1</v>
      </c>
      <c r="O1577" s="42">
        <f t="shared" si="634"/>
        <v>1</v>
      </c>
      <c r="P1577" s="42">
        <f t="shared" si="635"/>
        <v>1900</v>
      </c>
    </row>
    <row r="1578" spans="1:16" x14ac:dyDescent="0.25">
      <c r="A1578" s="21"/>
      <c r="B1578" s="22"/>
      <c r="C1578" s="20"/>
      <c r="D1578" s="21"/>
      <c r="E1578" s="21"/>
      <c r="F1578" s="20"/>
      <c r="G1578" s="22"/>
      <c r="I1578" s="40" t="str">
        <f>IFERROR(IF(VLOOKUP(E1578,extracto!C:C,1,FALSE)=E1578,"pagado","no pagado"),"no pagado")</f>
        <v>no pagado</v>
      </c>
      <c r="J1578" s="41" t="str">
        <f t="shared" ca="1" si="630"/>
        <v>fuera de fecha</v>
      </c>
      <c r="K1578" s="40" t="str">
        <f t="shared" ca="1" si="631"/>
        <v>excluir</v>
      </c>
      <c r="L1578" s="40" t="str">
        <f t="shared" ca="1" si="632"/>
        <v>no semana</v>
      </c>
      <c r="M1578" s="40" t="str">
        <f>IFERROR(VLOOKUP(E1578,'cheques a conf'!A:D,4,FALSE),"no clearing")</f>
        <v>no clearing</v>
      </c>
      <c r="N1578" s="40">
        <f t="shared" si="633"/>
        <v>1</v>
      </c>
      <c r="O1578" s="42">
        <f t="shared" si="634"/>
        <v>1</v>
      </c>
      <c r="P1578" s="42">
        <f t="shared" si="635"/>
        <v>1900</v>
      </c>
    </row>
    <row r="1579" spans="1:16" x14ac:dyDescent="0.25">
      <c r="A1579" s="21"/>
      <c r="B1579" s="22"/>
      <c r="C1579" s="20"/>
      <c r="D1579" s="21"/>
      <c r="E1579" s="21"/>
      <c r="F1579" s="20"/>
      <c r="G1579" s="22"/>
      <c r="I1579" s="40" t="str">
        <f>IFERROR(IF(VLOOKUP(E1579,extracto!C:C,1,FALSE)=E1579,"pagado","no pagado"),"no pagado")</f>
        <v>no pagado</v>
      </c>
      <c r="J1579" s="41" t="str">
        <f t="shared" ca="1" si="630"/>
        <v>fuera de fecha</v>
      </c>
      <c r="K1579" s="40" t="str">
        <f t="shared" ca="1" si="631"/>
        <v>excluir</v>
      </c>
      <c r="L1579" s="40" t="str">
        <f t="shared" ca="1" si="632"/>
        <v>no semana</v>
      </c>
      <c r="M1579" s="40" t="str">
        <f>IFERROR(VLOOKUP(E1579,'cheques a conf'!A:D,4,FALSE),"no clearing")</f>
        <v>no clearing</v>
      </c>
      <c r="N1579" s="40">
        <f t="shared" si="633"/>
        <v>1</v>
      </c>
      <c r="O1579" s="42">
        <f t="shared" si="634"/>
        <v>1</v>
      </c>
      <c r="P1579" s="42">
        <f t="shared" si="635"/>
        <v>1900</v>
      </c>
    </row>
    <row r="1580" spans="1:16" x14ac:dyDescent="0.25">
      <c r="A1580" s="21"/>
      <c r="B1580" s="22"/>
      <c r="C1580" s="20"/>
      <c r="D1580" s="21"/>
      <c r="E1580" s="21"/>
      <c r="F1580" s="20"/>
      <c r="G1580" s="22"/>
      <c r="I1580" s="40" t="str">
        <f>IFERROR(IF(VLOOKUP(E1580,extracto!C:C,1,FALSE)=E1580,"pagado","no pagado"),"no pagado")</f>
        <v>no pagado</v>
      </c>
      <c r="J1580" s="41" t="str">
        <f t="shared" ca="1" si="630"/>
        <v>fuera de fecha</v>
      </c>
      <c r="K1580" s="40" t="str">
        <f t="shared" ca="1" si="631"/>
        <v>excluir</v>
      </c>
      <c r="L1580" s="40" t="str">
        <f t="shared" ca="1" si="632"/>
        <v>no semana</v>
      </c>
      <c r="M1580" s="40" t="str">
        <f>IFERROR(VLOOKUP(E1580,'cheques a conf'!A:D,4,FALSE),"no clearing")</f>
        <v>no clearing</v>
      </c>
      <c r="N1580" s="40">
        <f t="shared" si="633"/>
        <v>1</v>
      </c>
      <c r="O1580" s="42">
        <f t="shared" si="634"/>
        <v>1</v>
      </c>
      <c r="P1580" s="42">
        <f t="shared" si="635"/>
        <v>1900</v>
      </c>
    </row>
    <row r="1581" spans="1:16" x14ac:dyDescent="0.25">
      <c r="A1581" s="21"/>
      <c r="B1581" s="22"/>
      <c r="C1581" s="20"/>
      <c r="D1581" s="21"/>
      <c r="E1581" s="21"/>
      <c r="F1581" s="20"/>
      <c r="G1581" s="22"/>
      <c r="I1581" s="40" t="str">
        <f>IFERROR(IF(VLOOKUP(E1581,extracto!C:C,1,FALSE)=E1581,"pagado","no pagado"),"no pagado")</f>
        <v>no pagado</v>
      </c>
      <c r="J1581" s="41" t="str">
        <f t="shared" ca="1" si="630"/>
        <v>fuera de fecha</v>
      </c>
      <c r="K1581" s="40" t="str">
        <f t="shared" ca="1" si="631"/>
        <v>excluir</v>
      </c>
      <c r="L1581" s="40" t="str">
        <f t="shared" ca="1" si="632"/>
        <v>no semana</v>
      </c>
      <c r="M1581" s="40" t="str">
        <f>IFERROR(VLOOKUP(E1581,'cheques a conf'!A:D,4,FALSE),"no clearing")</f>
        <v>no clearing</v>
      </c>
      <c r="N1581" s="40">
        <f t="shared" si="633"/>
        <v>1</v>
      </c>
      <c r="O1581" s="42">
        <f t="shared" si="634"/>
        <v>1</v>
      </c>
      <c r="P1581" s="42">
        <f t="shared" si="635"/>
        <v>1900</v>
      </c>
    </row>
    <row r="1582" spans="1:16" x14ac:dyDescent="0.25">
      <c r="A1582" s="21"/>
      <c r="B1582" s="22"/>
      <c r="C1582" s="20"/>
      <c r="D1582" s="21"/>
      <c r="E1582" s="21"/>
      <c r="F1582" s="20"/>
      <c r="G1582" s="22"/>
      <c r="I1582" s="40" t="str">
        <f>IFERROR(IF(VLOOKUP(E1582,extracto!C:C,1,FALSE)=E1582,"pagado","no pagado"),"no pagado")</f>
        <v>no pagado</v>
      </c>
      <c r="J1582" s="41" t="str">
        <f t="shared" ca="1" si="630"/>
        <v>fuera de fecha</v>
      </c>
      <c r="K1582" s="40" t="str">
        <f t="shared" ca="1" si="631"/>
        <v>excluir</v>
      </c>
      <c r="L1582" s="40" t="str">
        <f t="shared" ca="1" si="632"/>
        <v>no semana</v>
      </c>
      <c r="M1582" s="40" t="str">
        <f>IFERROR(VLOOKUP(E1582,'cheques a conf'!A:D,4,FALSE),"no clearing")</f>
        <v>no clearing</v>
      </c>
      <c r="N1582" s="40">
        <f t="shared" si="633"/>
        <v>1</v>
      </c>
      <c r="O1582" s="42">
        <f t="shared" si="634"/>
        <v>1</v>
      </c>
      <c r="P1582" s="42">
        <f t="shared" si="635"/>
        <v>1900</v>
      </c>
    </row>
    <row r="1583" spans="1:16" x14ac:dyDescent="0.25">
      <c r="A1583" s="21"/>
      <c r="B1583" s="22"/>
      <c r="C1583" s="20"/>
      <c r="D1583" s="21"/>
      <c r="E1583" s="21"/>
      <c r="F1583" s="20"/>
      <c r="G1583" s="22"/>
      <c r="I1583" s="40" t="str">
        <f>IFERROR(IF(VLOOKUP(E1583,extracto!C:C,1,FALSE)=E1583,"pagado","no pagado"),"no pagado")</f>
        <v>no pagado</v>
      </c>
      <c r="J1583" s="41" t="str">
        <f t="shared" ca="1" si="630"/>
        <v>fuera de fecha</v>
      </c>
      <c r="K1583" s="40" t="str">
        <f t="shared" ca="1" si="631"/>
        <v>excluir</v>
      </c>
      <c r="L1583" s="40" t="str">
        <f t="shared" ca="1" si="632"/>
        <v>no semana</v>
      </c>
      <c r="M1583" s="40" t="str">
        <f>IFERROR(VLOOKUP(E1583,'cheques a conf'!A:D,4,FALSE),"no clearing")</f>
        <v>no clearing</v>
      </c>
      <c r="N1583" s="40">
        <f t="shared" si="633"/>
        <v>1</v>
      </c>
      <c r="O1583" s="42">
        <f t="shared" si="634"/>
        <v>1</v>
      </c>
      <c r="P1583" s="42">
        <f t="shared" si="635"/>
        <v>1900</v>
      </c>
    </row>
    <row r="1584" spans="1:16" x14ac:dyDescent="0.25">
      <c r="A1584" s="21"/>
      <c r="B1584" s="22"/>
      <c r="C1584" s="20"/>
      <c r="D1584" s="21"/>
      <c r="E1584" s="21"/>
      <c r="F1584" s="20"/>
      <c r="G1584" s="22"/>
      <c r="I1584" s="40" t="str">
        <f>IFERROR(IF(VLOOKUP(E1584,extracto!C:C,1,FALSE)=E1584,"pagado","no pagado"),"no pagado")</f>
        <v>no pagado</v>
      </c>
      <c r="J1584" s="41" t="str">
        <f t="shared" ca="1" si="630"/>
        <v>fuera de fecha</v>
      </c>
      <c r="K1584" s="40" t="str">
        <f t="shared" ca="1" si="631"/>
        <v>excluir</v>
      </c>
      <c r="L1584" s="40" t="str">
        <f t="shared" ca="1" si="632"/>
        <v>no semana</v>
      </c>
      <c r="M1584" s="40" t="str">
        <f>IFERROR(VLOOKUP(E1584,'cheques a conf'!A:D,4,FALSE),"no clearing")</f>
        <v>no clearing</v>
      </c>
      <c r="N1584" s="40">
        <f t="shared" si="633"/>
        <v>1</v>
      </c>
      <c r="O1584" s="42">
        <f t="shared" si="634"/>
        <v>1</v>
      </c>
      <c r="P1584" s="42">
        <f t="shared" si="635"/>
        <v>1900</v>
      </c>
    </row>
    <row r="1585" spans="1:16" x14ac:dyDescent="0.25">
      <c r="A1585" s="21"/>
      <c r="B1585" s="22"/>
      <c r="C1585" s="20"/>
      <c r="D1585" s="21"/>
      <c r="E1585" s="21"/>
      <c r="F1585" s="20"/>
      <c r="G1585" s="22"/>
      <c r="I1585" s="40" t="str">
        <f>IFERROR(IF(VLOOKUP(E1585,extracto!C:C,1,FALSE)=E1585,"pagado","no pagado"),"no pagado")</f>
        <v>no pagado</v>
      </c>
      <c r="J1585" s="41" t="str">
        <f t="shared" ca="1" si="630"/>
        <v>fuera de fecha</v>
      </c>
      <c r="K1585" s="40" t="str">
        <f t="shared" ca="1" si="631"/>
        <v>excluir</v>
      </c>
      <c r="L1585" s="40" t="str">
        <f t="shared" ca="1" si="632"/>
        <v>no semana</v>
      </c>
      <c r="M1585" s="40" t="str">
        <f>IFERROR(VLOOKUP(E1585,'cheques a conf'!A:D,4,FALSE),"no clearing")</f>
        <v>no clearing</v>
      </c>
      <c r="N1585" s="40">
        <f t="shared" si="633"/>
        <v>1</v>
      </c>
      <c r="O1585" s="42">
        <f t="shared" si="634"/>
        <v>1</v>
      </c>
      <c r="P1585" s="42">
        <f t="shared" si="635"/>
        <v>1900</v>
      </c>
    </row>
    <row r="1586" spans="1:16" x14ac:dyDescent="0.25">
      <c r="A1586" s="21"/>
      <c r="B1586" s="22"/>
      <c r="C1586" s="20"/>
      <c r="D1586" s="21"/>
      <c r="E1586" s="21"/>
      <c r="F1586" s="20"/>
      <c r="G1586" s="22"/>
      <c r="I1586" s="40" t="str">
        <f>IFERROR(IF(VLOOKUP(E1586,extracto!C:C,1,FALSE)=E1586,"pagado","no pagado"),"no pagado")</f>
        <v>no pagado</v>
      </c>
      <c r="J1586" s="41" t="str">
        <f t="shared" ca="1" si="630"/>
        <v>fuera de fecha</v>
      </c>
      <c r="K1586" s="40" t="str">
        <f t="shared" ca="1" si="631"/>
        <v>excluir</v>
      </c>
      <c r="L1586" s="40" t="str">
        <f t="shared" ca="1" si="632"/>
        <v>no semana</v>
      </c>
      <c r="M1586" s="40" t="str">
        <f>IFERROR(VLOOKUP(E1586,'cheques a conf'!A:D,4,FALSE),"no clearing")</f>
        <v>no clearing</v>
      </c>
      <c r="N1586" s="40">
        <f t="shared" si="633"/>
        <v>1</v>
      </c>
      <c r="O1586" s="42">
        <f t="shared" si="634"/>
        <v>1</v>
      </c>
      <c r="P1586" s="42">
        <f t="shared" si="635"/>
        <v>1900</v>
      </c>
    </row>
    <row r="1587" spans="1:16" x14ac:dyDescent="0.25">
      <c r="B1587" s="22"/>
      <c r="D1587" s="21"/>
      <c r="G1587" s="22"/>
      <c r="I1587" s="40" t="str">
        <f>IFERROR(IF(VLOOKUP(E1587,extracto!C:C,1,FALSE)=E1587,"pagado","no pagado"),"no pagado")</f>
        <v>no pagado</v>
      </c>
      <c r="J1587" s="41" t="str">
        <f t="shared" ca="1" si="630"/>
        <v>fuera de fecha</v>
      </c>
      <c r="K1587" s="40" t="str">
        <f t="shared" ca="1" si="631"/>
        <v>excluir</v>
      </c>
      <c r="L1587" s="40" t="str">
        <f t="shared" ca="1" si="632"/>
        <v>no semana</v>
      </c>
      <c r="M1587" s="40" t="str">
        <f>IFERROR(VLOOKUP(E1587,'cheques a conf'!A:D,4,FALSE),"no clearing")</f>
        <v>no clearing</v>
      </c>
      <c r="N1587" s="40">
        <f t="shared" si="633"/>
        <v>1</v>
      </c>
      <c r="O1587" s="42">
        <f t="shared" si="634"/>
        <v>1</v>
      </c>
      <c r="P1587" s="42">
        <f t="shared" si="635"/>
        <v>1900</v>
      </c>
    </row>
    <row r="1588" spans="1:16" x14ac:dyDescent="0.25">
      <c r="A1588" s="21"/>
      <c r="B1588" s="22"/>
      <c r="C1588" s="20"/>
      <c r="D1588" s="21"/>
      <c r="E1588" s="21"/>
      <c r="F1588" s="20"/>
      <c r="G1588" s="22"/>
      <c r="I1588" s="40" t="str">
        <f>IFERROR(IF(VLOOKUP(E1588,extracto!C:C,1,FALSE)=E1588,"pagado","no pagado"),"no pagado")</f>
        <v>no pagado</v>
      </c>
      <c r="J1588" s="41" t="str">
        <f t="shared" ca="1" si="630"/>
        <v>fuera de fecha</v>
      </c>
      <c r="K1588" s="40" t="str">
        <f t="shared" ca="1" si="631"/>
        <v>excluir</v>
      </c>
      <c r="L1588" s="40" t="str">
        <f t="shared" ca="1" si="632"/>
        <v>no semana</v>
      </c>
      <c r="M1588" s="40" t="str">
        <f>IFERROR(VLOOKUP(E1588,'cheques a conf'!A:D,4,FALSE),"no clearing")</f>
        <v>no clearing</v>
      </c>
      <c r="N1588" s="40">
        <f t="shared" si="633"/>
        <v>1</v>
      </c>
      <c r="O1588" s="42">
        <f t="shared" si="634"/>
        <v>1</v>
      </c>
      <c r="P1588" s="42">
        <f t="shared" si="635"/>
        <v>1900</v>
      </c>
    </row>
    <row r="1589" spans="1:16" x14ac:dyDescent="0.25">
      <c r="A1589" s="21"/>
      <c r="B1589" s="22"/>
      <c r="C1589" s="20"/>
      <c r="D1589" s="21"/>
      <c r="E1589" s="21"/>
      <c r="F1589" s="20"/>
      <c r="G1589" s="22"/>
      <c r="I1589" s="40" t="str">
        <f>IFERROR(IF(VLOOKUP(E1589,extracto!C:C,1,FALSE)=E1589,"pagado","no pagado"),"no pagado")</f>
        <v>no pagado</v>
      </c>
      <c r="J1589" s="41" t="str">
        <f t="shared" ca="1" si="630"/>
        <v>fuera de fecha</v>
      </c>
      <c r="K1589" s="40" t="str">
        <f t="shared" ca="1" si="631"/>
        <v>excluir</v>
      </c>
      <c r="L1589" s="40" t="str">
        <f t="shared" ca="1" si="632"/>
        <v>no semana</v>
      </c>
      <c r="M1589" s="40" t="str">
        <f>IFERROR(VLOOKUP(E1589,'cheques a conf'!A:D,4,FALSE),"no clearing")</f>
        <v>no clearing</v>
      </c>
      <c r="N1589" s="40">
        <f t="shared" si="633"/>
        <v>1</v>
      </c>
      <c r="O1589" s="42">
        <f t="shared" si="634"/>
        <v>1</v>
      </c>
      <c r="P1589" s="42">
        <f t="shared" si="635"/>
        <v>1900</v>
      </c>
    </row>
    <row r="1590" spans="1:16" x14ac:dyDescent="0.25">
      <c r="A1590" s="21"/>
      <c r="B1590" s="22"/>
      <c r="C1590" s="20"/>
      <c r="D1590" s="21"/>
      <c r="E1590" s="21"/>
      <c r="F1590" s="20"/>
      <c r="G1590" s="22"/>
      <c r="I1590" s="40" t="str">
        <f>IFERROR(IF(VLOOKUP(E1590,extracto!C:C,1,FALSE)=E1590,"pagado","no pagado"),"no pagado")</f>
        <v>no pagado</v>
      </c>
      <c r="J1590" s="41" t="str">
        <f t="shared" ca="1" si="630"/>
        <v>fuera de fecha</v>
      </c>
      <c r="K1590" s="40" t="str">
        <f t="shared" ca="1" si="631"/>
        <v>excluir</v>
      </c>
      <c r="L1590" s="40" t="str">
        <f t="shared" ca="1" si="632"/>
        <v>no semana</v>
      </c>
      <c r="M1590" s="40" t="str">
        <f>IFERROR(VLOOKUP(E1590,'cheques a conf'!A:D,4,FALSE),"no clearing")</f>
        <v>no clearing</v>
      </c>
      <c r="N1590" s="40">
        <f t="shared" si="633"/>
        <v>1</v>
      </c>
      <c r="O1590" s="42">
        <f t="shared" si="634"/>
        <v>1</v>
      </c>
      <c r="P1590" s="42">
        <f t="shared" si="635"/>
        <v>1900</v>
      </c>
    </row>
    <row r="1591" spans="1:16" x14ac:dyDescent="0.25">
      <c r="A1591" s="21"/>
      <c r="B1591" s="22"/>
      <c r="C1591" s="20"/>
      <c r="D1591" s="21"/>
      <c r="E1591" s="21"/>
      <c r="F1591" s="20"/>
      <c r="G1591" s="22"/>
      <c r="I1591" s="40" t="str">
        <f>IFERROR(IF(VLOOKUP(E1591,extracto!C:C,1,FALSE)=E1591,"pagado","no pagado"),"no pagado")</f>
        <v>no pagado</v>
      </c>
      <c r="J1591" s="41" t="str">
        <f t="shared" ca="1" si="630"/>
        <v>fuera de fecha</v>
      </c>
      <c r="K1591" s="40" t="str">
        <f t="shared" ca="1" si="631"/>
        <v>excluir</v>
      </c>
      <c r="L1591" s="40" t="str">
        <f t="shared" ca="1" si="632"/>
        <v>no semana</v>
      </c>
      <c r="M1591" s="40" t="str">
        <f>IFERROR(VLOOKUP(E1591,'cheques a conf'!A:D,4,FALSE),"no clearing")</f>
        <v>no clearing</v>
      </c>
      <c r="N1591" s="40">
        <f t="shared" si="633"/>
        <v>1</v>
      </c>
      <c r="O1591" s="42">
        <f t="shared" si="634"/>
        <v>1</v>
      </c>
      <c r="P1591" s="42">
        <f t="shared" si="635"/>
        <v>1900</v>
      </c>
    </row>
    <row r="1592" spans="1:16" x14ac:dyDescent="0.25">
      <c r="A1592" s="21"/>
      <c r="B1592" s="22"/>
      <c r="C1592" s="20"/>
      <c r="D1592" s="21"/>
      <c r="E1592" s="21"/>
      <c r="F1592" s="20"/>
      <c r="G1592" s="22"/>
      <c r="I1592" s="40" t="str">
        <f>IFERROR(IF(VLOOKUP(E1592,extracto!C:C,1,FALSE)=E1592,"pagado","no pagado"),"no pagado")</f>
        <v>no pagado</v>
      </c>
      <c r="J1592" s="41" t="str">
        <f t="shared" ca="1" si="630"/>
        <v>fuera de fecha</v>
      </c>
      <c r="K1592" s="40" t="str">
        <f t="shared" ca="1" si="631"/>
        <v>excluir</v>
      </c>
      <c r="L1592" s="40" t="str">
        <f t="shared" ca="1" si="632"/>
        <v>no semana</v>
      </c>
      <c r="M1592" s="40" t="str">
        <f>IFERROR(VLOOKUP(E1592,'cheques a conf'!A:D,4,FALSE),"no clearing")</f>
        <v>no clearing</v>
      </c>
      <c r="N1592" s="40">
        <f t="shared" si="633"/>
        <v>1</v>
      </c>
      <c r="O1592" s="42">
        <f t="shared" si="634"/>
        <v>1</v>
      </c>
      <c r="P1592" s="42">
        <f t="shared" si="635"/>
        <v>1900</v>
      </c>
    </row>
    <row r="1593" spans="1:16" x14ac:dyDescent="0.25">
      <c r="A1593" s="21"/>
      <c r="B1593" s="22"/>
      <c r="C1593" s="20"/>
      <c r="D1593" s="21"/>
      <c r="E1593" s="21"/>
      <c r="F1593" s="20"/>
      <c r="G1593" s="22"/>
      <c r="I1593" s="40" t="str">
        <f>IFERROR(IF(VLOOKUP(E1593,extracto!C:C,1,FALSE)=E1593,"pagado","no pagado"),"no pagado")</f>
        <v>no pagado</v>
      </c>
      <c r="J1593" s="41" t="str">
        <f t="shared" ca="1" si="630"/>
        <v>fuera de fecha</v>
      </c>
      <c r="K1593" s="40" t="str">
        <f t="shared" ca="1" si="631"/>
        <v>excluir</v>
      </c>
      <c r="L1593" s="40" t="str">
        <f t="shared" ca="1" si="632"/>
        <v>no semana</v>
      </c>
      <c r="M1593" s="40" t="str">
        <f>IFERROR(VLOOKUP(E1593,'cheques a conf'!A:D,4,FALSE),"no clearing")</f>
        <v>no clearing</v>
      </c>
      <c r="N1593" s="40">
        <f t="shared" si="633"/>
        <v>1</v>
      </c>
      <c r="O1593" s="42">
        <f t="shared" si="634"/>
        <v>1</v>
      </c>
      <c r="P1593" s="42">
        <f t="shared" si="635"/>
        <v>1900</v>
      </c>
    </row>
    <row r="1594" spans="1:16" x14ac:dyDescent="0.25">
      <c r="A1594" s="21"/>
      <c r="B1594" s="22"/>
      <c r="C1594" s="20"/>
      <c r="D1594" s="21"/>
      <c r="E1594" s="21"/>
      <c r="F1594" s="20"/>
      <c r="G1594" s="22"/>
      <c r="I1594" s="40" t="str">
        <f>IFERROR(IF(VLOOKUP(E1594,extracto!C:C,1,FALSE)=E1594,"pagado","no pagado"),"no pagado")</f>
        <v>no pagado</v>
      </c>
      <c r="J1594" s="41" t="str">
        <f t="shared" ca="1" si="630"/>
        <v>fuera de fecha</v>
      </c>
      <c r="K1594" s="40" t="str">
        <f t="shared" ca="1" si="631"/>
        <v>excluir</v>
      </c>
      <c r="L1594" s="40" t="str">
        <f t="shared" ca="1" si="632"/>
        <v>no semana</v>
      </c>
      <c r="M1594" s="40" t="str">
        <f>IFERROR(VLOOKUP(E1594,'cheques a conf'!A:D,4,FALSE),"no clearing")</f>
        <v>no clearing</v>
      </c>
      <c r="N1594" s="40">
        <f t="shared" si="633"/>
        <v>1</v>
      </c>
      <c r="O1594" s="42">
        <f t="shared" si="634"/>
        <v>1</v>
      </c>
      <c r="P1594" s="42">
        <f t="shared" si="635"/>
        <v>1900</v>
      </c>
    </row>
    <row r="1595" spans="1:16" x14ac:dyDescent="0.25">
      <c r="A1595" s="21"/>
      <c r="B1595" s="22"/>
      <c r="C1595" s="20"/>
      <c r="D1595" s="21"/>
      <c r="E1595" s="21"/>
      <c r="F1595" s="20"/>
      <c r="G1595" s="22"/>
      <c r="I1595" s="40" t="str">
        <f>IFERROR(IF(VLOOKUP(E1595,extracto!C:C,1,FALSE)=E1595,"pagado","no pagado"),"no pagado")</f>
        <v>no pagado</v>
      </c>
      <c r="J1595" s="41" t="str">
        <f t="shared" ca="1" si="630"/>
        <v>fuera de fecha</v>
      </c>
      <c r="K1595" s="40" t="str">
        <f t="shared" ca="1" si="631"/>
        <v>excluir</v>
      </c>
      <c r="L1595" s="40" t="str">
        <f t="shared" ca="1" si="632"/>
        <v>no semana</v>
      </c>
      <c r="M1595" s="40" t="str">
        <f>IFERROR(VLOOKUP(E1595,'cheques a conf'!A:D,4,FALSE),"no clearing")</f>
        <v>no clearing</v>
      </c>
      <c r="N1595" s="40">
        <f t="shared" si="633"/>
        <v>1</v>
      </c>
      <c r="O1595" s="42">
        <f t="shared" si="634"/>
        <v>1</v>
      </c>
      <c r="P1595" s="42">
        <f t="shared" si="635"/>
        <v>1900</v>
      </c>
    </row>
    <row r="1596" spans="1:16" x14ac:dyDescent="0.25">
      <c r="A1596" s="21"/>
      <c r="B1596" s="22"/>
      <c r="C1596" s="20"/>
      <c r="D1596" s="21"/>
      <c r="E1596" s="21"/>
      <c r="F1596" s="20"/>
      <c r="G1596" s="22"/>
      <c r="I1596" s="40" t="str">
        <f>IFERROR(IF(VLOOKUP(E1596,extracto!C:C,1,FALSE)=E1596,"pagado","no pagado"),"no pagado")</f>
        <v>no pagado</v>
      </c>
      <c r="J1596" s="41" t="str">
        <f t="shared" ca="1" si="630"/>
        <v>fuera de fecha</v>
      </c>
      <c r="K1596" s="40" t="str">
        <f t="shared" ca="1" si="631"/>
        <v>excluir</v>
      </c>
      <c r="L1596" s="40" t="str">
        <f t="shared" ca="1" si="632"/>
        <v>no semana</v>
      </c>
      <c r="M1596" s="40" t="str">
        <f>IFERROR(VLOOKUP(E1596,'cheques a conf'!A:D,4,FALSE),"no clearing")</f>
        <v>no clearing</v>
      </c>
      <c r="N1596" s="40">
        <f t="shared" si="633"/>
        <v>1</v>
      </c>
      <c r="O1596" s="42">
        <f t="shared" si="634"/>
        <v>1</v>
      </c>
      <c r="P1596" s="42">
        <f t="shared" si="635"/>
        <v>1900</v>
      </c>
    </row>
    <row r="1597" spans="1:16" x14ac:dyDescent="0.25">
      <c r="A1597" s="21"/>
      <c r="B1597" s="22"/>
      <c r="C1597" s="20"/>
      <c r="D1597" s="21"/>
      <c r="E1597" s="21"/>
      <c r="F1597" s="20"/>
      <c r="G1597" s="22"/>
      <c r="I1597" s="40" t="str">
        <f>IFERROR(IF(VLOOKUP(E1597,extracto!C:C,1,FALSE)=E1597,"pagado","no pagado"),"no pagado")</f>
        <v>no pagado</v>
      </c>
      <c r="J1597" s="41" t="str">
        <f t="shared" ca="1" si="630"/>
        <v>fuera de fecha</v>
      </c>
      <c r="K1597" s="40" t="str">
        <f t="shared" ca="1" si="631"/>
        <v>excluir</v>
      </c>
      <c r="L1597" s="40" t="str">
        <f t="shared" ca="1" si="632"/>
        <v>no semana</v>
      </c>
      <c r="M1597" s="40" t="str">
        <f>IFERROR(VLOOKUP(E1597,'cheques a conf'!A:D,4,FALSE),"no clearing")</f>
        <v>no clearing</v>
      </c>
      <c r="N1597" s="40">
        <f t="shared" si="633"/>
        <v>1</v>
      </c>
      <c r="O1597" s="42">
        <f t="shared" si="634"/>
        <v>1</v>
      </c>
      <c r="P1597" s="42">
        <f t="shared" si="635"/>
        <v>1900</v>
      </c>
    </row>
    <row r="1598" spans="1:16" x14ac:dyDescent="0.25">
      <c r="A1598" s="21"/>
      <c r="B1598" s="22"/>
      <c r="C1598" s="20"/>
      <c r="D1598" s="21"/>
      <c r="E1598" s="21"/>
      <c r="F1598" s="20"/>
      <c r="G1598" s="22"/>
      <c r="I1598" s="40" t="str">
        <f>IFERROR(IF(VLOOKUP(E1598,extracto!C:C,1,FALSE)=E1598,"pagado","no pagado"),"no pagado")</f>
        <v>no pagado</v>
      </c>
      <c r="J1598" s="41" t="str">
        <f t="shared" ca="1" si="630"/>
        <v>fuera de fecha</v>
      </c>
      <c r="K1598" s="40" t="str">
        <f t="shared" ca="1" si="631"/>
        <v>excluir</v>
      </c>
      <c r="L1598" s="40" t="str">
        <f t="shared" ca="1" si="632"/>
        <v>no semana</v>
      </c>
      <c r="M1598" s="40" t="str">
        <f>IFERROR(VLOOKUP(E1598,'cheques a conf'!A:D,4,FALSE),"no clearing")</f>
        <v>no clearing</v>
      </c>
      <c r="N1598" s="40">
        <f t="shared" si="633"/>
        <v>1</v>
      </c>
      <c r="O1598" s="42">
        <f t="shared" si="634"/>
        <v>1</v>
      </c>
      <c r="P1598" s="42">
        <f t="shared" si="635"/>
        <v>1900</v>
      </c>
    </row>
    <row r="1599" spans="1:16" x14ac:dyDescent="0.25">
      <c r="A1599" s="21"/>
      <c r="B1599" s="22"/>
      <c r="C1599" s="20"/>
      <c r="D1599" s="21"/>
      <c r="E1599" s="21"/>
      <c r="F1599" s="20"/>
      <c r="G1599" s="22"/>
      <c r="I1599" s="40" t="str">
        <f>IFERROR(IF(VLOOKUP(E1599,extracto!C:C,1,FALSE)=E1599,"pagado","no pagado"),"no pagado")</f>
        <v>no pagado</v>
      </c>
      <c r="J1599" s="41" t="str">
        <f t="shared" ca="1" si="630"/>
        <v>fuera de fecha</v>
      </c>
      <c r="K1599" s="40" t="str">
        <f t="shared" ca="1" si="631"/>
        <v>excluir</v>
      </c>
      <c r="L1599" s="40" t="str">
        <f t="shared" ca="1" si="632"/>
        <v>no semana</v>
      </c>
      <c r="M1599" s="40" t="str">
        <f>IFERROR(VLOOKUP(E1599,'cheques a conf'!A:D,4,FALSE),"no clearing")</f>
        <v>no clearing</v>
      </c>
      <c r="N1599" s="40">
        <f t="shared" si="633"/>
        <v>1</v>
      </c>
      <c r="O1599" s="42">
        <f t="shared" si="634"/>
        <v>1</v>
      </c>
      <c r="P1599" s="42">
        <f t="shared" si="635"/>
        <v>1900</v>
      </c>
    </row>
    <row r="1600" spans="1:16" x14ac:dyDescent="0.25">
      <c r="A1600" s="21"/>
      <c r="B1600" s="22"/>
      <c r="C1600" s="20"/>
      <c r="D1600" s="21"/>
      <c r="E1600" s="21"/>
      <c r="F1600" s="20"/>
      <c r="G1600" s="22"/>
      <c r="I1600" s="40" t="str">
        <f>IFERROR(IF(VLOOKUP(E1600,extracto!C:C,1,FALSE)=E1600,"pagado","no pagado"),"no pagado")</f>
        <v>no pagado</v>
      </c>
      <c r="J1600" s="41" t="str">
        <f t="shared" ca="1" si="630"/>
        <v>fuera de fecha</v>
      </c>
      <c r="K1600" s="40" t="str">
        <f t="shared" ca="1" si="631"/>
        <v>excluir</v>
      </c>
      <c r="L1600" s="40" t="str">
        <f t="shared" ca="1" si="632"/>
        <v>no semana</v>
      </c>
      <c r="M1600" s="40" t="str">
        <f>IFERROR(VLOOKUP(E1600,'cheques a conf'!A:D,4,FALSE),"no clearing")</f>
        <v>no clearing</v>
      </c>
      <c r="N1600" s="40">
        <f t="shared" si="633"/>
        <v>1</v>
      </c>
      <c r="O1600" s="42">
        <f t="shared" si="634"/>
        <v>1</v>
      </c>
      <c r="P1600" s="42">
        <f t="shared" si="635"/>
        <v>1900</v>
      </c>
    </row>
    <row r="1601" spans="1:16" x14ac:dyDescent="0.25">
      <c r="A1601" s="21"/>
      <c r="B1601" s="22"/>
      <c r="C1601" s="20"/>
      <c r="D1601" s="21"/>
      <c r="E1601" s="21"/>
      <c r="F1601" s="20"/>
      <c r="G1601" s="22"/>
      <c r="I1601" s="40" t="str">
        <f>IFERROR(IF(VLOOKUP(E1601,extracto!C:C,1,FALSE)=E1601,"pagado","no pagado"),"no pagado")</f>
        <v>no pagado</v>
      </c>
      <c r="J1601" s="41" t="str">
        <f t="shared" ca="1" si="630"/>
        <v>fuera de fecha</v>
      </c>
      <c r="K1601" s="40" t="str">
        <f t="shared" ca="1" si="631"/>
        <v>excluir</v>
      </c>
      <c r="L1601" s="40" t="str">
        <f t="shared" ca="1" si="632"/>
        <v>no semana</v>
      </c>
      <c r="M1601" s="40" t="str">
        <f>IFERROR(VLOOKUP(E1601,'cheques a conf'!A:D,4,FALSE),"no clearing")</f>
        <v>no clearing</v>
      </c>
      <c r="N1601" s="40">
        <f t="shared" si="633"/>
        <v>1</v>
      </c>
      <c r="O1601" s="42">
        <f t="shared" si="634"/>
        <v>1</v>
      </c>
      <c r="P1601" s="42">
        <f t="shared" si="635"/>
        <v>1900</v>
      </c>
    </row>
    <row r="1602" spans="1:16" x14ac:dyDescent="0.25">
      <c r="A1602" s="21"/>
      <c r="B1602" s="22"/>
      <c r="C1602" s="20"/>
      <c r="D1602" s="21"/>
      <c r="E1602" s="21"/>
      <c r="F1602" s="20"/>
      <c r="G1602" s="22"/>
      <c r="I1602" s="40" t="str">
        <f>IFERROR(IF(VLOOKUP(E1602,extracto!C:C,1,FALSE)=E1602,"pagado","no pagado"),"no pagado")</f>
        <v>no pagado</v>
      </c>
      <c r="J1602" s="41" t="str">
        <f t="shared" ca="1" si="630"/>
        <v>fuera de fecha</v>
      </c>
      <c r="K1602" s="40" t="str">
        <f t="shared" ca="1" si="631"/>
        <v>excluir</v>
      </c>
      <c r="L1602" s="40" t="str">
        <f t="shared" ca="1" si="632"/>
        <v>no semana</v>
      </c>
      <c r="M1602" s="40" t="str">
        <f>IFERROR(VLOOKUP(E1602,'cheques a conf'!A:D,4,FALSE),"no clearing")</f>
        <v>no clearing</v>
      </c>
      <c r="N1602" s="40">
        <f t="shared" si="633"/>
        <v>1</v>
      </c>
      <c r="O1602" s="42">
        <f t="shared" si="634"/>
        <v>1</v>
      </c>
      <c r="P1602" s="42">
        <f t="shared" si="635"/>
        <v>1900</v>
      </c>
    </row>
    <row r="1603" spans="1:16" x14ac:dyDescent="0.25">
      <c r="A1603" s="21"/>
      <c r="B1603" s="22"/>
      <c r="C1603" s="20"/>
      <c r="D1603" s="21"/>
      <c r="E1603" s="21"/>
      <c r="F1603" s="20"/>
      <c r="G1603" s="22"/>
      <c r="I1603" s="40" t="str">
        <f>IFERROR(IF(VLOOKUP(E1603,extracto!C:C,1,FALSE)=E1603,"pagado","no pagado"),"no pagado")</f>
        <v>no pagado</v>
      </c>
      <c r="J1603" s="41" t="str">
        <f t="shared" ca="1" si="630"/>
        <v>fuera de fecha</v>
      </c>
      <c r="K1603" s="40" t="str">
        <f t="shared" ca="1" si="631"/>
        <v>excluir</v>
      </c>
      <c r="L1603" s="40" t="str">
        <f t="shared" ca="1" si="632"/>
        <v>no semana</v>
      </c>
      <c r="M1603" s="40" t="str">
        <f>IFERROR(VLOOKUP(E1603,'cheques a conf'!A:D,4,FALSE),"no clearing")</f>
        <v>no clearing</v>
      </c>
      <c r="N1603" s="40">
        <f t="shared" si="633"/>
        <v>1</v>
      </c>
      <c r="O1603" s="42">
        <f t="shared" si="634"/>
        <v>1</v>
      </c>
      <c r="P1603" s="42">
        <f t="shared" si="635"/>
        <v>1900</v>
      </c>
    </row>
    <row r="1604" spans="1:16" x14ac:dyDescent="0.25">
      <c r="A1604" s="21"/>
      <c r="B1604" s="22"/>
      <c r="C1604" s="20"/>
      <c r="D1604" s="21"/>
      <c r="E1604" s="21"/>
      <c r="F1604" s="20"/>
      <c r="G1604" s="22"/>
      <c r="I1604" s="40" t="str">
        <f>IFERROR(IF(VLOOKUP(E1604,extracto!C:C,1,FALSE)=E1604,"pagado","no pagado"),"no pagado")</f>
        <v>no pagado</v>
      </c>
      <c r="J1604" s="41" t="str">
        <f t="shared" ca="1" si="630"/>
        <v>fuera de fecha</v>
      </c>
      <c r="K1604" s="40" t="str">
        <f t="shared" ca="1" si="631"/>
        <v>excluir</v>
      </c>
      <c r="L1604" s="40" t="str">
        <f t="shared" ca="1" si="632"/>
        <v>no semana</v>
      </c>
      <c r="M1604" s="40" t="str">
        <f>IFERROR(VLOOKUP(E1604,'cheques a conf'!A:D,4,FALSE),"no clearing")</f>
        <v>no clearing</v>
      </c>
      <c r="N1604" s="40">
        <f t="shared" si="633"/>
        <v>1</v>
      </c>
      <c r="O1604" s="42">
        <f t="shared" si="634"/>
        <v>1</v>
      </c>
      <c r="P1604" s="42">
        <f t="shared" si="635"/>
        <v>1900</v>
      </c>
    </row>
    <row r="1605" spans="1:16" x14ac:dyDescent="0.25">
      <c r="A1605" s="21"/>
      <c r="B1605" s="22"/>
      <c r="C1605" s="20"/>
      <c r="D1605" s="21"/>
      <c r="E1605" s="21"/>
      <c r="F1605" s="20"/>
      <c r="G1605" s="22"/>
      <c r="I1605" s="40" t="str">
        <f>IFERROR(IF(VLOOKUP(E1605,extracto!C:C,1,FALSE)=E1605,"pagado","no pagado"),"no pagado")</f>
        <v>no pagado</v>
      </c>
      <c r="J1605" s="41" t="str">
        <f t="shared" ca="1" si="630"/>
        <v>fuera de fecha</v>
      </c>
      <c r="K1605" s="40" t="str">
        <f t="shared" ca="1" si="631"/>
        <v>excluir</v>
      </c>
      <c r="L1605" s="40" t="str">
        <f t="shared" ca="1" si="632"/>
        <v>no semana</v>
      </c>
      <c r="M1605" s="40" t="str">
        <f>IFERROR(VLOOKUP(E1605,'cheques a conf'!A:D,4,FALSE),"no clearing")</f>
        <v>no clearing</v>
      </c>
      <c r="N1605" s="40">
        <f t="shared" si="633"/>
        <v>1</v>
      </c>
      <c r="O1605" s="42">
        <f t="shared" si="634"/>
        <v>1</v>
      </c>
      <c r="P1605" s="42">
        <f t="shared" si="635"/>
        <v>1900</v>
      </c>
    </row>
    <row r="1606" spans="1:16" x14ac:dyDescent="0.25">
      <c r="A1606" s="21"/>
      <c r="B1606" s="22"/>
      <c r="C1606" s="20"/>
      <c r="D1606" s="21"/>
      <c r="E1606" s="21"/>
      <c r="F1606" s="20"/>
      <c r="G1606" s="22"/>
      <c r="I1606" s="40" t="str">
        <f>IFERROR(IF(VLOOKUP(E1606,extracto!C:C,1,FALSE)=E1606,"pagado","no pagado"),"no pagado")</f>
        <v>no pagado</v>
      </c>
      <c r="J1606" s="41" t="str">
        <f t="shared" ca="1" si="630"/>
        <v>fuera de fecha</v>
      </c>
      <c r="K1606" s="40" t="str">
        <f t="shared" ca="1" si="631"/>
        <v>excluir</v>
      </c>
      <c r="L1606" s="40" t="str">
        <f t="shared" ca="1" si="632"/>
        <v>no semana</v>
      </c>
      <c r="M1606" s="40" t="str">
        <f>IFERROR(VLOOKUP(E1606,'cheques a conf'!A:D,4,FALSE),"no clearing")</f>
        <v>no clearing</v>
      </c>
      <c r="N1606" s="40">
        <f t="shared" si="633"/>
        <v>1</v>
      </c>
      <c r="O1606" s="42">
        <f t="shared" si="634"/>
        <v>1</v>
      </c>
      <c r="P1606" s="42">
        <f t="shared" si="635"/>
        <v>1900</v>
      </c>
    </row>
    <row r="1607" spans="1:16" x14ac:dyDescent="0.25">
      <c r="A1607" s="21"/>
      <c r="B1607" s="22"/>
      <c r="C1607" s="20"/>
      <c r="D1607" s="21"/>
      <c r="E1607" s="21"/>
      <c r="F1607" s="20"/>
      <c r="G1607" s="22"/>
      <c r="I1607" s="40" t="str">
        <f>IFERROR(IF(VLOOKUP(E1607,extracto!C:C,1,FALSE)=E1607,"pagado","no pagado"),"no pagado")</f>
        <v>no pagado</v>
      </c>
      <c r="J1607" s="41" t="str">
        <f t="shared" ca="1" si="630"/>
        <v>fuera de fecha</v>
      </c>
      <c r="K1607" s="40" t="str">
        <f t="shared" ca="1" si="631"/>
        <v>excluir</v>
      </c>
      <c r="L1607" s="40" t="str">
        <f t="shared" ca="1" si="632"/>
        <v>no semana</v>
      </c>
      <c r="M1607" s="40" t="str">
        <f>IFERROR(VLOOKUP(E1607,'cheques a conf'!A:D,4,FALSE),"no clearing")</f>
        <v>no clearing</v>
      </c>
      <c r="N1607" s="40">
        <f t="shared" si="633"/>
        <v>1</v>
      </c>
      <c r="O1607" s="42">
        <f t="shared" si="634"/>
        <v>1</v>
      </c>
      <c r="P1607" s="42">
        <f t="shared" si="635"/>
        <v>1900</v>
      </c>
    </row>
    <row r="1608" spans="1:16" x14ac:dyDescent="0.25">
      <c r="A1608" s="21"/>
      <c r="B1608" s="22"/>
      <c r="C1608" s="20"/>
      <c r="D1608" s="21"/>
      <c r="E1608" s="21"/>
      <c r="F1608" s="20"/>
      <c r="I1608" s="40" t="str">
        <f>IFERROR(IF(VLOOKUP(E1608,extracto!C:C,1,FALSE)=E1608,"pagado","no pagado"),"no pagado")</f>
        <v>no pagado</v>
      </c>
      <c r="J1608" s="41" t="str">
        <f t="shared" ca="1" si="630"/>
        <v>fuera de fecha</v>
      </c>
      <c r="K1608" s="40" t="str">
        <f t="shared" ca="1" si="631"/>
        <v>excluir</v>
      </c>
      <c r="L1608" s="40" t="str">
        <f t="shared" ca="1" si="632"/>
        <v>no semana</v>
      </c>
      <c r="M1608" s="40" t="str">
        <f>IFERROR(VLOOKUP(E1608,'cheques a conf'!A:D,4,FALSE),"no clearing")</f>
        <v>no clearing</v>
      </c>
      <c r="N1608" s="40">
        <f t="shared" si="633"/>
        <v>1</v>
      </c>
      <c r="O1608" s="42">
        <f t="shared" si="634"/>
        <v>1</v>
      </c>
      <c r="P1608" s="42">
        <f t="shared" si="635"/>
        <v>1900</v>
      </c>
    </row>
    <row r="1609" spans="1:16" x14ac:dyDescent="0.25">
      <c r="A1609" s="21"/>
      <c r="B1609" s="22"/>
      <c r="C1609" s="20"/>
      <c r="D1609" s="21"/>
      <c r="E1609" s="21"/>
      <c r="F1609" s="20"/>
      <c r="G1609" s="22"/>
      <c r="I1609" s="40" t="str">
        <f>IFERROR(IF(VLOOKUP(E1609,extracto!C:C,1,FALSE)=E1609,"pagado","no pagado"),"no pagado")</f>
        <v>no pagado</v>
      </c>
      <c r="J1609" s="41" t="str">
        <f t="shared" ca="1" si="630"/>
        <v>fuera de fecha</v>
      </c>
      <c r="K1609" s="40" t="str">
        <f t="shared" ca="1" si="631"/>
        <v>excluir</v>
      </c>
      <c r="L1609" s="40" t="str">
        <f t="shared" ca="1" si="632"/>
        <v>no semana</v>
      </c>
      <c r="M1609" s="40" t="str">
        <f>IFERROR(VLOOKUP(E1609,'cheques a conf'!A:D,4,FALSE),"no clearing")</f>
        <v>no clearing</v>
      </c>
      <c r="N1609" s="40">
        <f t="shared" si="633"/>
        <v>1</v>
      </c>
      <c r="O1609" s="42">
        <f t="shared" si="634"/>
        <v>1</v>
      </c>
      <c r="P1609" s="42">
        <f t="shared" si="635"/>
        <v>1900</v>
      </c>
    </row>
    <row r="1610" spans="1:16" x14ac:dyDescent="0.25">
      <c r="A1610" s="21"/>
      <c r="B1610" s="22"/>
      <c r="C1610" s="20"/>
      <c r="D1610" s="21"/>
      <c r="E1610" s="21"/>
      <c r="F1610" s="20"/>
      <c r="G1610" s="22"/>
      <c r="I1610" s="40" t="str">
        <f>IFERROR(IF(VLOOKUP(E1610,extracto!C:C,1,FALSE)=E1610,"pagado","no pagado"),"no pagado")</f>
        <v>no pagado</v>
      </c>
      <c r="J1610" s="41" t="str">
        <f t="shared" ca="1" si="630"/>
        <v>fuera de fecha</v>
      </c>
      <c r="K1610" s="40" t="str">
        <f t="shared" ca="1" si="631"/>
        <v>excluir</v>
      </c>
      <c r="L1610" s="40" t="str">
        <f t="shared" ca="1" si="632"/>
        <v>no semana</v>
      </c>
      <c r="M1610" s="40" t="str">
        <f>IFERROR(VLOOKUP(E1610,'cheques a conf'!A:D,4,FALSE),"no clearing")</f>
        <v>no clearing</v>
      </c>
      <c r="N1610" s="40">
        <f t="shared" si="633"/>
        <v>1</v>
      </c>
      <c r="O1610" s="42">
        <f t="shared" si="634"/>
        <v>1</v>
      </c>
      <c r="P1610" s="42">
        <f t="shared" si="635"/>
        <v>1900</v>
      </c>
    </row>
    <row r="1611" spans="1:16" x14ac:dyDescent="0.25">
      <c r="A1611" s="21"/>
      <c r="B1611" s="22"/>
      <c r="C1611" s="20"/>
      <c r="D1611" s="21"/>
      <c r="E1611" s="21"/>
      <c r="F1611" s="20"/>
      <c r="G1611" s="22"/>
      <c r="I1611" s="40" t="str">
        <f>IFERROR(IF(VLOOKUP(E1611,extracto!C:C,1,FALSE)=E1611,"pagado","no pagado"),"no pagado")</f>
        <v>no pagado</v>
      </c>
      <c r="J1611" s="41" t="str">
        <f t="shared" ca="1" si="630"/>
        <v>fuera de fecha</v>
      </c>
      <c r="K1611" s="40" t="str">
        <f t="shared" ca="1" si="631"/>
        <v>excluir</v>
      </c>
      <c r="L1611" s="40" t="str">
        <f t="shared" ca="1" si="632"/>
        <v>no semana</v>
      </c>
      <c r="M1611" s="40" t="str">
        <f>IFERROR(VLOOKUP(E1611,'cheques a conf'!A:D,4,FALSE),"no clearing")</f>
        <v>no clearing</v>
      </c>
      <c r="N1611" s="40">
        <f t="shared" si="633"/>
        <v>1</v>
      </c>
      <c r="O1611" s="42">
        <f t="shared" si="634"/>
        <v>1</v>
      </c>
      <c r="P1611" s="42">
        <f t="shared" si="635"/>
        <v>1900</v>
      </c>
    </row>
    <row r="1612" spans="1:16" x14ac:dyDescent="0.25">
      <c r="A1612" s="21"/>
      <c r="B1612" s="22"/>
      <c r="C1612" s="20"/>
      <c r="D1612" s="21"/>
      <c r="E1612" s="21"/>
      <c r="F1612" s="20"/>
      <c r="G1612" s="22"/>
      <c r="I1612" s="40" t="str">
        <f>IFERROR(IF(VLOOKUP(E1612,extracto!C:C,1,FALSE)=E1612,"pagado","no pagado"),"no pagado")</f>
        <v>no pagado</v>
      </c>
      <c r="J1612" s="41" t="str">
        <f t="shared" ca="1" si="630"/>
        <v>fuera de fecha</v>
      </c>
      <c r="K1612" s="40" t="str">
        <f t="shared" ca="1" si="631"/>
        <v>excluir</v>
      </c>
      <c r="L1612" s="40" t="str">
        <f t="shared" ca="1" si="632"/>
        <v>no semana</v>
      </c>
      <c r="M1612" s="40" t="str">
        <f>IFERROR(VLOOKUP(E1612,'cheques a conf'!A:D,4,FALSE),"no clearing")</f>
        <v>no clearing</v>
      </c>
      <c r="N1612" s="40">
        <f t="shared" si="633"/>
        <v>1</v>
      </c>
      <c r="O1612" s="42">
        <f t="shared" si="634"/>
        <v>1</v>
      </c>
      <c r="P1612" s="42">
        <f t="shared" si="635"/>
        <v>1900</v>
      </c>
    </row>
    <row r="1613" spans="1:16" x14ac:dyDescent="0.25">
      <c r="A1613" s="21"/>
      <c r="B1613" s="22"/>
      <c r="C1613" s="20"/>
      <c r="D1613" s="21"/>
      <c r="E1613" s="21"/>
      <c r="F1613" s="20"/>
      <c r="G1613" s="22"/>
      <c r="I1613" s="40" t="str">
        <f>IFERROR(IF(VLOOKUP(E1613,extracto!C:C,1,FALSE)=E1613,"pagado","no pagado"),"no pagado")</f>
        <v>no pagado</v>
      </c>
      <c r="J1613" s="41" t="str">
        <f t="shared" ca="1" si="630"/>
        <v>fuera de fecha</v>
      </c>
      <c r="K1613" s="40" t="str">
        <f t="shared" ca="1" si="631"/>
        <v>excluir</v>
      </c>
      <c r="L1613" s="40" t="str">
        <f t="shared" ca="1" si="632"/>
        <v>no semana</v>
      </c>
      <c r="M1613" s="40" t="str">
        <f>IFERROR(VLOOKUP(E1613,'cheques a conf'!A:D,4,FALSE),"no clearing")</f>
        <v>no clearing</v>
      </c>
      <c r="N1613" s="40">
        <f t="shared" si="633"/>
        <v>1</v>
      </c>
      <c r="O1613" s="42">
        <f t="shared" si="634"/>
        <v>1</v>
      </c>
      <c r="P1613" s="42">
        <f t="shared" si="635"/>
        <v>1900</v>
      </c>
    </row>
    <row r="1614" spans="1:16" x14ac:dyDescent="0.25">
      <c r="A1614" s="21"/>
      <c r="B1614" s="22"/>
      <c r="C1614" s="20"/>
      <c r="D1614" s="21"/>
      <c r="E1614" s="21"/>
      <c r="F1614" s="20"/>
      <c r="G1614" s="22"/>
      <c r="I1614" s="40" t="str">
        <f>IFERROR(IF(VLOOKUP(E1614,extracto!C:C,1,FALSE)=E1614,"pagado","no pagado"),"no pagado")</f>
        <v>no pagado</v>
      </c>
      <c r="J1614" s="41" t="str">
        <f t="shared" ca="1" si="630"/>
        <v>fuera de fecha</v>
      </c>
      <c r="K1614" s="40" t="str">
        <f t="shared" ca="1" si="631"/>
        <v>excluir</v>
      </c>
      <c r="L1614" s="40" t="str">
        <f t="shared" ca="1" si="632"/>
        <v>no semana</v>
      </c>
      <c r="M1614" s="40" t="str">
        <f>IFERROR(VLOOKUP(E1614,'cheques a conf'!A:D,4,FALSE),"no clearing")</f>
        <v>no clearing</v>
      </c>
      <c r="N1614" s="40">
        <f t="shared" si="633"/>
        <v>1</v>
      </c>
      <c r="O1614" s="42">
        <f t="shared" si="634"/>
        <v>1</v>
      </c>
      <c r="P1614" s="42">
        <f t="shared" si="635"/>
        <v>1900</v>
      </c>
    </row>
    <row r="1615" spans="1:16" x14ac:dyDescent="0.25">
      <c r="A1615" s="21"/>
      <c r="B1615" s="22"/>
      <c r="C1615" s="20"/>
      <c r="D1615" s="21"/>
      <c r="E1615" s="21"/>
      <c r="F1615" s="20"/>
      <c r="G1615" s="22"/>
      <c r="I1615" s="40" t="str">
        <f>IFERROR(IF(VLOOKUP(E1615,extracto!C:C,1,FALSE)=E1615,"pagado","no pagado"),"no pagado")</f>
        <v>no pagado</v>
      </c>
      <c r="J1615" s="41" t="str">
        <f t="shared" ca="1" si="630"/>
        <v>fuera de fecha</v>
      </c>
      <c r="K1615" s="40" t="str">
        <f t="shared" ca="1" si="631"/>
        <v>excluir</v>
      </c>
      <c r="L1615" s="40" t="str">
        <f t="shared" ca="1" si="632"/>
        <v>no semana</v>
      </c>
      <c r="M1615" s="40" t="str">
        <f>IFERROR(VLOOKUP(E1615,'cheques a conf'!A:D,4,FALSE),"no clearing")</f>
        <v>no clearing</v>
      </c>
      <c r="N1615" s="40">
        <f t="shared" si="633"/>
        <v>1</v>
      </c>
      <c r="O1615" s="42">
        <f t="shared" si="634"/>
        <v>1</v>
      </c>
      <c r="P1615" s="42">
        <f t="shared" si="635"/>
        <v>1900</v>
      </c>
    </row>
    <row r="1616" spans="1:16" x14ac:dyDescent="0.25">
      <c r="A1616" s="21"/>
      <c r="B1616" s="22"/>
      <c r="C1616" s="20"/>
      <c r="D1616" s="21"/>
      <c r="E1616" s="21"/>
      <c r="F1616" s="20"/>
      <c r="G1616" s="22"/>
      <c r="I1616" s="40" t="str">
        <f>IFERROR(IF(VLOOKUP(E1616,extracto!C:C,1,FALSE)=E1616,"pagado","no pagado"),"no pagado")</f>
        <v>no pagado</v>
      </c>
      <c r="J1616" s="41" t="str">
        <f t="shared" ca="1" si="630"/>
        <v>fuera de fecha</v>
      </c>
      <c r="K1616" s="40" t="str">
        <f t="shared" ca="1" si="631"/>
        <v>excluir</v>
      </c>
      <c r="L1616" s="40" t="str">
        <f t="shared" ca="1" si="632"/>
        <v>no semana</v>
      </c>
      <c r="M1616" s="40" t="str">
        <f>IFERROR(VLOOKUP(E1616,'cheques a conf'!A:D,4,FALSE),"no clearing")</f>
        <v>no clearing</v>
      </c>
      <c r="N1616" s="40">
        <f t="shared" si="633"/>
        <v>1</v>
      </c>
      <c r="O1616" s="42">
        <f t="shared" si="634"/>
        <v>1</v>
      </c>
      <c r="P1616" s="42">
        <f t="shared" si="635"/>
        <v>1900</v>
      </c>
    </row>
    <row r="1617" spans="1:16" x14ac:dyDescent="0.25">
      <c r="A1617" s="21"/>
      <c r="B1617" s="22"/>
      <c r="C1617" s="20"/>
      <c r="D1617" s="21"/>
      <c r="E1617" s="21"/>
      <c r="F1617" s="20"/>
      <c r="G1617" s="22"/>
      <c r="I1617" s="40" t="str">
        <f>IFERROR(IF(VLOOKUP(E1617,extracto!C:C,1,FALSE)=E1617,"pagado","no pagado"),"no pagado")</f>
        <v>no pagado</v>
      </c>
      <c r="J1617" s="41" t="str">
        <f t="shared" ca="1" si="630"/>
        <v>fuera de fecha</v>
      </c>
      <c r="K1617" s="40" t="str">
        <f t="shared" ca="1" si="631"/>
        <v>excluir</v>
      </c>
      <c r="L1617" s="40" t="str">
        <f t="shared" ca="1" si="632"/>
        <v>no semana</v>
      </c>
      <c r="M1617" s="40" t="str">
        <f>IFERROR(VLOOKUP(E1617,'cheques a conf'!A:D,4,FALSE),"no clearing")</f>
        <v>no clearing</v>
      </c>
      <c r="N1617" s="40">
        <f t="shared" si="633"/>
        <v>1</v>
      </c>
      <c r="O1617" s="42">
        <f t="shared" si="634"/>
        <v>1</v>
      </c>
      <c r="P1617" s="42">
        <f t="shared" si="635"/>
        <v>1900</v>
      </c>
    </row>
    <row r="1618" spans="1:16" x14ac:dyDescent="0.25">
      <c r="A1618" s="21"/>
      <c r="B1618" s="22"/>
      <c r="C1618" s="20"/>
      <c r="D1618" s="21"/>
      <c r="E1618" s="21"/>
      <c r="F1618" s="20"/>
      <c r="G1618" s="22"/>
      <c r="I1618" s="40" t="str">
        <f>IFERROR(IF(VLOOKUP(E1618,extracto!C:C,1,FALSE)=E1618,"pagado","no pagado"),"no pagado")</f>
        <v>no pagado</v>
      </c>
      <c r="J1618" s="41" t="str">
        <f t="shared" ca="1" si="630"/>
        <v>fuera de fecha</v>
      </c>
      <c r="K1618" s="40" t="str">
        <f t="shared" ca="1" si="631"/>
        <v>excluir</v>
      </c>
      <c r="L1618" s="40" t="str">
        <f t="shared" ca="1" si="632"/>
        <v>no semana</v>
      </c>
      <c r="M1618" s="40" t="str">
        <f>IFERROR(VLOOKUP(E1618,'cheques a conf'!A:D,4,FALSE),"no clearing")</f>
        <v>no clearing</v>
      </c>
      <c r="N1618" s="40">
        <f t="shared" si="633"/>
        <v>1</v>
      </c>
      <c r="O1618" s="42">
        <f t="shared" si="634"/>
        <v>1</v>
      </c>
      <c r="P1618" s="42">
        <f t="shared" si="635"/>
        <v>1900</v>
      </c>
    </row>
    <row r="1619" spans="1:16" x14ac:dyDescent="0.25">
      <c r="A1619" s="21"/>
      <c r="B1619" s="22"/>
      <c r="C1619" s="20"/>
      <c r="D1619" s="21"/>
      <c r="E1619" s="21"/>
      <c r="F1619" s="20"/>
      <c r="G1619" s="22"/>
      <c r="I1619" s="40" t="str">
        <f>IFERROR(IF(VLOOKUP(E1619,extracto!C:C,1,FALSE)=E1619,"pagado","no pagado"),"no pagado")</f>
        <v>no pagado</v>
      </c>
      <c r="J1619" s="41" t="str">
        <f t="shared" ca="1" si="630"/>
        <v>fuera de fecha</v>
      </c>
      <c r="K1619" s="40" t="str">
        <f t="shared" ca="1" si="631"/>
        <v>excluir</v>
      </c>
      <c r="L1619" s="40" t="str">
        <f t="shared" ca="1" si="632"/>
        <v>no semana</v>
      </c>
      <c r="M1619" s="40" t="str">
        <f>IFERROR(VLOOKUP(E1619,'cheques a conf'!A:D,4,FALSE),"no clearing")</f>
        <v>no clearing</v>
      </c>
      <c r="N1619" s="40">
        <f t="shared" si="633"/>
        <v>1</v>
      </c>
      <c r="O1619" s="42">
        <f t="shared" si="634"/>
        <v>1</v>
      </c>
      <c r="P1619" s="42">
        <f t="shared" si="635"/>
        <v>1900</v>
      </c>
    </row>
    <row r="1620" spans="1:16" x14ac:dyDescent="0.25">
      <c r="A1620" s="21"/>
      <c r="B1620" s="22"/>
      <c r="C1620" s="20"/>
      <c r="D1620" s="21"/>
      <c r="E1620" s="21"/>
      <c r="F1620" s="20"/>
      <c r="G1620" s="22"/>
      <c r="I1620" s="40" t="str">
        <f>IFERROR(IF(VLOOKUP(E1620,extracto!C:C,1,FALSE)=E1620,"pagado","no pagado"),"no pagado")</f>
        <v>no pagado</v>
      </c>
      <c r="J1620" s="41" t="str">
        <f t="shared" ca="1" si="630"/>
        <v>fuera de fecha</v>
      </c>
      <c r="K1620" s="40" t="str">
        <f t="shared" ca="1" si="631"/>
        <v>excluir</v>
      </c>
      <c r="L1620" s="40" t="str">
        <f t="shared" ca="1" si="632"/>
        <v>no semana</v>
      </c>
      <c r="M1620" s="40" t="str">
        <f>IFERROR(VLOOKUP(E1620,'cheques a conf'!A:D,4,FALSE),"no clearing")</f>
        <v>no clearing</v>
      </c>
      <c r="N1620" s="40">
        <f t="shared" si="633"/>
        <v>1</v>
      </c>
      <c r="O1620" s="42">
        <f t="shared" si="634"/>
        <v>1</v>
      </c>
      <c r="P1620" s="42">
        <f t="shared" si="635"/>
        <v>1900</v>
      </c>
    </row>
    <row r="1621" spans="1:16" x14ac:dyDescent="0.25">
      <c r="A1621" s="21"/>
      <c r="B1621" s="22"/>
      <c r="C1621" s="20"/>
      <c r="D1621" s="21"/>
      <c r="E1621" s="21"/>
      <c r="F1621" s="20"/>
      <c r="G1621" s="22"/>
      <c r="I1621" s="40" t="str">
        <f>IFERROR(IF(VLOOKUP(E1621,extracto!C:C,1,FALSE)=E1621,"pagado","no pagado"),"no pagado")</f>
        <v>no pagado</v>
      </c>
      <c r="J1621" s="41" t="str">
        <f t="shared" ca="1" si="630"/>
        <v>fuera de fecha</v>
      </c>
      <c r="K1621" s="40" t="str">
        <f t="shared" ca="1" si="631"/>
        <v>excluir</v>
      </c>
      <c r="L1621" s="40" t="str">
        <f t="shared" ca="1" si="632"/>
        <v>no semana</v>
      </c>
      <c r="M1621" s="40" t="str">
        <f>IFERROR(VLOOKUP(E1621,'cheques a conf'!A:D,4,FALSE),"no clearing")</f>
        <v>no clearing</v>
      </c>
      <c r="N1621" s="40">
        <f t="shared" si="633"/>
        <v>1</v>
      </c>
      <c r="O1621" s="42">
        <f t="shared" si="634"/>
        <v>1</v>
      </c>
      <c r="P1621" s="42">
        <f t="shared" si="635"/>
        <v>1900</v>
      </c>
    </row>
    <row r="1622" spans="1:16" x14ac:dyDescent="0.25">
      <c r="A1622" s="21"/>
      <c r="B1622" s="22"/>
      <c r="C1622" s="20"/>
      <c r="D1622" s="21"/>
      <c r="E1622" s="21"/>
      <c r="F1622" s="20"/>
      <c r="G1622" s="22"/>
      <c r="I1622" s="40" t="str">
        <f>IFERROR(IF(VLOOKUP(E1622,extracto!C:C,1,FALSE)=E1622,"pagado","no pagado"),"no pagado")</f>
        <v>no pagado</v>
      </c>
      <c r="J1622" s="41" t="str">
        <f t="shared" ca="1" si="630"/>
        <v>fuera de fecha</v>
      </c>
      <c r="K1622" s="40" t="str">
        <f t="shared" ca="1" si="631"/>
        <v>excluir</v>
      </c>
      <c r="L1622" s="40" t="str">
        <f t="shared" ca="1" si="632"/>
        <v>no semana</v>
      </c>
      <c r="M1622" s="40" t="str">
        <f>IFERROR(VLOOKUP(E1622,'cheques a conf'!A:D,4,FALSE),"no clearing")</f>
        <v>no clearing</v>
      </c>
      <c r="N1622" s="40">
        <f t="shared" si="633"/>
        <v>1</v>
      </c>
      <c r="O1622" s="42">
        <f t="shared" si="634"/>
        <v>1</v>
      </c>
      <c r="P1622" s="42">
        <f t="shared" si="635"/>
        <v>1900</v>
      </c>
    </row>
    <row r="1623" spans="1:16" x14ac:dyDescent="0.25">
      <c r="A1623" s="21"/>
      <c r="B1623" s="22"/>
      <c r="C1623" s="20"/>
      <c r="D1623" s="21"/>
      <c r="E1623" s="21"/>
      <c r="F1623" s="20"/>
      <c r="G1623" s="22"/>
      <c r="I1623" s="40" t="str">
        <f>IFERROR(IF(VLOOKUP(E1623,extracto!C:C,1,FALSE)=E1623,"pagado","no pagado"),"no pagado")</f>
        <v>no pagado</v>
      </c>
      <c r="J1623" s="41" t="str">
        <f t="shared" ca="1" si="630"/>
        <v>fuera de fecha</v>
      </c>
      <c r="K1623" s="40" t="str">
        <f t="shared" ca="1" si="631"/>
        <v>excluir</v>
      </c>
      <c r="L1623" s="40" t="str">
        <f t="shared" ca="1" si="632"/>
        <v>no semana</v>
      </c>
      <c r="M1623" s="40" t="str">
        <f>IFERROR(VLOOKUP(E1623,'cheques a conf'!A:D,4,FALSE),"no clearing")</f>
        <v>no clearing</v>
      </c>
      <c r="N1623" s="40">
        <f t="shared" si="633"/>
        <v>1</v>
      </c>
      <c r="O1623" s="42">
        <f t="shared" si="634"/>
        <v>1</v>
      </c>
      <c r="P1623" s="42">
        <f t="shared" si="635"/>
        <v>1900</v>
      </c>
    </row>
    <row r="1624" spans="1:16" x14ac:dyDescent="0.25">
      <c r="A1624" s="21"/>
      <c r="B1624" s="22"/>
      <c r="C1624" s="20"/>
      <c r="D1624" s="21"/>
      <c r="E1624" s="21"/>
      <c r="F1624" s="20"/>
      <c r="G1624" s="22"/>
      <c r="I1624" s="40" t="str">
        <f>IFERROR(IF(VLOOKUP(E1624,extracto!C:C,1,FALSE)=E1624,"pagado","no pagado"),"no pagado")</f>
        <v>no pagado</v>
      </c>
      <c r="J1624" s="41" t="str">
        <f t="shared" ca="1" si="630"/>
        <v>fuera de fecha</v>
      </c>
      <c r="K1624" s="40" t="str">
        <f t="shared" ca="1" si="631"/>
        <v>excluir</v>
      </c>
      <c r="L1624" s="40" t="str">
        <f t="shared" ca="1" si="632"/>
        <v>no semana</v>
      </c>
      <c r="M1624" s="40" t="str">
        <f>IFERROR(VLOOKUP(E1624,'cheques a conf'!A:D,4,FALSE),"no clearing")</f>
        <v>no clearing</v>
      </c>
      <c r="N1624" s="40">
        <f t="shared" si="633"/>
        <v>1</v>
      </c>
      <c r="O1624" s="42">
        <f t="shared" si="634"/>
        <v>1</v>
      </c>
      <c r="P1624" s="42">
        <f t="shared" si="635"/>
        <v>1900</v>
      </c>
    </row>
    <row r="1625" spans="1:16" x14ac:dyDescent="0.25">
      <c r="A1625" s="21"/>
      <c r="B1625" s="22"/>
      <c r="C1625" s="20"/>
      <c r="D1625" s="21"/>
      <c r="E1625" s="21"/>
      <c r="F1625" s="20"/>
      <c r="G1625" s="22"/>
      <c r="I1625" s="40" t="str">
        <f>IFERROR(IF(VLOOKUP(E1625,extracto!C:C,1,FALSE)=E1625,"pagado","no pagado"),"no pagado")</f>
        <v>no pagado</v>
      </c>
      <c r="J1625" s="41" t="str">
        <f t="shared" ca="1" si="630"/>
        <v>fuera de fecha</v>
      </c>
      <c r="K1625" s="40" t="str">
        <f t="shared" ca="1" si="631"/>
        <v>excluir</v>
      </c>
      <c r="L1625" s="40" t="str">
        <f t="shared" ca="1" si="632"/>
        <v>no semana</v>
      </c>
      <c r="M1625" s="40" t="str">
        <f>IFERROR(VLOOKUP(E1625,'cheques a conf'!A:D,4,FALSE),"no clearing")</f>
        <v>no clearing</v>
      </c>
      <c r="N1625" s="40">
        <f t="shared" si="633"/>
        <v>1</v>
      </c>
      <c r="O1625" s="42">
        <f t="shared" si="634"/>
        <v>1</v>
      </c>
      <c r="P1625" s="42">
        <f t="shared" si="635"/>
        <v>1900</v>
      </c>
    </row>
    <row r="1626" spans="1:16" x14ac:dyDescent="0.25">
      <c r="A1626" s="21"/>
      <c r="B1626" s="22"/>
      <c r="C1626" s="20"/>
      <c r="D1626" s="21"/>
      <c r="E1626" s="21"/>
      <c r="F1626" s="20"/>
      <c r="G1626" s="22"/>
      <c r="I1626" s="51" t="str">
        <f>IFERROR(IF(VLOOKUP(E1626,extracto!C:C,1,FALSE)=E1626,"pagado","no pagado"),"no pagado")</f>
        <v>no pagado</v>
      </c>
      <c r="J1626" s="52" t="str">
        <f t="shared" ref="J1626:J1627" ca="1" si="636">IF(I1626="pagado","pagado",IF(G1626&lt;$V$1-30,"fuera de fecha","en periodo de pago"))</f>
        <v>fuera de fecha</v>
      </c>
      <c r="K1626" s="51" t="str">
        <f t="shared" ref="K1626:K1627" ca="1" si="637">+IF(B1626&gt;$V$1,"excluir",IF(J1626="en periodo de pago",IF($V$1&gt;G1626,"a pagar","proximo a vencer"),"excluir"))</f>
        <v>excluir</v>
      </c>
      <c r="L1626" s="51" t="str">
        <f t="shared" ref="L1626:L1627" ca="1" si="638">+IF(K1626="proximo a vencer",IF($V$1+5&gt;G1626,"para la semana","no semana"),"no semana")</f>
        <v>no semana</v>
      </c>
      <c r="M1626" s="51" t="str">
        <f>IFERROR(VLOOKUP(E1626,'cheques a conf'!A:D,4,FALSE),"no clearing")</f>
        <v>no clearing</v>
      </c>
      <c r="N1626" s="51">
        <f t="shared" ref="N1626:N1627" si="639">+WEEKNUM(G1626,2)</f>
        <v>1</v>
      </c>
      <c r="O1626" s="53">
        <f t="shared" ref="O1626:O1627" si="640">+MONTH(G1626)</f>
        <v>1</v>
      </c>
      <c r="P1626" s="53">
        <f t="shared" ref="P1626:P1627" si="641">+YEAR(G1626)</f>
        <v>1900</v>
      </c>
    </row>
    <row r="1627" spans="1:16" x14ac:dyDescent="0.25">
      <c r="A1627" s="21"/>
      <c r="B1627" s="22"/>
      <c r="C1627" s="20"/>
      <c r="D1627" s="21"/>
      <c r="E1627" s="21"/>
      <c r="F1627" s="20"/>
      <c r="G1627" s="22"/>
      <c r="I1627" s="51" t="str">
        <f>IFERROR(IF(VLOOKUP(E1627,extracto!C:C,1,FALSE)=E1627,"pagado","no pagado"),"no pagado")</f>
        <v>no pagado</v>
      </c>
      <c r="J1627" s="52" t="str">
        <f t="shared" ca="1" si="636"/>
        <v>fuera de fecha</v>
      </c>
      <c r="K1627" s="51" t="str">
        <f t="shared" ca="1" si="637"/>
        <v>excluir</v>
      </c>
      <c r="L1627" s="51" t="str">
        <f t="shared" ca="1" si="638"/>
        <v>no semana</v>
      </c>
      <c r="M1627" s="51" t="str">
        <f>IFERROR(VLOOKUP(E1627,'cheques a conf'!A:D,4,FALSE),"no clearing")</f>
        <v>no clearing</v>
      </c>
      <c r="N1627" s="51">
        <f t="shared" si="639"/>
        <v>1</v>
      </c>
      <c r="O1627" s="53">
        <f t="shared" si="640"/>
        <v>1</v>
      </c>
      <c r="P1627" s="53">
        <f t="shared" si="641"/>
        <v>1900</v>
      </c>
    </row>
    <row r="1628" spans="1:16" x14ac:dyDescent="0.25">
      <c r="A1628"/>
      <c r="B1628" s="3"/>
      <c r="C1628" s="54"/>
      <c r="D1628"/>
      <c r="E1628"/>
      <c r="F1628" s="54"/>
      <c r="G1628" s="3"/>
      <c r="I1628" s="51" t="str">
        <f>IFERROR(IF(VLOOKUP(E1628,extracto!C:C,1,FALSE)=E1628,"pagado","no pagado"),"no pagado")</f>
        <v>no pagado</v>
      </c>
      <c r="J1628" s="52" t="str">
        <f t="shared" ref="J1628:J1654" ca="1" si="642">IF(I1628="pagado","pagado",IF(G1628&lt;$V$1-30,"fuera de fecha","en periodo de pago"))</f>
        <v>fuera de fecha</v>
      </c>
      <c r="K1628" s="51" t="str">
        <f t="shared" ref="K1628:K1654" ca="1" si="643">+IF(B1628&gt;$V$1,"excluir",IF(J1628="en periodo de pago",IF($V$1&gt;G1628,"a pagar","proximo a vencer"),"excluir"))</f>
        <v>excluir</v>
      </c>
      <c r="L1628" s="51" t="str">
        <f t="shared" ref="L1628:L1654" ca="1" si="644">+IF(K1628="proximo a vencer",IF($V$1+5&gt;G1628,"para la semana","no semana"),"no semana")</f>
        <v>no semana</v>
      </c>
      <c r="M1628" s="51" t="str">
        <f>IFERROR(VLOOKUP(E1628,'cheques a conf'!A:D,4,FALSE),"no clearing")</f>
        <v>no clearing</v>
      </c>
      <c r="N1628" s="51">
        <f t="shared" ref="N1628:N1654" si="645">+WEEKNUM(G1628,2)</f>
        <v>1</v>
      </c>
      <c r="O1628" s="53">
        <f t="shared" ref="O1628:O1654" si="646">+MONTH(G1628)</f>
        <v>1</v>
      </c>
      <c r="P1628" s="53">
        <f t="shared" ref="P1628:P1654" si="647">+YEAR(G1628)</f>
        <v>1900</v>
      </c>
    </row>
    <row r="1629" spans="1:16" x14ac:dyDescent="0.25">
      <c r="A1629"/>
      <c r="B1629" s="3"/>
      <c r="C1629" s="54"/>
      <c r="D1629"/>
      <c r="E1629"/>
      <c r="F1629" s="54"/>
      <c r="G1629" s="3"/>
      <c r="I1629" s="51" t="str">
        <f>IFERROR(IF(VLOOKUP(E1629,extracto!C:C,1,FALSE)=E1629,"pagado","no pagado"),"no pagado")</f>
        <v>no pagado</v>
      </c>
      <c r="J1629" s="52" t="str">
        <f t="shared" ca="1" si="642"/>
        <v>fuera de fecha</v>
      </c>
      <c r="K1629" s="51" t="str">
        <f t="shared" ca="1" si="643"/>
        <v>excluir</v>
      </c>
      <c r="L1629" s="51" t="str">
        <f t="shared" ca="1" si="644"/>
        <v>no semana</v>
      </c>
      <c r="M1629" s="51" t="str">
        <f>IFERROR(VLOOKUP(E1629,'cheques a conf'!A:D,4,FALSE),"no clearing")</f>
        <v>no clearing</v>
      </c>
      <c r="N1629" s="51">
        <f t="shared" si="645"/>
        <v>1</v>
      </c>
      <c r="O1629" s="53">
        <f t="shared" si="646"/>
        <v>1</v>
      </c>
      <c r="P1629" s="53">
        <f t="shared" si="647"/>
        <v>1900</v>
      </c>
    </row>
    <row r="1630" spans="1:16" x14ac:dyDescent="0.25">
      <c r="A1630"/>
      <c r="B1630" s="3"/>
      <c r="C1630" s="54"/>
      <c r="D1630"/>
      <c r="E1630"/>
      <c r="F1630" s="54"/>
      <c r="G1630" s="3"/>
      <c r="I1630" s="51" t="str">
        <f>IFERROR(IF(VLOOKUP(E1630,extracto!C:C,1,FALSE)=E1630,"pagado","no pagado"),"no pagado")</f>
        <v>no pagado</v>
      </c>
      <c r="J1630" s="52" t="str">
        <f t="shared" ca="1" si="642"/>
        <v>fuera de fecha</v>
      </c>
      <c r="K1630" s="51" t="str">
        <f t="shared" ca="1" si="643"/>
        <v>excluir</v>
      </c>
      <c r="L1630" s="51" t="str">
        <f t="shared" ca="1" si="644"/>
        <v>no semana</v>
      </c>
      <c r="M1630" s="51" t="str">
        <f>IFERROR(VLOOKUP(E1630,'cheques a conf'!A:D,4,FALSE),"no clearing")</f>
        <v>no clearing</v>
      </c>
      <c r="N1630" s="51">
        <f t="shared" si="645"/>
        <v>1</v>
      </c>
      <c r="O1630" s="53">
        <f t="shared" si="646"/>
        <v>1</v>
      </c>
      <c r="P1630" s="53">
        <f t="shared" si="647"/>
        <v>1900</v>
      </c>
    </row>
    <row r="1631" spans="1:16" x14ac:dyDescent="0.25">
      <c r="A1631"/>
      <c r="B1631" s="3"/>
      <c r="C1631" s="54"/>
      <c r="D1631"/>
      <c r="E1631"/>
      <c r="F1631" s="54"/>
      <c r="G1631" s="3"/>
      <c r="I1631" s="51" t="str">
        <f>IFERROR(IF(VLOOKUP(E1631,extracto!C:C,1,FALSE)=E1631,"pagado","no pagado"),"no pagado")</f>
        <v>no pagado</v>
      </c>
      <c r="J1631" s="52" t="str">
        <f t="shared" ca="1" si="642"/>
        <v>fuera de fecha</v>
      </c>
      <c r="K1631" s="51" t="str">
        <f t="shared" ca="1" si="643"/>
        <v>excluir</v>
      </c>
      <c r="L1631" s="51" t="str">
        <f t="shared" ca="1" si="644"/>
        <v>no semana</v>
      </c>
      <c r="M1631" s="51" t="str">
        <f>IFERROR(VLOOKUP(E1631,'cheques a conf'!A:D,4,FALSE),"no clearing")</f>
        <v>no clearing</v>
      </c>
      <c r="N1631" s="51">
        <f t="shared" si="645"/>
        <v>1</v>
      </c>
      <c r="O1631" s="53">
        <f t="shared" si="646"/>
        <v>1</v>
      </c>
      <c r="P1631" s="53">
        <f t="shared" si="647"/>
        <v>1900</v>
      </c>
    </row>
    <row r="1632" spans="1:16" x14ac:dyDescent="0.25">
      <c r="A1632"/>
      <c r="B1632" s="3"/>
      <c r="C1632" s="54"/>
      <c r="D1632"/>
      <c r="E1632"/>
      <c r="F1632" s="54"/>
      <c r="G1632" s="3"/>
      <c r="I1632" s="51" t="str">
        <f>IFERROR(IF(VLOOKUP(E1632,extracto!C:C,1,FALSE)=E1632,"pagado","no pagado"),"no pagado")</f>
        <v>no pagado</v>
      </c>
      <c r="J1632" s="52" t="str">
        <f t="shared" ca="1" si="642"/>
        <v>fuera de fecha</v>
      </c>
      <c r="K1632" s="51" t="str">
        <f t="shared" ca="1" si="643"/>
        <v>excluir</v>
      </c>
      <c r="L1632" s="51" t="str">
        <f t="shared" ca="1" si="644"/>
        <v>no semana</v>
      </c>
      <c r="M1632" s="51" t="str">
        <f>IFERROR(VLOOKUP(E1632,'cheques a conf'!A:D,4,FALSE),"no clearing")</f>
        <v>no clearing</v>
      </c>
      <c r="N1632" s="51">
        <f t="shared" si="645"/>
        <v>1</v>
      </c>
      <c r="O1632" s="53">
        <f t="shared" si="646"/>
        <v>1</v>
      </c>
      <c r="P1632" s="53">
        <f t="shared" si="647"/>
        <v>1900</v>
      </c>
    </row>
    <row r="1633" spans="1:16" x14ac:dyDescent="0.25">
      <c r="A1633"/>
      <c r="B1633" s="3"/>
      <c r="C1633" s="54"/>
      <c r="D1633"/>
      <c r="E1633"/>
      <c r="F1633" s="54"/>
      <c r="G1633" s="3"/>
      <c r="I1633" s="51" t="str">
        <f>IFERROR(IF(VLOOKUP(E1633,extracto!C:C,1,FALSE)=E1633,"pagado","no pagado"),"no pagado")</f>
        <v>no pagado</v>
      </c>
      <c r="J1633" s="52" t="str">
        <f t="shared" ca="1" si="642"/>
        <v>fuera de fecha</v>
      </c>
      <c r="K1633" s="51" t="str">
        <f t="shared" ca="1" si="643"/>
        <v>excluir</v>
      </c>
      <c r="L1633" s="51" t="str">
        <f t="shared" ca="1" si="644"/>
        <v>no semana</v>
      </c>
      <c r="M1633" s="51" t="str">
        <f>IFERROR(VLOOKUP(E1633,'cheques a conf'!A:D,4,FALSE),"no clearing")</f>
        <v>no clearing</v>
      </c>
      <c r="N1633" s="51">
        <f t="shared" si="645"/>
        <v>1</v>
      </c>
      <c r="O1633" s="53">
        <f t="shared" si="646"/>
        <v>1</v>
      </c>
      <c r="P1633" s="53">
        <f t="shared" si="647"/>
        <v>1900</v>
      </c>
    </row>
    <row r="1634" spans="1:16" x14ac:dyDescent="0.25">
      <c r="A1634"/>
      <c r="B1634" s="3"/>
      <c r="C1634" s="54"/>
      <c r="D1634"/>
      <c r="E1634"/>
      <c r="F1634" s="54"/>
      <c r="G1634" s="3"/>
      <c r="I1634" s="51" t="str">
        <f>IFERROR(IF(VLOOKUP(E1634,extracto!C:C,1,FALSE)=E1634,"pagado","no pagado"),"no pagado")</f>
        <v>no pagado</v>
      </c>
      <c r="J1634" s="52" t="str">
        <f t="shared" ca="1" si="642"/>
        <v>fuera de fecha</v>
      </c>
      <c r="K1634" s="51" t="str">
        <f t="shared" ca="1" si="643"/>
        <v>excluir</v>
      </c>
      <c r="L1634" s="51" t="str">
        <f t="shared" ca="1" si="644"/>
        <v>no semana</v>
      </c>
      <c r="M1634" s="51" t="str">
        <f>IFERROR(VLOOKUP(E1634,'cheques a conf'!A:D,4,FALSE),"no clearing")</f>
        <v>no clearing</v>
      </c>
      <c r="N1634" s="51">
        <f t="shared" si="645"/>
        <v>1</v>
      </c>
      <c r="O1634" s="53">
        <f t="shared" si="646"/>
        <v>1</v>
      </c>
      <c r="P1634" s="53">
        <f t="shared" si="647"/>
        <v>1900</v>
      </c>
    </row>
    <row r="1635" spans="1:16" x14ac:dyDescent="0.25">
      <c r="A1635"/>
      <c r="B1635" s="3"/>
      <c r="C1635" s="54"/>
      <c r="D1635"/>
      <c r="E1635"/>
      <c r="F1635" s="54"/>
      <c r="G1635" s="3"/>
      <c r="I1635" s="51" t="str">
        <f>IFERROR(IF(VLOOKUP(E1635,extracto!C:C,1,FALSE)=E1635,"pagado","no pagado"),"no pagado")</f>
        <v>no pagado</v>
      </c>
      <c r="J1635" s="52" t="str">
        <f t="shared" ca="1" si="642"/>
        <v>fuera de fecha</v>
      </c>
      <c r="K1635" s="51" t="str">
        <f t="shared" ca="1" si="643"/>
        <v>excluir</v>
      </c>
      <c r="L1635" s="51" t="str">
        <f t="shared" ca="1" si="644"/>
        <v>no semana</v>
      </c>
      <c r="M1635" s="51" t="str">
        <f>IFERROR(VLOOKUP(E1635,'cheques a conf'!A:D,4,FALSE),"no clearing")</f>
        <v>no clearing</v>
      </c>
      <c r="N1635" s="51">
        <f t="shared" si="645"/>
        <v>1</v>
      </c>
      <c r="O1635" s="53">
        <f t="shared" si="646"/>
        <v>1</v>
      </c>
      <c r="P1635" s="53">
        <f t="shared" si="647"/>
        <v>1900</v>
      </c>
    </row>
    <row r="1636" spans="1:16" x14ac:dyDescent="0.25">
      <c r="A1636"/>
      <c r="B1636" s="3"/>
      <c r="C1636" s="54"/>
      <c r="D1636"/>
      <c r="E1636"/>
      <c r="F1636" s="54"/>
      <c r="G1636" s="3"/>
      <c r="I1636" s="51" t="str">
        <f>IFERROR(IF(VLOOKUP(E1636,extracto!C:C,1,FALSE)=E1636,"pagado","no pagado"),"no pagado")</f>
        <v>no pagado</v>
      </c>
      <c r="J1636" s="52" t="str">
        <f t="shared" ca="1" si="642"/>
        <v>fuera de fecha</v>
      </c>
      <c r="K1636" s="51" t="str">
        <f t="shared" ca="1" si="643"/>
        <v>excluir</v>
      </c>
      <c r="L1636" s="51" t="str">
        <f t="shared" ca="1" si="644"/>
        <v>no semana</v>
      </c>
      <c r="M1636" s="51" t="str">
        <f>IFERROR(VLOOKUP(E1636,'cheques a conf'!A:D,4,FALSE),"no clearing")</f>
        <v>no clearing</v>
      </c>
      <c r="N1636" s="51">
        <f t="shared" si="645"/>
        <v>1</v>
      </c>
      <c r="O1636" s="53">
        <f t="shared" si="646"/>
        <v>1</v>
      </c>
      <c r="P1636" s="53">
        <f t="shared" si="647"/>
        <v>1900</v>
      </c>
    </row>
    <row r="1637" spans="1:16" x14ac:dyDescent="0.25">
      <c r="A1637"/>
      <c r="B1637" s="3"/>
      <c r="C1637" s="54"/>
      <c r="D1637"/>
      <c r="E1637"/>
      <c r="F1637" s="54"/>
      <c r="G1637" s="3"/>
      <c r="I1637" s="51" t="str">
        <f>IFERROR(IF(VLOOKUP(E1637,extracto!C:C,1,FALSE)=E1637,"pagado","no pagado"),"no pagado")</f>
        <v>no pagado</v>
      </c>
      <c r="J1637" s="52" t="str">
        <f t="shared" ca="1" si="642"/>
        <v>fuera de fecha</v>
      </c>
      <c r="K1637" s="51" t="str">
        <f t="shared" ca="1" si="643"/>
        <v>excluir</v>
      </c>
      <c r="L1637" s="51" t="str">
        <f t="shared" ca="1" si="644"/>
        <v>no semana</v>
      </c>
      <c r="M1637" s="51" t="str">
        <f>IFERROR(VLOOKUP(E1637,'cheques a conf'!A:D,4,FALSE),"no clearing")</f>
        <v>no clearing</v>
      </c>
      <c r="N1637" s="51">
        <f t="shared" si="645"/>
        <v>1</v>
      </c>
      <c r="O1637" s="53">
        <f t="shared" si="646"/>
        <v>1</v>
      </c>
      <c r="P1637" s="53">
        <f t="shared" si="647"/>
        <v>1900</v>
      </c>
    </row>
    <row r="1638" spans="1:16" x14ac:dyDescent="0.25">
      <c r="A1638"/>
      <c r="B1638" s="3"/>
      <c r="C1638" s="54"/>
      <c r="D1638"/>
      <c r="E1638"/>
      <c r="F1638" s="54"/>
      <c r="G1638" s="3"/>
      <c r="I1638" s="51" t="str">
        <f>IFERROR(IF(VLOOKUP(E1638,extracto!C:C,1,FALSE)=E1638,"pagado","no pagado"),"no pagado")</f>
        <v>no pagado</v>
      </c>
      <c r="J1638" s="52" t="str">
        <f t="shared" ca="1" si="642"/>
        <v>fuera de fecha</v>
      </c>
      <c r="K1638" s="51" t="str">
        <f t="shared" ca="1" si="643"/>
        <v>excluir</v>
      </c>
      <c r="L1638" s="51" t="str">
        <f t="shared" ca="1" si="644"/>
        <v>no semana</v>
      </c>
      <c r="M1638" s="51" t="str">
        <f>IFERROR(VLOOKUP(E1638,'cheques a conf'!A:D,4,FALSE),"no clearing")</f>
        <v>no clearing</v>
      </c>
      <c r="N1638" s="51">
        <f t="shared" si="645"/>
        <v>1</v>
      </c>
      <c r="O1638" s="53">
        <f t="shared" si="646"/>
        <v>1</v>
      </c>
      <c r="P1638" s="53">
        <f t="shared" si="647"/>
        <v>1900</v>
      </c>
    </row>
    <row r="1639" spans="1:16" x14ac:dyDescent="0.25">
      <c r="A1639"/>
      <c r="B1639" s="3"/>
      <c r="C1639" s="54"/>
      <c r="D1639"/>
      <c r="E1639"/>
      <c r="F1639" s="54"/>
      <c r="G1639" s="3"/>
      <c r="I1639" s="51" t="str">
        <f>IFERROR(IF(VLOOKUP(E1639,extracto!C:C,1,FALSE)=E1639,"pagado","no pagado"),"no pagado")</f>
        <v>no pagado</v>
      </c>
      <c r="J1639" s="52" t="str">
        <f t="shared" ca="1" si="642"/>
        <v>fuera de fecha</v>
      </c>
      <c r="K1639" s="51" t="str">
        <f t="shared" ca="1" si="643"/>
        <v>excluir</v>
      </c>
      <c r="L1639" s="51" t="str">
        <f t="shared" ca="1" si="644"/>
        <v>no semana</v>
      </c>
      <c r="M1639" s="51" t="str">
        <f>IFERROR(VLOOKUP(E1639,'cheques a conf'!A:D,4,FALSE),"no clearing")</f>
        <v>no clearing</v>
      </c>
      <c r="N1639" s="51">
        <f t="shared" si="645"/>
        <v>1</v>
      </c>
      <c r="O1639" s="53">
        <f t="shared" si="646"/>
        <v>1</v>
      </c>
      <c r="P1639" s="53">
        <f t="shared" si="647"/>
        <v>1900</v>
      </c>
    </row>
    <row r="1640" spans="1:16" x14ac:dyDescent="0.25">
      <c r="A1640"/>
      <c r="B1640" s="3"/>
      <c r="C1640" s="54"/>
      <c r="D1640"/>
      <c r="E1640"/>
      <c r="F1640" s="54"/>
      <c r="G1640" s="3"/>
      <c r="I1640" s="51" t="str">
        <f>IFERROR(IF(VLOOKUP(E1640,extracto!C:C,1,FALSE)=E1640,"pagado","no pagado"),"no pagado")</f>
        <v>no pagado</v>
      </c>
      <c r="J1640" s="52" t="str">
        <f t="shared" ca="1" si="642"/>
        <v>fuera de fecha</v>
      </c>
      <c r="K1640" s="51" t="str">
        <f t="shared" ca="1" si="643"/>
        <v>excluir</v>
      </c>
      <c r="L1640" s="51" t="str">
        <f t="shared" ca="1" si="644"/>
        <v>no semana</v>
      </c>
      <c r="M1640" s="51" t="str">
        <f>IFERROR(VLOOKUP(E1640,'cheques a conf'!A:D,4,FALSE),"no clearing")</f>
        <v>no clearing</v>
      </c>
      <c r="N1640" s="51">
        <f t="shared" si="645"/>
        <v>1</v>
      </c>
      <c r="O1640" s="53">
        <f t="shared" si="646"/>
        <v>1</v>
      </c>
      <c r="P1640" s="53">
        <f t="shared" si="647"/>
        <v>1900</v>
      </c>
    </row>
    <row r="1641" spans="1:16" x14ac:dyDescent="0.25">
      <c r="A1641"/>
      <c r="B1641" s="3"/>
      <c r="C1641" s="54"/>
      <c r="D1641"/>
      <c r="E1641"/>
      <c r="F1641" s="54"/>
      <c r="G1641" s="3"/>
      <c r="I1641" s="51" t="str">
        <f>IFERROR(IF(VLOOKUP(E1641,extracto!C:C,1,FALSE)=E1641,"pagado","no pagado"),"no pagado")</f>
        <v>no pagado</v>
      </c>
      <c r="J1641" s="52" t="str">
        <f t="shared" ca="1" si="642"/>
        <v>fuera de fecha</v>
      </c>
      <c r="K1641" s="51" t="str">
        <f t="shared" ca="1" si="643"/>
        <v>excluir</v>
      </c>
      <c r="L1641" s="51" t="str">
        <f t="shared" ca="1" si="644"/>
        <v>no semana</v>
      </c>
      <c r="M1641" s="51" t="str">
        <f>IFERROR(VLOOKUP(E1641,'cheques a conf'!A:D,4,FALSE),"no clearing")</f>
        <v>no clearing</v>
      </c>
      <c r="N1641" s="51">
        <f t="shared" si="645"/>
        <v>1</v>
      </c>
      <c r="O1641" s="53">
        <f t="shared" si="646"/>
        <v>1</v>
      </c>
      <c r="P1641" s="53">
        <f t="shared" si="647"/>
        <v>1900</v>
      </c>
    </row>
    <row r="1642" spans="1:16" x14ac:dyDescent="0.25">
      <c r="A1642"/>
      <c r="B1642" s="3"/>
      <c r="C1642" s="54"/>
      <c r="D1642"/>
      <c r="E1642"/>
      <c r="F1642" s="54"/>
      <c r="G1642" s="3"/>
      <c r="I1642" s="51" t="str">
        <f>IFERROR(IF(VLOOKUP(E1642,extracto!C:C,1,FALSE)=E1642,"pagado","no pagado"),"no pagado")</f>
        <v>no pagado</v>
      </c>
      <c r="J1642" s="52" t="str">
        <f t="shared" ca="1" si="642"/>
        <v>fuera de fecha</v>
      </c>
      <c r="K1642" s="51" t="str">
        <f t="shared" ca="1" si="643"/>
        <v>excluir</v>
      </c>
      <c r="L1642" s="51" t="str">
        <f t="shared" ca="1" si="644"/>
        <v>no semana</v>
      </c>
      <c r="M1642" s="51" t="str">
        <f>IFERROR(VLOOKUP(E1642,'cheques a conf'!A:D,4,FALSE),"no clearing")</f>
        <v>no clearing</v>
      </c>
      <c r="N1642" s="51">
        <f t="shared" si="645"/>
        <v>1</v>
      </c>
      <c r="O1642" s="53">
        <f t="shared" si="646"/>
        <v>1</v>
      </c>
      <c r="P1642" s="53">
        <f t="shared" si="647"/>
        <v>1900</v>
      </c>
    </row>
    <row r="1643" spans="1:16" x14ac:dyDescent="0.25">
      <c r="A1643"/>
      <c r="B1643" s="3"/>
      <c r="C1643" s="54"/>
      <c r="D1643"/>
      <c r="E1643"/>
      <c r="F1643" s="54"/>
      <c r="G1643" s="3"/>
      <c r="I1643" s="51" t="str">
        <f>IFERROR(IF(VLOOKUP(E1643,extracto!C:C,1,FALSE)=E1643,"pagado","no pagado"),"no pagado")</f>
        <v>no pagado</v>
      </c>
      <c r="J1643" s="52" t="str">
        <f t="shared" ca="1" si="642"/>
        <v>fuera de fecha</v>
      </c>
      <c r="K1643" s="51" t="str">
        <f t="shared" ca="1" si="643"/>
        <v>excluir</v>
      </c>
      <c r="L1643" s="51" t="str">
        <f t="shared" ca="1" si="644"/>
        <v>no semana</v>
      </c>
      <c r="M1643" s="51" t="str">
        <f>IFERROR(VLOOKUP(E1643,'cheques a conf'!A:D,4,FALSE),"no clearing")</f>
        <v>no clearing</v>
      </c>
      <c r="N1643" s="51">
        <f t="shared" si="645"/>
        <v>1</v>
      </c>
      <c r="O1643" s="53">
        <f t="shared" si="646"/>
        <v>1</v>
      </c>
      <c r="P1643" s="53">
        <f t="shared" si="647"/>
        <v>1900</v>
      </c>
    </row>
    <row r="1644" spans="1:16" x14ac:dyDescent="0.25">
      <c r="A1644"/>
      <c r="B1644" s="3"/>
      <c r="C1644" s="54"/>
      <c r="D1644"/>
      <c r="E1644"/>
      <c r="F1644" s="54"/>
      <c r="G1644" s="3"/>
      <c r="I1644" s="51" t="str">
        <f>IFERROR(IF(VLOOKUP(E1644,extracto!C:C,1,FALSE)=E1644,"pagado","no pagado"),"no pagado")</f>
        <v>no pagado</v>
      </c>
      <c r="J1644" s="52" t="str">
        <f t="shared" ca="1" si="642"/>
        <v>fuera de fecha</v>
      </c>
      <c r="K1644" s="51" t="str">
        <f t="shared" ca="1" si="643"/>
        <v>excluir</v>
      </c>
      <c r="L1644" s="51" t="str">
        <f t="shared" ca="1" si="644"/>
        <v>no semana</v>
      </c>
      <c r="M1644" s="51" t="str">
        <f>IFERROR(VLOOKUP(E1644,'cheques a conf'!A:D,4,FALSE),"no clearing")</f>
        <v>no clearing</v>
      </c>
      <c r="N1644" s="51">
        <f t="shared" si="645"/>
        <v>1</v>
      </c>
      <c r="O1644" s="53">
        <f t="shared" si="646"/>
        <v>1</v>
      </c>
      <c r="P1644" s="53">
        <f t="shared" si="647"/>
        <v>1900</v>
      </c>
    </row>
    <row r="1645" spans="1:16" x14ac:dyDescent="0.25">
      <c r="A1645"/>
      <c r="B1645" s="3"/>
      <c r="C1645" s="54"/>
      <c r="D1645"/>
      <c r="E1645"/>
      <c r="F1645" s="54"/>
      <c r="G1645" s="3"/>
      <c r="I1645" s="51" t="str">
        <f>IFERROR(IF(VLOOKUP(E1645,extracto!C:C,1,FALSE)=E1645,"pagado","no pagado"),"no pagado")</f>
        <v>no pagado</v>
      </c>
      <c r="J1645" s="52" t="str">
        <f t="shared" ca="1" si="642"/>
        <v>fuera de fecha</v>
      </c>
      <c r="K1645" s="51" t="str">
        <f t="shared" ca="1" si="643"/>
        <v>excluir</v>
      </c>
      <c r="L1645" s="51" t="str">
        <f t="shared" ca="1" si="644"/>
        <v>no semana</v>
      </c>
      <c r="M1645" s="51" t="str">
        <f>IFERROR(VLOOKUP(E1645,'cheques a conf'!A:D,4,FALSE),"no clearing")</f>
        <v>no clearing</v>
      </c>
      <c r="N1645" s="51">
        <f t="shared" si="645"/>
        <v>1</v>
      </c>
      <c r="O1645" s="53">
        <f t="shared" si="646"/>
        <v>1</v>
      </c>
      <c r="P1645" s="53">
        <f t="shared" si="647"/>
        <v>1900</v>
      </c>
    </row>
    <row r="1646" spans="1:16" x14ac:dyDescent="0.25">
      <c r="A1646"/>
      <c r="B1646" s="3"/>
      <c r="C1646" s="54"/>
      <c r="D1646"/>
      <c r="E1646"/>
      <c r="F1646" s="54"/>
      <c r="G1646" s="3"/>
      <c r="I1646" s="51" t="str">
        <f>IFERROR(IF(VLOOKUP(E1646,extracto!C:C,1,FALSE)=E1646,"pagado","no pagado"),"no pagado")</f>
        <v>no pagado</v>
      </c>
      <c r="J1646" s="52" t="str">
        <f t="shared" ca="1" si="642"/>
        <v>fuera de fecha</v>
      </c>
      <c r="K1646" s="51" t="str">
        <f t="shared" ca="1" si="643"/>
        <v>excluir</v>
      </c>
      <c r="L1646" s="51" t="str">
        <f t="shared" ca="1" si="644"/>
        <v>no semana</v>
      </c>
      <c r="M1646" s="51" t="str">
        <f>IFERROR(VLOOKUP(E1646,'cheques a conf'!A:D,4,FALSE),"no clearing")</f>
        <v>no clearing</v>
      </c>
      <c r="N1646" s="51">
        <f t="shared" si="645"/>
        <v>1</v>
      </c>
      <c r="O1646" s="53">
        <f t="shared" si="646"/>
        <v>1</v>
      </c>
      <c r="P1646" s="53">
        <f t="shared" si="647"/>
        <v>1900</v>
      </c>
    </row>
    <row r="1647" spans="1:16" x14ac:dyDescent="0.25">
      <c r="A1647"/>
      <c r="B1647" s="3"/>
      <c r="C1647" s="54"/>
      <c r="D1647"/>
      <c r="E1647"/>
      <c r="F1647" s="54"/>
      <c r="G1647" s="3"/>
      <c r="I1647" s="51" t="str">
        <f>IFERROR(IF(VLOOKUP(E1647,extracto!C:C,1,FALSE)=E1647,"pagado","no pagado"),"no pagado")</f>
        <v>no pagado</v>
      </c>
      <c r="J1647" s="52" t="str">
        <f t="shared" ca="1" si="642"/>
        <v>fuera de fecha</v>
      </c>
      <c r="K1647" s="51" t="str">
        <f t="shared" ca="1" si="643"/>
        <v>excluir</v>
      </c>
      <c r="L1647" s="51" t="str">
        <f t="shared" ca="1" si="644"/>
        <v>no semana</v>
      </c>
      <c r="M1647" s="51" t="str">
        <f>IFERROR(VLOOKUP(E1647,'cheques a conf'!A:D,4,FALSE),"no clearing")</f>
        <v>no clearing</v>
      </c>
      <c r="N1647" s="51">
        <f t="shared" si="645"/>
        <v>1</v>
      </c>
      <c r="O1647" s="53">
        <f t="shared" si="646"/>
        <v>1</v>
      </c>
      <c r="P1647" s="53">
        <f t="shared" si="647"/>
        <v>1900</v>
      </c>
    </row>
    <row r="1648" spans="1:16" x14ac:dyDescent="0.25">
      <c r="A1648"/>
      <c r="B1648" s="3"/>
      <c r="C1648" s="54"/>
      <c r="D1648"/>
      <c r="E1648"/>
      <c r="F1648" s="54"/>
      <c r="G1648" s="3"/>
      <c r="I1648" s="51" t="str">
        <f>IFERROR(IF(VLOOKUP(E1648,extracto!C:C,1,FALSE)=E1648,"pagado","no pagado"),"no pagado")</f>
        <v>no pagado</v>
      </c>
      <c r="J1648" s="52" t="str">
        <f t="shared" ca="1" si="642"/>
        <v>fuera de fecha</v>
      </c>
      <c r="K1648" s="51" t="str">
        <f t="shared" ca="1" si="643"/>
        <v>excluir</v>
      </c>
      <c r="L1648" s="51" t="str">
        <f t="shared" ca="1" si="644"/>
        <v>no semana</v>
      </c>
      <c r="M1648" s="51" t="str">
        <f>IFERROR(VLOOKUP(E1648,'cheques a conf'!A:D,4,FALSE),"no clearing")</f>
        <v>no clearing</v>
      </c>
      <c r="N1648" s="51">
        <f t="shared" si="645"/>
        <v>1</v>
      </c>
      <c r="O1648" s="53">
        <f t="shared" si="646"/>
        <v>1</v>
      </c>
      <c r="P1648" s="53">
        <f t="shared" si="647"/>
        <v>1900</v>
      </c>
    </row>
    <row r="1649" spans="1:16" x14ac:dyDescent="0.25">
      <c r="A1649"/>
      <c r="B1649" s="3"/>
      <c r="C1649" s="54"/>
      <c r="D1649"/>
      <c r="E1649"/>
      <c r="F1649" s="54"/>
      <c r="G1649" s="3"/>
      <c r="I1649" s="51" t="str">
        <f>IFERROR(IF(VLOOKUP(E1649,extracto!C:C,1,FALSE)=E1649,"pagado","no pagado"),"no pagado")</f>
        <v>no pagado</v>
      </c>
      <c r="J1649" s="52" t="str">
        <f t="shared" ca="1" si="642"/>
        <v>fuera de fecha</v>
      </c>
      <c r="K1649" s="51" t="str">
        <f t="shared" ca="1" si="643"/>
        <v>excluir</v>
      </c>
      <c r="L1649" s="51" t="str">
        <f t="shared" ca="1" si="644"/>
        <v>no semana</v>
      </c>
      <c r="M1649" s="51" t="str">
        <f>IFERROR(VLOOKUP(E1649,'cheques a conf'!A:D,4,FALSE),"no clearing")</f>
        <v>no clearing</v>
      </c>
      <c r="N1649" s="51">
        <f t="shared" si="645"/>
        <v>1</v>
      </c>
      <c r="O1649" s="53">
        <f t="shared" si="646"/>
        <v>1</v>
      </c>
      <c r="P1649" s="53">
        <f t="shared" si="647"/>
        <v>1900</v>
      </c>
    </row>
    <row r="1650" spans="1:16" x14ac:dyDescent="0.25">
      <c r="A1650"/>
      <c r="B1650" s="3"/>
      <c r="C1650" s="54"/>
      <c r="D1650"/>
      <c r="E1650"/>
      <c r="F1650" s="54"/>
      <c r="G1650" s="3"/>
      <c r="I1650" s="51" t="str">
        <f>IFERROR(IF(VLOOKUP(E1650,extracto!C:C,1,FALSE)=E1650,"pagado","no pagado"),"no pagado")</f>
        <v>no pagado</v>
      </c>
      <c r="J1650" s="52" t="str">
        <f t="shared" ca="1" si="642"/>
        <v>fuera de fecha</v>
      </c>
      <c r="K1650" s="51" t="str">
        <f t="shared" ca="1" si="643"/>
        <v>excluir</v>
      </c>
      <c r="L1650" s="51" t="str">
        <f t="shared" ca="1" si="644"/>
        <v>no semana</v>
      </c>
      <c r="M1650" s="51" t="str">
        <f>IFERROR(VLOOKUP(E1650,'cheques a conf'!A:D,4,FALSE),"no clearing")</f>
        <v>no clearing</v>
      </c>
      <c r="N1650" s="51">
        <f t="shared" si="645"/>
        <v>1</v>
      </c>
      <c r="O1650" s="53">
        <f t="shared" si="646"/>
        <v>1</v>
      </c>
      <c r="P1650" s="53">
        <f t="shared" si="647"/>
        <v>1900</v>
      </c>
    </row>
    <row r="1651" spans="1:16" x14ac:dyDescent="0.25">
      <c r="A1651"/>
      <c r="B1651" s="3"/>
      <c r="C1651" s="54"/>
      <c r="D1651"/>
      <c r="E1651"/>
      <c r="F1651" s="54"/>
      <c r="G1651" s="3"/>
      <c r="I1651" s="51" t="str">
        <f>IFERROR(IF(VLOOKUP(E1651,extracto!C:C,1,FALSE)=E1651,"pagado","no pagado"),"no pagado")</f>
        <v>no pagado</v>
      </c>
      <c r="J1651" s="52" t="str">
        <f t="shared" ca="1" si="642"/>
        <v>fuera de fecha</v>
      </c>
      <c r="K1651" s="51" t="str">
        <f t="shared" ca="1" si="643"/>
        <v>excluir</v>
      </c>
      <c r="L1651" s="51" t="str">
        <f t="shared" ca="1" si="644"/>
        <v>no semana</v>
      </c>
      <c r="M1651" s="51" t="str">
        <f>IFERROR(VLOOKUP(E1651,'cheques a conf'!A:D,4,FALSE),"no clearing")</f>
        <v>no clearing</v>
      </c>
      <c r="N1651" s="51">
        <f t="shared" si="645"/>
        <v>1</v>
      </c>
      <c r="O1651" s="53">
        <f t="shared" si="646"/>
        <v>1</v>
      </c>
      <c r="P1651" s="53">
        <f t="shared" si="647"/>
        <v>1900</v>
      </c>
    </row>
    <row r="1652" spans="1:16" x14ac:dyDescent="0.25">
      <c r="A1652"/>
      <c r="B1652" s="3"/>
      <c r="C1652" s="54"/>
      <c r="D1652"/>
      <c r="E1652"/>
      <c r="F1652" s="54"/>
      <c r="G1652" s="3"/>
      <c r="I1652" s="51" t="str">
        <f>IFERROR(IF(VLOOKUP(E1652,extracto!C:C,1,FALSE)=E1652,"pagado","no pagado"),"no pagado")</f>
        <v>no pagado</v>
      </c>
      <c r="J1652" s="52" t="str">
        <f t="shared" ca="1" si="642"/>
        <v>fuera de fecha</v>
      </c>
      <c r="K1652" s="51" t="str">
        <f t="shared" ca="1" si="643"/>
        <v>excluir</v>
      </c>
      <c r="L1652" s="51" t="str">
        <f t="shared" ca="1" si="644"/>
        <v>no semana</v>
      </c>
      <c r="M1652" s="51" t="str">
        <f>IFERROR(VLOOKUP(E1652,'cheques a conf'!A:D,4,FALSE),"no clearing")</f>
        <v>no clearing</v>
      </c>
      <c r="N1652" s="51">
        <f t="shared" si="645"/>
        <v>1</v>
      </c>
      <c r="O1652" s="53">
        <f t="shared" si="646"/>
        <v>1</v>
      </c>
      <c r="P1652" s="53">
        <f t="shared" si="647"/>
        <v>1900</v>
      </c>
    </row>
    <row r="1653" spans="1:16" x14ac:dyDescent="0.25">
      <c r="A1653"/>
      <c r="B1653" s="3"/>
      <c r="C1653" s="54"/>
      <c r="D1653"/>
      <c r="E1653"/>
      <c r="F1653" s="54"/>
      <c r="G1653" s="3"/>
      <c r="I1653" s="51" t="str">
        <f>IFERROR(IF(VLOOKUP(E1653,extracto!C:C,1,FALSE)=E1653,"pagado","no pagado"),"no pagado")</f>
        <v>no pagado</v>
      </c>
      <c r="J1653" s="52" t="str">
        <f t="shared" ca="1" si="642"/>
        <v>fuera de fecha</v>
      </c>
      <c r="K1653" s="51" t="str">
        <f t="shared" ca="1" si="643"/>
        <v>excluir</v>
      </c>
      <c r="L1653" s="51" t="str">
        <f t="shared" ca="1" si="644"/>
        <v>no semana</v>
      </c>
      <c r="M1653" s="51" t="str">
        <f>IFERROR(VLOOKUP(E1653,'cheques a conf'!A:D,4,FALSE),"no clearing")</f>
        <v>no clearing</v>
      </c>
      <c r="N1653" s="51">
        <f t="shared" si="645"/>
        <v>1</v>
      </c>
      <c r="O1653" s="53">
        <f t="shared" si="646"/>
        <v>1</v>
      </c>
      <c r="P1653" s="53">
        <f t="shared" si="647"/>
        <v>1900</v>
      </c>
    </row>
    <row r="1654" spans="1:16" x14ac:dyDescent="0.25">
      <c r="A1654"/>
      <c r="B1654" s="3"/>
      <c r="C1654" s="54"/>
      <c r="D1654"/>
      <c r="E1654"/>
      <c r="F1654" s="54"/>
      <c r="G1654" s="3"/>
      <c r="I1654" s="51" t="str">
        <f>IFERROR(IF(VLOOKUP(E1654,extracto!C:C,1,FALSE)=E1654,"pagado","no pagado"),"no pagado")</f>
        <v>no pagado</v>
      </c>
      <c r="J1654" s="52" t="str">
        <f t="shared" ca="1" si="642"/>
        <v>fuera de fecha</v>
      </c>
      <c r="K1654" s="51" t="str">
        <f t="shared" ca="1" si="643"/>
        <v>excluir</v>
      </c>
      <c r="L1654" s="51" t="str">
        <f t="shared" ca="1" si="644"/>
        <v>no semana</v>
      </c>
      <c r="M1654" s="51" t="str">
        <f>IFERROR(VLOOKUP(E1654,'cheques a conf'!A:D,4,FALSE),"no clearing")</f>
        <v>no clearing</v>
      </c>
      <c r="N1654" s="51">
        <f t="shared" si="645"/>
        <v>1</v>
      </c>
      <c r="O1654" s="53">
        <f t="shared" si="646"/>
        <v>1</v>
      </c>
      <c r="P1654" s="53">
        <f t="shared" si="647"/>
        <v>1900</v>
      </c>
    </row>
    <row r="1655" spans="1:16" x14ac:dyDescent="0.25">
      <c r="A1655" s="21"/>
      <c r="B1655" s="22"/>
      <c r="C1655" s="20"/>
      <c r="D1655" s="21"/>
      <c r="E1655" s="21"/>
      <c r="F1655" s="20"/>
      <c r="G1655" s="22"/>
      <c r="I1655" s="51" t="str">
        <f>IFERROR(IF(VLOOKUP(E1655,extracto!C:C,1,FALSE)=E1655,"pagado","no pagado"),"no pagado")</f>
        <v>no pagado</v>
      </c>
      <c r="J1655" s="52" t="str">
        <f t="shared" ref="J1655:J1671" ca="1" si="648">IF(I1655="pagado","pagado",IF(G1655&lt;$V$1-30,"fuera de fecha","en periodo de pago"))</f>
        <v>fuera de fecha</v>
      </c>
      <c r="K1655" s="51" t="str">
        <f t="shared" ref="K1655:K1671" ca="1" si="649">+IF(B1655&gt;$V$1,"excluir",IF(J1655="en periodo de pago",IF($V$1&gt;G1655,"a pagar","proximo a vencer"),"excluir"))</f>
        <v>excluir</v>
      </c>
      <c r="L1655" s="51" t="str">
        <f t="shared" ref="L1655:L1671" ca="1" si="650">+IF(K1655="proximo a vencer",IF($V$1+5&gt;G1655,"para la semana","no semana"),"no semana")</f>
        <v>no semana</v>
      </c>
      <c r="M1655" s="51" t="str">
        <f>IFERROR(VLOOKUP(E1655,'cheques a conf'!A:D,4,FALSE),"no clearing")</f>
        <v>no clearing</v>
      </c>
      <c r="N1655" s="51">
        <f t="shared" ref="N1655:N1671" si="651">+WEEKNUM(G1655,2)</f>
        <v>1</v>
      </c>
      <c r="O1655" s="53">
        <f t="shared" ref="O1655:O1671" si="652">+MONTH(G1655)</f>
        <v>1</v>
      </c>
      <c r="P1655" s="53">
        <f t="shared" ref="P1655:P1671" si="653">+YEAR(G1655)</f>
        <v>1900</v>
      </c>
    </row>
    <row r="1656" spans="1:16" x14ac:dyDescent="0.25">
      <c r="A1656" s="21"/>
      <c r="B1656" s="22"/>
      <c r="C1656" s="20"/>
      <c r="D1656" s="21"/>
      <c r="E1656" s="21"/>
      <c r="F1656" s="20"/>
      <c r="G1656" s="22"/>
      <c r="I1656" s="51" t="str">
        <f>IFERROR(IF(VLOOKUP(E1656,extracto!C:C,1,FALSE)=E1656,"pagado","no pagado"),"no pagado")</f>
        <v>no pagado</v>
      </c>
      <c r="J1656" s="52" t="str">
        <f t="shared" ca="1" si="648"/>
        <v>fuera de fecha</v>
      </c>
      <c r="K1656" s="51" t="str">
        <f t="shared" ca="1" si="649"/>
        <v>excluir</v>
      </c>
      <c r="L1656" s="51" t="str">
        <f t="shared" ca="1" si="650"/>
        <v>no semana</v>
      </c>
      <c r="M1656" s="51" t="str">
        <f>IFERROR(VLOOKUP(E1656,'cheques a conf'!A:D,4,FALSE),"no clearing")</f>
        <v>no clearing</v>
      </c>
      <c r="N1656" s="51">
        <f t="shared" si="651"/>
        <v>1</v>
      </c>
      <c r="O1656" s="53">
        <f t="shared" si="652"/>
        <v>1</v>
      </c>
      <c r="P1656" s="53">
        <f t="shared" si="653"/>
        <v>1900</v>
      </c>
    </row>
    <row r="1657" spans="1:16" x14ac:dyDescent="0.25">
      <c r="A1657" s="21"/>
      <c r="B1657" s="22"/>
      <c r="C1657" s="20"/>
      <c r="D1657" s="21"/>
      <c r="E1657" s="21"/>
      <c r="F1657" s="20"/>
      <c r="G1657" s="22"/>
      <c r="I1657" s="51" t="str">
        <f>IFERROR(IF(VLOOKUP(E1657,extracto!C:C,1,FALSE)=E1657,"pagado","no pagado"),"no pagado")</f>
        <v>no pagado</v>
      </c>
      <c r="J1657" s="52" t="str">
        <f t="shared" ca="1" si="648"/>
        <v>fuera de fecha</v>
      </c>
      <c r="K1657" s="51" t="str">
        <f t="shared" ca="1" si="649"/>
        <v>excluir</v>
      </c>
      <c r="L1657" s="51" t="str">
        <f t="shared" ca="1" si="650"/>
        <v>no semana</v>
      </c>
      <c r="M1657" s="51" t="str">
        <f>IFERROR(VLOOKUP(E1657,'cheques a conf'!A:D,4,FALSE),"no clearing")</f>
        <v>no clearing</v>
      </c>
      <c r="N1657" s="51">
        <f t="shared" si="651"/>
        <v>1</v>
      </c>
      <c r="O1657" s="53">
        <f t="shared" si="652"/>
        <v>1</v>
      </c>
      <c r="P1657" s="53">
        <f t="shared" si="653"/>
        <v>1900</v>
      </c>
    </row>
    <row r="1658" spans="1:16" x14ac:dyDescent="0.25">
      <c r="A1658" s="21"/>
      <c r="B1658" s="22"/>
      <c r="C1658" s="20"/>
      <c r="D1658" s="21"/>
      <c r="E1658" s="21"/>
      <c r="F1658" s="20"/>
      <c r="G1658" s="22"/>
      <c r="I1658" s="51" t="str">
        <f>IFERROR(IF(VLOOKUP(E1658,extracto!C:C,1,FALSE)=E1658,"pagado","no pagado"),"no pagado")</f>
        <v>no pagado</v>
      </c>
      <c r="J1658" s="52" t="str">
        <f t="shared" ca="1" si="648"/>
        <v>fuera de fecha</v>
      </c>
      <c r="K1658" s="51" t="str">
        <f t="shared" ca="1" si="649"/>
        <v>excluir</v>
      </c>
      <c r="L1658" s="51" t="str">
        <f t="shared" ca="1" si="650"/>
        <v>no semana</v>
      </c>
      <c r="M1658" s="51" t="str">
        <f>IFERROR(VLOOKUP(E1658,'cheques a conf'!A:D,4,FALSE),"no clearing")</f>
        <v>no clearing</v>
      </c>
      <c r="N1658" s="51">
        <f t="shared" si="651"/>
        <v>1</v>
      </c>
      <c r="O1658" s="53">
        <f t="shared" si="652"/>
        <v>1</v>
      </c>
      <c r="P1658" s="53">
        <f t="shared" si="653"/>
        <v>1900</v>
      </c>
    </row>
    <row r="1659" spans="1:16" x14ac:dyDescent="0.25">
      <c r="A1659" s="21"/>
      <c r="B1659" s="22"/>
      <c r="C1659" s="20"/>
      <c r="D1659" s="21"/>
      <c r="E1659" s="21"/>
      <c r="F1659" s="20"/>
      <c r="G1659" s="22"/>
      <c r="I1659" s="51" t="str">
        <f>IFERROR(IF(VLOOKUP(E1659,extracto!C:C,1,FALSE)=E1659,"pagado","no pagado"),"no pagado")</f>
        <v>no pagado</v>
      </c>
      <c r="J1659" s="52" t="str">
        <f t="shared" ca="1" si="648"/>
        <v>fuera de fecha</v>
      </c>
      <c r="K1659" s="51" t="str">
        <f t="shared" ca="1" si="649"/>
        <v>excluir</v>
      </c>
      <c r="L1659" s="51" t="str">
        <f t="shared" ca="1" si="650"/>
        <v>no semana</v>
      </c>
      <c r="M1659" s="51" t="str">
        <f>IFERROR(VLOOKUP(E1659,'cheques a conf'!A:D,4,FALSE),"no clearing")</f>
        <v>no clearing</v>
      </c>
      <c r="N1659" s="51">
        <f t="shared" si="651"/>
        <v>1</v>
      </c>
      <c r="O1659" s="53">
        <f t="shared" si="652"/>
        <v>1</v>
      </c>
      <c r="P1659" s="53">
        <f t="shared" si="653"/>
        <v>1900</v>
      </c>
    </row>
    <row r="1660" spans="1:16" x14ac:dyDescent="0.25">
      <c r="A1660" s="21"/>
      <c r="B1660" s="22"/>
      <c r="C1660" s="20"/>
      <c r="D1660" s="21"/>
      <c r="E1660" s="21"/>
      <c r="F1660" s="20"/>
      <c r="G1660" s="22"/>
      <c r="I1660" s="51" t="str">
        <f>IFERROR(IF(VLOOKUP(E1660,extracto!C:C,1,FALSE)=E1660,"pagado","no pagado"),"no pagado")</f>
        <v>no pagado</v>
      </c>
      <c r="J1660" s="52" t="str">
        <f t="shared" ca="1" si="648"/>
        <v>fuera de fecha</v>
      </c>
      <c r="K1660" s="51" t="str">
        <f t="shared" ca="1" si="649"/>
        <v>excluir</v>
      </c>
      <c r="L1660" s="51" t="str">
        <f t="shared" ca="1" si="650"/>
        <v>no semana</v>
      </c>
      <c r="M1660" s="51" t="str">
        <f>IFERROR(VLOOKUP(E1660,'cheques a conf'!A:D,4,FALSE),"no clearing")</f>
        <v>no clearing</v>
      </c>
      <c r="N1660" s="51">
        <f t="shared" si="651"/>
        <v>1</v>
      </c>
      <c r="O1660" s="53">
        <f t="shared" si="652"/>
        <v>1</v>
      </c>
      <c r="P1660" s="53">
        <f t="shared" si="653"/>
        <v>1900</v>
      </c>
    </row>
    <row r="1661" spans="1:16" x14ac:dyDescent="0.25">
      <c r="A1661" s="21"/>
      <c r="B1661" s="22"/>
      <c r="C1661" s="20"/>
      <c r="D1661" s="21"/>
      <c r="E1661" s="21"/>
      <c r="F1661" s="20"/>
      <c r="G1661" s="22"/>
      <c r="I1661" s="51" t="str">
        <f>IFERROR(IF(VLOOKUP(E1661,extracto!C:C,1,FALSE)=E1661,"pagado","no pagado"),"no pagado")</f>
        <v>no pagado</v>
      </c>
      <c r="J1661" s="52" t="str">
        <f t="shared" ca="1" si="648"/>
        <v>fuera de fecha</v>
      </c>
      <c r="K1661" s="51" t="str">
        <f t="shared" ca="1" si="649"/>
        <v>excluir</v>
      </c>
      <c r="L1661" s="51" t="str">
        <f t="shared" ca="1" si="650"/>
        <v>no semana</v>
      </c>
      <c r="M1661" s="51" t="str">
        <f>IFERROR(VLOOKUP(E1661,'cheques a conf'!A:D,4,FALSE),"no clearing")</f>
        <v>no clearing</v>
      </c>
      <c r="N1661" s="51">
        <f t="shared" si="651"/>
        <v>1</v>
      </c>
      <c r="O1661" s="53">
        <f t="shared" si="652"/>
        <v>1</v>
      </c>
      <c r="P1661" s="53">
        <f t="shared" si="653"/>
        <v>1900</v>
      </c>
    </row>
    <row r="1662" spans="1:16" x14ac:dyDescent="0.25">
      <c r="A1662" s="21"/>
      <c r="B1662" s="22"/>
      <c r="C1662" s="20"/>
      <c r="D1662" s="21"/>
      <c r="E1662" s="21"/>
      <c r="F1662" s="20"/>
      <c r="G1662" s="22"/>
      <c r="I1662" s="51" t="str">
        <f>IFERROR(IF(VLOOKUP(E1662,extracto!C:C,1,FALSE)=E1662,"pagado","no pagado"),"no pagado")</f>
        <v>no pagado</v>
      </c>
      <c r="J1662" s="52" t="str">
        <f t="shared" ca="1" si="648"/>
        <v>fuera de fecha</v>
      </c>
      <c r="K1662" s="51" t="str">
        <f t="shared" ca="1" si="649"/>
        <v>excluir</v>
      </c>
      <c r="L1662" s="51" t="str">
        <f t="shared" ca="1" si="650"/>
        <v>no semana</v>
      </c>
      <c r="M1662" s="51" t="str">
        <f>IFERROR(VLOOKUP(E1662,'cheques a conf'!A:D,4,FALSE),"no clearing")</f>
        <v>no clearing</v>
      </c>
      <c r="N1662" s="51">
        <f t="shared" si="651"/>
        <v>1</v>
      </c>
      <c r="O1662" s="53">
        <f t="shared" si="652"/>
        <v>1</v>
      </c>
      <c r="P1662" s="53">
        <f t="shared" si="653"/>
        <v>1900</v>
      </c>
    </row>
    <row r="1663" spans="1:16" x14ac:dyDescent="0.25">
      <c r="A1663" s="21"/>
      <c r="B1663" s="22"/>
      <c r="C1663" s="20"/>
      <c r="D1663" s="21"/>
      <c r="E1663" s="21"/>
      <c r="F1663" s="20"/>
      <c r="G1663" s="22"/>
      <c r="I1663" s="51" t="str">
        <f>IFERROR(IF(VLOOKUP(E1663,extracto!C:C,1,FALSE)=E1663,"pagado","no pagado"),"no pagado")</f>
        <v>no pagado</v>
      </c>
      <c r="J1663" s="52" t="str">
        <f t="shared" ca="1" si="648"/>
        <v>fuera de fecha</v>
      </c>
      <c r="K1663" s="51" t="str">
        <f t="shared" ca="1" si="649"/>
        <v>excluir</v>
      </c>
      <c r="L1663" s="51" t="str">
        <f t="shared" ca="1" si="650"/>
        <v>no semana</v>
      </c>
      <c r="M1663" s="51" t="str">
        <f>IFERROR(VLOOKUP(E1663,'cheques a conf'!A:D,4,FALSE),"no clearing")</f>
        <v>no clearing</v>
      </c>
      <c r="N1663" s="51">
        <f t="shared" si="651"/>
        <v>1</v>
      </c>
      <c r="O1663" s="53">
        <f t="shared" si="652"/>
        <v>1</v>
      </c>
      <c r="P1663" s="53">
        <f t="shared" si="653"/>
        <v>1900</v>
      </c>
    </row>
    <row r="1664" spans="1:16" x14ac:dyDescent="0.25">
      <c r="A1664" s="21"/>
      <c r="B1664" s="22"/>
      <c r="C1664" s="20"/>
      <c r="D1664" s="21"/>
      <c r="E1664" s="21"/>
      <c r="F1664" s="20"/>
      <c r="G1664" s="22"/>
      <c r="I1664" s="51" t="str">
        <f>IFERROR(IF(VLOOKUP(E1664,extracto!C:C,1,FALSE)=E1664,"pagado","no pagado"),"no pagado")</f>
        <v>no pagado</v>
      </c>
      <c r="J1664" s="52" t="str">
        <f t="shared" ca="1" si="648"/>
        <v>fuera de fecha</v>
      </c>
      <c r="K1664" s="51" t="str">
        <f t="shared" ca="1" si="649"/>
        <v>excluir</v>
      </c>
      <c r="L1664" s="51" t="str">
        <f t="shared" ca="1" si="650"/>
        <v>no semana</v>
      </c>
      <c r="M1664" s="51" t="str">
        <f>IFERROR(VLOOKUP(E1664,'cheques a conf'!A:D,4,FALSE),"no clearing")</f>
        <v>no clearing</v>
      </c>
      <c r="N1664" s="51">
        <f t="shared" si="651"/>
        <v>1</v>
      </c>
      <c r="O1664" s="53">
        <f t="shared" si="652"/>
        <v>1</v>
      </c>
      <c r="P1664" s="53">
        <f t="shared" si="653"/>
        <v>1900</v>
      </c>
    </row>
    <row r="1665" spans="1:16" x14ac:dyDescent="0.25">
      <c r="A1665" s="21"/>
      <c r="B1665" s="22"/>
      <c r="C1665" s="20"/>
      <c r="D1665" s="21"/>
      <c r="E1665" s="21"/>
      <c r="F1665" s="20"/>
      <c r="G1665" s="22"/>
      <c r="I1665" s="51" t="str">
        <f>IFERROR(IF(VLOOKUP(E1665,extracto!C:C,1,FALSE)=E1665,"pagado","no pagado"),"no pagado")</f>
        <v>no pagado</v>
      </c>
      <c r="J1665" s="52" t="str">
        <f t="shared" ca="1" si="648"/>
        <v>fuera de fecha</v>
      </c>
      <c r="K1665" s="51" t="str">
        <f t="shared" ca="1" si="649"/>
        <v>excluir</v>
      </c>
      <c r="L1665" s="51" t="str">
        <f t="shared" ca="1" si="650"/>
        <v>no semana</v>
      </c>
      <c r="M1665" s="51" t="str">
        <f>IFERROR(VLOOKUP(E1665,'cheques a conf'!A:D,4,FALSE),"no clearing")</f>
        <v>no clearing</v>
      </c>
      <c r="N1665" s="51">
        <f t="shared" si="651"/>
        <v>1</v>
      </c>
      <c r="O1665" s="53">
        <f t="shared" si="652"/>
        <v>1</v>
      </c>
      <c r="P1665" s="53">
        <f t="shared" si="653"/>
        <v>1900</v>
      </c>
    </row>
    <row r="1666" spans="1:16" x14ac:dyDescent="0.25">
      <c r="A1666" s="21"/>
      <c r="B1666" s="22"/>
      <c r="C1666" s="20"/>
      <c r="D1666" s="21"/>
      <c r="E1666" s="21"/>
      <c r="F1666" s="20"/>
      <c r="G1666" s="22"/>
      <c r="I1666" s="51" t="str">
        <f>IFERROR(IF(VLOOKUP(E1666,extracto!C:C,1,FALSE)=E1666,"pagado","no pagado"),"no pagado")</f>
        <v>no pagado</v>
      </c>
      <c r="J1666" s="52" t="str">
        <f t="shared" ca="1" si="648"/>
        <v>fuera de fecha</v>
      </c>
      <c r="K1666" s="51" t="str">
        <f t="shared" ca="1" si="649"/>
        <v>excluir</v>
      </c>
      <c r="L1666" s="51" t="str">
        <f t="shared" ca="1" si="650"/>
        <v>no semana</v>
      </c>
      <c r="M1666" s="51" t="str">
        <f>IFERROR(VLOOKUP(E1666,'cheques a conf'!A:D,4,FALSE),"no clearing")</f>
        <v>no clearing</v>
      </c>
      <c r="N1666" s="51">
        <f t="shared" si="651"/>
        <v>1</v>
      </c>
      <c r="O1666" s="53">
        <f t="shared" si="652"/>
        <v>1</v>
      </c>
      <c r="P1666" s="53">
        <f t="shared" si="653"/>
        <v>1900</v>
      </c>
    </row>
    <row r="1667" spans="1:16" x14ac:dyDescent="0.25">
      <c r="A1667" s="21"/>
      <c r="B1667" s="22"/>
      <c r="C1667" s="20"/>
      <c r="D1667" s="21"/>
      <c r="E1667" s="21"/>
      <c r="F1667" s="20"/>
      <c r="G1667" s="22"/>
      <c r="I1667" s="51" t="str">
        <f>IFERROR(IF(VLOOKUP(E1667,extracto!C:C,1,FALSE)=E1667,"pagado","no pagado"),"no pagado")</f>
        <v>no pagado</v>
      </c>
      <c r="J1667" s="52" t="str">
        <f t="shared" ca="1" si="648"/>
        <v>fuera de fecha</v>
      </c>
      <c r="K1667" s="51" t="str">
        <f t="shared" ca="1" si="649"/>
        <v>excluir</v>
      </c>
      <c r="L1667" s="51" t="str">
        <f t="shared" ca="1" si="650"/>
        <v>no semana</v>
      </c>
      <c r="M1667" s="51" t="str">
        <f>IFERROR(VLOOKUP(E1667,'cheques a conf'!A:D,4,FALSE),"no clearing")</f>
        <v>no clearing</v>
      </c>
      <c r="N1667" s="51">
        <f t="shared" si="651"/>
        <v>1</v>
      </c>
      <c r="O1667" s="53">
        <f t="shared" si="652"/>
        <v>1</v>
      </c>
      <c r="P1667" s="53">
        <f t="shared" si="653"/>
        <v>1900</v>
      </c>
    </row>
    <row r="1668" spans="1:16" x14ac:dyDescent="0.25">
      <c r="A1668" s="21"/>
      <c r="B1668" s="22"/>
      <c r="C1668" s="20"/>
      <c r="D1668" s="21"/>
      <c r="E1668" s="21"/>
      <c r="F1668" s="20"/>
      <c r="G1668" s="22"/>
      <c r="I1668" s="51" t="str">
        <f>IFERROR(IF(VLOOKUP(E1668,extracto!C:C,1,FALSE)=E1668,"pagado","no pagado"),"no pagado")</f>
        <v>no pagado</v>
      </c>
      <c r="J1668" s="52" t="str">
        <f t="shared" ca="1" si="648"/>
        <v>fuera de fecha</v>
      </c>
      <c r="K1668" s="51" t="str">
        <f t="shared" ca="1" si="649"/>
        <v>excluir</v>
      </c>
      <c r="L1668" s="51" t="str">
        <f t="shared" ca="1" si="650"/>
        <v>no semana</v>
      </c>
      <c r="M1668" s="51" t="str">
        <f>IFERROR(VLOOKUP(E1668,'cheques a conf'!A:D,4,FALSE),"no clearing")</f>
        <v>no clearing</v>
      </c>
      <c r="N1668" s="51">
        <f t="shared" si="651"/>
        <v>1</v>
      </c>
      <c r="O1668" s="53">
        <f t="shared" si="652"/>
        <v>1</v>
      </c>
      <c r="P1668" s="53">
        <f t="shared" si="653"/>
        <v>1900</v>
      </c>
    </row>
    <row r="1669" spans="1:16" x14ac:dyDescent="0.25">
      <c r="A1669" s="21"/>
      <c r="B1669" s="22"/>
      <c r="C1669" s="20"/>
      <c r="D1669" s="21"/>
      <c r="E1669" s="21"/>
      <c r="F1669" s="20"/>
      <c r="G1669" s="22"/>
      <c r="I1669" s="51" t="str">
        <f>IFERROR(IF(VLOOKUP(E1669,extracto!C:C,1,FALSE)=E1669,"pagado","no pagado"),"no pagado")</f>
        <v>no pagado</v>
      </c>
      <c r="J1669" s="52" t="str">
        <f t="shared" ca="1" si="648"/>
        <v>fuera de fecha</v>
      </c>
      <c r="K1669" s="51" t="str">
        <f t="shared" ca="1" si="649"/>
        <v>excluir</v>
      </c>
      <c r="L1669" s="51" t="str">
        <f t="shared" ca="1" si="650"/>
        <v>no semana</v>
      </c>
      <c r="M1669" s="51" t="str">
        <f>IFERROR(VLOOKUP(E1669,'cheques a conf'!A:D,4,FALSE),"no clearing")</f>
        <v>no clearing</v>
      </c>
      <c r="N1669" s="51">
        <f t="shared" si="651"/>
        <v>1</v>
      </c>
      <c r="O1669" s="53">
        <f t="shared" si="652"/>
        <v>1</v>
      </c>
      <c r="P1669" s="53">
        <f t="shared" si="653"/>
        <v>1900</v>
      </c>
    </row>
    <row r="1670" spans="1:16" x14ac:dyDescent="0.25">
      <c r="A1670" s="21"/>
      <c r="B1670" s="22"/>
      <c r="C1670" s="20"/>
      <c r="D1670" s="21"/>
      <c r="E1670" s="21"/>
      <c r="F1670" s="20"/>
      <c r="G1670" s="22"/>
      <c r="I1670" s="51" t="str">
        <f>IFERROR(IF(VLOOKUP(E1670,extracto!C:C,1,FALSE)=E1670,"pagado","no pagado"),"no pagado")</f>
        <v>no pagado</v>
      </c>
      <c r="J1670" s="52" t="str">
        <f t="shared" ca="1" si="648"/>
        <v>fuera de fecha</v>
      </c>
      <c r="K1670" s="51" t="str">
        <f t="shared" ca="1" si="649"/>
        <v>excluir</v>
      </c>
      <c r="L1670" s="51" t="str">
        <f t="shared" ca="1" si="650"/>
        <v>no semana</v>
      </c>
      <c r="M1670" s="51" t="str">
        <f>IFERROR(VLOOKUP(E1670,'cheques a conf'!A:D,4,FALSE),"no clearing")</f>
        <v>no clearing</v>
      </c>
      <c r="N1670" s="51">
        <f t="shared" si="651"/>
        <v>1</v>
      </c>
      <c r="O1670" s="53">
        <f t="shared" si="652"/>
        <v>1</v>
      </c>
      <c r="P1670" s="53">
        <f t="shared" si="653"/>
        <v>1900</v>
      </c>
    </row>
    <row r="1671" spans="1:16" x14ac:dyDescent="0.25">
      <c r="A1671" s="21"/>
      <c r="B1671" s="22"/>
      <c r="C1671" s="20"/>
      <c r="D1671" s="21"/>
      <c r="E1671" s="21"/>
      <c r="F1671" s="20"/>
      <c r="G1671" s="22"/>
      <c r="I1671" s="51" t="str">
        <f>IFERROR(IF(VLOOKUP(E1671,extracto!C:C,1,FALSE)=E1671,"pagado","no pagado"),"no pagado")</f>
        <v>no pagado</v>
      </c>
      <c r="J1671" s="52" t="str">
        <f t="shared" ca="1" si="648"/>
        <v>fuera de fecha</v>
      </c>
      <c r="K1671" s="51" t="str">
        <f t="shared" ca="1" si="649"/>
        <v>excluir</v>
      </c>
      <c r="L1671" s="51" t="str">
        <f t="shared" ca="1" si="650"/>
        <v>no semana</v>
      </c>
      <c r="M1671" s="51" t="str">
        <f>IFERROR(VLOOKUP(E1671,'cheques a conf'!A:D,4,FALSE),"no clearing")</f>
        <v>no clearing</v>
      </c>
      <c r="N1671" s="51">
        <f t="shared" si="651"/>
        <v>1</v>
      </c>
      <c r="O1671" s="53">
        <f t="shared" si="652"/>
        <v>1</v>
      </c>
      <c r="P1671" s="53">
        <f t="shared" si="653"/>
        <v>1900</v>
      </c>
    </row>
    <row r="1672" spans="1:16" x14ac:dyDescent="0.25">
      <c r="A1672" s="21"/>
      <c r="B1672" s="22"/>
      <c r="C1672" s="20"/>
      <c r="D1672" s="21"/>
      <c r="E1672" s="21"/>
      <c r="F1672" s="20"/>
      <c r="G1672" s="22"/>
      <c r="I1672" s="51" t="str">
        <f>IFERROR(IF(VLOOKUP(E1672,extracto!C:C,1,FALSE)=E1672,"pagado","no pagado"),"no pagado")</f>
        <v>no pagado</v>
      </c>
      <c r="J1672" s="52" t="str">
        <f t="shared" ref="J1672:J1690" ca="1" si="654">IF(I1672="pagado","pagado",IF(G1672&lt;$V$1-30,"fuera de fecha","en periodo de pago"))</f>
        <v>fuera de fecha</v>
      </c>
      <c r="K1672" s="51" t="str">
        <f t="shared" ref="K1672:K1690" ca="1" si="655">+IF(B1672&gt;$V$1,"excluir",IF(J1672="en periodo de pago",IF($V$1&gt;G1672,"a pagar","proximo a vencer"),"excluir"))</f>
        <v>excluir</v>
      </c>
      <c r="L1672" s="51" t="str">
        <f t="shared" ref="L1672:L1690" ca="1" si="656">+IF(K1672="proximo a vencer",IF($V$1+5&gt;G1672,"para la semana","no semana"),"no semana")</f>
        <v>no semana</v>
      </c>
      <c r="M1672" s="51" t="str">
        <f>IFERROR(VLOOKUP(E1672,'cheques a conf'!A:D,4,FALSE),"no clearing")</f>
        <v>no clearing</v>
      </c>
      <c r="N1672" s="51">
        <f t="shared" ref="N1672:N1690" si="657">+WEEKNUM(G1672,2)</f>
        <v>1</v>
      </c>
      <c r="O1672" s="53">
        <f t="shared" ref="O1672:O1690" si="658">+MONTH(G1672)</f>
        <v>1</v>
      </c>
      <c r="P1672" s="53">
        <f t="shared" ref="P1672:P1690" si="659">+YEAR(G1672)</f>
        <v>1900</v>
      </c>
    </row>
    <row r="1673" spans="1:16" x14ac:dyDescent="0.25">
      <c r="A1673" s="21"/>
      <c r="B1673" s="22"/>
      <c r="C1673" s="20"/>
      <c r="D1673" s="21"/>
      <c r="E1673" s="21"/>
      <c r="F1673" s="20"/>
      <c r="G1673" s="22"/>
      <c r="I1673" s="51" t="str">
        <f>IFERROR(IF(VLOOKUP(E1673,extracto!C:C,1,FALSE)=E1673,"pagado","no pagado"),"no pagado")</f>
        <v>no pagado</v>
      </c>
      <c r="J1673" s="52" t="str">
        <f t="shared" ca="1" si="654"/>
        <v>fuera de fecha</v>
      </c>
      <c r="K1673" s="51" t="str">
        <f t="shared" ca="1" si="655"/>
        <v>excluir</v>
      </c>
      <c r="L1673" s="51" t="str">
        <f t="shared" ca="1" si="656"/>
        <v>no semana</v>
      </c>
      <c r="M1673" s="51" t="str">
        <f>IFERROR(VLOOKUP(E1673,'cheques a conf'!A:D,4,FALSE),"no clearing")</f>
        <v>no clearing</v>
      </c>
      <c r="N1673" s="51">
        <f t="shared" si="657"/>
        <v>1</v>
      </c>
      <c r="O1673" s="53">
        <f t="shared" si="658"/>
        <v>1</v>
      </c>
      <c r="P1673" s="53">
        <f t="shared" si="659"/>
        <v>1900</v>
      </c>
    </row>
    <row r="1674" spans="1:16" x14ac:dyDescent="0.25">
      <c r="A1674" s="21"/>
      <c r="B1674" s="22"/>
      <c r="C1674" s="20"/>
      <c r="D1674" s="21"/>
      <c r="E1674" s="21"/>
      <c r="F1674" s="20"/>
      <c r="G1674" s="22"/>
      <c r="I1674" s="51" t="str">
        <f>IFERROR(IF(VLOOKUP(E1674,extracto!C:C,1,FALSE)=E1674,"pagado","no pagado"),"no pagado")</f>
        <v>no pagado</v>
      </c>
      <c r="J1674" s="52" t="str">
        <f t="shared" ca="1" si="654"/>
        <v>fuera de fecha</v>
      </c>
      <c r="K1674" s="51" t="str">
        <f t="shared" ca="1" si="655"/>
        <v>excluir</v>
      </c>
      <c r="L1674" s="51" t="str">
        <f t="shared" ca="1" si="656"/>
        <v>no semana</v>
      </c>
      <c r="M1674" s="51" t="str">
        <f>IFERROR(VLOOKUP(E1674,'cheques a conf'!A:D,4,FALSE),"no clearing")</f>
        <v>no clearing</v>
      </c>
      <c r="N1674" s="51">
        <f t="shared" si="657"/>
        <v>1</v>
      </c>
      <c r="O1674" s="53">
        <f t="shared" si="658"/>
        <v>1</v>
      </c>
      <c r="P1674" s="53">
        <f t="shared" si="659"/>
        <v>1900</v>
      </c>
    </row>
    <row r="1675" spans="1:16" x14ac:dyDescent="0.25">
      <c r="A1675" s="21"/>
      <c r="B1675" s="22"/>
      <c r="C1675" s="20"/>
      <c r="D1675" s="21"/>
      <c r="E1675" s="21"/>
      <c r="F1675" s="20"/>
      <c r="G1675" s="22"/>
      <c r="I1675" s="51" t="str">
        <f>IFERROR(IF(VLOOKUP(E1675,extracto!C:C,1,FALSE)=E1675,"pagado","no pagado"),"no pagado")</f>
        <v>no pagado</v>
      </c>
      <c r="J1675" s="52" t="str">
        <f t="shared" ca="1" si="654"/>
        <v>fuera de fecha</v>
      </c>
      <c r="K1675" s="51" t="str">
        <f t="shared" ca="1" si="655"/>
        <v>excluir</v>
      </c>
      <c r="L1675" s="51" t="str">
        <f t="shared" ca="1" si="656"/>
        <v>no semana</v>
      </c>
      <c r="M1675" s="51" t="str">
        <f>IFERROR(VLOOKUP(E1675,'cheques a conf'!A:D,4,FALSE),"no clearing")</f>
        <v>no clearing</v>
      </c>
      <c r="N1675" s="51">
        <f t="shared" si="657"/>
        <v>1</v>
      </c>
      <c r="O1675" s="53">
        <f t="shared" si="658"/>
        <v>1</v>
      </c>
      <c r="P1675" s="53">
        <f t="shared" si="659"/>
        <v>1900</v>
      </c>
    </row>
    <row r="1676" spans="1:16" x14ac:dyDescent="0.25">
      <c r="A1676" s="21"/>
      <c r="B1676" s="22"/>
      <c r="C1676" s="20"/>
      <c r="D1676" s="21"/>
      <c r="E1676" s="21"/>
      <c r="F1676" s="20"/>
      <c r="G1676" s="22"/>
      <c r="I1676" s="51" t="str">
        <f>IFERROR(IF(VLOOKUP(E1676,extracto!C:C,1,FALSE)=E1676,"pagado","no pagado"),"no pagado")</f>
        <v>no pagado</v>
      </c>
      <c r="J1676" s="52" t="str">
        <f t="shared" ca="1" si="654"/>
        <v>fuera de fecha</v>
      </c>
      <c r="K1676" s="51" t="str">
        <f t="shared" ca="1" si="655"/>
        <v>excluir</v>
      </c>
      <c r="L1676" s="51" t="str">
        <f t="shared" ca="1" si="656"/>
        <v>no semana</v>
      </c>
      <c r="M1676" s="51" t="str">
        <f>IFERROR(VLOOKUP(E1676,'cheques a conf'!A:D,4,FALSE),"no clearing")</f>
        <v>no clearing</v>
      </c>
      <c r="N1676" s="51">
        <f t="shared" si="657"/>
        <v>1</v>
      </c>
      <c r="O1676" s="53">
        <f t="shared" si="658"/>
        <v>1</v>
      </c>
      <c r="P1676" s="53">
        <f t="shared" si="659"/>
        <v>1900</v>
      </c>
    </row>
    <row r="1677" spans="1:16" x14ac:dyDescent="0.25">
      <c r="A1677" s="21"/>
      <c r="B1677" s="22"/>
      <c r="C1677" s="20"/>
      <c r="D1677" s="21"/>
      <c r="E1677" s="21"/>
      <c r="F1677" s="20"/>
      <c r="G1677" s="22"/>
      <c r="I1677" s="51" t="str">
        <f>IFERROR(IF(VLOOKUP(E1677,extracto!C:C,1,FALSE)=E1677,"pagado","no pagado"),"no pagado")</f>
        <v>no pagado</v>
      </c>
      <c r="J1677" s="52" t="str">
        <f t="shared" ca="1" si="654"/>
        <v>fuera de fecha</v>
      </c>
      <c r="K1677" s="51" t="str">
        <f t="shared" ca="1" si="655"/>
        <v>excluir</v>
      </c>
      <c r="L1677" s="51" t="str">
        <f t="shared" ca="1" si="656"/>
        <v>no semana</v>
      </c>
      <c r="M1677" s="51" t="str">
        <f>IFERROR(VLOOKUP(E1677,'cheques a conf'!A:D,4,FALSE),"no clearing")</f>
        <v>no clearing</v>
      </c>
      <c r="N1677" s="51">
        <f t="shared" si="657"/>
        <v>1</v>
      </c>
      <c r="O1677" s="53">
        <f t="shared" si="658"/>
        <v>1</v>
      </c>
      <c r="P1677" s="53">
        <f t="shared" si="659"/>
        <v>1900</v>
      </c>
    </row>
    <row r="1678" spans="1:16" x14ac:dyDescent="0.25">
      <c r="A1678" s="21"/>
      <c r="B1678" s="22"/>
      <c r="C1678" s="20"/>
      <c r="D1678" s="21"/>
      <c r="E1678" s="21"/>
      <c r="F1678" s="20"/>
      <c r="G1678" s="22"/>
      <c r="I1678" s="51" t="str">
        <f>IFERROR(IF(VLOOKUP(E1678,extracto!C:C,1,FALSE)=E1678,"pagado","no pagado"),"no pagado")</f>
        <v>no pagado</v>
      </c>
      <c r="J1678" s="52" t="str">
        <f t="shared" ca="1" si="654"/>
        <v>fuera de fecha</v>
      </c>
      <c r="K1678" s="51" t="str">
        <f t="shared" ca="1" si="655"/>
        <v>excluir</v>
      </c>
      <c r="L1678" s="51" t="str">
        <f t="shared" ca="1" si="656"/>
        <v>no semana</v>
      </c>
      <c r="M1678" s="51" t="str">
        <f>IFERROR(VLOOKUP(E1678,'cheques a conf'!A:D,4,FALSE),"no clearing")</f>
        <v>no clearing</v>
      </c>
      <c r="N1678" s="51">
        <f t="shared" si="657"/>
        <v>1</v>
      </c>
      <c r="O1678" s="53">
        <f t="shared" si="658"/>
        <v>1</v>
      </c>
      <c r="P1678" s="53">
        <f t="shared" si="659"/>
        <v>1900</v>
      </c>
    </row>
    <row r="1679" spans="1:16" x14ac:dyDescent="0.25">
      <c r="A1679" s="21"/>
      <c r="B1679" s="22"/>
      <c r="C1679" s="20"/>
      <c r="D1679" s="21"/>
      <c r="E1679" s="21"/>
      <c r="F1679" s="20"/>
      <c r="G1679" s="22"/>
      <c r="I1679" s="51" t="str">
        <f>IFERROR(IF(VLOOKUP(E1679,extracto!C:C,1,FALSE)=E1679,"pagado","no pagado"),"no pagado")</f>
        <v>no pagado</v>
      </c>
      <c r="J1679" s="52" t="str">
        <f t="shared" ca="1" si="654"/>
        <v>fuera de fecha</v>
      </c>
      <c r="K1679" s="51" t="str">
        <f t="shared" ca="1" si="655"/>
        <v>excluir</v>
      </c>
      <c r="L1679" s="51" t="str">
        <f t="shared" ca="1" si="656"/>
        <v>no semana</v>
      </c>
      <c r="M1679" s="51" t="str">
        <f>IFERROR(VLOOKUP(E1679,'cheques a conf'!A:D,4,FALSE),"no clearing")</f>
        <v>no clearing</v>
      </c>
      <c r="N1679" s="51">
        <f t="shared" si="657"/>
        <v>1</v>
      </c>
      <c r="O1679" s="53">
        <f t="shared" si="658"/>
        <v>1</v>
      </c>
      <c r="P1679" s="53">
        <f t="shared" si="659"/>
        <v>1900</v>
      </c>
    </row>
    <row r="1680" spans="1:16" x14ac:dyDescent="0.25">
      <c r="A1680" s="21"/>
      <c r="B1680" s="22"/>
      <c r="C1680" s="20"/>
      <c r="D1680" s="21"/>
      <c r="E1680" s="21"/>
      <c r="F1680" s="20"/>
      <c r="G1680" s="22"/>
      <c r="I1680" s="51" t="str">
        <f>IFERROR(IF(VLOOKUP(E1680,extracto!C:C,1,FALSE)=E1680,"pagado","no pagado"),"no pagado")</f>
        <v>no pagado</v>
      </c>
      <c r="J1680" s="52" t="str">
        <f t="shared" ca="1" si="654"/>
        <v>fuera de fecha</v>
      </c>
      <c r="K1680" s="51" t="str">
        <f t="shared" ca="1" si="655"/>
        <v>excluir</v>
      </c>
      <c r="L1680" s="51" t="str">
        <f t="shared" ca="1" si="656"/>
        <v>no semana</v>
      </c>
      <c r="M1680" s="51" t="str">
        <f>IFERROR(VLOOKUP(E1680,'cheques a conf'!A:D,4,FALSE),"no clearing")</f>
        <v>no clearing</v>
      </c>
      <c r="N1680" s="51">
        <f t="shared" si="657"/>
        <v>1</v>
      </c>
      <c r="O1680" s="53">
        <f t="shared" si="658"/>
        <v>1</v>
      </c>
      <c r="P1680" s="53">
        <f t="shared" si="659"/>
        <v>1900</v>
      </c>
    </row>
    <row r="1681" spans="1:16" x14ac:dyDescent="0.25">
      <c r="A1681" s="21"/>
      <c r="B1681" s="22"/>
      <c r="C1681" s="20"/>
      <c r="D1681" s="21"/>
      <c r="E1681" s="21"/>
      <c r="F1681" s="20"/>
      <c r="G1681" s="22"/>
      <c r="I1681" s="51" t="str">
        <f>IFERROR(IF(VLOOKUP(E1681,extracto!C:C,1,FALSE)=E1681,"pagado","no pagado"),"no pagado")</f>
        <v>no pagado</v>
      </c>
      <c r="J1681" s="52" t="str">
        <f t="shared" ca="1" si="654"/>
        <v>fuera de fecha</v>
      </c>
      <c r="K1681" s="51" t="str">
        <f t="shared" ca="1" si="655"/>
        <v>excluir</v>
      </c>
      <c r="L1681" s="51" t="str">
        <f t="shared" ca="1" si="656"/>
        <v>no semana</v>
      </c>
      <c r="M1681" s="51" t="str">
        <f>IFERROR(VLOOKUP(E1681,'cheques a conf'!A:D,4,FALSE),"no clearing")</f>
        <v>no clearing</v>
      </c>
      <c r="N1681" s="51">
        <f t="shared" si="657"/>
        <v>1</v>
      </c>
      <c r="O1681" s="53">
        <f t="shared" si="658"/>
        <v>1</v>
      </c>
      <c r="P1681" s="53">
        <f t="shared" si="659"/>
        <v>1900</v>
      </c>
    </row>
    <row r="1682" spans="1:16" x14ac:dyDescent="0.25">
      <c r="A1682" s="21"/>
      <c r="B1682" s="22"/>
      <c r="C1682" s="20"/>
      <c r="D1682" s="21"/>
      <c r="E1682" s="21"/>
      <c r="F1682" s="20"/>
      <c r="G1682" s="22"/>
      <c r="I1682" s="51" t="str">
        <f>IFERROR(IF(VLOOKUP(E1682,extracto!C:C,1,FALSE)=E1682,"pagado","no pagado"),"no pagado")</f>
        <v>no pagado</v>
      </c>
      <c r="J1682" s="52" t="str">
        <f t="shared" ca="1" si="654"/>
        <v>fuera de fecha</v>
      </c>
      <c r="K1682" s="51" t="str">
        <f t="shared" ca="1" si="655"/>
        <v>excluir</v>
      </c>
      <c r="L1682" s="51" t="str">
        <f t="shared" ca="1" si="656"/>
        <v>no semana</v>
      </c>
      <c r="M1682" s="51" t="str">
        <f>IFERROR(VLOOKUP(E1682,'cheques a conf'!A:D,4,FALSE),"no clearing")</f>
        <v>no clearing</v>
      </c>
      <c r="N1682" s="51">
        <f t="shared" si="657"/>
        <v>1</v>
      </c>
      <c r="O1682" s="53">
        <f t="shared" si="658"/>
        <v>1</v>
      </c>
      <c r="P1682" s="53">
        <f t="shared" si="659"/>
        <v>1900</v>
      </c>
    </row>
    <row r="1683" spans="1:16" x14ac:dyDescent="0.25">
      <c r="A1683" s="21"/>
      <c r="B1683" s="22"/>
      <c r="C1683" s="20"/>
      <c r="D1683" s="21"/>
      <c r="E1683" s="21"/>
      <c r="F1683" s="20"/>
      <c r="G1683" s="22"/>
      <c r="I1683" s="51" t="str">
        <f>IFERROR(IF(VLOOKUP(E1683,extracto!C:C,1,FALSE)=E1683,"pagado","no pagado"),"no pagado")</f>
        <v>no pagado</v>
      </c>
      <c r="J1683" s="52" t="str">
        <f t="shared" ca="1" si="654"/>
        <v>fuera de fecha</v>
      </c>
      <c r="K1683" s="51" t="str">
        <f t="shared" ca="1" si="655"/>
        <v>excluir</v>
      </c>
      <c r="L1683" s="51" t="str">
        <f t="shared" ca="1" si="656"/>
        <v>no semana</v>
      </c>
      <c r="M1683" s="51" t="str">
        <f>IFERROR(VLOOKUP(E1683,'cheques a conf'!A:D,4,FALSE),"no clearing")</f>
        <v>no clearing</v>
      </c>
      <c r="N1683" s="51">
        <f t="shared" si="657"/>
        <v>1</v>
      </c>
      <c r="O1683" s="53">
        <f t="shared" si="658"/>
        <v>1</v>
      </c>
      <c r="P1683" s="53">
        <f t="shared" si="659"/>
        <v>1900</v>
      </c>
    </row>
    <row r="1684" spans="1:16" x14ac:dyDescent="0.25">
      <c r="A1684" s="21"/>
      <c r="B1684" s="22"/>
      <c r="C1684" s="20"/>
      <c r="D1684" s="21"/>
      <c r="E1684" s="21"/>
      <c r="F1684" s="20"/>
      <c r="G1684" s="22"/>
      <c r="I1684" s="51" t="str">
        <f>IFERROR(IF(VLOOKUP(E1684,extracto!C:C,1,FALSE)=E1684,"pagado","no pagado"),"no pagado")</f>
        <v>no pagado</v>
      </c>
      <c r="J1684" s="52" t="str">
        <f t="shared" ca="1" si="654"/>
        <v>fuera de fecha</v>
      </c>
      <c r="K1684" s="51" t="str">
        <f t="shared" ca="1" si="655"/>
        <v>excluir</v>
      </c>
      <c r="L1684" s="51" t="str">
        <f t="shared" ca="1" si="656"/>
        <v>no semana</v>
      </c>
      <c r="M1684" s="51" t="str">
        <f>IFERROR(VLOOKUP(E1684,'cheques a conf'!A:D,4,FALSE),"no clearing")</f>
        <v>no clearing</v>
      </c>
      <c r="N1684" s="51">
        <f t="shared" si="657"/>
        <v>1</v>
      </c>
      <c r="O1684" s="53">
        <f t="shared" si="658"/>
        <v>1</v>
      </c>
      <c r="P1684" s="53">
        <f t="shared" si="659"/>
        <v>1900</v>
      </c>
    </row>
    <row r="1685" spans="1:16" x14ac:dyDescent="0.25">
      <c r="A1685" s="21"/>
      <c r="B1685" s="22"/>
      <c r="C1685" s="20"/>
      <c r="D1685" s="21"/>
      <c r="E1685" s="21"/>
      <c r="F1685" s="20"/>
      <c r="G1685" s="22"/>
      <c r="I1685" s="51" t="str">
        <f>IFERROR(IF(VLOOKUP(E1685,extracto!C:C,1,FALSE)=E1685,"pagado","no pagado"),"no pagado")</f>
        <v>no pagado</v>
      </c>
      <c r="J1685" s="52" t="str">
        <f t="shared" ca="1" si="654"/>
        <v>fuera de fecha</v>
      </c>
      <c r="K1685" s="51" t="str">
        <f t="shared" ca="1" si="655"/>
        <v>excluir</v>
      </c>
      <c r="L1685" s="51" t="str">
        <f t="shared" ca="1" si="656"/>
        <v>no semana</v>
      </c>
      <c r="M1685" s="51" t="str">
        <f>IFERROR(VLOOKUP(E1685,'cheques a conf'!A:D,4,FALSE),"no clearing")</f>
        <v>no clearing</v>
      </c>
      <c r="N1685" s="51">
        <f t="shared" si="657"/>
        <v>1</v>
      </c>
      <c r="O1685" s="53">
        <f t="shared" si="658"/>
        <v>1</v>
      </c>
      <c r="P1685" s="53">
        <f t="shared" si="659"/>
        <v>1900</v>
      </c>
    </row>
    <row r="1686" spans="1:16" x14ac:dyDescent="0.25">
      <c r="A1686" s="21"/>
      <c r="B1686" s="22"/>
      <c r="C1686" s="20"/>
      <c r="D1686" s="21"/>
      <c r="E1686" s="21"/>
      <c r="F1686" s="20"/>
      <c r="G1686" s="22"/>
      <c r="I1686" s="51" t="str">
        <f>IFERROR(IF(VLOOKUP(E1686,extracto!C:C,1,FALSE)=E1686,"pagado","no pagado"),"no pagado")</f>
        <v>no pagado</v>
      </c>
      <c r="J1686" s="52" t="str">
        <f t="shared" ca="1" si="654"/>
        <v>fuera de fecha</v>
      </c>
      <c r="K1686" s="51" t="str">
        <f t="shared" ca="1" si="655"/>
        <v>excluir</v>
      </c>
      <c r="L1686" s="51" t="str">
        <f t="shared" ca="1" si="656"/>
        <v>no semana</v>
      </c>
      <c r="M1686" s="51" t="str">
        <f>IFERROR(VLOOKUP(E1686,'cheques a conf'!A:D,4,FALSE),"no clearing")</f>
        <v>no clearing</v>
      </c>
      <c r="N1686" s="51">
        <f t="shared" si="657"/>
        <v>1</v>
      </c>
      <c r="O1686" s="53">
        <f t="shared" si="658"/>
        <v>1</v>
      </c>
      <c r="P1686" s="53">
        <f t="shared" si="659"/>
        <v>1900</v>
      </c>
    </row>
    <row r="1687" spans="1:16" x14ac:dyDescent="0.25">
      <c r="A1687" s="21"/>
      <c r="B1687" s="22"/>
      <c r="C1687" s="20"/>
      <c r="D1687" s="21"/>
      <c r="E1687" s="21"/>
      <c r="F1687" s="20"/>
      <c r="G1687" s="22"/>
      <c r="I1687" s="51" t="str">
        <f>IFERROR(IF(VLOOKUP(E1687,extracto!C:C,1,FALSE)=E1687,"pagado","no pagado"),"no pagado")</f>
        <v>no pagado</v>
      </c>
      <c r="J1687" s="52" t="str">
        <f t="shared" ca="1" si="654"/>
        <v>fuera de fecha</v>
      </c>
      <c r="K1687" s="51" t="str">
        <f t="shared" ca="1" si="655"/>
        <v>excluir</v>
      </c>
      <c r="L1687" s="51" t="str">
        <f t="shared" ca="1" si="656"/>
        <v>no semana</v>
      </c>
      <c r="M1687" s="51" t="str">
        <f>IFERROR(VLOOKUP(E1687,'cheques a conf'!A:D,4,FALSE),"no clearing")</f>
        <v>no clearing</v>
      </c>
      <c r="N1687" s="51">
        <f t="shared" si="657"/>
        <v>1</v>
      </c>
      <c r="O1687" s="53">
        <f t="shared" si="658"/>
        <v>1</v>
      </c>
      <c r="P1687" s="53">
        <f t="shared" si="659"/>
        <v>1900</v>
      </c>
    </row>
    <row r="1688" spans="1:16" x14ac:dyDescent="0.25">
      <c r="A1688" s="21"/>
      <c r="B1688" s="22"/>
      <c r="C1688" s="20"/>
      <c r="D1688" s="21"/>
      <c r="E1688" s="21"/>
      <c r="F1688" s="20"/>
      <c r="G1688" s="22"/>
      <c r="I1688" s="51" t="str">
        <f>IFERROR(IF(VLOOKUP(E1688,extracto!C:C,1,FALSE)=E1688,"pagado","no pagado"),"no pagado")</f>
        <v>no pagado</v>
      </c>
      <c r="J1688" s="52" t="str">
        <f t="shared" ca="1" si="654"/>
        <v>fuera de fecha</v>
      </c>
      <c r="K1688" s="51" t="str">
        <f t="shared" ca="1" si="655"/>
        <v>excluir</v>
      </c>
      <c r="L1688" s="51" t="str">
        <f t="shared" ca="1" si="656"/>
        <v>no semana</v>
      </c>
      <c r="M1688" s="51" t="str">
        <f>IFERROR(VLOOKUP(E1688,'cheques a conf'!A:D,4,FALSE),"no clearing")</f>
        <v>no clearing</v>
      </c>
      <c r="N1688" s="51">
        <f t="shared" si="657"/>
        <v>1</v>
      </c>
      <c r="O1688" s="53">
        <f t="shared" si="658"/>
        <v>1</v>
      </c>
      <c r="P1688" s="53">
        <f t="shared" si="659"/>
        <v>1900</v>
      </c>
    </row>
    <row r="1689" spans="1:16" x14ac:dyDescent="0.25">
      <c r="A1689" s="21"/>
      <c r="B1689" s="22"/>
      <c r="C1689" s="20"/>
      <c r="D1689" s="21"/>
      <c r="E1689" s="21"/>
      <c r="F1689" s="20"/>
      <c r="G1689" s="22"/>
      <c r="I1689" s="51" t="str">
        <f>IFERROR(IF(VLOOKUP(E1689,extracto!C:C,1,FALSE)=E1689,"pagado","no pagado"),"no pagado")</f>
        <v>no pagado</v>
      </c>
      <c r="J1689" s="52" t="str">
        <f t="shared" ca="1" si="654"/>
        <v>fuera de fecha</v>
      </c>
      <c r="K1689" s="51" t="str">
        <f t="shared" ca="1" si="655"/>
        <v>excluir</v>
      </c>
      <c r="L1689" s="51" t="str">
        <f t="shared" ca="1" si="656"/>
        <v>no semana</v>
      </c>
      <c r="M1689" s="51" t="str">
        <f>IFERROR(VLOOKUP(E1689,'cheques a conf'!A:D,4,FALSE),"no clearing")</f>
        <v>no clearing</v>
      </c>
      <c r="N1689" s="51">
        <f t="shared" si="657"/>
        <v>1</v>
      </c>
      <c r="O1689" s="53">
        <f t="shared" si="658"/>
        <v>1</v>
      </c>
      <c r="P1689" s="53">
        <f t="shared" si="659"/>
        <v>1900</v>
      </c>
    </row>
    <row r="1690" spans="1:16" x14ac:dyDescent="0.25">
      <c r="A1690" s="21"/>
      <c r="B1690" s="22"/>
      <c r="C1690" s="20"/>
      <c r="D1690" s="21"/>
      <c r="E1690" s="21"/>
      <c r="F1690" s="20"/>
      <c r="G1690" s="22"/>
      <c r="I1690" s="51" t="str">
        <f>IFERROR(IF(VLOOKUP(E1690,extracto!C:C,1,FALSE)=E1690,"pagado","no pagado"),"no pagado")</f>
        <v>no pagado</v>
      </c>
      <c r="J1690" s="52" t="str">
        <f t="shared" ca="1" si="654"/>
        <v>fuera de fecha</v>
      </c>
      <c r="K1690" s="51" t="str">
        <f t="shared" ca="1" si="655"/>
        <v>excluir</v>
      </c>
      <c r="L1690" s="51" t="str">
        <f t="shared" ca="1" si="656"/>
        <v>no semana</v>
      </c>
      <c r="M1690" s="51" t="str">
        <f>IFERROR(VLOOKUP(E1690,'cheques a conf'!A:D,4,FALSE),"no clearing")</f>
        <v>no clearing</v>
      </c>
      <c r="N1690" s="51">
        <f t="shared" si="657"/>
        <v>1</v>
      </c>
      <c r="O1690" s="53">
        <f t="shared" si="658"/>
        <v>1</v>
      </c>
      <c r="P1690" s="53">
        <f t="shared" si="659"/>
        <v>1900</v>
      </c>
    </row>
    <row r="1691" spans="1:16" x14ac:dyDescent="0.25">
      <c r="A1691"/>
      <c r="B1691" s="3"/>
      <c r="C1691" s="54"/>
      <c r="D1691"/>
      <c r="E1691"/>
      <c r="F1691" s="54"/>
      <c r="G1691" s="3"/>
      <c r="I1691" s="51" t="str">
        <f>IFERROR(IF(VLOOKUP(E1691,extracto!C:C,1,FALSE)=E1691,"pagado","no pagado"),"no pagado")</f>
        <v>no pagado</v>
      </c>
      <c r="J1691" s="52" t="str">
        <f t="shared" ref="J1691:J1715" ca="1" si="660">IF(I1691="pagado","pagado",IF(G1691&lt;$V$1-30,"fuera de fecha","en periodo de pago"))</f>
        <v>fuera de fecha</v>
      </c>
      <c r="K1691" s="51" t="str">
        <f t="shared" ref="K1691:K1715" ca="1" si="661">+IF(B1691&gt;$V$1,"excluir",IF(J1691="en periodo de pago",IF($V$1&gt;G1691,"a pagar","proximo a vencer"),"excluir"))</f>
        <v>excluir</v>
      </c>
      <c r="L1691" s="51" t="str">
        <f t="shared" ref="L1691:L1715" ca="1" si="662">+IF(K1691="proximo a vencer",IF($V$1+5&gt;G1691,"para la semana","no semana"),"no semana")</f>
        <v>no semana</v>
      </c>
      <c r="M1691" s="51" t="str">
        <f>IFERROR(VLOOKUP(E1691,'cheques a conf'!A:D,4,FALSE),"no clearing")</f>
        <v>no clearing</v>
      </c>
      <c r="N1691" s="51">
        <f t="shared" ref="N1691:N1715" si="663">+WEEKNUM(G1691,2)</f>
        <v>1</v>
      </c>
      <c r="O1691" s="53">
        <f t="shared" ref="O1691:O1715" si="664">+MONTH(G1691)</f>
        <v>1</v>
      </c>
      <c r="P1691" s="53">
        <f t="shared" ref="P1691:P1715" si="665">+YEAR(G1691)</f>
        <v>1900</v>
      </c>
    </row>
    <row r="1692" spans="1:16" x14ac:dyDescent="0.25">
      <c r="A1692"/>
      <c r="B1692" s="3"/>
      <c r="C1692" s="54"/>
      <c r="D1692"/>
      <c r="E1692"/>
      <c r="F1692" s="54"/>
      <c r="G1692" s="3"/>
      <c r="I1692" s="51" t="str">
        <f>IFERROR(IF(VLOOKUP(E1692,extracto!C:C,1,FALSE)=E1692,"pagado","no pagado"),"no pagado")</f>
        <v>no pagado</v>
      </c>
      <c r="J1692" s="52" t="str">
        <f t="shared" ca="1" si="660"/>
        <v>fuera de fecha</v>
      </c>
      <c r="K1692" s="51" t="str">
        <f t="shared" ca="1" si="661"/>
        <v>excluir</v>
      </c>
      <c r="L1692" s="51" t="str">
        <f t="shared" ca="1" si="662"/>
        <v>no semana</v>
      </c>
      <c r="M1692" s="51" t="str">
        <f>IFERROR(VLOOKUP(E1692,'cheques a conf'!A:D,4,FALSE),"no clearing")</f>
        <v>no clearing</v>
      </c>
      <c r="N1692" s="51">
        <f t="shared" si="663"/>
        <v>1</v>
      </c>
      <c r="O1692" s="53">
        <f t="shared" si="664"/>
        <v>1</v>
      </c>
      <c r="P1692" s="53">
        <f t="shared" si="665"/>
        <v>1900</v>
      </c>
    </row>
    <row r="1693" spans="1:16" x14ac:dyDescent="0.25">
      <c r="A1693"/>
      <c r="B1693" s="3"/>
      <c r="C1693" s="54"/>
      <c r="D1693"/>
      <c r="E1693"/>
      <c r="F1693" s="54"/>
      <c r="G1693" s="3"/>
      <c r="I1693" s="51" t="str">
        <f>IFERROR(IF(VLOOKUP(E1693,extracto!C:C,1,FALSE)=E1693,"pagado","no pagado"),"no pagado")</f>
        <v>no pagado</v>
      </c>
      <c r="J1693" s="52" t="str">
        <f t="shared" ca="1" si="660"/>
        <v>fuera de fecha</v>
      </c>
      <c r="K1693" s="51" t="str">
        <f t="shared" ca="1" si="661"/>
        <v>excluir</v>
      </c>
      <c r="L1693" s="51" t="str">
        <f t="shared" ca="1" si="662"/>
        <v>no semana</v>
      </c>
      <c r="M1693" s="51" t="str">
        <f>IFERROR(VLOOKUP(E1693,'cheques a conf'!A:D,4,FALSE),"no clearing")</f>
        <v>no clearing</v>
      </c>
      <c r="N1693" s="51">
        <f t="shared" si="663"/>
        <v>1</v>
      </c>
      <c r="O1693" s="53">
        <f t="shared" si="664"/>
        <v>1</v>
      </c>
      <c r="P1693" s="53">
        <f t="shared" si="665"/>
        <v>1900</v>
      </c>
    </row>
    <row r="1694" spans="1:16" x14ac:dyDescent="0.25">
      <c r="A1694"/>
      <c r="B1694" s="3"/>
      <c r="C1694" s="54"/>
      <c r="D1694"/>
      <c r="E1694"/>
      <c r="F1694" s="54"/>
      <c r="G1694" s="3"/>
      <c r="I1694" s="51" t="str">
        <f>IFERROR(IF(VLOOKUP(E1694,extracto!C:C,1,FALSE)=E1694,"pagado","no pagado"),"no pagado")</f>
        <v>no pagado</v>
      </c>
      <c r="J1694" s="52" t="str">
        <f t="shared" ca="1" si="660"/>
        <v>fuera de fecha</v>
      </c>
      <c r="K1694" s="51" t="str">
        <f t="shared" ca="1" si="661"/>
        <v>excluir</v>
      </c>
      <c r="L1694" s="51" t="str">
        <f t="shared" ca="1" si="662"/>
        <v>no semana</v>
      </c>
      <c r="M1694" s="51" t="str">
        <f>IFERROR(VLOOKUP(E1694,'cheques a conf'!A:D,4,FALSE),"no clearing")</f>
        <v>no clearing</v>
      </c>
      <c r="N1694" s="51">
        <f t="shared" si="663"/>
        <v>1</v>
      </c>
      <c r="O1694" s="53">
        <f t="shared" si="664"/>
        <v>1</v>
      </c>
      <c r="P1694" s="53">
        <f t="shared" si="665"/>
        <v>1900</v>
      </c>
    </row>
    <row r="1695" spans="1:16" x14ac:dyDescent="0.25">
      <c r="A1695"/>
      <c r="B1695" s="3"/>
      <c r="C1695" s="54"/>
      <c r="D1695"/>
      <c r="E1695"/>
      <c r="F1695" s="54"/>
      <c r="G1695" s="3"/>
      <c r="I1695" s="51" t="str">
        <f>IFERROR(IF(VLOOKUP(E1695,extracto!C:C,1,FALSE)=E1695,"pagado","no pagado"),"no pagado")</f>
        <v>no pagado</v>
      </c>
      <c r="J1695" s="52" t="str">
        <f t="shared" ca="1" si="660"/>
        <v>fuera de fecha</v>
      </c>
      <c r="K1695" s="51" t="str">
        <f t="shared" ca="1" si="661"/>
        <v>excluir</v>
      </c>
      <c r="L1695" s="51" t="str">
        <f t="shared" ca="1" si="662"/>
        <v>no semana</v>
      </c>
      <c r="M1695" s="51" t="str">
        <f>IFERROR(VLOOKUP(E1695,'cheques a conf'!A:D,4,FALSE),"no clearing")</f>
        <v>no clearing</v>
      </c>
      <c r="N1695" s="51">
        <f t="shared" si="663"/>
        <v>1</v>
      </c>
      <c r="O1695" s="53">
        <f t="shared" si="664"/>
        <v>1</v>
      </c>
      <c r="P1695" s="53">
        <f t="shared" si="665"/>
        <v>1900</v>
      </c>
    </row>
    <row r="1696" spans="1:16" x14ac:dyDescent="0.25">
      <c r="A1696"/>
      <c r="B1696" s="3"/>
      <c r="C1696" s="54"/>
      <c r="D1696"/>
      <c r="E1696"/>
      <c r="F1696" s="54"/>
      <c r="G1696" s="3"/>
      <c r="I1696" s="51" t="str">
        <f>IFERROR(IF(VLOOKUP(E1696,extracto!C:C,1,FALSE)=E1696,"pagado","no pagado"),"no pagado")</f>
        <v>no pagado</v>
      </c>
      <c r="J1696" s="52" t="str">
        <f t="shared" ca="1" si="660"/>
        <v>fuera de fecha</v>
      </c>
      <c r="K1696" s="51" t="str">
        <f t="shared" ca="1" si="661"/>
        <v>excluir</v>
      </c>
      <c r="L1696" s="51" t="str">
        <f t="shared" ca="1" si="662"/>
        <v>no semana</v>
      </c>
      <c r="M1696" s="51" t="str">
        <f>IFERROR(VLOOKUP(E1696,'cheques a conf'!A:D,4,FALSE),"no clearing")</f>
        <v>no clearing</v>
      </c>
      <c r="N1696" s="51">
        <f t="shared" si="663"/>
        <v>1</v>
      </c>
      <c r="O1696" s="53">
        <f t="shared" si="664"/>
        <v>1</v>
      </c>
      <c r="P1696" s="53">
        <f t="shared" si="665"/>
        <v>1900</v>
      </c>
    </row>
    <row r="1697" spans="1:16" x14ac:dyDescent="0.25">
      <c r="A1697"/>
      <c r="B1697" s="3"/>
      <c r="C1697" s="54"/>
      <c r="D1697"/>
      <c r="E1697"/>
      <c r="F1697" s="54"/>
      <c r="G1697" s="3"/>
      <c r="I1697" s="51" t="str">
        <f>IFERROR(IF(VLOOKUP(E1697,extracto!C:C,1,FALSE)=E1697,"pagado","no pagado"),"no pagado")</f>
        <v>no pagado</v>
      </c>
      <c r="J1697" s="52" t="str">
        <f t="shared" ca="1" si="660"/>
        <v>fuera de fecha</v>
      </c>
      <c r="K1697" s="51" t="str">
        <f t="shared" ca="1" si="661"/>
        <v>excluir</v>
      </c>
      <c r="L1697" s="51" t="str">
        <f t="shared" ca="1" si="662"/>
        <v>no semana</v>
      </c>
      <c r="M1697" s="51" t="str">
        <f>IFERROR(VLOOKUP(E1697,'cheques a conf'!A:D,4,FALSE),"no clearing")</f>
        <v>no clearing</v>
      </c>
      <c r="N1697" s="51">
        <f t="shared" si="663"/>
        <v>1</v>
      </c>
      <c r="O1697" s="53">
        <f t="shared" si="664"/>
        <v>1</v>
      </c>
      <c r="P1697" s="53">
        <f t="shared" si="665"/>
        <v>1900</v>
      </c>
    </row>
    <row r="1698" spans="1:16" x14ac:dyDescent="0.25">
      <c r="A1698"/>
      <c r="B1698" s="3"/>
      <c r="C1698" s="54"/>
      <c r="D1698"/>
      <c r="E1698"/>
      <c r="F1698" s="54"/>
      <c r="G1698" s="3"/>
      <c r="I1698" s="51" t="str">
        <f>IFERROR(IF(VLOOKUP(E1698,extracto!C:C,1,FALSE)=E1698,"pagado","no pagado"),"no pagado")</f>
        <v>no pagado</v>
      </c>
      <c r="J1698" s="52" t="str">
        <f t="shared" ca="1" si="660"/>
        <v>fuera de fecha</v>
      </c>
      <c r="K1698" s="51" t="str">
        <f t="shared" ca="1" si="661"/>
        <v>excluir</v>
      </c>
      <c r="L1698" s="51" t="str">
        <f t="shared" ca="1" si="662"/>
        <v>no semana</v>
      </c>
      <c r="M1698" s="51" t="str">
        <f>IFERROR(VLOOKUP(E1698,'cheques a conf'!A:D,4,FALSE),"no clearing")</f>
        <v>no clearing</v>
      </c>
      <c r="N1698" s="51">
        <f t="shared" si="663"/>
        <v>1</v>
      </c>
      <c r="O1698" s="53">
        <f t="shared" si="664"/>
        <v>1</v>
      </c>
      <c r="P1698" s="53">
        <f t="shared" si="665"/>
        <v>1900</v>
      </c>
    </row>
    <row r="1699" spans="1:16" x14ac:dyDescent="0.25">
      <c r="A1699"/>
      <c r="B1699" s="3"/>
      <c r="C1699" s="54"/>
      <c r="D1699"/>
      <c r="E1699"/>
      <c r="F1699" s="54"/>
      <c r="G1699" s="3"/>
      <c r="I1699" s="51" t="str">
        <f>IFERROR(IF(VLOOKUP(E1699,extracto!C:C,1,FALSE)=E1699,"pagado","no pagado"),"no pagado")</f>
        <v>no pagado</v>
      </c>
      <c r="J1699" s="52" t="str">
        <f t="shared" ca="1" si="660"/>
        <v>fuera de fecha</v>
      </c>
      <c r="K1699" s="51" t="str">
        <f t="shared" ca="1" si="661"/>
        <v>excluir</v>
      </c>
      <c r="L1699" s="51" t="str">
        <f t="shared" ca="1" si="662"/>
        <v>no semana</v>
      </c>
      <c r="M1699" s="51" t="str">
        <f>IFERROR(VLOOKUP(E1699,'cheques a conf'!A:D,4,FALSE),"no clearing")</f>
        <v>no clearing</v>
      </c>
      <c r="N1699" s="51">
        <f t="shared" si="663"/>
        <v>1</v>
      </c>
      <c r="O1699" s="53">
        <f t="shared" si="664"/>
        <v>1</v>
      </c>
      <c r="P1699" s="53">
        <f t="shared" si="665"/>
        <v>1900</v>
      </c>
    </row>
    <row r="1700" spans="1:16" x14ac:dyDescent="0.25">
      <c r="A1700"/>
      <c r="B1700" s="3"/>
      <c r="C1700" s="54"/>
      <c r="D1700"/>
      <c r="E1700"/>
      <c r="F1700" s="54"/>
      <c r="G1700" s="3"/>
      <c r="I1700" s="51" t="str">
        <f>IFERROR(IF(VLOOKUP(E1700,extracto!C:C,1,FALSE)=E1700,"pagado","no pagado"),"no pagado")</f>
        <v>no pagado</v>
      </c>
      <c r="J1700" s="52" t="str">
        <f t="shared" ca="1" si="660"/>
        <v>fuera de fecha</v>
      </c>
      <c r="K1700" s="51" t="str">
        <f t="shared" ca="1" si="661"/>
        <v>excluir</v>
      </c>
      <c r="L1700" s="51" t="str">
        <f t="shared" ca="1" si="662"/>
        <v>no semana</v>
      </c>
      <c r="M1700" s="51" t="str">
        <f>IFERROR(VLOOKUP(E1700,'cheques a conf'!A:D,4,FALSE),"no clearing")</f>
        <v>no clearing</v>
      </c>
      <c r="N1700" s="51">
        <f t="shared" si="663"/>
        <v>1</v>
      </c>
      <c r="O1700" s="53">
        <f t="shared" si="664"/>
        <v>1</v>
      </c>
      <c r="P1700" s="53">
        <f t="shared" si="665"/>
        <v>1900</v>
      </c>
    </row>
    <row r="1701" spans="1:16" x14ac:dyDescent="0.25">
      <c r="A1701"/>
      <c r="B1701" s="3"/>
      <c r="C1701" s="54"/>
      <c r="D1701"/>
      <c r="E1701"/>
      <c r="F1701" s="54"/>
      <c r="G1701" s="3"/>
      <c r="I1701" s="51" t="str">
        <f>IFERROR(IF(VLOOKUP(E1701,extracto!C:C,1,FALSE)=E1701,"pagado","no pagado"),"no pagado")</f>
        <v>no pagado</v>
      </c>
      <c r="J1701" s="52" t="str">
        <f t="shared" ca="1" si="660"/>
        <v>fuera de fecha</v>
      </c>
      <c r="K1701" s="51" t="str">
        <f t="shared" ca="1" si="661"/>
        <v>excluir</v>
      </c>
      <c r="L1701" s="51" t="str">
        <f t="shared" ca="1" si="662"/>
        <v>no semana</v>
      </c>
      <c r="M1701" s="51" t="str">
        <f>IFERROR(VLOOKUP(E1701,'cheques a conf'!A:D,4,FALSE),"no clearing")</f>
        <v>no clearing</v>
      </c>
      <c r="N1701" s="51">
        <f t="shared" si="663"/>
        <v>1</v>
      </c>
      <c r="O1701" s="53">
        <f t="shared" si="664"/>
        <v>1</v>
      </c>
      <c r="P1701" s="53">
        <f t="shared" si="665"/>
        <v>1900</v>
      </c>
    </row>
    <row r="1702" spans="1:16" x14ac:dyDescent="0.25">
      <c r="A1702"/>
      <c r="B1702" s="3"/>
      <c r="C1702" s="54"/>
      <c r="D1702"/>
      <c r="E1702"/>
      <c r="F1702" s="54"/>
      <c r="G1702" s="3"/>
      <c r="I1702" s="51" t="str">
        <f>IFERROR(IF(VLOOKUP(E1702,extracto!C:C,1,FALSE)=E1702,"pagado","no pagado"),"no pagado")</f>
        <v>no pagado</v>
      </c>
      <c r="J1702" s="52" t="str">
        <f t="shared" ca="1" si="660"/>
        <v>fuera de fecha</v>
      </c>
      <c r="K1702" s="51" t="str">
        <f t="shared" ca="1" si="661"/>
        <v>excluir</v>
      </c>
      <c r="L1702" s="51" t="str">
        <f t="shared" ca="1" si="662"/>
        <v>no semana</v>
      </c>
      <c r="M1702" s="51" t="str">
        <f>IFERROR(VLOOKUP(E1702,'cheques a conf'!A:D,4,FALSE),"no clearing")</f>
        <v>no clearing</v>
      </c>
      <c r="N1702" s="51">
        <f t="shared" si="663"/>
        <v>1</v>
      </c>
      <c r="O1702" s="53">
        <f t="shared" si="664"/>
        <v>1</v>
      </c>
      <c r="P1702" s="53">
        <f t="shared" si="665"/>
        <v>1900</v>
      </c>
    </row>
    <row r="1703" spans="1:16" x14ac:dyDescent="0.25">
      <c r="A1703"/>
      <c r="B1703" s="3"/>
      <c r="C1703" s="54"/>
      <c r="D1703"/>
      <c r="E1703"/>
      <c r="F1703" s="54"/>
      <c r="G1703" s="3"/>
      <c r="I1703" s="51" t="str">
        <f>IFERROR(IF(VLOOKUP(E1703,extracto!C:C,1,FALSE)=E1703,"pagado","no pagado"),"no pagado")</f>
        <v>no pagado</v>
      </c>
      <c r="J1703" s="52" t="str">
        <f t="shared" ca="1" si="660"/>
        <v>fuera de fecha</v>
      </c>
      <c r="K1703" s="51" t="str">
        <f t="shared" ca="1" si="661"/>
        <v>excluir</v>
      </c>
      <c r="L1703" s="51" t="str">
        <f t="shared" ca="1" si="662"/>
        <v>no semana</v>
      </c>
      <c r="M1703" s="51" t="str">
        <f>IFERROR(VLOOKUP(E1703,'cheques a conf'!A:D,4,FALSE),"no clearing")</f>
        <v>no clearing</v>
      </c>
      <c r="N1703" s="51">
        <f t="shared" si="663"/>
        <v>1</v>
      </c>
      <c r="O1703" s="53">
        <f t="shared" si="664"/>
        <v>1</v>
      </c>
      <c r="P1703" s="53">
        <f t="shared" si="665"/>
        <v>1900</v>
      </c>
    </row>
    <row r="1704" spans="1:16" x14ac:dyDescent="0.25">
      <c r="A1704"/>
      <c r="B1704" s="3"/>
      <c r="C1704" s="54"/>
      <c r="D1704"/>
      <c r="E1704"/>
      <c r="F1704" s="54"/>
      <c r="G1704" s="3"/>
      <c r="I1704" s="51" t="str">
        <f>IFERROR(IF(VLOOKUP(E1704,extracto!C:C,1,FALSE)=E1704,"pagado","no pagado"),"no pagado")</f>
        <v>no pagado</v>
      </c>
      <c r="J1704" s="52" t="str">
        <f t="shared" ca="1" si="660"/>
        <v>fuera de fecha</v>
      </c>
      <c r="K1704" s="51" t="str">
        <f t="shared" ca="1" si="661"/>
        <v>excluir</v>
      </c>
      <c r="L1704" s="51" t="str">
        <f t="shared" ca="1" si="662"/>
        <v>no semana</v>
      </c>
      <c r="M1704" s="51" t="str">
        <f>IFERROR(VLOOKUP(E1704,'cheques a conf'!A:D,4,FALSE),"no clearing")</f>
        <v>no clearing</v>
      </c>
      <c r="N1704" s="51">
        <f t="shared" si="663"/>
        <v>1</v>
      </c>
      <c r="O1704" s="53">
        <f t="shared" si="664"/>
        <v>1</v>
      </c>
      <c r="P1704" s="53">
        <f t="shared" si="665"/>
        <v>1900</v>
      </c>
    </row>
    <row r="1705" spans="1:16" x14ac:dyDescent="0.25">
      <c r="A1705"/>
      <c r="B1705" s="3"/>
      <c r="C1705" s="54"/>
      <c r="D1705"/>
      <c r="E1705"/>
      <c r="F1705" s="54"/>
      <c r="G1705" s="3"/>
      <c r="I1705" s="51" t="str">
        <f>IFERROR(IF(VLOOKUP(E1705,extracto!C:C,1,FALSE)=E1705,"pagado","no pagado"),"no pagado")</f>
        <v>no pagado</v>
      </c>
      <c r="J1705" s="52" t="str">
        <f t="shared" ca="1" si="660"/>
        <v>fuera de fecha</v>
      </c>
      <c r="K1705" s="51" t="str">
        <f t="shared" ca="1" si="661"/>
        <v>excluir</v>
      </c>
      <c r="L1705" s="51" t="str">
        <f t="shared" ca="1" si="662"/>
        <v>no semana</v>
      </c>
      <c r="M1705" s="51" t="str">
        <f>IFERROR(VLOOKUP(E1705,'cheques a conf'!A:D,4,FALSE),"no clearing")</f>
        <v>no clearing</v>
      </c>
      <c r="N1705" s="51">
        <f t="shared" si="663"/>
        <v>1</v>
      </c>
      <c r="O1705" s="53">
        <f t="shared" si="664"/>
        <v>1</v>
      </c>
      <c r="P1705" s="53">
        <f t="shared" si="665"/>
        <v>1900</v>
      </c>
    </row>
    <row r="1706" spans="1:16" x14ac:dyDescent="0.25">
      <c r="A1706"/>
      <c r="B1706" s="3"/>
      <c r="C1706" s="54"/>
      <c r="D1706"/>
      <c r="E1706"/>
      <c r="F1706" s="54"/>
      <c r="G1706" s="3"/>
      <c r="I1706" s="51" t="str">
        <f>IFERROR(IF(VLOOKUP(E1706,extracto!C:C,1,FALSE)=E1706,"pagado","no pagado"),"no pagado")</f>
        <v>no pagado</v>
      </c>
      <c r="J1706" s="52" t="str">
        <f t="shared" ca="1" si="660"/>
        <v>fuera de fecha</v>
      </c>
      <c r="K1706" s="51" t="str">
        <f t="shared" ca="1" si="661"/>
        <v>excluir</v>
      </c>
      <c r="L1706" s="51" t="str">
        <f t="shared" ca="1" si="662"/>
        <v>no semana</v>
      </c>
      <c r="M1706" s="51" t="str">
        <f>IFERROR(VLOOKUP(E1706,'cheques a conf'!A:D,4,FALSE),"no clearing")</f>
        <v>no clearing</v>
      </c>
      <c r="N1706" s="51">
        <f t="shared" si="663"/>
        <v>1</v>
      </c>
      <c r="O1706" s="53">
        <f t="shared" si="664"/>
        <v>1</v>
      </c>
      <c r="P1706" s="53">
        <f t="shared" si="665"/>
        <v>1900</v>
      </c>
    </row>
    <row r="1707" spans="1:16" x14ac:dyDescent="0.25">
      <c r="A1707"/>
      <c r="B1707" s="3"/>
      <c r="C1707" s="54"/>
      <c r="D1707"/>
      <c r="E1707"/>
      <c r="F1707" s="54"/>
      <c r="G1707" s="3"/>
      <c r="I1707" s="51" t="str">
        <f>IFERROR(IF(VLOOKUP(E1707,extracto!C:C,1,FALSE)=E1707,"pagado","no pagado"),"no pagado")</f>
        <v>no pagado</v>
      </c>
      <c r="J1707" s="52" t="str">
        <f t="shared" ca="1" si="660"/>
        <v>fuera de fecha</v>
      </c>
      <c r="K1707" s="51" t="str">
        <f t="shared" ca="1" si="661"/>
        <v>excluir</v>
      </c>
      <c r="L1707" s="51" t="str">
        <f t="shared" ca="1" si="662"/>
        <v>no semana</v>
      </c>
      <c r="M1707" s="51" t="str">
        <f>IFERROR(VLOOKUP(E1707,'cheques a conf'!A:D,4,FALSE),"no clearing")</f>
        <v>no clearing</v>
      </c>
      <c r="N1707" s="51">
        <f t="shared" si="663"/>
        <v>1</v>
      </c>
      <c r="O1707" s="53">
        <f t="shared" si="664"/>
        <v>1</v>
      </c>
      <c r="P1707" s="53">
        <f t="shared" si="665"/>
        <v>1900</v>
      </c>
    </row>
    <row r="1708" spans="1:16" x14ac:dyDescent="0.25">
      <c r="A1708"/>
      <c r="B1708" s="3"/>
      <c r="C1708" s="54"/>
      <c r="D1708"/>
      <c r="E1708"/>
      <c r="F1708" s="54"/>
      <c r="G1708" s="3"/>
      <c r="I1708" s="51" t="str">
        <f>IFERROR(IF(VLOOKUP(E1708,extracto!C:C,1,FALSE)=E1708,"pagado","no pagado"),"no pagado")</f>
        <v>no pagado</v>
      </c>
      <c r="J1708" s="52" t="str">
        <f t="shared" ca="1" si="660"/>
        <v>fuera de fecha</v>
      </c>
      <c r="K1708" s="51" t="str">
        <f t="shared" ca="1" si="661"/>
        <v>excluir</v>
      </c>
      <c r="L1708" s="51" t="str">
        <f t="shared" ca="1" si="662"/>
        <v>no semana</v>
      </c>
      <c r="M1708" s="51" t="str">
        <f>IFERROR(VLOOKUP(E1708,'cheques a conf'!A:D,4,FALSE),"no clearing")</f>
        <v>no clearing</v>
      </c>
      <c r="N1708" s="51">
        <f t="shared" si="663"/>
        <v>1</v>
      </c>
      <c r="O1708" s="53">
        <f t="shared" si="664"/>
        <v>1</v>
      </c>
      <c r="P1708" s="53">
        <f t="shared" si="665"/>
        <v>1900</v>
      </c>
    </row>
    <row r="1709" spans="1:16" x14ac:dyDescent="0.25">
      <c r="A1709"/>
      <c r="B1709" s="3"/>
      <c r="C1709" s="54"/>
      <c r="D1709"/>
      <c r="E1709"/>
      <c r="F1709" s="54"/>
      <c r="G1709" s="3"/>
      <c r="I1709" s="51" t="str">
        <f>IFERROR(IF(VLOOKUP(E1709,extracto!C:C,1,FALSE)=E1709,"pagado","no pagado"),"no pagado")</f>
        <v>no pagado</v>
      </c>
      <c r="J1709" s="52" t="str">
        <f t="shared" ca="1" si="660"/>
        <v>fuera de fecha</v>
      </c>
      <c r="K1709" s="51" t="str">
        <f t="shared" ca="1" si="661"/>
        <v>excluir</v>
      </c>
      <c r="L1709" s="51" t="str">
        <f t="shared" ca="1" si="662"/>
        <v>no semana</v>
      </c>
      <c r="M1709" s="51" t="str">
        <f>IFERROR(VLOOKUP(E1709,'cheques a conf'!A:D,4,FALSE),"no clearing")</f>
        <v>no clearing</v>
      </c>
      <c r="N1709" s="51">
        <f t="shared" si="663"/>
        <v>1</v>
      </c>
      <c r="O1709" s="53">
        <f t="shared" si="664"/>
        <v>1</v>
      </c>
      <c r="P1709" s="53">
        <f t="shared" si="665"/>
        <v>1900</v>
      </c>
    </row>
    <row r="1710" spans="1:16" x14ac:dyDescent="0.25">
      <c r="A1710"/>
      <c r="B1710" s="3"/>
      <c r="C1710" s="54"/>
      <c r="D1710"/>
      <c r="E1710"/>
      <c r="F1710" s="54"/>
      <c r="G1710" s="3"/>
      <c r="I1710" s="51" t="str">
        <f>IFERROR(IF(VLOOKUP(E1710,extracto!C:C,1,FALSE)=E1710,"pagado","no pagado"),"no pagado")</f>
        <v>no pagado</v>
      </c>
      <c r="J1710" s="52" t="str">
        <f t="shared" ca="1" si="660"/>
        <v>fuera de fecha</v>
      </c>
      <c r="K1710" s="51" t="str">
        <f t="shared" ca="1" si="661"/>
        <v>excluir</v>
      </c>
      <c r="L1710" s="51" t="str">
        <f t="shared" ca="1" si="662"/>
        <v>no semana</v>
      </c>
      <c r="M1710" s="51" t="str">
        <f>IFERROR(VLOOKUP(E1710,'cheques a conf'!A:D,4,FALSE),"no clearing")</f>
        <v>no clearing</v>
      </c>
      <c r="N1710" s="51">
        <f t="shared" si="663"/>
        <v>1</v>
      </c>
      <c r="O1710" s="53">
        <f t="shared" si="664"/>
        <v>1</v>
      </c>
      <c r="P1710" s="53">
        <f t="shared" si="665"/>
        <v>1900</v>
      </c>
    </row>
    <row r="1711" spans="1:16" x14ac:dyDescent="0.25">
      <c r="A1711"/>
      <c r="B1711" s="3"/>
      <c r="C1711" s="54"/>
      <c r="D1711"/>
      <c r="E1711"/>
      <c r="F1711" s="54"/>
      <c r="G1711" s="3"/>
      <c r="I1711" s="51" t="str">
        <f>IFERROR(IF(VLOOKUP(E1711,extracto!C:C,1,FALSE)=E1711,"pagado","no pagado"),"no pagado")</f>
        <v>no pagado</v>
      </c>
      <c r="J1711" s="52" t="str">
        <f t="shared" ca="1" si="660"/>
        <v>fuera de fecha</v>
      </c>
      <c r="K1711" s="51" t="str">
        <f t="shared" ca="1" si="661"/>
        <v>excluir</v>
      </c>
      <c r="L1711" s="51" t="str">
        <f t="shared" ca="1" si="662"/>
        <v>no semana</v>
      </c>
      <c r="M1711" s="51" t="str">
        <f>IFERROR(VLOOKUP(E1711,'cheques a conf'!A:D,4,FALSE),"no clearing")</f>
        <v>no clearing</v>
      </c>
      <c r="N1711" s="51">
        <f t="shared" si="663"/>
        <v>1</v>
      </c>
      <c r="O1711" s="53">
        <f t="shared" si="664"/>
        <v>1</v>
      </c>
      <c r="P1711" s="53">
        <f t="shared" si="665"/>
        <v>1900</v>
      </c>
    </row>
    <row r="1712" spans="1:16" x14ac:dyDescent="0.25">
      <c r="A1712"/>
      <c r="B1712" s="3"/>
      <c r="C1712" s="54"/>
      <c r="D1712"/>
      <c r="E1712"/>
      <c r="F1712" s="54"/>
      <c r="G1712" s="3"/>
      <c r="I1712" s="51" t="str">
        <f>IFERROR(IF(VLOOKUP(E1712,extracto!C:C,1,FALSE)=E1712,"pagado","no pagado"),"no pagado")</f>
        <v>no pagado</v>
      </c>
      <c r="J1712" s="52" t="str">
        <f t="shared" ca="1" si="660"/>
        <v>fuera de fecha</v>
      </c>
      <c r="K1712" s="51" t="str">
        <f t="shared" ca="1" si="661"/>
        <v>excluir</v>
      </c>
      <c r="L1712" s="51" t="str">
        <f t="shared" ca="1" si="662"/>
        <v>no semana</v>
      </c>
      <c r="M1712" s="51" t="str">
        <f>IFERROR(VLOOKUP(E1712,'cheques a conf'!A:D,4,FALSE),"no clearing")</f>
        <v>no clearing</v>
      </c>
      <c r="N1712" s="51">
        <f t="shared" si="663"/>
        <v>1</v>
      </c>
      <c r="O1712" s="53">
        <f t="shared" si="664"/>
        <v>1</v>
      </c>
      <c r="P1712" s="53">
        <f t="shared" si="665"/>
        <v>1900</v>
      </c>
    </row>
    <row r="1713" spans="1:16" x14ac:dyDescent="0.25">
      <c r="A1713"/>
      <c r="B1713" s="3"/>
      <c r="C1713" s="54"/>
      <c r="D1713"/>
      <c r="E1713"/>
      <c r="F1713" s="54"/>
      <c r="G1713" s="3"/>
      <c r="I1713" s="51" t="str">
        <f>IFERROR(IF(VLOOKUP(E1713,extracto!C:C,1,FALSE)=E1713,"pagado","no pagado"),"no pagado")</f>
        <v>no pagado</v>
      </c>
      <c r="J1713" s="52" t="str">
        <f t="shared" ca="1" si="660"/>
        <v>fuera de fecha</v>
      </c>
      <c r="K1713" s="51" t="str">
        <f t="shared" ca="1" si="661"/>
        <v>excluir</v>
      </c>
      <c r="L1713" s="51" t="str">
        <f t="shared" ca="1" si="662"/>
        <v>no semana</v>
      </c>
      <c r="M1713" s="51" t="str">
        <f>IFERROR(VLOOKUP(E1713,'cheques a conf'!A:D,4,FALSE),"no clearing")</f>
        <v>no clearing</v>
      </c>
      <c r="N1713" s="51">
        <f t="shared" si="663"/>
        <v>1</v>
      </c>
      <c r="O1713" s="53">
        <f t="shared" si="664"/>
        <v>1</v>
      </c>
      <c r="P1713" s="53">
        <f t="shared" si="665"/>
        <v>1900</v>
      </c>
    </row>
    <row r="1714" spans="1:16" x14ac:dyDescent="0.25">
      <c r="A1714"/>
      <c r="B1714" s="3"/>
      <c r="C1714" s="54"/>
      <c r="D1714"/>
      <c r="E1714"/>
      <c r="F1714" s="54"/>
      <c r="G1714" s="3"/>
      <c r="I1714" s="51" t="str">
        <f>IFERROR(IF(VLOOKUP(E1714,extracto!C:C,1,FALSE)=E1714,"pagado","no pagado"),"no pagado")</f>
        <v>no pagado</v>
      </c>
      <c r="J1714" s="52" t="str">
        <f t="shared" ca="1" si="660"/>
        <v>fuera de fecha</v>
      </c>
      <c r="K1714" s="51" t="str">
        <f t="shared" ca="1" si="661"/>
        <v>excluir</v>
      </c>
      <c r="L1714" s="51" t="str">
        <f t="shared" ca="1" si="662"/>
        <v>no semana</v>
      </c>
      <c r="M1714" s="51" t="str">
        <f>IFERROR(VLOOKUP(E1714,'cheques a conf'!A:D,4,FALSE),"no clearing")</f>
        <v>no clearing</v>
      </c>
      <c r="N1714" s="51">
        <f t="shared" si="663"/>
        <v>1</v>
      </c>
      <c r="O1714" s="53">
        <f t="shared" si="664"/>
        <v>1</v>
      </c>
      <c r="P1714" s="53">
        <f t="shared" si="665"/>
        <v>1900</v>
      </c>
    </row>
    <row r="1715" spans="1:16" x14ac:dyDescent="0.25">
      <c r="A1715"/>
      <c r="B1715" s="3"/>
      <c r="C1715" s="54"/>
      <c r="D1715"/>
      <c r="E1715"/>
      <c r="F1715" s="54"/>
      <c r="G1715" s="3"/>
      <c r="I1715" s="51" t="str">
        <f>IFERROR(IF(VLOOKUP(E1715,extracto!C:C,1,FALSE)=E1715,"pagado","no pagado"),"no pagado")</f>
        <v>no pagado</v>
      </c>
      <c r="J1715" s="52" t="str">
        <f t="shared" ca="1" si="660"/>
        <v>fuera de fecha</v>
      </c>
      <c r="K1715" s="51" t="str">
        <f t="shared" ca="1" si="661"/>
        <v>excluir</v>
      </c>
      <c r="L1715" s="51" t="str">
        <f t="shared" ca="1" si="662"/>
        <v>no semana</v>
      </c>
      <c r="M1715" s="51" t="str">
        <f>IFERROR(VLOOKUP(E1715,'cheques a conf'!A:D,4,FALSE),"no clearing")</f>
        <v>no clearing</v>
      </c>
      <c r="N1715" s="51">
        <f t="shared" si="663"/>
        <v>1</v>
      </c>
      <c r="O1715" s="53">
        <f t="shared" si="664"/>
        <v>1</v>
      </c>
      <c r="P1715" s="53">
        <f t="shared" si="665"/>
        <v>1900</v>
      </c>
    </row>
    <row r="1716" spans="1:16" x14ac:dyDescent="0.25">
      <c r="A1716" s="21"/>
      <c r="B1716" s="22"/>
      <c r="C1716" s="20"/>
      <c r="D1716" s="21"/>
      <c r="E1716" s="21"/>
      <c r="F1716" s="20"/>
      <c r="G1716" s="22"/>
      <c r="I1716" s="51" t="str">
        <f>IFERROR(IF(VLOOKUP(E1716,extracto!C:C,1,FALSE)=E1716,"pagado","no pagado"),"no pagado")</f>
        <v>no pagado</v>
      </c>
      <c r="J1716" s="52" t="str">
        <f t="shared" ref="J1716:J1725" ca="1" si="666">IF(I1716="pagado","pagado",IF(G1716&lt;$V$1-30,"fuera de fecha","en periodo de pago"))</f>
        <v>fuera de fecha</v>
      </c>
      <c r="K1716" s="51" t="str">
        <f t="shared" ref="K1716:K1725" ca="1" si="667">+IF(B1716&gt;$V$1,"excluir",IF(J1716="en periodo de pago",IF($V$1&gt;G1716,"a pagar","proximo a vencer"),"excluir"))</f>
        <v>excluir</v>
      </c>
      <c r="L1716" s="51" t="str">
        <f t="shared" ref="L1716:L1725" ca="1" si="668">+IF(K1716="proximo a vencer",IF($V$1+5&gt;G1716,"para la semana","no semana"),"no semana")</f>
        <v>no semana</v>
      </c>
      <c r="M1716" s="51" t="str">
        <f>IFERROR(VLOOKUP(E1716,'cheques a conf'!A:D,4,FALSE),"no clearing")</f>
        <v>no clearing</v>
      </c>
      <c r="N1716" s="51">
        <f t="shared" ref="N1716:N1725" si="669">+WEEKNUM(G1716,2)</f>
        <v>1</v>
      </c>
      <c r="O1716" s="53">
        <f t="shared" ref="O1716:O1725" si="670">+MONTH(G1716)</f>
        <v>1</v>
      </c>
      <c r="P1716" s="53">
        <f t="shared" ref="P1716:P1725" si="671">+YEAR(G1716)</f>
        <v>1900</v>
      </c>
    </row>
    <row r="1717" spans="1:16" x14ac:dyDescent="0.25">
      <c r="A1717" s="21"/>
      <c r="B1717" s="22"/>
      <c r="C1717" s="20"/>
      <c r="D1717" s="21"/>
      <c r="E1717" s="21"/>
      <c r="F1717" s="20"/>
      <c r="G1717" s="22"/>
      <c r="I1717" s="51" t="str">
        <f>IFERROR(IF(VLOOKUP(E1717,extracto!C:C,1,FALSE)=E1717,"pagado","no pagado"),"no pagado")</f>
        <v>no pagado</v>
      </c>
      <c r="J1717" s="52" t="str">
        <f t="shared" ca="1" si="666"/>
        <v>fuera de fecha</v>
      </c>
      <c r="K1717" s="51" t="str">
        <f t="shared" ca="1" si="667"/>
        <v>excluir</v>
      </c>
      <c r="L1717" s="51" t="str">
        <f t="shared" ca="1" si="668"/>
        <v>no semana</v>
      </c>
      <c r="M1717" s="51" t="str">
        <f>IFERROR(VLOOKUP(E1717,'cheques a conf'!A:D,4,FALSE),"no clearing")</f>
        <v>no clearing</v>
      </c>
      <c r="N1717" s="51">
        <f t="shared" si="669"/>
        <v>1</v>
      </c>
      <c r="O1717" s="53">
        <f t="shared" si="670"/>
        <v>1</v>
      </c>
      <c r="P1717" s="53">
        <f t="shared" si="671"/>
        <v>1900</v>
      </c>
    </row>
    <row r="1718" spans="1:16" x14ac:dyDescent="0.25">
      <c r="A1718" s="21"/>
      <c r="B1718" s="22"/>
      <c r="C1718" s="20"/>
      <c r="D1718" s="21"/>
      <c r="E1718" s="21"/>
      <c r="F1718" s="20"/>
      <c r="G1718" s="22"/>
      <c r="I1718" s="51" t="str">
        <f>IFERROR(IF(VLOOKUP(E1718,extracto!C:C,1,FALSE)=E1718,"pagado","no pagado"),"no pagado")</f>
        <v>no pagado</v>
      </c>
      <c r="J1718" s="52" t="str">
        <f t="shared" ca="1" si="666"/>
        <v>fuera de fecha</v>
      </c>
      <c r="K1718" s="51" t="str">
        <f t="shared" ca="1" si="667"/>
        <v>excluir</v>
      </c>
      <c r="L1718" s="51" t="str">
        <f t="shared" ca="1" si="668"/>
        <v>no semana</v>
      </c>
      <c r="M1718" s="51" t="str">
        <f>IFERROR(VLOOKUP(E1718,'cheques a conf'!A:D,4,FALSE),"no clearing")</f>
        <v>no clearing</v>
      </c>
      <c r="N1718" s="51">
        <f t="shared" si="669"/>
        <v>1</v>
      </c>
      <c r="O1718" s="53">
        <f t="shared" si="670"/>
        <v>1</v>
      </c>
      <c r="P1718" s="53">
        <f t="shared" si="671"/>
        <v>1900</v>
      </c>
    </row>
    <row r="1719" spans="1:16" x14ac:dyDescent="0.25">
      <c r="A1719" s="21"/>
      <c r="B1719" s="22"/>
      <c r="C1719" s="20"/>
      <c r="D1719" s="21"/>
      <c r="E1719" s="21"/>
      <c r="F1719" s="20"/>
      <c r="G1719" s="22"/>
      <c r="I1719" s="51" t="str">
        <f>IFERROR(IF(VLOOKUP(E1719,extracto!C:C,1,FALSE)=E1719,"pagado","no pagado"),"no pagado")</f>
        <v>no pagado</v>
      </c>
      <c r="J1719" s="52" t="str">
        <f t="shared" ca="1" si="666"/>
        <v>fuera de fecha</v>
      </c>
      <c r="K1719" s="51" t="str">
        <f t="shared" ca="1" si="667"/>
        <v>excluir</v>
      </c>
      <c r="L1719" s="51" t="str">
        <f t="shared" ca="1" si="668"/>
        <v>no semana</v>
      </c>
      <c r="M1719" s="51" t="str">
        <f>IFERROR(VLOOKUP(E1719,'cheques a conf'!A:D,4,FALSE),"no clearing")</f>
        <v>no clearing</v>
      </c>
      <c r="N1719" s="51">
        <f t="shared" si="669"/>
        <v>1</v>
      </c>
      <c r="O1719" s="53">
        <f t="shared" si="670"/>
        <v>1</v>
      </c>
      <c r="P1719" s="53">
        <f t="shared" si="671"/>
        <v>1900</v>
      </c>
    </row>
    <row r="1720" spans="1:16" x14ac:dyDescent="0.25">
      <c r="A1720" s="21"/>
      <c r="B1720" s="22"/>
      <c r="C1720" s="20"/>
      <c r="D1720" s="21"/>
      <c r="E1720" s="21"/>
      <c r="F1720" s="20"/>
      <c r="G1720" s="22"/>
      <c r="I1720" s="51" t="str">
        <f>IFERROR(IF(VLOOKUP(E1720,extracto!C:C,1,FALSE)=E1720,"pagado","no pagado"),"no pagado")</f>
        <v>no pagado</v>
      </c>
      <c r="J1720" s="52" t="str">
        <f t="shared" ca="1" si="666"/>
        <v>fuera de fecha</v>
      </c>
      <c r="K1720" s="51" t="str">
        <f t="shared" ca="1" si="667"/>
        <v>excluir</v>
      </c>
      <c r="L1720" s="51" t="str">
        <f t="shared" ca="1" si="668"/>
        <v>no semana</v>
      </c>
      <c r="M1720" s="51" t="str">
        <f>IFERROR(VLOOKUP(E1720,'cheques a conf'!A:D,4,FALSE),"no clearing")</f>
        <v>no clearing</v>
      </c>
      <c r="N1720" s="51">
        <f t="shared" si="669"/>
        <v>1</v>
      </c>
      <c r="O1720" s="53">
        <f t="shared" si="670"/>
        <v>1</v>
      </c>
      <c r="P1720" s="53">
        <f t="shared" si="671"/>
        <v>1900</v>
      </c>
    </row>
    <row r="1721" spans="1:16" x14ac:dyDescent="0.25">
      <c r="A1721" s="21"/>
      <c r="B1721" s="22"/>
      <c r="C1721" s="20"/>
      <c r="D1721" s="21"/>
      <c r="E1721" s="21"/>
      <c r="F1721" s="20"/>
      <c r="G1721" s="22"/>
      <c r="I1721" s="51" t="str">
        <f>IFERROR(IF(VLOOKUP(E1721,extracto!C:C,1,FALSE)=E1721,"pagado","no pagado"),"no pagado")</f>
        <v>no pagado</v>
      </c>
      <c r="J1721" s="52" t="str">
        <f t="shared" ca="1" si="666"/>
        <v>fuera de fecha</v>
      </c>
      <c r="K1721" s="51" t="str">
        <f t="shared" ca="1" si="667"/>
        <v>excluir</v>
      </c>
      <c r="L1721" s="51" t="str">
        <f t="shared" ca="1" si="668"/>
        <v>no semana</v>
      </c>
      <c r="M1721" s="51" t="str">
        <f>IFERROR(VLOOKUP(E1721,'cheques a conf'!A:D,4,FALSE),"no clearing")</f>
        <v>no clearing</v>
      </c>
      <c r="N1721" s="51">
        <f t="shared" si="669"/>
        <v>1</v>
      </c>
      <c r="O1721" s="53">
        <f t="shared" si="670"/>
        <v>1</v>
      </c>
      <c r="P1721" s="53">
        <f t="shared" si="671"/>
        <v>1900</v>
      </c>
    </row>
    <row r="1722" spans="1:16" x14ac:dyDescent="0.25">
      <c r="A1722" s="21"/>
      <c r="B1722" s="22"/>
      <c r="C1722" s="20"/>
      <c r="D1722" s="21"/>
      <c r="E1722" s="21"/>
      <c r="F1722" s="20"/>
      <c r="G1722" s="22"/>
      <c r="I1722" s="51" t="str">
        <f>IFERROR(IF(VLOOKUP(E1722,extracto!C:C,1,FALSE)=E1722,"pagado","no pagado"),"no pagado")</f>
        <v>no pagado</v>
      </c>
      <c r="J1722" s="52" t="str">
        <f t="shared" ca="1" si="666"/>
        <v>fuera de fecha</v>
      </c>
      <c r="K1722" s="51" t="str">
        <f t="shared" ca="1" si="667"/>
        <v>excluir</v>
      </c>
      <c r="L1722" s="51" t="str">
        <f t="shared" ca="1" si="668"/>
        <v>no semana</v>
      </c>
      <c r="M1722" s="51" t="str">
        <f>IFERROR(VLOOKUP(E1722,'cheques a conf'!A:D,4,FALSE),"no clearing")</f>
        <v>no clearing</v>
      </c>
      <c r="N1722" s="51">
        <f t="shared" si="669"/>
        <v>1</v>
      </c>
      <c r="O1722" s="53">
        <f t="shared" si="670"/>
        <v>1</v>
      </c>
      <c r="P1722" s="53">
        <f t="shared" si="671"/>
        <v>1900</v>
      </c>
    </row>
    <row r="1723" spans="1:16" x14ac:dyDescent="0.25">
      <c r="A1723" s="21"/>
      <c r="B1723" s="22"/>
      <c r="C1723" s="20"/>
      <c r="D1723" s="21"/>
      <c r="E1723" s="21"/>
      <c r="F1723" s="20"/>
      <c r="G1723" s="22"/>
      <c r="I1723" s="51" t="str">
        <f>IFERROR(IF(VLOOKUP(E1723,extracto!C:C,1,FALSE)=E1723,"pagado","no pagado"),"no pagado")</f>
        <v>no pagado</v>
      </c>
      <c r="J1723" s="52" t="str">
        <f t="shared" ca="1" si="666"/>
        <v>fuera de fecha</v>
      </c>
      <c r="K1723" s="51" t="str">
        <f t="shared" ca="1" si="667"/>
        <v>excluir</v>
      </c>
      <c r="L1723" s="51" t="str">
        <f t="shared" ca="1" si="668"/>
        <v>no semana</v>
      </c>
      <c r="M1723" s="51" t="str">
        <f>IFERROR(VLOOKUP(E1723,'cheques a conf'!A:D,4,FALSE),"no clearing")</f>
        <v>no clearing</v>
      </c>
      <c r="N1723" s="51">
        <f t="shared" si="669"/>
        <v>1</v>
      </c>
      <c r="O1723" s="53">
        <f t="shared" si="670"/>
        <v>1</v>
      </c>
      <c r="P1723" s="53">
        <f t="shared" si="671"/>
        <v>1900</v>
      </c>
    </row>
    <row r="1724" spans="1:16" x14ac:dyDescent="0.25">
      <c r="A1724" s="21"/>
      <c r="B1724" s="22"/>
      <c r="C1724" s="20"/>
      <c r="D1724" s="21"/>
      <c r="E1724" s="21"/>
      <c r="F1724" s="20"/>
      <c r="G1724" s="22"/>
      <c r="I1724" s="51" t="str">
        <f>IFERROR(IF(VLOOKUP(E1724,extracto!C:C,1,FALSE)=E1724,"pagado","no pagado"),"no pagado")</f>
        <v>no pagado</v>
      </c>
      <c r="J1724" s="52" t="str">
        <f t="shared" ca="1" si="666"/>
        <v>fuera de fecha</v>
      </c>
      <c r="K1724" s="51" t="str">
        <f t="shared" ca="1" si="667"/>
        <v>excluir</v>
      </c>
      <c r="L1724" s="51" t="str">
        <f t="shared" ca="1" si="668"/>
        <v>no semana</v>
      </c>
      <c r="M1724" s="51" t="str">
        <f>IFERROR(VLOOKUP(E1724,'cheques a conf'!A:D,4,FALSE),"no clearing")</f>
        <v>no clearing</v>
      </c>
      <c r="N1724" s="51">
        <f t="shared" si="669"/>
        <v>1</v>
      </c>
      <c r="O1724" s="53">
        <f t="shared" si="670"/>
        <v>1</v>
      </c>
      <c r="P1724" s="53">
        <f t="shared" si="671"/>
        <v>1900</v>
      </c>
    </row>
    <row r="1725" spans="1:16" x14ac:dyDescent="0.25">
      <c r="A1725" s="21"/>
      <c r="B1725" s="22"/>
      <c r="C1725" s="20"/>
      <c r="D1725" s="21"/>
      <c r="E1725" s="21"/>
      <c r="F1725" s="20"/>
      <c r="G1725" s="22"/>
      <c r="I1725" s="51" t="str">
        <f>IFERROR(IF(VLOOKUP(E1725,extracto!C:C,1,FALSE)=E1725,"pagado","no pagado"),"no pagado")</f>
        <v>no pagado</v>
      </c>
      <c r="J1725" s="52" t="str">
        <f t="shared" ca="1" si="666"/>
        <v>fuera de fecha</v>
      </c>
      <c r="K1725" s="51" t="str">
        <f t="shared" ca="1" si="667"/>
        <v>excluir</v>
      </c>
      <c r="L1725" s="51" t="str">
        <f t="shared" ca="1" si="668"/>
        <v>no semana</v>
      </c>
      <c r="M1725" s="51" t="str">
        <f>IFERROR(VLOOKUP(E1725,'cheques a conf'!A:D,4,FALSE),"no clearing")</f>
        <v>no clearing</v>
      </c>
      <c r="N1725" s="51">
        <f t="shared" si="669"/>
        <v>1</v>
      </c>
      <c r="O1725" s="53">
        <f t="shared" si="670"/>
        <v>1</v>
      </c>
      <c r="P1725" s="53">
        <f t="shared" si="671"/>
        <v>1900</v>
      </c>
    </row>
    <row r="1726" spans="1:16" x14ac:dyDescent="0.25">
      <c r="A1726" s="21"/>
      <c r="B1726" s="22"/>
      <c r="C1726" s="20"/>
      <c r="D1726" s="21"/>
      <c r="E1726" s="21"/>
      <c r="F1726" s="20"/>
      <c r="G1726" s="22"/>
      <c r="I1726" s="51" t="str">
        <f>IFERROR(IF(VLOOKUP(E1726,extracto!C:C,1,FALSE)=E1726,"pagado","no pagado"),"no pagado")</f>
        <v>no pagado</v>
      </c>
      <c r="J1726" s="52" t="str">
        <f t="shared" ref="J1726:J1734" ca="1" si="672">IF(I1726="pagado","pagado",IF(G1726&lt;$V$1-30,"fuera de fecha","en periodo de pago"))</f>
        <v>fuera de fecha</v>
      </c>
      <c r="K1726" s="51" t="str">
        <f t="shared" ref="K1726:K1734" ca="1" si="673">+IF(B1726&gt;$V$1,"excluir",IF(J1726="en periodo de pago",IF($V$1&gt;G1726,"a pagar","proximo a vencer"),"excluir"))</f>
        <v>excluir</v>
      </c>
      <c r="L1726" s="51" t="str">
        <f t="shared" ref="L1726:L1734" ca="1" si="674">+IF(K1726="proximo a vencer",IF($V$1+5&gt;G1726,"para la semana","no semana"),"no semana")</f>
        <v>no semana</v>
      </c>
      <c r="M1726" s="51" t="str">
        <f>IFERROR(VLOOKUP(E1726,'cheques a conf'!A:D,4,FALSE),"no clearing")</f>
        <v>no clearing</v>
      </c>
      <c r="N1726" s="51">
        <f t="shared" ref="N1726:N1734" si="675">+WEEKNUM(G1726,2)</f>
        <v>1</v>
      </c>
      <c r="O1726" s="53">
        <f t="shared" ref="O1726:O1734" si="676">+MONTH(G1726)</f>
        <v>1</v>
      </c>
      <c r="P1726" s="53">
        <f t="shared" ref="P1726:P1734" si="677">+YEAR(G1726)</f>
        <v>1900</v>
      </c>
    </row>
    <row r="1727" spans="1:16" x14ac:dyDescent="0.25">
      <c r="A1727" s="21"/>
      <c r="B1727" s="22"/>
      <c r="C1727" s="20"/>
      <c r="D1727" s="21"/>
      <c r="E1727" s="21"/>
      <c r="F1727" s="20"/>
      <c r="G1727" s="22"/>
      <c r="I1727" s="51" t="str">
        <f>IFERROR(IF(VLOOKUP(E1727,extracto!C:C,1,FALSE)=E1727,"pagado","no pagado"),"no pagado")</f>
        <v>no pagado</v>
      </c>
      <c r="J1727" s="52" t="str">
        <f t="shared" ca="1" si="672"/>
        <v>fuera de fecha</v>
      </c>
      <c r="K1727" s="51" t="str">
        <f t="shared" ca="1" si="673"/>
        <v>excluir</v>
      </c>
      <c r="L1727" s="51" t="str">
        <f t="shared" ca="1" si="674"/>
        <v>no semana</v>
      </c>
      <c r="M1727" s="51" t="str">
        <f>IFERROR(VLOOKUP(E1727,'cheques a conf'!A:D,4,FALSE),"no clearing")</f>
        <v>no clearing</v>
      </c>
      <c r="N1727" s="51">
        <f t="shared" si="675"/>
        <v>1</v>
      </c>
      <c r="O1727" s="53">
        <f t="shared" si="676"/>
        <v>1</v>
      </c>
      <c r="P1727" s="53">
        <f t="shared" si="677"/>
        <v>1900</v>
      </c>
    </row>
    <row r="1728" spans="1:16" x14ac:dyDescent="0.25">
      <c r="A1728" s="21"/>
      <c r="B1728" s="22"/>
      <c r="C1728" s="20"/>
      <c r="D1728" s="21"/>
      <c r="E1728" s="21"/>
      <c r="F1728" s="20"/>
      <c r="G1728" s="22"/>
      <c r="I1728" s="51" t="str">
        <f>IFERROR(IF(VLOOKUP(E1728,extracto!C:C,1,FALSE)=E1728,"pagado","no pagado"),"no pagado")</f>
        <v>no pagado</v>
      </c>
      <c r="J1728" s="52" t="str">
        <f t="shared" ca="1" si="672"/>
        <v>fuera de fecha</v>
      </c>
      <c r="K1728" s="51" t="str">
        <f t="shared" ca="1" si="673"/>
        <v>excluir</v>
      </c>
      <c r="L1728" s="51" t="str">
        <f t="shared" ca="1" si="674"/>
        <v>no semana</v>
      </c>
      <c r="M1728" s="51" t="str">
        <f>IFERROR(VLOOKUP(E1728,'cheques a conf'!A:D,4,FALSE),"no clearing")</f>
        <v>no clearing</v>
      </c>
      <c r="N1728" s="51">
        <f t="shared" si="675"/>
        <v>1</v>
      </c>
      <c r="O1728" s="53">
        <f t="shared" si="676"/>
        <v>1</v>
      </c>
      <c r="P1728" s="53">
        <f t="shared" si="677"/>
        <v>1900</v>
      </c>
    </row>
    <row r="1729" spans="1:16" x14ac:dyDescent="0.25">
      <c r="A1729" s="21"/>
      <c r="B1729" s="22"/>
      <c r="C1729" s="20"/>
      <c r="D1729" s="21"/>
      <c r="E1729" s="21"/>
      <c r="F1729" s="20"/>
      <c r="G1729" s="22"/>
      <c r="I1729" s="51" t="str">
        <f>IFERROR(IF(VLOOKUP(E1729,extracto!C:C,1,FALSE)=E1729,"pagado","no pagado"),"no pagado")</f>
        <v>no pagado</v>
      </c>
      <c r="J1729" s="52" t="str">
        <f t="shared" ca="1" si="672"/>
        <v>fuera de fecha</v>
      </c>
      <c r="K1729" s="51" t="str">
        <f t="shared" ca="1" si="673"/>
        <v>excluir</v>
      </c>
      <c r="L1729" s="51" t="str">
        <f t="shared" ca="1" si="674"/>
        <v>no semana</v>
      </c>
      <c r="M1729" s="51" t="str">
        <f>IFERROR(VLOOKUP(E1729,'cheques a conf'!A:D,4,FALSE),"no clearing")</f>
        <v>no clearing</v>
      </c>
      <c r="N1729" s="51">
        <f t="shared" si="675"/>
        <v>1</v>
      </c>
      <c r="O1729" s="53">
        <f t="shared" si="676"/>
        <v>1</v>
      </c>
      <c r="P1729" s="53">
        <f t="shared" si="677"/>
        <v>1900</v>
      </c>
    </row>
    <row r="1730" spans="1:16" x14ac:dyDescent="0.25">
      <c r="A1730" s="21"/>
      <c r="B1730" s="22"/>
      <c r="C1730" s="20"/>
      <c r="D1730" s="21"/>
      <c r="E1730" s="21"/>
      <c r="F1730" s="20"/>
      <c r="G1730" s="22"/>
      <c r="I1730" s="51" t="str">
        <f>IFERROR(IF(VLOOKUP(E1730,extracto!C:C,1,FALSE)=E1730,"pagado","no pagado"),"no pagado")</f>
        <v>no pagado</v>
      </c>
      <c r="J1730" s="52" t="str">
        <f t="shared" ca="1" si="672"/>
        <v>fuera de fecha</v>
      </c>
      <c r="K1730" s="51" t="str">
        <f t="shared" ca="1" si="673"/>
        <v>excluir</v>
      </c>
      <c r="L1730" s="51" t="str">
        <f t="shared" ca="1" si="674"/>
        <v>no semana</v>
      </c>
      <c r="M1730" s="51" t="str">
        <f>IFERROR(VLOOKUP(E1730,'cheques a conf'!A:D,4,FALSE),"no clearing")</f>
        <v>no clearing</v>
      </c>
      <c r="N1730" s="51">
        <f t="shared" si="675"/>
        <v>1</v>
      </c>
      <c r="O1730" s="53">
        <f t="shared" si="676"/>
        <v>1</v>
      </c>
      <c r="P1730" s="53">
        <f t="shared" si="677"/>
        <v>1900</v>
      </c>
    </row>
    <row r="1731" spans="1:16" x14ac:dyDescent="0.25">
      <c r="A1731" s="21"/>
      <c r="B1731" s="22"/>
      <c r="C1731" s="20"/>
      <c r="D1731" s="21"/>
      <c r="E1731" s="21"/>
      <c r="F1731" s="20"/>
      <c r="G1731" s="22"/>
      <c r="I1731" s="51" t="str">
        <f>IFERROR(IF(VLOOKUP(E1731,extracto!C:C,1,FALSE)=E1731,"pagado","no pagado"),"no pagado")</f>
        <v>no pagado</v>
      </c>
      <c r="J1731" s="52" t="str">
        <f t="shared" ca="1" si="672"/>
        <v>fuera de fecha</v>
      </c>
      <c r="K1731" s="51" t="str">
        <f t="shared" ca="1" si="673"/>
        <v>excluir</v>
      </c>
      <c r="L1731" s="51" t="str">
        <f t="shared" ca="1" si="674"/>
        <v>no semana</v>
      </c>
      <c r="M1731" s="51" t="str">
        <f>IFERROR(VLOOKUP(E1731,'cheques a conf'!A:D,4,FALSE),"no clearing")</f>
        <v>no clearing</v>
      </c>
      <c r="N1731" s="51">
        <f t="shared" si="675"/>
        <v>1</v>
      </c>
      <c r="O1731" s="53">
        <f t="shared" si="676"/>
        <v>1</v>
      </c>
      <c r="P1731" s="53">
        <f t="shared" si="677"/>
        <v>1900</v>
      </c>
    </row>
    <row r="1732" spans="1:16" x14ac:dyDescent="0.25">
      <c r="A1732" s="21"/>
      <c r="B1732" s="22"/>
      <c r="C1732" s="20"/>
      <c r="D1732" s="21"/>
      <c r="E1732" s="21"/>
      <c r="F1732" s="20"/>
      <c r="G1732" s="22"/>
      <c r="I1732" s="51" t="str">
        <f>IFERROR(IF(VLOOKUP(E1732,extracto!C:C,1,FALSE)=E1732,"pagado","no pagado"),"no pagado")</f>
        <v>no pagado</v>
      </c>
      <c r="J1732" s="52" t="str">
        <f t="shared" ca="1" si="672"/>
        <v>fuera de fecha</v>
      </c>
      <c r="K1732" s="51" t="str">
        <f t="shared" ca="1" si="673"/>
        <v>excluir</v>
      </c>
      <c r="L1732" s="51" t="str">
        <f t="shared" ca="1" si="674"/>
        <v>no semana</v>
      </c>
      <c r="M1732" s="51" t="str">
        <f>IFERROR(VLOOKUP(E1732,'cheques a conf'!A:D,4,FALSE),"no clearing")</f>
        <v>no clearing</v>
      </c>
      <c r="N1732" s="51">
        <f t="shared" si="675"/>
        <v>1</v>
      </c>
      <c r="O1732" s="53">
        <f t="shared" si="676"/>
        <v>1</v>
      </c>
      <c r="P1732" s="53">
        <f t="shared" si="677"/>
        <v>1900</v>
      </c>
    </row>
    <row r="1733" spans="1:16" x14ac:dyDescent="0.25">
      <c r="A1733" s="21"/>
      <c r="B1733" s="22"/>
      <c r="C1733" s="20"/>
      <c r="D1733" s="21"/>
      <c r="E1733" s="21"/>
      <c r="F1733" s="20"/>
      <c r="G1733" s="22"/>
      <c r="I1733" s="51" t="str">
        <f>IFERROR(IF(VLOOKUP(E1733,extracto!C:C,1,FALSE)=E1733,"pagado","no pagado"),"no pagado")</f>
        <v>no pagado</v>
      </c>
      <c r="J1733" s="52" t="str">
        <f t="shared" ca="1" si="672"/>
        <v>fuera de fecha</v>
      </c>
      <c r="K1733" s="51" t="str">
        <f t="shared" ca="1" si="673"/>
        <v>excluir</v>
      </c>
      <c r="L1733" s="51" t="str">
        <f t="shared" ca="1" si="674"/>
        <v>no semana</v>
      </c>
      <c r="M1733" s="51" t="str">
        <f>IFERROR(VLOOKUP(E1733,'cheques a conf'!A:D,4,FALSE),"no clearing")</f>
        <v>no clearing</v>
      </c>
      <c r="N1733" s="51">
        <f t="shared" si="675"/>
        <v>1</v>
      </c>
      <c r="O1733" s="53">
        <f t="shared" si="676"/>
        <v>1</v>
      </c>
      <c r="P1733" s="53">
        <f t="shared" si="677"/>
        <v>1900</v>
      </c>
    </row>
    <row r="1734" spans="1:16" x14ac:dyDescent="0.25">
      <c r="A1734" s="21"/>
      <c r="B1734" s="22"/>
      <c r="C1734" s="20"/>
      <c r="D1734" s="21"/>
      <c r="E1734" s="21"/>
      <c r="F1734" s="20"/>
      <c r="G1734" s="22"/>
      <c r="I1734" s="51" t="str">
        <f>IFERROR(IF(VLOOKUP(E1734,extracto!C:C,1,FALSE)=E1734,"pagado","no pagado"),"no pagado")</f>
        <v>no pagado</v>
      </c>
      <c r="J1734" s="52" t="str">
        <f t="shared" ca="1" si="672"/>
        <v>fuera de fecha</v>
      </c>
      <c r="K1734" s="51" t="str">
        <f t="shared" ca="1" si="673"/>
        <v>excluir</v>
      </c>
      <c r="L1734" s="51" t="str">
        <f t="shared" ca="1" si="674"/>
        <v>no semana</v>
      </c>
      <c r="M1734" s="51" t="str">
        <f>IFERROR(VLOOKUP(E1734,'cheques a conf'!A:D,4,FALSE),"no clearing")</f>
        <v>no clearing</v>
      </c>
      <c r="N1734" s="51">
        <f t="shared" si="675"/>
        <v>1</v>
      </c>
      <c r="O1734" s="53">
        <f t="shared" si="676"/>
        <v>1</v>
      </c>
      <c r="P1734" s="53">
        <f t="shared" si="677"/>
        <v>1900</v>
      </c>
    </row>
    <row r="1735" spans="1:16" x14ac:dyDescent="0.25">
      <c r="A1735" s="21"/>
      <c r="B1735" s="22"/>
      <c r="C1735" s="20"/>
      <c r="D1735" s="21"/>
      <c r="E1735" s="21"/>
      <c r="F1735" s="20"/>
      <c r="G1735" s="22"/>
      <c r="I1735" s="51" t="str">
        <f>IFERROR(IF(VLOOKUP(E1735,extracto!C:C,1,FALSE)=E1735,"pagado","no pagado"),"no pagado")</f>
        <v>no pagado</v>
      </c>
      <c r="J1735" s="52" t="str">
        <f t="shared" ref="J1735" ca="1" si="678">IF(I1735="pagado","pagado",IF(G1735&lt;$V$1-30,"fuera de fecha","en periodo de pago"))</f>
        <v>fuera de fecha</v>
      </c>
      <c r="K1735" s="51" t="str">
        <f t="shared" ref="K1735" ca="1" si="679">+IF(B1735&gt;$V$1,"excluir",IF(J1735="en periodo de pago",IF($V$1&gt;G1735,"a pagar","proximo a vencer"),"excluir"))</f>
        <v>excluir</v>
      </c>
      <c r="L1735" s="51" t="str">
        <f t="shared" ref="L1735" ca="1" si="680">+IF(K1735="proximo a vencer",IF($V$1+5&gt;G1735,"para la semana","no semana"),"no semana")</f>
        <v>no semana</v>
      </c>
      <c r="M1735" s="51" t="str">
        <f>IFERROR(VLOOKUP(E1735,'cheques a conf'!A:D,4,FALSE),"no clearing")</f>
        <v>no clearing</v>
      </c>
      <c r="N1735" s="51">
        <f t="shared" ref="N1735" si="681">+WEEKNUM(G1735,2)</f>
        <v>1</v>
      </c>
      <c r="O1735" s="53">
        <f t="shared" ref="O1735" si="682">+MONTH(G1735)</f>
        <v>1</v>
      </c>
      <c r="P1735" s="53">
        <f t="shared" ref="P1735" si="683">+YEAR(G1735)</f>
        <v>1900</v>
      </c>
    </row>
    <row r="1736" spans="1:16" x14ac:dyDescent="0.25">
      <c r="A1736" s="21"/>
      <c r="B1736" s="22"/>
      <c r="C1736" s="20"/>
      <c r="D1736" s="21"/>
      <c r="E1736" s="21"/>
      <c r="F1736" s="20"/>
      <c r="G1736" s="22"/>
      <c r="I1736" s="51" t="str">
        <f>IFERROR(IF(VLOOKUP(E1736,extracto!C:C,1,FALSE)=E1736,"pagado","no pagado"),"no pagado")</f>
        <v>no pagado</v>
      </c>
      <c r="J1736" s="52" t="str">
        <f t="shared" ref="J1736:J1738" ca="1" si="684">IF(I1736="pagado","pagado",IF(G1736&lt;$V$1-30,"fuera de fecha","en periodo de pago"))</f>
        <v>fuera de fecha</v>
      </c>
      <c r="K1736" s="51" t="str">
        <f t="shared" ref="K1736:K1738" ca="1" si="685">+IF(B1736&gt;$V$1,"excluir",IF(J1736="en periodo de pago",IF($V$1&gt;G1736,"a pagar","proximo a vencer"),"excluir"))</f>
        <v>excluir</v>
      </c>
      <c r="L1736" s="51" t="str">
        <f t="shared" ref="L1736:L1738" ca="1" si="686">+IF(K1736="proximo a vencer",IF($V$1+5&gt;G1736,"para la semana","no semana"),"no semana")</f>
        <v>no semana</v>
      </c>
      <c r="M1736" s="51" t="str">
        <f>IFERROR(VLOOKUP(E1736,'cheques a conf'!A:D,4,FALSE),"no clearing")</f>
        <v>no clearing</v>
      </c>
      <c r="N1736" s="51">
        <f t="shared" ref="N1736:N1738" si="687">+WEEKNUM(G1736,2)</f>
        <v>1</v>
      </c>
      <c r="O1736" s="53">
        <f t="shared" ref="O1736:O1738" si="688">+MONTH(G1736)</f>
        <v>1</v>
      </c>
      <c r="P1736" s="53">
        <f t="shared" ref="P1736:P1738" si="689">+YEAR(G1736)</f>
        <v>1900</v>
      </c>
    </row>
    <row r="1737" spans="1:16" x14ac:dyDescent="0.25">
      <c r="A1737" s="21"/>
      <c r="B1737" s="22"/>
      <c r="C1737" s="20"/>
      <c r="D1737" s="21"/>
      <c r="E1737" s="21"/>
      <c r="F1737" s="20"/>
      <c r="G1737" s="22"/>
      <c r="I1737" s="51" t="str">
        <f>IFERROR(IF(VLOOKUP(E1737,extracto!C:C,1,FALSE)=E1737,"pagado","no pagado"),"no pagado")</f>
        <v>no pagado</v>
      </c>
      <c r="J1737" s="52" t="str">
        <f t="shared" ca="1" si="684"/>
        <v>fuera de fecha</v>
      </c>
      <c r="K1737" s="51" t="str">
        <f t="shared" ca="1" si="685"/>
        <v>excluir</v>
      </c>
      <c r="L1737" s="51" t="str">
        <f t="shared" ca="1" si="686"/>
        <v>no semana</v>
      </c>
      <c r="M1737" s="51" t="str">
        <f>IFERROR(VLOOKUP(E1737,'cheques a conf'!A:D,4,FALSE),"no clearing")</f>
        <v>no clearing</v>
      </c>
      <c r="N1737" s="51">
        <f t="shared" si="687"/>
        <v>1</v>
      </c>
      <c r="O1737" s="53">
        <f t="shared" si="688"/>
        <v>1</v>
      </c>
      <c r="P1737" s="53">
        <f t="shared" si="689"/>
        <v>1900</v>
      </c>
    </row>
    <row r="1738" spans="1:16" x14ac:dyDescent="0.25">
      <c r="A1738" s="21"/>
      <c r="B1738" s="22"/>
      <c r="C1738" s="20"/>
      <c r="D1738" s="21"/>
      <c r="E1738" s="21"/>
      <c r="F1738" s="20"/>
      <c r="G1738" s="22"/>
      <c r="I1738" s="51" t="str">
        <f>IFERROR(IF(VLOOKUP(E1738,extracto!C:C,1,FALSE)=E1738,"pagado","no pagado"),"no pagado")</f>
        <v>no pagado</v>
      </c>
      <c r="J1738" s="52" t="str">
        <f t="shared" ca="1" si="684"/>
        <v>fuera de fecha</v>
      </c>
      <c r="K1738" s="51" t="str">
        <f t="shared" ca="1" si="685"/>
        <v>excluir</v>
      </c>
      <c r="L1738" s="51" t="str">
        <f t="shared" ca="1" si="686"/>
        <v>no semana</v>
      </c>
      <c r="M1738" s="51" t="str">
        <f>IFERROR(VLOOKUP(E1738,'cheques a conf'!A:D,4,FALSE),"no clearing")</f>
        <v>no clearing</v>
      </c>
      <c r="N1738" s="51">
        <f t="shared" si="687"/>
        <v>1</v>
      </c>
      <c r="O1738" s="53">
        <f t="shared" si="688"/>
        <v>1</v>
      </c>
      <c r="P1738" s="53">
        <f t="shared" si="689"/>
        <v>1900</v>
      </c>
    </row>
    <row r="1739" spans="1:16" x14ac:dyDescent="0.25">
      <c r="A1739" s="21"/>
      <c r="B1739" s="22"/>
      <c r="C1739" s="20"/>
      <c r="D1739" s="21"/>
      <c r="E1739" s="21"/>
      <c r="F1739" s="20"/>
      <c r="G1739" s="22"/>
      <c r="I1739" s="51" t="str">
        <f>IFERROR(IF(VLOOKUP(E1739,extracto!C:C,1,FALSE)=E1739,"pagado","no pagado"),"no pagado")</f>
        <v>no pagado</v>
      </c>
      <c r="J1739" s="52" t="str">
        <f t="shared" ref="J1739:J1753" ca="1" si="690">IF(I1739="pagado","pagado",IF(G1739&lt;$V$1-30,"fuera de fecha","en periodo de pago"))</f>
        <v>fuera de fecha</v>
      </c>
      <c r="K1739" s="51" t="str">
        <f t="shared" ref="K1739:K1753" ca="1" si="691">+IF(B1739&gt;$V$1,"excluir",IF(J1739="en periodo de pago",IF($V$1&gt;G1739,"a pagar","proximo a vencer"),"excluir"))</f>
        <v>excluir</v>
      </c>
      <c r="L1739" s="51" t="str">
        <f t="shared" ref="L1739:L1753" ca="1" si="692">+IF(K1739="proximo a vencer",IF($V$1+5&gt;G1739,"para la semana","no semana"),"no semana")</f>
        <v>no semana</v>
      </c>
      <c r="M1739" s="51" t="str">
        <f>IFERROR(VLOOKUP(E1739,'cheques a conf'!A:D,4,FALSE),"no clearing")</f>
        <v>no clearing</v>
      </c>
      <c r="N1739" s="51">
        <f t="shared" ref="N1739:N1753" si="693">+WEEKNUM(G1739,2)</f>
        <v>1</v>
      </c>
      <c r="O1739" s="53">
        <f t="shared" ref="O1739:O1753" si="694">+MONTH(G1739)</f>
        <v>1</v>
      </c>
      <c r="P1739" s="53">
        <f t="shared" ref="P1739:P1753" si="695">+YEAR(G1739)</f>
        <v>1900</v>
      </c>
    </row>
    <row r="1740" spans="1:16" x14ac:dyDescent="0.25">
      <c r="A1740" s="21"/>
      <c r="B1740" s="22"/>
      <c r="C1740" s="20"/>
      <c r="D1740" s="21"/>
      <c r="E1740" s="21"/>
      <c r="F1740" s="20"/>
      <c r="G1740" s="22"/>
      <c r="I1740" s="51" t="str">
        <f>IFERROR(IF(VLOOKUP(E1740,extracto!C:C,1,FALSE)=E1740,"pagado","no pagado"),"no pagado")</f>
        <v>no pagado</v>
      </c>
      <c r="J1740" s="52" t="str">
        <f t="shared" ca="1" si="690"/>
        <v>fuera de fecha</v>
      </c>
      <c r="K1740" s="51" t="str">
        <f t="shared" ca="1" si="691"/>
        <v>excluir</v>
      </c>
      <c r="L1740" s="51" t="str">
        <f t="shared" ca="1" si="692"/>
        <v>no semana</v>
      </c>
      <c r="M1740" s="51" t="str">
        <f>IFERROR(VLOOKUP(E1740,'cheques a conf'!A:D,4,FALSE),"no clearing")</f>
        <v>no clearing</v>
      </c>
      <c r="N1740" s="51">
        <f t="shared" si="693"/>
        <v>1</v>
      </c>
      <c r="O1740" s="53">
        <f t="shared" si="694"/>
        <v>1</v>
      </c>
      <c r="P1740" s="53">
        <f t="shared" si="695"/>
        <v>1900</v>
      </c>
    </row>
    <row r="1741" spans="1:16" x14ac:dyDescent="0.25">
      <c r="A1741" s="21"/>
      <c r="B1741" s="22"/>
      <c r="C1741" s="20"/>
      <c r="D1741" s="21"/>
      <c r="E1741" s="21"/>
      <c r="F1741" s="20"/>
      <c r="G1741" s="22"/>
      <c r="I1741" s="51" t="str">
        <f>IFERROR(IF(VLOOKUP(E1741,extracto!C:C,1,FALSE)=E1741,"pagado","no pagado"),"no pagado")</f>
        <v>no pagado</v>
      </c>
      <c r="J1741" s="52" t="str">
        <f t="shared" ca="1" si="690"/>
        <v>fuera de fecha</v>
      </c>
      <c r="K1741" s="51" t="str">
        <f t="shared" ca="1" si="691"/>
        <v>excluir</v>
      </c>
      <c r="L1741" s="51" t="str">
        <f t="shared" ca="1" si="692"/>
        <v>no semana</v>
      </c>
      <c r="M1741" s="51" t="str">
        <f>IFERROR(VLOOKUP(E1741,'cheques a conf'!A:D,4,FALSE),"no clearing")</f>
        <v>no clearing</v>
      </c>
      <c r="N1741" s="51">
        <f t="shared" si="693"/>
        <v>1</v>
      </c>
      <c r="O1741" s="53">
        <f t="shared" si="694"/>
        <v>1</v>
      </c>
      <c r="P1741" s="53">
        <f t="shared" si="695"/>
        <v>1900</v>
      </c>
    </row>
    <row r="1742" spans="1:16" x14ac:dyDescent="0.25">
      <c r="A1742" s="21"/>
      <c r="B1742" s="22"/>
      <c r="C1742" s="20"/>
      <c r="D1742" s="21"/>
      <c r="E1742" s="21"/>
      <c r="F1742" s="20"/>
      <c r="G1742" s="22"/>
      <c r="I1742" s="51" t="str">
        <f>IFERROR(IF(VLOOKUP(E1742,extracto!C:C,1,FALSE)=E1742,"pagado","no pagado"),"no pagado")</f>
        <v>no pagado</v>
      </c>
      <c r="J1742" s="52" t="str">
        <f t="shared" ca="1" si="690"/>
        <v>fuera de fecha</v>
      </c>
      <c r="K1742" s="51" t="str">
        <f t="shared" ca="1" si="691"/>
        <v>excluir</v>
      </c>
      <c r="L1742" s="51" t="str">
        <f t="shared" ca="1" si="692"/>
        <v>no semana</v>
      </c>
      <c r="M1742" s="51" t="str">
        <f>IFERROR(VLOOKUP(E1742,'cheques a conf'!A:D,4,FALSE),"no clearing")</f>
        <v>no clearing</v>
      </c>
      <c r="N1742" s="51">
        <f t="shared" si="693"/>
        <v>1</v>
      </c>
      <c r="O1742" s="53">
        <f t="shared" si="694"/>
        <v>1</v>
      </c>
      <c r="P1742" s="53">
        <f t="shared" si="695"/>
        <v>1900</v>
      </c>
    </row>
    <row r="1743" spans="1:16" x14ac:dyDescent="0.25">
      <c r="A1743" s="21"/>
      <c r="B1743" s="22"/>
      <c r="C1743" s="20"/>
      <c r="D1743" s="21"/>
      <c r="E1743" s="21"/>
      <c r="F1743" s="20"/>
      <c r="G1743" s="22"/>
      <c r="I1743" s="51" t="str">
        <f>IFERROR(IF(VLOOKUP(E1743,extracto!C:C,1,FALSE)=E1743,"pagado","no pagado"),"no pagado")</f>
        <v>no pagado</v>
      </c>
      <c r="J1743" s="52" t="str">
        <f t="shared" ca="1" si="690"/>
        <v>fuera de fecha</v>
      </c>
      <c r="K1743" s="51" t="str">
        <f t="shared" ca="1" si="691"/>
        <v>excluir</v>
      </c>
      <c r="L1743" s="51" t="str">
        <f t="shared" ca="1" si="692"/>
        <v>no semana</v>
      </c>
      <c r="M1743" s="51" t="str">
        <f>IFERROR(VLOOKUP(E1743,'cheques a conf'!A:D,4,FALSE),"no clearing")</f>
        <v>no clearing</v>
      </c>
      <c r="N1743" s="51">
        <f t="shared" si="693"/>
        <v>1</v>
      </c>
      <c r="O1743" s="53">
        <f t="shared" si="694"/>
        <v>1</v>
      </c>
      <c r="P1743" s="53">
        <f t="shared" si="695"/>
        <v>1900</v>
      </c>
    </row>
    <row r="1744" spans="1:16" x14ac:dyDescent="0.25">
      <c r="A1744" s="21"/>
      <c r="B1744" s="22"/>
      <c r="C1744" s="20"/>
      <c r="D1744" s="21"/>
      <c r="E1744" s="21"/>
      <c r="F1744" s="20"/>
      <c r="G1744" s="22"/>
      <c r="I1744" s="51" t="str">
        <f>IFERROR(IF(VLOOKUP(E1744,extracto!C:C,1,FALSE)=E1744,"pagado","no pagado"),"no pagado")</f>
        <v>no pagado</v>
      </c>
      <c r="J1744" s="52" t="str">
        <f t="shared" ca="1" si="690"/>
        <v>fuera de fecha</v>
      </c>
      <c r="K1744" s="51" t="str">
        <f t="shared" ca="1" si="691"/>
        <v>excluir</v>
      </c>
      <c r="L1744" s="51" t="str">
        <f t="shared" ca="1" si="692"/>
        <v>no semana</v>
      </c>
      <c r="M1744" s="51" t="str">
        <f>IFERROR(VLOOKUP(E1744,'cheques a conf'!A:D,4,FALSE),"no clearing")</f>
        <v>no clearing</v>
      </c>
      <c r="N1744" s="51">
        <f t="shared" si="693"/>
        <v>1</v>
      </c>
      <c r="O1744" s="53">
        <f t="shared" si="694"/>
        <v>1</v>
      </c>
      <c r="P1744" s="53">
        <f t="shared" si="695"/>
        <v>1900</v>
      </c>
    </row>
    <row r="1745" spans="1:16" x14ac:dyDescent="0.25">
      <c r="A1745" s="21"/>
      <c r="B1745" s="22"/>
      <c r="C1745" s="20"/>
      <c r="D1745" s="21"/>
      <c r="E1745" s="21"/>
      <c r="F1745" s="20"/>
      <c r="G1745" s="22"/>
      <c r="I1745" s="51" t="str">
        <f>IFERROR(IF(VLOOKUP(E1745,extracto!C:C,1,FALSE)=E1745,"pagado","no pagado"),"no pagado")</f>
        <v>no pagado</v>
      </c>
      <c r="J1745" s="52" t="str">
        <f t="shared" ca="1" si="690"/>
        <v>fuera de fecha</v>
      </c>
      <c r="K1745" s="51" t="str">
        <f t="shared" ca="1" si="691"/>
        <v>excluir</v>
      </c>
      <c r="L1745" s="51" t="str">
        <f t="shared" ca="1" si="692"/>
        <v>no semana</v>
      </c>
      <c r="M1745" s="51" t="str">
        <f>IFERROR(VLOOKUP(E1745,'cheques a conf'!A:D,4,FALSE),"no clearing")</f>
        <v>no clearing</v>
      </c>
      <c r="N1745" s="51">
        <f t="shared" si="693"/>
        <v>1</v>
      </c>
      <c r="O1745" s="53">
        <f t="shared" si="694"/>
        <v>1</v>
      </c>
      <c r="P1745" s="53">
        <f t="shared" si="695"/>
        <v>1900</v>
      </c>
    </row>
    <row r="1746" spans="1:16" x14ac:dyDescent="0.25">
      <c r="A1746" s="21"/>
      <c r="B1746" s="22"/>
      <c r="C1746" s="20"/>
      <c r="D1746" s="21"/>
      <c r="E1746" s="21"/>
      <c r="F1746" s="20"/>
      <c r="G1746" s="22"/>
      <c r="I1746" s="51" t="str">
        <f>IFERROR(IF(VLOOKUP(E1746,extracto!C:C,1,FALSE)=E1746,"pagado","no pagado"),"no pagado")</f>
        <v>no pagado</v>
      </c>
      <c r="J1746" s="52" t="str">
        <f t="shared" ca="1" si="690"/>
        <v>fuera de fecha</v>
      </c>
      <c r="K1746" s="51" t="str">
        <f t="shared" ca="1" si="691"/>
        <v>excluir</v>
      </c>
      <c r="L1746" s="51" t="str">
        <f t="shared" ca="1" si="692"/>
        <v>no semana</v>
      </c>
      <c r="M1746" s="51" t="str">
        <f>IFERROR(VLOOKUP(E1746,'cheques a conf'!A:D,4,FALSE),"no clearing")</f>
        <v>no clearing</v>
      </c>
      <c r="N1746" s="51">
        <f t="shared" si="693"/>
        <v>1</v>
      </c>
      <c r="O1746" s="53">
        <f t="shared" si="694"/>
        <v>1</v>
      </c>
      <c r="P1746" s="53">
        <f t="shared" si="695"/>
        <v>1900</v>
      </c>
    </row>
    <row r="1747" spans="1:16" x14ac:dyDescent="0.25">
      <c r="A1747" s="21"/>
      <c r="B1747" s="22"/>
      <c r="C1747" s="20"/>
      <c r="D1747" s="21"/>
      <c r="E1747" s="21"/>
      <c r="F1747" s="20"/>
      <c r="G1747" s="22"/>
      <c r="I1747" s="51" t="str">
        <f>IFERROR(IF(VLOOKUP(E1747,extracto!C:C,1,FALSE)=E1747,"pagado","no pagado"),"no pagado")</f>
        <v>no pagado</v>
      </c>
      <c r="J1747" s="52" t="str">
        <f t="shared" ca="1" si="690"/>
        <v>fuera de fecha</v>
      </c>
      <c r="K1747" s="51" t="str">
        <f t="shared" ca="1" si="691"/>
        <v>excluir</v>
      </c>
      <c r="L1747" s="51" t="str">
        <f t="shared" ca="1" si="692"/>
        <v>no semana</v>
      </c>
      <c r="M1747" s="51" t="str">
        <f>IFERROR(VLOOKUP(E1747,'cheques a conf'!A:D,4,FALSE),"no clearing")</f>
        <v>no clearing</v>
      </c>
      <c r="N1747" s="51">
        <f t="shared" si="693"/>
        <v>1</v>
      </c>
      <c r="O1747" s="53">
        <f t="shared" si="694"/>
        <v>1</v>
      </c>
      <c r="P1747" s="53">
        <f t="shared" si="695"/>
        <v>1900</v>
      </c>
    </row>
    <row r="1748" spans="1:16" x14ac:dyDescent="0.25">
      <c r="A1748" s="21"/>
      <c r="B1748" s="22"/>
      <c r="C1748" s="20"/>
      <c r="D1748" s="21"/>
      <c r="E1748" s="21"/>
      <c r="F1748" s="20"/>
      <c r="G1748" s="22"/>
      <c r="I1748" s="51" t="str">
        <f>IFERROR(IF(VLOOKUP(E1748,extracto!C:C,1,FALSE)=E1748,"pagado","no pagado"),"no pagado")</f>
        <v>no pagado</v>
      </c>
      <c r="J1748" s="52" t="str">
        <f t="shared" ca="1" si="690"/>
        <v>fuera de fecha</v>
      </c>
      <c r="K1748" s="51" t="str">
        <f t="shared" ca="1" si="691"/>
        <v>excluir</v>
      </c>
      <c r="L1748" s="51" t="str">
        <f t="shared" ca="1" si="692"/>
        <v>no semana</v>
      </c>
      <c r="M1748" s="51" t="str">
        <f>IFERROR(VLOOKUP(E1748,'cheques a conf'!A:D,4,FALSE),"no clearing")</f>
        <v>no clearing</v>
      </c>
      <c r="N1748" s="51">
        <f t="shared" si="693"/>
        <v>1</v>
      </c>
      <c r="O1748" s="53">
        <f t="shared" si="694"/>
        <v>1</v>
      </c>
      <c r="P1748" s="53">
        <f t="shared" si="695"/>
        <v>1900</v>
      </c>
    </row>
    <row r="1749" spans="1:16" x14ac:dyDescent="0.25">
      <c r="A1749" s="21"/>
      <c r="B1749" s="22"/>
      <c r="C1749" s="20"/>
      <c r="D1749" s="21"/>
      <c r="E1749" s="21"/>
      <c r="F1749" s="20"/>
      <c r="G1749" s="22"/>
      <c r="I1749" s="51" t="str">
        <f>IFERROR(IF(VLOOKUP(E1749,extracto!C:C,1,FALSE)=E1749,"pagado","no pagado"),"no pagado")</f>
        <v>no pagado</v>
      </c>
      <c r="J1749" s="52" t="str">
        <f t="shared" ca="1" si="690"/>
        <v>fuera de fecha</v>
      </c>
      <c r="K1749" s="51" t="str">
        <f t="shared" ca="1" si="691"/>
        <v>excluir</v>
      </c>
      <c r="L1749" s="51" t="str">
        <f t="shared" ca="1" si="692"/>
        <v>no semana</v>
      </c>
      <c r="M1749" s="51" t="str">
        <f>IFERROR(VLOOKUP(E1749,'cheques a conf'!A:D,4,FALSE),"no clearing")</f>
        <v>no clearing</v>
      </c>
      <c r="N1749" s="51">
        <f t="shared" si="693"/>
        <v>1</v>
      </c>
      <c r="O1749" s="53">
        <f t="shared" si="694"/>
        <v>1</v>
      </c>
      <c r="P1749" s="53">
        <f t="shared" si="695"/>
        <v>1900</v>
      </c>
    </row>
    <row r="1750" spans="1:16" x14ac:dyDescent="0.25">
      <c r="A1750" s="21"/>
      <c r="B1750" s="22"/>
      <c r="C1750" s="20"/>
      <c r="D1750" s="21"/>
      <c r="E1750" s="21"/>
      <c r="F1750" s="20"/>
      <c r="G1750" s="22"/>
      <c r="I1750" s="51" t="str">
        <f>IFERROR(IF(VLOOKUP(E1750,extracto!C:C,1,FALSE)=E1750,"pagado","no pagado"),"no pagado")</f>
        <v>no pagado</v>
      </c>
      <c r="J1750" s="52" t="str">
        <f t="shared" ca="1" si="690"/>
        <v>fuera de fecha</v>
      </c>
      <c r="K1750" s="51" t="str">
        <f t="shared" ca="1" si="691"/>
        <v>excluir</v>
      </c>
      <c r="L1750" s="51" t="str">
        <f t="shared" ca="1" si="692"/>
        <v>no semana</v>
      </c>
      <c r="M1750" s="51" t="str">
        <f>IFERROR(VLOOKUP(E1750,'cheques a conf'!A:D,4,FALSE),"no clearing")</f>
        <v>no clearing</v>
      </c>
      <c r="N1750" s="51">
        <f t="shared" si="693"/>
        <v>1</v>
      </c>
      <c r="O1750" s="53">
        <f t="shared" si="694"/>
        <v>1</v>
      </c>
      <c r="P1750" s="53">
        <f t="shared" si="695"/>
        <v>1900</v>
      </c>
    </row>
    <row r="1751" spans="1:16" x14ac:dyDescent="0.25">
      <c r="A1751" s="21"/>
      <c r="B1751" s="22"/>
      <c r="C1751" s="20"/>
      <c r="D1751" s="21"/>
      <c r="E1751" s="21"/>
      <c r="F1751" s="20"/>
      <c r="G1751" s="22"/>
      <c r="I1751" s="51" t="str">
        <f>IFERROR(IF(VLOOKUP(E1751,extracto!C:C,1,FALSE)=E1751,"pagado","no pagado"),"no pagado")</f>
        <v>no pagado</v>
      </c>
      <c r="J1751" s="52" t="str">
        <f t="shared" ca="1" si="690"/>
        <v>fuera de fecha</v>
      </c>
      <c r="K1751" s="51" t="str">
        <f t="shared" ca="1" si="691"/>
        <v>excluir</v>
      </c>
      <c r="L1751" s="51" t="str">
        <f t="shared" ca="1" si="692"/>
        <v>no semana</v>
      </c>
      <c r="M1751" s="51" t="str">
        <f>IFERROR(VLOOKUP(E1751,'cheques a conf'!A:D,4,FALSE),"no clearing")</f>
        <v>no clearing</v>
      </c>
      <c r="N1751" s="51">
        <f t="shared" si="693"/>
        <v>1</v>
      </c>
      <c r="O1751" s="53">
        <f t="shared" si="694"/>
        <v>1</v>
      </c>
      <c r="P1751" s="53">
        <f t="shared" si="695"/>
        <v>1900</v>
      </c>
    </row>
    <row r="1752" spans="1:16" x14ac:dyDescent="0.25">
      <c r="A1752" s="21"/>
      <c r="B1752" s="22"/>
      <c r="C1752" s="20"/>
      <c r="D1752" s="21"/>
      <c r="E1752" s="21"/>
      <c r="F1752" s="20"/>
      <c r="G1752" s="22"/>
      <c r="I1752" s="51" t="str">
        <f>IFERROR(IF(VLOOKUP(E1752,extracto!C:C,1,FALSE)=E1752,"pagado","no pagado"),"no pagado")</f>
        <v>no pagado</v>
      </c>
      <c r="J1752" s="52" t="str">
        <f t="shared" ca="1" si="690"/>
        <v>fuera de fecha</v>
      </c>
      <c r="K1752" s="51" t="str">
        <f t="shared" ca="1" si="691"/>
        <v>excluir</v>
      </c>
      <c r="L1752" s="51" t="str">
        <f t="shared" ca="1" si="692"/>
        <v>no semana</v>
      </c>
      <c r="M1752" s="51" t="str">
        <f>IFERROR(VLOOKUP(E1752,'cheques a conf'!A:D,4,FALSE),"no clearing")</f>
        <v>no clearing</v>
      </c>
      <c r="N1752" s="51">
        <f t="shared" si="693"/>
        <v>1</v>
      </c>
      <c r="O1752" s="53">
        <f t="shared" si="694"/>
        <v>1</v>
      </c>
      <c r="P1752" s="53">
        <f t="shared" si="695"/>
        <v>1900</v>
      </c>
    </row>
    <row r="1753" spans="1:16" x14ac:dyDescent="0.25">
      <c r="A1753" s="21"/>
      <c r="B1753" s="22"/>
      <c r="C1753" s="20"/>
      <c r="D1753" s="21"/>
      <c r="E1753" s="21"/>
      <c r="F1753" s="20"/>
      <c r="G1753" s="22"/>
      <c r="I1753" s="51" t="str">
        <f>IFERROR(IF(VLOOKUP(E1753,extracto!C:C,1,FALSE)=E1753,"pagado","no pagado"),"no pagado")</f>
        <v>no pagado</v>
      </c>
      <c r="J1753" s="52" t="str">
        <f t="shared" ca="1" si="690"/>
        <v>fuera de fecha</v>
      </c>
      <c r="K1753" s="51" t="str">
        <f t="shared" ca="1" si="691"/>
        <v>excluir</v>
      </c>
      <c r="L1753" s="51" t="str">
        <f t="shared" ca="1" si="692"/>
        <v>no semana</v>
      </c>
      <c r="M1753" s="51" t="str">
        <f>IFERROR(VLOOKUP(E1753,'cheques a conf'!A:D,4,FALSE),"no clearing")</f>
        <v>no clearing</v>
      </c>
      <c r="N1753" s="51">
        <f t="shared" si="693"/>
        <v>1</v>
      </c>
      <c r="O1753" s="53">
        <f t="shared" si="694"/>
        <v>1</v>
      </c>
      <c r="P1753" s="53">
        <f t="shared" si="695"/>
        <v>1900</v>
      </c>
    </row>
  </sheetData>
  <autoFilter ref="A1:R1498" xr:uid="{00000000-0009-0000-0000-000002000000}"/>
  <dataValidations count="1">
    <dataValidation type="list" allowBlank="1" showInputMessage="1" showErrorMessage="1" sqref="U1" xr:uid="{00000000-0002-0000-0200-000000000000}">
      <formula1>"HOY,CIERRE"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720"/>
  <sheetViews>
    <sheetView topLeftCell="A1472" workbookViewId="0">
      <selection activeCell="B1493" sqref="B1493"/>
    </sheetView>
  </sheetViews>
  <sheetFormatPr baseColWidth="10" defaultRowHeight="15" x14ac:dyDescent="0.25"/>
  <cols>
    <col min="1" max="1" width="13.28515625" style="18" customWidth="1"/>
    <col min="2" max="2" width="11.42578125" style="23"/>
    <col min="5" max="5" width="15.7109375" style="4" bestFit="1" customWidth="1"/>
    <col min="6" max="6" width="30.140625" bestFit="1" customWidth="1"/>
    <col min="7" max="7" width="12.85546875" style="18" customWidth="1"/>
    <col min="12" max="12" width="15.7109375" bestFit="1" customWidth="1"/>
    <col min="13" max="18" width="16.140625" bestFit="1" customWidth="1"/>
    <col min="19" max="20" width="17.7109375" bestFit="1" customWidth="1"/>
    <col min="21" max="21" width="16.140625" bestFit="1" customWidth="1"/>
    <col min="22" max="24" width="11.7109375" bestFit="1" customWidth="1"/>
  </cols>
  <sheetData>
    <row r="1" spans="1:24" x14ac:dyDescent="0.25">
      <c r="A1" s="1" t="s">
        <v>14</v>
      </c>
      <c r="B1" s="23" t="s">
        <v>7</v>
      </c>
      <c r="C1" s="1" t="s">
        <v>8</v>
      </c>
      <c r="D1" s="1" t="s">
        <v>9</v>
      </c>
      <c r="E1" s="2" t="s">
        <v>10</v>
      </c>
      <c r="F1" s="1" t="s">
        <v>11</v>
      </c>
      <c r="G1" s="1" t="s">
        <v>15</v>
      </c>
      <c r="H1" s="32"/>
      <c r="I1" s="33" t="s">
        <v>51</v>
      </c>
      <c r="J1" s="33" t="s">
        <v>21</v>
      </c>
      <c r="K1" s="1"/>
      <c r="L1" s="1"/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</row>
    <row r="2" spans="1:24" x14ac:dyDescent="0.25">
      <c r="A2" t="s">
        <v>20</v>
      </c>
      <c r="B2" t="s">
        <v>67</v>
      </c>
      <c r="C2">
        <v>3111593</v>
      </c>
      <c r="D2">
        <v>52</v>
      </c>
      <c r="E2" s="4">
        <v>-253168934.72999999</v>
      </c>
      <c r="F2" t="s">
        <v>19</v>
      </c>
      <c r="G2">
        <v>2</v>
      </c>
      <c r="H2" s="32" t="str">
        <f ca="1">+IF(B2&gt;'sap nuevo'!$V$1,"cargar",IF(C2="","cargar","pagado"))</f>
        <v>cargar</v>
      </c>
      <c r="I2" s="32">
        <f t="shared" ref="I2:I5" si="0">+YEAR(B2)</f>
        <v>2025</v>
      </c>
      <c r="J2" s="32">
        <f t="shared" ref="J2:J5" si="1">+MONTH(B2)</f>
        <v>1</v>
      </c>
    </row>
    <row r="3" spans="1:24" x14ac:dyDescent="0.25">
      <c r="A3" t="s">
        <v>20</v>
      </c>
      <c r="B3" t="s">
        <v>67</v>
      </c>
      <c r="C3">
        <v>3111695</v>
      </c>
      <c r="D3">
        <v>52</v>
      </c>
      <c r="E3" s="4">
        <v>-9203500</v>
      </c>
      <c r="F3" t="s">
        <v>19</v>
      </c>
      <c r="G3">
        <v>2</v>
      </c>
      <c r="H3" s="32" t="str">
        <f ca="1">+IF(B3&gt;'sap nuevo'!$V$1,"cargar",IF(C3="","cargar","pagado"))</f>
        <v>cargar</v>
      </c>
      <c r="I3" s="32">
        <f t="shared" si="0"/>
        <v>2025</v>
      </c>
      <c r="J3" s="32">
        <f t="shared" si="1"/>
        <v>1</v>
      </c>
    </row>
    <row r="4" spans="1:24" x14ac:dyDescent="0.25">
      <c r="A4" t="s">
        <v>20</v>
      </c>
      <c r="B4" t="s">
        <v>67</v>
      </c>
      <c r="C4">
        <v>3111690</v>
      </c>
      <c r="D4">
        <v>52</v>
      </c>
      <c r="E4" s="4">
        <v>-8880365.5500000007</v>
      </c>
      <c r="F4" t="s">
        <v>19</v>
      </c>
      <c r="G4">
        <v>2</v>
      </c>
      <c r="H4" s="32" t="str">
        <f ca="1">+IF(B4&gt;'sap nuevo'!$V$1,"cargar",IF(C4="","cargar","pagado"))</f>
        <v>cargar</v>
      </c>
      <c r="I4" s="32">
        <f t="shared" si="0"/>
        <v>2025</v>
      </c>
      <c r="J4" s="32">
        <f t="shared" si="1"/>
        <v>1</v>
      </c>
    </row>
    <row r="5" spans="1:24" x14ac:dyDescent="0.25">
      <c r="A5" t="s">
        <v>20</v>
      </c>
      <c r="B5" t="s">
        <v>67</v>
      </c>
      <c r="C5">
        <v>3111689</v>
      </c>
      <c r="D5">
        <v>52</v>
      </c>
      <c r="E5" s="4">
        <v>-8807343.4000000004</v>
      </c>
      <c r="F5" t="s">
        <v>19</v>
      </c>
      <c r="G5">
        <v>2</v>
      </c>
      <c r="H5" s="32" t="str">
        <f ca="1">+IF(B5&gt;'sap nuevo'!$V$1,"cargar",IF(C5="","cargar","pagado"))</f>
        <v>cargar</v>
      </c>
      <c r="I5" s="32">
        <f t="shared" si="0"/>
        <v>2025</v>
      </c>
      <c r="J5" s="32">
        <f t="shared" si="1"/>
        <v>1</v>
      </c>
    </row>
    <row r="6" spans="1:24" x14ac:dyDescent="0.25">
      <c r="A6" t="s">
        <v>20</v>
      </c>
      <c r="B6" t="s">
        <v>67</v>
      </c>
      <c r="C6">
        <v>3111691</v>
      </c>
      <c r="D6">
        <v>52</v>
      </c>
      <c r="E6" s="4">
        <v>-8284097.7000000002</v>
      </c>
      <c r="F6" t="s">
        <v>19</v>
      </c>
      <c r="G6">
        <v>2</v>
      </c>
      <c r="H6" s="32" t="str">
        <f ca="1">+IF(B6&gt;'sap nuevo'!$V$1,"cargar",IF(C6="","cargar","pagado"))</f>
        <v>cargar</v>
      </c>
      <c r="I6" s="32">
        <f t="shared" ref="I6:I15" si="2">+YEAR(B6)</f>
        <v>2025</v>
      </c>
      <c r="J6" s="32">
        <f t="shared" ref="J6:J15" si="3">+MONTH(B6)</f>
        <v>1</v>
      </c>
    </row>
    <row r="7" spans="1:24" x14ac:dyDescent="0.25">
      <c r="A7" t="s">
        <v>20</v>
      </c>
      <c r="B7" t="s">
        <v>67</v>
      </c>
      <c r="C7">
        <v>3111685</v>
      </c>
      <c r="D7">
        <v>52</v>
      </c>
      <c r="E7" s="4">
        <v>-5622006.7999999998</v>
      </c>
      <c r="F7" t="s">
        <v>19</v>
      </c>
      <c r="G7">
        <v>2</v>
      </c>
      <c r="H7" s="32" t="str">
        <f ca="1">+IF(B7&gt;'sap nuevo'!$V$1,"cargar",IF(C7="","cargar","pagado"))</f>
        <v>cargar</v>
      </c>
      <c r="I7" s="32">
        <f t="shared" si="2"/>
        <v>2025</v>
      </c>
      <c r="J7" s="32">
        <f t="shared" si="3"/>
        <v>1</v>
      </c>
    </row>
    <row r="8" spans="1:24" x14ac:dyDescent="0.25">
      <c r="A8" t="s">
        <v>20</v>
      </c>
      <c r="B8" t="s">
        <v>67</v>
      </c>
      <c r="C8">
        <v>3111692</v>
      </c>
      <c r="D8">
        <v>52</v>
      </c>
      <c r="E8" s="4">
        <v>-4232237.92</v>
      </c>
      <c r="F8" t="s">
        <v>19</v>
      </c>
      <c r="G8">
        <v>2</v>
      </c>
      <c r="H8" s="32" t="str">
        <f ca="1">+IF(B8&gt;'sap nuevo'!$V$1,"cargar",IF(C8="","cargar","pagado"))</f>
        <v>cargar</v>
      </c>
      <c r="I8" s="32">
        <f t="shared" si="2"/>
        <v>2025</v>
      </c>
      <c r="J8" s="32">
        <f t="shared" si="3"/>
        <v>1</v>
      </c>
    </row>
    <row r="9" spans="1:24" x14ac:dyDescent="0.25">
      <c r="A9" t="s">
        <v>20</v>
      </c>
      <c r="B9" t="s">
        <v>67</v>
      </c>
      <c r="C9">
        <v>94231447</v>
      </c>
      <c r="D9">
        <v>52</v>
      </c>
      <c r="E9" s="4">
        <v>-300000</v>
      </c>
      <c r="F9" t="s">
        <v>19</v>
      </c>
      <c r="G9">
        <v>2</v>
      </c>
      <c r="H9" s="32" t="str">
        <f ca="1">+IF(B9&gt;'sap nuevo'!$V$1,"cargar",IF(C9="","cargar","pagado"))</f>
        <v>cargar</v>
      </c>
      <c r="I9" s="32">
        <f t="shared" si="2"/>
        <v>2025</v>
      </c>
      <c r="J9" s="32">
        <f t="shared" si="3"/>
        <v>1</v>
      </c>
    </row>
    <row r="10" spans="1:24" x14ac:dyDescent="0.25">
      <c r="A10" t="s">
        <v>20</v>
      </c>
      <c r="B10" t="s">
        <v>68</v>
      </c>
      <c r="C10">
        <v>3111687</v>
      </c>
      <c r="D10">
        <v>52</v>
      </c>
      <c r="E10" s="4">
        <v>-16439562.9</v>
      </c>
      <c r="F10" t="s">
        <v>19</v>
      </c>
      <c r="G10">
        <v>2</v>
      </c>
      <c r="H10" s="32" t="str">
        <f ca="1">+IF(B10&gt;'sap nuevo'!$V$1,"cargar",IF(C10="","cargar","pagado"))</f>
        <v>cargar</v>
      </c>
      <c r="I10" s="32">
        <f t="shared" si="2"/>
        <v>2025</v>
      </c>
      <c r="J10" s="32">
        <f t="shared" si="3"/>
        <v>1</v>
      </c>
    </row>
    <row r="11" spans="1:24" x14ac:dyDescent="0.25">
      <c r="A11" t="s">
        <v>20</v>
      </c>
      <c r="B11" t="s">
        <v>68</v>
      </c>
      <c r="C11">
        <v>3111686</v>
      </c>
      <c r="D11">
        <v>52</v>
      </c>
      <c r="E11" s="4">
        <v>-15000000</v>
      </c>
      <c r="F11" t="s">
        <v>19</v>
      </c>
      <c r="G11">
        <v>2</v>
      </c>
      <c r="H11" s="32" t="str">
        <f ca="1">+IF(B11&gt;'sap nuevo'!$V$1,"cargar",IF(C11="","cargar","pagado"))</f>
        <v>cargar</v>
      </c>
      <c r="I11" s="32">
        <f t="shared" si="2"/>
        <v>2025</v>
      </c>
      <c r="J11" s="32">
        <f t="shared" si="3"/>
        <v>1</v>
      </c>
    </row>
    <row r="12" spans="1:24" x14ac:dyDescent="0.25">
      <c r="A12" t="s">
        <v>20</v>
      </c>
      <c r="B12" t="s">
        <v>68</v>
      </c>
      <c r="C12">
        <v>3111697</v>
      </c>
      <c r="D12">
        <v>52</v>
      </c>
      <c r="E12" s="4">
        <v>-12656775</v>
      </c>
      <c r="F12" t="s">
        <v>19</v>
      </c>
      <c r="G12">
        <v>2</v>
      </c>
      <c r="H12" s="32" t="str">
        <f ca="1">+IF(B12&gt;'sap nuevo'!$V$1,"cargar",IF(C12="","cargar","pagado"))</f>
        <v>cargar</v>
      </c>
      <c r="I12" s="32">
        <f t="shared" si="2"/>
        <v>2025</v>
      </c>
      <c r="J12" s="32">
        <f t="shared" si="3"/>
        <v>1</v>
      </c>
    </row>
    <row r="13" spans="1:24" x14ac:dyDescent="0.25">
      <c r="A13" t="s">
        <v>20</v>
      </c>
      <c r="B13" t="s">
        <v>68</v>
      </c>
      <c r="C13">
        <v>3111696</v>
      </c>
      <c r="D13">
        <v>52</v>
      </c>
      <c r="E13" s="4">
        <v>-12000000</v>
      </c>
      <c r="F13" t="s">
        <v>19</v>
      </c>
      <c r="G13">
        <v>2</v>
      </c>
      <c r="H13" s="32" t="str">
        <f ca="1">+IF(B13&gt;'sap nuevo'!$V$1,"cargar",IF(C13="","cargar","pagado"))</f>
        <v>cargar</v>
      </c>
      <c r="I13" s="32">
        <f t="shared" si="2"/>
        <v>2025</v>
      </c>
      <c r="J13" s="32">
        <f t="shared" si="3"/>
        <v>1</v>
      </c>
    </row>
    <row r="14" spans="1:24" x14ac:dyDescent="0.25">
      <c r="A14" t="s">
        <v>20</v>
      </c>
      <c r="B14" t="s">
        <v>68</v>
      </c>
      <c r="C14">
        <v>3111688</v>
      </c>
      <c r="D14">
        <v>52</v>
      </c>
      <c r="E14" s="4">
        <v>-6425126.4000000004</v>
      </c>
      <c r="F14" t="s">
        <v>19</v>
      </c>
      <c r="G14">
        <v>2</v>
      </c>
      <c r="H14" s="32" t="str">
        <f ca="1">+IF(B14&gt;'sap nuevo'!$V$1,"cargar",IF(C14="","cargar","pagado"))</f>
        <v>cargar</v>
      </c>
      <c r="I14" s="32">
        <f t="shared" si="2"/>
        <v>2025</v>
      </c>
      <c r="J14" s="32">
        <f t="shared" si="3"/>
        <v>1</v>
      </c>
    </row>
    <row r="15" spans="1:24" x14ac:dyDescent="0.25">
      <c r="A15" t="s">
        <v>20</v>
      </c>
      <c r="B15" t="s">
        <v>68</v>
      </c>
      <c r="C15">
        <v>94231461</v>
      </c>
      <c r="D15">
        <v>52</v>
      </c>
      <c r="E15" s="4">
        <v>-5000000</v>
      </c>
      <c r="F15" t="s">
        <v>19</v>
      </c>
      <c r="G15">
        <v>2</v>
      </c>
      <c r="H15" s="32" t="str">
        <f ca="1">+IF(B15&gt;'sap nuevo'!$V$1,"cargar",IF(C15="","cargar","pagado"))</f>
        <v>cargar</v>
      </c>
      <c r="I15" s="32">
        <f t="shared" si="2"/>
        <v>2025</v>
      </c>
      <c r="J15" s="32">
        <f t="shared" si="3"/>
        <v>1</v>
      </c>
    </row>
    <row r="16" spans="1:24" x14ac:dyDescent="0.25">
      <c r="A16" t="s">
        <v>20</v>
      </c>
      <c r="B16" t="s">
        <v>68</v>
      </c>
      <c r="C16">
        <v>94231462</v>
      </c>
      <c r="D16">
        <v>52</v>
      </c>
      <c r="E16" s="4">
        <v>-5000000</v>
      </c>
      <c r="F16" t="s">
        <v>19</v>
      </c>
      <c r="G16">
        <v>2</v>
      </c>
      <c r="H16" s="32" t="str">
        <f ca="1">+IF(B16&gt;'sap nuevo'!$V$1,"cargar",IF(C16="","cargar","pagado"))</f>
        <v>cargar</v>
      </c>
      <c r="I16" s="32">
        <f t="shared" ref="I16:I28" si="4">+YEAR(B16)</f>
        <v>2025</v>
      </c>
      <c r="J16" s="32">
        <f t="shared" ref="J16:J28" si="5">+MONTH(B16)</f>
        <v>1</v>
      </c>
    </row>
    <row r="17" spans="1:10" x14ac:dyDescent="0.25">
      <c r="A17" t="s">
        <v>20</v>
      </c>
      <c r="B17" t="s">
        <v>68</v>
      </c>
      <c r="C17">
        <v>94231463</v>
      </c>
      <c r="D17">
        <v>52</v>
      </c>
      <c r="E17" s="4">
        <v>-5000000</v>
      </c>
      <c r="F17" t="s">
        <v>19</v>
      </c>
      <c r="G17">
        <v>2</v>
      </c>
      <c r="H17" s="32" t="str">
        <f ca="1">+IF(B17&gt;'sap nuevo'!$V$1,"cargar",IF(C17="","cargar","pagado"))</f>
        <v>cargar</v>
      </c>
      <c r="I17" s="32">
        <f t="shared" si="4"/>
        <v>2025</v>
      </c>
      <c r="J17" s="32">
        <f t="shared" si="5"/>
        <v>1</v>
      </c>
    </row>
    <row r="18" spans="1:10" x14ac:dyDescent="0.25">
      <c r="A18" t="s">
        <v>20</v>
      </c>
      <c r="B18" t="s">
        <v>68</v>
      </c>
      <c r="C18">
        <v>3111699</v>
      </c>
      <c r="D18">
        <v>52</v>
      </c>
      <c r="E18" s="4">
        <v>-2497041.0699999998</v>
      </c>
      <c r="F18" t="s">
        <v>19</v>
      </c>
      <c r="G18">
        <v>2</v>
      </c>
      <c r="H18" s="32" t="str">
        <f ca="1">+IF(B18&gt;'sap nuevo'!$V$1,"cargar",IF(C18="","cargar","pagado"))</f>
        <v>cargar</v>
      </c>
      <c r="I18" s="32">
        <f t="shared" si="4"/>
        <v>2025</v>
      </c>
      <c r="J18" s="32">
        <f t="shared" si="5"/>
        <v>1</v>
      </c>
    </row>
    <row r="19" spans="1:10" x14ac:dyDescent="0.25">
      <c r="A19" t="s">
        <v>20</v>
      </c>
      <c r="B19" t="s">
        <v>68</v>
      </c>
      <c r="C19">
        <v>94231458</v>
      </c>
      <c r="D19">
        <v>52</v>
      </c>
      <c r="E19" s="4">
        <v>-1650000</v>
      </c>
      <c r="F19" t="s">
        <v>19</v>
      </c>
      <c r="G19">
        <v>2</v>
      </c>
      <c r="H19" s="32" t="str">
        <f ca="1">+IF(B19&gt;'sap nuevo'!$V$1,"cargar",IF(C19="","cargar","pagado"))</f>
        <v>cargar</v>
      </c>
      <c r="I19" s="32">
        <f t="shared" si="4"/>
        <v>2025</v>
      </c>
      <c r="J19" s="32">
        <f t="shared" si="5"/>
        <v>1</v>
      </c>
    </row>
    <row r="20" spans="1:10" x14ac:dyDescent="0.25">
      <c r="A20" t="s">
        <v>20</v>
      </c>
      <c r="B20" t="s">
        <v>69</v>
      </c>
      <c r="C20">
        <v>3111660</v>
      </c>
      <c r="D20">
        <v>52</v>
      </c>
      <c r="E20" s="4">
        <v>-34925000</v>
      </c>
      <c r="F20" t="s">
        <v>19</v>
      </c>
      <c r="G20">
        <v>2</v>
      </c>
      <c r="H20" s="32" t="str">
        <f ca="1">+IF(B20&gt;'sap nuevo'!$V$1,"cargar",IF(C20="","cargar","pagado"))</f>
        <v>cargar</v>
      </c>
      <c r="I20" s="32">
        <f t="shared" si="4"/>
        <v>2025</v>
      </c>
      <c r="J20" s="32">
        <f t="shared" si="5"/>
        <v>1</v>
      </c>
    </row>
    <row r="21" spans="1:10" x14ac:dyDescent="0.25">
      <c r="A21" t="s">
        <v>20</v>
      </c>
      <c r="B21" t="s">
        <v>69</v>
      </c>
      <c r="C21">
        <v>3111701</v>
      </c>
      <c r="D21">
        <v>52</v>
      </c>
      <c r="E21" s="4">
        <v>-9980043.0800000001</v>
      </c>
      <c r="F21" t="s">
        <v>19</v>
      </c>
      <c r="G21">
        <v>2</v>
      </c>
      <c r="H21" s="32" t="str">
        <f ca="1">+IF(B21&gt;'sap nuevo'!$V$1,"cargar",IF(C21="","cargar","pagado"))</f>
        <v>cargar</v>
      </c>
      <c r="I21" s="32">
        <f t="shared" si="4"/>
        <v>2025</v>
      </c>
      <c r="J21" s="32">
        <f t="shared" si="5"/>
        <v>1</v>
      </c>
    </row>
    <row r="22" spans="1:10" x14ac:dyDescent="0.25">
      <c r="A22" t="s">
        <v>20</v>
      </c>
      <c r="B22" t="s">
        <v>69</v>
      </c>
      <c r="C22">
        <v>3111694</v>
      </c>
      <c r="D22">
        <v>52</v>
      </c>
      <c r="E22" s="4">
        <v>-7274307.2199999997</v>
      </c>
      <c r="F22" t="s">
        <v>19</v>
      </c>
      <c r="G22">
        <v>2</v>
      </c>
      <c r="H22" s="32" t="str">
        <f ca="1">+IF(B22&gt;'sap nuevo'!$V$1,"cargar",IF(C22="","cargar","pagado"))</f>
        <v>cargar</v>
      </c>
      <c r="I22" s="32">
        <f t="shared" si="4"/>
        <v>2025</v>
      </c>
      <c r="J22" s="32">
        <f t="shared" si="5"/>
        <v>1</v>
      </c>
    </row>
    <row r="23" spans="1:10" x14ac:dyDescent="0.25">
      <c r="A23" t="s">
        <v>20</v>
      </c>
      <c r="B23" t="s">
        <v>69</v>
      </c>
      <c r="C23">
        <v>94231465</v>
      </c>
      <c r="D23">
        <v>52</v>
      </c>
      <c r="E23" s="4">
        <v>-5000000</v>
      </c>
      <c r="F23" t="s">
        <v>19</v>
      </c>
      <c r="G23">
        <v>2</v>
      </c>
      <c r="H23" s="32" t="str">
        <f ca="1">+IF(B23&gt;'sap nuevo'!$V$1,"cargar",IF(C23="","cargar","pagado"))</f>
        <v>cargar</v>
      </c>
      <c r="I23" s="32">
        <f t="shared" si="4"/>
        <v>2025</v>
      </c>
      <c r="J23" s="32">
        <f t="shared" si="5"/>
        <v>1</v>
      </c>
    </row>
    <row r="24" spans="1:10" x14ac:dyDescent="0.25">
      <c r="A24" t="s">
        <v>20</v>
      </c>
      <c r="B24" t="s">
        <v>69</v>
      </c>
      <c r="C24">
        <v>94231466</v>
      </c>
      <c r="D24">
        <v>52</v>
      </c>
      <c r="E24" s="4">
        <v>-5000000</v>
      </c>
      <c r="F24" t="s">
        <v>19</v>
      </c>
      <c r="G24">
        <v>2</v>
      </c>
      <c r="H24" s="32" t="str">
        <f ca="1">+IF(B24&gt;'sap nuevo'!$V$1,"cargar",IF(C24="","cargar","pagado"))</f>
        <v>cargar</v>
      </c>
      <c r="I24" s="32">
        <f t="shared" si="4"/>
        <v>2025</v>
      </c>
      <c r="J24" s="32">
        <f t="shared" si="5"/>
        <v>1</v>
      </c>
    </row>
    <row r="25" spans="1:10" x14ac:dyDescent="0.25">
      <c r="A25" t="s">
        <v>20</v>
      </c>
      <c r="B25" t="s">
        <v>69</v>
      </c>
      <c r="C25">
        <v>3111703</v>
      </c>
      <c r="D25">
        <v>52</v>
      </c>
      <c r="E25" s="4">
        <v>-3586921.37</v>
      </c>
      <c r="F25" t="s">
        <v>19</v>
      </c>
      <c r="G25">
        <v>2</v>
      </c>
      <c r="H25" s="32" t="str">
        <f ca="1">+IF(B25&gt;'sap nuevo'!$V$1,"cargar",IF(C25="","cargar","pagado"))</f>
        <v>cargar</v>
      </c>
      <c r="I25" s="32">
        <f t="shared" si="4"/>
        <v>2025</v>
      </c>
      <c r="J25" s="32">
        <f t="shared" si="5"/>
        <v>1</v>
      </c>
    </row>
    <row r="26" spans="1:10" x14ac:dyDescent="0.25">
      <c r="A26" t="s">
        <v>20</v>
      </c>
      <c r="B26" t="s">
        <v>70</v>
      </c>
      <c r="C26">
        <v>94231467</v>
      </c>
      <c r="D26">
        <v>52</v>
      </c>
      <c r="E26" s="4">
        <v>-5948919.9900000002</v>
      </c>
      <c r="F26" t="s">
        <v>19</v>
      </c>
      <c r="G26">
        <v>2</v>
      </c>
      <c r="H26" s="32" t="str">
        <f ca="1">+IF(B26&gt;'sap nuevo'!$V$1,"cargar",IF(C26="","cargar","pagado"))</f>
        <v>cargar</v>
      </c>
      <c r="I26" s="32">
        <f t="shared" si="4"/>
        <v>2025</v>
      </c>
      <c r="J26" s="32">
        <f t="shared" si="5"/>
        <v>1</v>
      </c>
    </row>
    <row r="27" spans="1:10" x14ac:dyDescent="0.25">
      <c r="A27" t="s">
        <v>20</v>
      </c>
      <c r="B27" t="s">
        <v>70</v>
      </c>
      <c r="C27">
        <v>94231464</v>
      </c>
      <c r="D27">
        <v>52</v>
      </c>
      <c r="E27" s="4">
        <v>-5000000</v>
      </c>
      <c r="F27" t="s">
        <v>19</v>
      </c>
      <c r="G27">
        <v>2</v>
      </c>
      <c r="H27" s="32" t="str">
        <f ca="1">+IF(B27&gt;'sap nuevo'!$V$1,"cargar",IF(C27="","cargar","pagado"))</f>
        <v>cargar</v>
      </c>
      <c r="I27" s="32">
        <f t="shared" si="4"/>
        <v>2025</v>
      </c>
      <c r="J27" s="32">
        <f t="shared" si="5"/>
        <v>1</v>
      </c>
    </row>
    <row r="28" spans="1:10" x14ac:dyDescent="0.25">
      <c r="A28" t="s">
        <v>20</v>
      </c>
      <c r="B28" t="s">
        <v>70</v>
      </c>
      <c r="C28">
        <v>3111702</v>
      </c>
      <c r="D28">
        <v>52</v>
      </c>
      <c r="E28" s="4">
        <v>-1996725.84</v>
      </c>
      <c r="F28" t="s">
        <v>19</v>
      </c>
      <c r="G28">
        <v>2</v>
      </c>
      <c r="H28" s="32" t="str">
        <f ca="1">+IF(B28&gt;'sap nuevo'!$V$1,"cargar",IF(C28="","cargar","pagado"))</f>
        <v>cargar</v>
      </c>
      <c r="I28" s="32">
        <f t="shared" si="4"/>
        <v>2025</v>
      </c>
      <c r="J28" s="32">
        <f t="shared" si="5"/>
        <v>1</v>
      </c>
    </row>
    <row r="29" spans="1:10" x14ac:dyDescent="0.25">
      <c r="A29" t="s">
        <v>20</v>
      </c>
      <c r="B29" t="s">
        <v>71</v>
      </c>
      <c r="C29">
        <v>3111693</v>
      </c>
      <c r="D29">
        <v>52</v>
      </c>
      <c r="E29" s="4">
        <v>-2352596.4</v>
      </c>
      <c r="F29" t="s">
        <v>19</v>
      </c>
      <c r="G29">
        <v>2</v>
      </c>
      <c r="H29" s="32" t="str">
        <f ca="1">+IF(B29&gt;'sap nuevo'!$V$1,"cargar",IF(C29="","cargar","pagado"))</f>
        <v>cargar</v>
      </c>
      <c r="I29" s="32">
        <f t="shared" ref="I29:I35" si="6">+YEAR(B29)</f>
        <v>2025</v>
      </c>
      <c r="J29" s="32">
        <f t="shared" ref="J29:J35" si="7">+MONTH(B29)</f>
        <v>1</v>
      </c>
    </row>
    <row r="30" spans="1:10" x14ac:dyDescent="0.25">
      <c r="A30" t="s">
        <v>20</v>
      </c>
      <c r="B30" t="s">
        <v>71</v>
      </c>
      <c r="C30">
        <v>94231448</v>
      </c>
      <c r="D30">
        <v>52</v>
      </c>
      <c r="E30" s="4">
        <v>-300000</v>
      </c>
      <c r="F30" t="s">
        <v>19</v>
      </c>
      <c r="G30">
        <v>2</v>
      </c>
      <c r="H30" s="32" t="str">
        <f ca="1">+IF(B30&gt;'sap nuevo'!$V$1,"cargar",IF(C30="","cargar","pagado"))</f>
        <v>cargar</v>
      </c>
      <c r="I30" s="32">
        <f t="shared" si="6"/>
        <v>2025</v>
      </c>
      <c r="J30" s="32">
        <f t="shared" si="7"/>
        <v>1</v>
      </c>
    </row>
    <row r="31" spans="1:10" x14ac:dyDescent="0.25">
      <c r="A31" t="s">
        <v>20</v>
      </c>
      <c r="B31" t="s">
        <v>71</v>
      </c>
      <c r="C31">
        <v>94231444</v>
      </c>
      <c r="D31">
        <v>52</v>
      </c>
      <c r="E31" s="4">
        <v>-200000</v>
      </c>
      <c r="F31" t="s">
        <v>19</v>
      </c>
      <c r="G31">
        <v>2</v>
      </c>
      <c r="H31" s="32" t="str">
        <f ca="1">+IF(B31&gt;'sap nuevo'!$V$1,"cargar",IF(C31="","cargar","pagado"))</f>
        <v>cargar</v>
      </c>
      <c r="I31" s="32">
        <f t="shared" si="6"/>
        <v>2025</v>
      </c>
      <c r="J31" s="32">
        <f t="shared" si="7"/>
        <v>1</v>
      </c>
    </row>
    <row r="32" spans="1:10" x14ac:dyDescent="0.25">
      <c r="A32" t="s">
        <v>20</v>
      </c>
      <c r="B32" t="s">
        <v>475</v>
      </c>
      <c r="C32">
        <v>3111700</v>
      </c>
      <c r="D32">
        <v>52</v>
      </c>
      <c r="E32" s="4">
        <v>-3942394.07</v>
      </c>
      <c r="F32" t="s">
        <v>19</v>
      </c>
      <c r="G32">
        <v>2</v>
      </c>
      <c r="H32" s="32" t="str">
        <f ca="1">+IF(B32&gt;'sap nuevo'!$V$1,"cargar",IF(C32="","cargar","pagado"))</f>
        <v>cargar</v>
      </c>
      <c r="I32" s="32">
        <f t="shared" si="6"/>
        <v>2025</v>
      </c>
      <c r="J32" s="32">
        <f t="shared" si="7"/>
        <v>1</v>
      </c>
    </row>
    <row r="33" spans="1:10" x14ac:dyDescent="0.25">
      <c r="A33" t="s">
        <v>20</v>
      </c>
      <c r="B33" t="s">
        <v>475</v>
      </c>
      <c r="C33">
        <v>94231451</v>
      </c>
      <c r="D33">
        <v>52</v>
      </c>
      <c r="E33" s="4">
        <v>-1400000</v>
      </c>
      <c r="F33" t="s">
        <v>19</v>
      </c>
      <c r="G33">
        <v>2</v>
      </c>
      <c r="H33" s="32" t="str">
        <f ca="1">+IF(B33&gt;'sap nuevo'!$V$1,"cargar",IF(C33="","cargar","pagado"))</f>
        <v>cargar</v>
      </c>
      <c r="I33" s="32">
        <f t="shared" si="6"/>
        <v>2025</v>
      </c>
      <c r="J33" s="32">
        <f t="shared" si="7"/>
        <v>1</v>
      </c>
    </row>
    <row r="34" spans="1:10" x14ac:dyDescent="0.25">
      <c r="A34" t="s">
        <v>20</v>
      </c>
      <c r="B34" t="s">
        <v>475</v>
      </c>
      <c r="C34">
        <v>94231446</v>
      </c>
      <c r="D34">
        <v>52</v>
      </c>
      <c r="E34" s="4">
        <v>-300000</v>
      </c>
      <c r="F34" t="s">
        <v>19</v>
      </c>
      <c r="G34">
        <v>2</v>
      </c>
      <c r="H34" s="32" t="str">
        <f ca="1">+IF(B34&gt;'sap nuevo'!$V$1,"cargar",IF(C34="","cargar","pagado"))</f>
        <v>cargar</v>
      </c>
      <c r="I34" s="32">
        <f t="shared" si="6"/>
        <v>2025</v>
      </c>
      <c r="J34" s="32">
        <f t="shared" si="7"/>
        <v>1</v>
      </c>
    </row>
    <row r="35" spans="1:10" x14ac:dyDescent="0.25">
      <c r="A35" t="s">
        <v>20</v>
      </c>
      <c r="B35" t="s">
        <v>72</v>
      </c>
      <c r="C35">
        <v>94231471</v>
      </c>
      <c r="D35">
        <v>52</v>
      </c>
      <c r="E35" s="4">
        <v>-3000000</v>
      </c>
      <c r="F35" t="s">
        <v>19</v>
      </c>
      <c r="G35">
        <v>2</v>
      </c>
      <c r="H35" s="32" t="str">
        <f ca="1">+IF(B35&gt;'sap nuevo'!$V$1,"cargar",IF(C35="","cargar","pagado"))</f>
        <v>cargar</v>
      </c>
      <c r="I35" s="32">
        <f t="shared" si="6"/>
        <v>2025</v>
      </c>
      <c r="J35" s="32">
        <f t="shared" si="7"/>
        <v>1</v>
      </c>
    </row>
    <row r="36" spans="1:10" x14ac:dyDescent="0.25">
      <c r="A36" t="s">
        <v>20</v>
      </c>
      <c r="B36" t="s">
        <v>72</v>
      </c>
      <c r="C36">
        <v>94231470</v>
      </c>
      <c r="D36">
        <v>52</v>
      </c>
      <c r="E36" s="4">
        <v>-2000000</v>
      </c>
      <c r="F36" t="s">
        <v>19</v>
      </c>
      <c r="G36">
        <v>2</v>
      </c>
      <c r="H36" s="32" t="str">
        <f ca="1">+IF(B36&gt;'sap nuevo'!$V$1,"cargar",IF(C36="","cargar","pagado"))</f>
        <v>cargar</v>
      </c>
      <c r="I36" s="32">
        <f t="shared" ref="I36:I37" si="8">+YEAR(B36)</f>
        <v>2025</v>
      </c>
      <c r="J36" s="32">
        <f t="shared" ref="J36:J37" si="9">+MONTH(B36)</f>
        <v>1</v>
      </c>
    </row>
    <row r="37" spans="1:10" x14ac:dyDescent="0.25">
      <c r="A37" t="s">
        <v>20</v>
      </c>
      <c r="B37" t="s">
        <v>72</v>
      </c>
      <c r="C37">
        <v>94231456</v>
      </c>
      <c r="D37">
        <v>52</v>
      </c>
      <c r="E37" s="4">
        <v>-1000000</v>
      </c>
      <c r="F37" t="s">
        <v>19</v>
      </c>
      <c r="G37">
        <v>2</v>
      </c>
      <c r="H37" s="32" t="str">
        <f ca="1">+IF(B37&gt;'sap nuevo'!$V$1,"cargar",IF(C37="","cargar","pagado"))</f>
        <v>cargar</v>
      </c>
      <c r="I37" s="32">
        <f t="shared" si="8"/>
        <v>2025</v>
      </c>
      <c r="J37" s="32">
        <f t="shared" si="9"/>
        <v>1</v>
      </c>
    </row>
    <row r="38" spans="1:10" x14ac:dyDescent="0.25">
      <c r="A38" t="s">
        <v>12</v>
      </c>
      <c r="B38" t="s">
        <v>72</v>
      </c>
      <c r="C38">
        <v>97123395</v>
      </c>
      <c r="D38">
        <v>140</v>
      </c>
      <c r="E38" s="4">
        <v>-3151742.92</v>
      </c>
      <c r="F38" t="s">
        <v>63</v>
      </c>
      <c r="G38">
        <v>0</v>
      </c>
      <c r="H38" s="32" t="str">
        <f ca="1">+IF(B38&gt;'sap nuevo'!$V$1,"cargar",IF(C38="","cargar","pagado"))</f>
        <v>cargar</v>
      </c>
      <c r="I38" s="32">
        <f t="shared" ref="I38:I52" si="10">+YEAR(B38)</f>
        <v>2025</v>
      </c>
      <c r="J38" s="32">
        <f t="shared" ref="J38:J52" si="11">+MONTH(B38)</f>
        <v>1</v>
      </c>
    </row>
    <row r="39" spans="1:10" x14ac:dyDescent="0.25">
      <c r="A39" t="s">
        <v>20</v>
      </c>
      <c r="B39" t="s">
        <v>74</v>
      </c>
      <c r="C39">
        <v>3111704</v>
      </c>
      <c r="D39">
        <v>52</v>
      </c>
      <c r="E39" s="4">
        <v>-34636482.159999996</v>
      </c>
      <c r="F39" t="s">
        <v>19</v>
      </c>
      <c r="G39">
        <v>2</v>
      </c>
      <c r="H39" s="32" t="str">
        <f ca="1">+IF(B39&gt;'sap nuevo'!$V$1,"cargar",IF(C39="","cargar","pagado"))</f>
        <v>cargar</v>
      </c>
      <c r="I39" s="32">
        <f t="shared" si="10"/>
        <v>2025</v>
      </c>
      <c r="J39" s="32">
        <f t="shared" si="11"/>
        <v>1</v>
      </c>
    </row>
    <row r="40" spans="1:10" x14ac:dyDescent="0.25">
      <c r="A40" t="s">
        <v>20</v>
      </c>
      <c r="B40" t="s">
        <v>74</v>
      </c>
      <c r="C40">
        <v>3111671</v>
      </c>
      <c r="D40">
        <v>52</v>
      </c>
      <c r="E40" s="4">
        <v>-7347758</v>
      </c>
      <c r="F40" t="s">
        <v>19</v>
      </c>
      <c r="G40">
        <v>2</v>
      </c>
      <c r="H40" s="32" t="str">
        <f ca="1">+IF(B40&gt;'sap nuevo'!$V$1,"cargar",IF(C40="","cargar","pagado"))</f>
        <v>cargar</v>
      </c>
      <c r="I40" s="32">
        <f t="shared" si="10"/>
        <v>2025</v>
      </c>
      <c r="J40" s="32">
        <f t="shared" si="11"/>
        <v>1</v>
      </c>
    </row>
    <row r="41" spans="1:10" x14ac:dyDescent="0.25">
      <c r="A41" t="s">
        <v>20</v>
      </c>
      <c r="B41" t="s">
        <v>74</v>
      </c>
      <c r="C41">
        <v>94231472</v>
      </c>
      <c r="D41">
        <v>52</v>
      </c>
      <c r="E41" s="4">
        <v>-3000000</v>
      </c>
      <c r="F41" t="s">
        <v>19</v>
      </c>
      <c r="G41">
        <v>2</v>
      </c>
      <c r="H41" s="32" t="str">
        <f ca="1">+IF(B41&gt;'sap nuevo'!$V$1,"cargar",IF(C41="","cargar","pagado"))</f>
        <v>cargar</v>
      </c>
      <c r="I41" s="32">
        <f t="shared" si="10"/>
        <v>2025</v>
      </c>
      <c r="J41" s="32">
        <f t="shared" si="11"/>
        <v>1</v>
      </c>
    </row>
    <row r="42" spans="1:10" x14ac:dyDescent="0.25">
      <c r="A42" t="s">
        <v>20</v>
      </c>
      <c r="B42" t="s">
        <v>74</v>
      </c>
      <c r="C42">
        <v>94231473</v>
      </c>
      <c r="D42">
        <v>52</v>
      </c>
      <c r="E42" s="4">
        <v>-3000000</v>
      </c>
      <c r="F42" t="s">
        <v>19</v>
      </c>
      <c r="G42">
        <v>2</v>
      </c>
      <c r="H42" s="32" t="str">
        <f ca="1">+IF(B42&gt;'sap nuevo'!$V$1,"cargar",IF(C42="","cargar","pagado"))</f>
        <v>cargar</v>
      </c>
      <c r="I42" s="32">
        <f t="shared" si="10"/>
        <v>2025</v>
      </c>
      <c r="J42" s="32">
        <f t="shared" si="11"/>
        <v>1</v>
      </c>
    </row>
    <row r="43" spans="1:10" x14ac:dyDescent="0.25">
      <c r="A43" t="s">
        <v>20</v>
      </c>
      <c r="B43" t="s">
        <v>74</v>
      </c>
      <c r="C43">
        <v>94231469</v>
      </c>
      <c r="D43">
        <v>52</v>
      </c>
      <c r="E43" s="4">
        <v>-2000000</v>
      </c>
      <c r="F43" t="s">
        <v>19</v>
      </c>
      <c r="G43">
        <v>2</v>
      </c>
      <c r="H43" s="32" t="str">
        <f ca="1">+IF(B43&gt;'sap nuevo'!$V$1,"cargar",IF(C43="","cargar","pagado"))</f>
        <v>cargar</v>
      </c>
      <c r="I43" s="32">
        <f t="shared" si="10"/>
        <v>2025</v>
      </c>
      <c r="J43" s="32">
        <f t="shared" si="11"/>
        <v>1</v>
      </c>
    </row>
    <row r="44" spans="1:10" x14ac:dyDescent="0.25">
      <c r="A44" t="s">
        <v>20</v>
      </c>
      <c r="B44" t="s">
        <v>74</v>
      </c>
      <c r="C44">
        <v>94231445</v>
      </c>
      <c r="D44">
        <v>52</v>
      </c>
      <c r="E44" s="4">
        <v>-200000</v>
      </c>
      <c r="F44" t="s">
        <v>19</v>
      </c>
      <c r="G44">
        <v>2</v>
      </c>
      <c r="H44" s="32" t="str">
        <f ca="1">+IF(B44&gt;'sap nuevo'!$V$1,"cargar",IF(C44="","cargar","pagado"))</f>
        <v>cargar</v>
      </c>
      <c r="I44" s="32">
        <f t="shared" si="10"/>
        <v>2025</v>
      </c>
      <c r="J44" s="32">
        <f t="shared" si="11"/>
        <v>1</v>
      </c>
    </row>
    <row r="45" spans="1:10" x14ac:dyDescent="0.25">
      <c r="A45" t="s">
        <v>20</v>
      </c>
      <c r="B45" t="s">
        <v>73</v>
      </c>
      <c r="C45">
        <v>3111632</v>
      </c>
      <c r="D45">
        <v>52</v>
      </c>
      <c r="E45" s="4">
        <v>-42500000</v>
      </c>
      <c r="F45" t="s">
        <v>19</v>
      </c>
      <c r="G45">
        <v>2</v>
      </c>
      <c r="H45" s="32" t="str">
        <f ca="1">+IF(B45&gt;'sap nuevo'!$V$1,"cargar",IF(C45="","cargar","pagado"))</f>
        <v>cargar</v>
      </c>
      <c r="I45" s="32">
        <f t="shared" si="10"/>
        <v>2025</v>
      </c>
      <c r="J45" s="32">
        <f t="shared" si="11"/>
        <v>1</v>
      </c>
    </row>
    <row r="46" spans="1:10" x14ac:dyDescent="0.25">
      <c r="A46" t="s">
        <v>20</v>
      </c>
      <c r="B46" t="s">
        <v>74</v>
      </c>
      <c r="C46">
        <v>95363989</v>
      </c>
      <c r="D46">
        <v>140</v>
      </c>
      <c r="E46" s="4">
        <v>-13000000</v>
      </c>
      <c r="F46" t="s">
        <v>62</v>
      </c>
      <c r="G46">
        <v>0</v>
      </c>
      <c r="H46" s="32" t="str">
        <f ca="1">+IF(B46&gt;'sap nuevo'!$V$1,"cargar",IF(C46="","cargar","pagado"))</f>
        <v>cargar</v>
      </c>
      <c r="I46" s="32">
        <f t="shared" si="10"/>
        <v>2025</v>
      </c>
      <c r="J46" s="32">
        <f t="shared" si="11"/>
        <v>1</v>
      </c>
    </row>
    <row r="47" spans="1:10" x14ac:dyDescent="0.25">
      <c r="A47" t="s">
        <v>20</v>
      </c>
      <c r="B47" t="s">
        <v>74</v>
      </c>
      <c r="C47">
        <v>95363990</v>
      </c>
      <c r="D47">
        <v>140</v>
      </c>
      <c r="E47" s="4">
        <v>-12640528.41</v>
      </c>
      <c r="F47" t="s">
        <v>62</v>
      </c>
      <c r="G47">
        <v>0</v>
      </c>
      <c r="H47" s="32" t="str">
        <f ca="1">+IF(B47&gt;'sap nuevo'!$V$1,"cargar",IF(C47="","cargar","pagado"))</f>
        <v>cargar</v>
      </c>
      <c r="I47" s="32">
        <f t="shared" si="10"/>
        <v>2025</v>
      </c>
      <c r="J47" s="32">
        <f t="shared" si="11"/>
        <v>1</v>
      </c>
    </row>
    <row r="48" spans="1:10" x14ac:dyDescent="0.25">
      <c r="A48" t="s">
        <v>12</v>
      </c>
      <c r="B48" t="s">
        <v>73</v>
      </c>
      <c r="C48">
        <v>97123399</v>
      </c>
      <c r="D48">
        <v>140</v>
      </c>
      <c r="E48" s="4">
        <v>-11000000</v>
      </c>
      <c r="F48" t="s">
        <v>63</v>
      </c>
      <c r="G48">
        <v>0</v>
      </c>
      <c r="H48" s="32" t="str">
        <f ca="1">+IF(B48&gt;'sap nuevo'!$V$1,"cargar",IF(C48="","cargar","pagado"))</f>
        <v>cargar</v>
      </c>
      <c r="I48" s="32">
        <f t="shared" si="10"/>
        <v>2025</v>
      </c>
      <c r="J48" s="32">
        <f t="shared" si="11"/>
        <v>1</v>
      </c>
    </row>
    <row r="49" spans="1:10" x14ac:dyDescent="0.25">
      <c r="A49" t="s">
        <v>20</v>
      </c>
      <c r="B49" t="s">
        <v>73</v>
      </c>
      <c r="C49">
        <v>97123404</v>
      </c>
      <c r="D49">
        <v>140</v>
      </c>
      <c r="E49" s="4">
        <v>-10000000</v>
      </c>
      <c r="F49" t="s">
        <v>62</v>
      </c>
      <c r="G49">
        <v>0</v>
      </c>
      <c r="H49" s="32" t="str">
        <f ca="1">+IF(B49&gt;'sap nuevo'!$V$1,"cargar",IF(C49="","cargar","pagado"))</f>
        <v>cargar</v>
      </c>
      <c r="I49" s="32">
        <f t="shared" si="10"/>
        <v>2025</v>
      </c>
      <c r="J49" s="32">
        <f t="shared" si="11"/>
        <v>1</v>
      </c>
    </row>
    <row r="50" spans="1:10" x14ac:dyDescent="0.25">
      <c r="A50" t="s">
        <v>12</v>
      </c>
      <c r="B50" t="s">
        <v>73</v>
      </c>
      <c r="C50">
        <v>97123396</v>
      </c>
      <c r="D50">
        <v>140</v>
      </c>
      <c r="E50" s="4">
        <v>-7098663.9100000001</v>
      </c>
      <c r="F50" t="s">
        <v>63</v>
      </c>
      <c r="G50">
        <v>0</v>
      </c>
      <c r="H50" s="32" t="str">
        <f ca="1">+IF(B50&gt;'sap nuevo'!$V$1,"cargar",IF(C50="","cargar","pagado"))</f>
        <v>cargar</v>
      </c>
      <c r="I50" s="32">
        <f t="shared" si="10"/>
        <v>2025</v>
      </c>
      <c r="J50" s="32">
        <f t="shared" si="11"/>
        <v>1</v>
      </c>
    </row>
    <row r="51" spans="1:10" x14ac:dyDescent="0.25">
      <c r="A51" t="s">
        <v>20</v>
      </c>
      <c r="B51" t="s">
        <v>73</v>
      </c>
      <c r="C51">
        <v>97123402</v>
      </c>
      <c r="D51">
        <v>140</v>
      </c>
      <c r="E51" s="4">
        <v>-4488596.37</v>
      </c>
      <c r="F51" t="s">
        <v>62</v>
      </c>
      <c r="G51">
        <v>0</v>
      </c>
      <c r="H51" s="32" t="str">
        <f ca="1">+IF(B51&gt;'sap nuevo'!$V$1,"cargar",IF(C51="","cargar","pagado"))</f>
        <v>cargar</v>
      </c>
      <c r="I51" s="32">
        <f t="shared" si="10"/>
        <v>2025</v>
      </c>
      <c r="J51" s="32">
        <f t="shared" si="11"/>
        <v>1</v>
      </c>
    </row>
    <row r="52" spans="1:10" x14ac:dyDescent="0.25">
      <c r="A52" t="s">
        <v>20</v>
      </c>
      <c r="B52" t="s">
        <v>73</v>
      </c>
      <c r="C52">
        <v>97123401</v>
      </c>
      <c r="D52">
        <v>140</v>
      </c>
      <c r="E52" s="4">
        <v>-4483078.24</v>
      </c>
      <c r="F52" t="s">
        <v>62</v>
      </c>
      <c r="G52">
        <v>0</v>
      </c>
      <c r="H52" s="32" t="str">
        <f ca="1">+IF(B52&gt;'sap nuevo'!$V$1,"cargar",IF(C52="","cargar","pagado"))</f>
        <v>cargar</v>
      </c>
      <c r="I52" s="32">
        <f t="shared" si="10"/>
        <v>2025</v>
      </c>
      <c r="J52" s="32">
        <f t="shared" si="11"/>
        <v>1</v>
      </c>
    </row>
    <row r="53" spans="1:10" x14ac:dyDescent="0.25">
      <c r="A53" t="s">
        <v>20</v>
      </c>
      <c r="B53" t="s">
        <v>75</v>
      </c>
      <c r="C53">
        <v>94231475</v>
      </c>
      <c r="D53">
        <v>52</v>
      </c>
      <c r="E53" s="4">
        <v>-5000000</v>
      </c>
      <c r="F53" t="s">
        <v>19</v>
      </c>
      <c r="G53">
        <v>2</v>
      </c>
      <c r="H53" s="32" t="str">
        <f ca="1">+IF(B53&gt;'sap nuevo'!$V$1,"cargar",IF(C53="","cargar","pagado"))</f>
        <v>cargar</v>
      </c>
      <c r="I53" s="32">
        <f t="shared" ref="I53:I54" si="12">+YEAR(B53)</f>
        <v>2025</v>
      </c>
      <c r="J53" s="32">
        <f t="shared" ref="J53:J54" si="13">+MONTH(B53)</f>
        <v>1</v>
      </c>
    </row>
    <row r="54" spans="1:10" x14ac:dyDescent="0.25">
      <c r="A54" t="s">
        <v>20</v>
      </c>
      <c r="B54" t="s">
        <v>75</v>
      </c>
      <c r="C54">
        <v>94231476</v>
      </c>
      <c r="D54">
        <v>52</v>
      </c>
      <c r="E54" s="4">
        <v>-5000000</v>
      </c>
      <c r="F54" t="s">
        <v>19</v>
      </c>
      <c r="G54">
        <v>2</v>
      </c>
      <c r="H54" s="32" t="str">
        <f ca="1">+IF(B54&gt;'sap nuevo'!$V$1,"cargar",IF(C54="","cargar","pagado"))</f>
        <v>cargar</v>
      </c>
      <c r="I54" s="32">
        <f t="shared" si="12"/>
        <v>2025</v>
      </c>
      <c r="J54" s="32">
        <f t="shared" si="13"/>
        <v>1</v>
      </c>
    </row>
    <row r="55" spans="1:10" x14ac:dyDescent="0.25">
      <c r="A55" t="s">
        <v>20</v>
      </c>
      <c r="B55" t="s">
        <v>75</v>
      </c>
      <c r="C55">
        <v>94231474</v>
      </c>
      <c r="D55">
        <v>52</v>
      </c>
      <c r="E55" s="4">
        <v>-3846551.55</v>
      </c>
      <c r="F55" t="s">
        <v>19</v>
      </c>
      <c r="G55">
        <v>2</v>
      </c>
      <c r="H55" s="32" t="str">
        <f ca="1">+IF(B55&gt;'sap nuevo'!$V$1,"cargar",IF(C55="","cargar","pagado"))</f>
        <v>cargar</v>
      </c>
      <c r="I55" s="32">
        <f t="shared" ref="I55:I72" si="14">+YEAR(B55)</f>
        <v>2025</v>
      </c>
      <c r="J55" s="32">
        <f t="shared" ref="J55:J72" si="15">+MONTH(B55)</f>
        <v>1</v>
      </c>
    </row>
    <row r="56" spans="1:10" x14ac:dyDescent="0.25">
      <c r="A56" t="s">
        <v>20</v>
      </c>
      <c r="B56" t="s">
        <v>75</v>
      </c>
      <c r="C56">
        <v>94231468</v>
      </c>
      <c r="D56">
        <v>52</v>
      </c>
      <c r="E56" s="4">
        <v>-2000000</v>
      </c>
      <c r="F56" t="s">
        <v>19</v>
      </c>
      <c r="G56">
        <v>2</v>
      </c>
      <c r="H56" s="32" t="str">
        <f ca="1">+IF(B56&gt;'sap nuevo'!$V$1,"cargar",IF(C56="","cargar","pagado"))</f>
        <v>cargar</v>
      </c>
      <c r="I56" s="32">
        <f t="shared" si="14"/>
        <v>2025</v>
      </c>
      <c r="J56" s="32">
        <f t="shared" si="15"/>
        <v>1</v>
      </c>
    </row>
    <row r="57" spans="1:10" x14ac:dyDescent="0.25">
      <c r="A57" t="s">
        <v>20</v>
      </c>
      <c r="B57" t="s">
        <v>75</v>
      </c>
      <c r="C57">
        <v>94231450</v>
      </c>
      <c r="D57">
        <v>52</v>
      </c>
      <c r="E57" s="4">
        <v>-1200000</v>
      </c>
      <c r="F57" t="s">
        <v>19</v>
      </c>
      <c r="G57">
        <v>2</v>
      </c>
      <c r="H57" s="32" t="str">
        <f ca="1">+IF(B57&gt;'sap nuevo'!$V$1,"cargar",IF(C57="","cargar","pagado"))</f>
        <v>cargar</v>
      </c>
      <c r="I57" s="32">
        <f t="shared" si="14"/>
        <v>2025</v>
      </c>
      <c r="J57" s="32">
        <f t="shared" si="15"/>
        <v>1</v>
      </c>
    </row>
    <row r="58" spans="1:10" x14ac:dyDescent="0.25">
      <c r="A58" t="s">
        <v>20</v>
      </c>
      <c r="B58" t="s">
        <v>75</v>
      </c>
      <c r="C58">
        <v>97123398</v>
      </c>
      <c r="D58">
        <v>140</v>
      </c>
      <c r="E58" s="4">
        <v>-10991765.83</v>
      </c>
      <c r="F58" t="s">
        <v>62</v>
      </c>
      <c r="G58">
        <v>0</v>
      </c>
      <c r="H58" s="32" t="str">
        <f ca="1">+IF(B58&gt;'sap nuevo'!$V$1,"cargar",IF(C58="","cargar","pagado"))</f>
        <v>cargar</v>
      </c>
      <c r="I58" s="32">
        <f t="shared" si="14"/>
        <v>2025</v>
      </c>
      <c r="J58" s="32">
        <f t="shared" si="15"/>
        <v>1</v>
      </c>
    </row>
    <row r="59" spans="1:10" x14ac:dyDescent="0.25">
      <c r="A59" t="s">
        <v>12</v>
      </c>
      <c r="B59" t="s">
        <v>75</v>
      </c>
      <c r="C59">
        <v>97123400</v>
      </c>
      <c r="D59">
        <v>140</v>
      </c>
      <c r="E59" s="4">
        <v>-10929172.970000001</v>
      </c>
      <c r="F59" t="s">
        <v>63</v>
      </c>
      <c r="G59">
        <v>0</v>
      </c>
      <c r="H59" s="32" t="str">
        <f ca="1">+IF(B59&gt;'sap nuevo'!$V$1,"cargar",IF(C59="","cargar","pagado"))</f>
        <v>cargar</v>
      </c>
      <c r="I59" s="32">
        <f t="shared" si="14"/>
        <v>2025</v>
      </c>
      <c r="J59" s="32">
        <f t="shared" si="15"/>
        <v>1</v>
      </c>
    </row>
    <row r="60" spans="1:10" x14ac:dyDescent="0.25">
      <c r="A60" t="s">
        <v>20</v>
      </c>
      <c r="B60" t="s">
        <v>75</v>
      </c>
      <c r="C60">
        <v>97123405</v>
      </c>
      <c r="D60">
        <v>140</v>
      </c>
      <c r="E60" s="4">
        <v>-10139779.18</v>
      </c>
      <c r="F60" t="s">
        <v>62</v>
      </c>
      <c r="G60">
        <v>0</v>
      </c>
      <c r="H60" s="32" t="str">
        <f ca="1">+IF(B60&gt;'sap nuevo'!$V$1,"cargar",IF(C60="","cargar","pagado"))</f>
        <v>cargar</v>
      </c>
      <c r="I60" s="32">
        <f t="shared" si="14"/>
        <v>2025</v>
      </c>
      <c r="J60" s="32">
        <f t="shared" si="15"/>
        <v>1</v>
      </c>
    </row>
    <row r="61" spans="1:10" x14ac:dyDescent="0.25">
      <c r="A61" t="s">
        <v>20</v>
      </c>
      <c r="B61" t="s">
        <v>75</v>
      </c>
      <c r="C61">
        <v>97123393</v>
      </c>
      <c r="D61">
        <v>140</v>
      </c>
      <c r="E61" s="4">
        <v>-2452021.27</v>
      </c>
      <c r="F61" t="s">
        <v>62</v>
      </c>
      <c r="G61">
        <v>0</v>
      </c>
      <c r="H61" s="32" t="str">
        <f ca="1">+IF(B61&gt;'sap nuevo'!$V$1,"cargar",IF(C61="","cargar","pagado"))</f>
        <v>cargar</v>
      </c>
      <c r="I61" s="32">
        <f t="shared" si="14"/>
        <v>2025</v>
      </c>
      <c r="J61" s="32">
        <f t="shared" si="15"/>
        <v>1</v>
      </c>
    </row>
    <row r="62" spans="1:10" x14ac:dyDescent="0.25">
      <c r="A62" t="s">
        <v>20</v>
      </c>
      <c r="B62" t="s">
        <v>309</v>
      </c>
      <c r="C62">
        <v>3111710</v>
      </c>
      <c r="D62">
        <v>52</v>
      </c>
      <c r="E62" s="4">
        <v>-12799179.15</v>
      </c>
      <c r="F62" t="s">
        <v>19</v>
      </c>
      <c r="G62">
        <v>2</v>
      </c>
      <c r="H62" s="32" t="str">
        <f ca="1">+IF(B62&gt;'sap nuevo'!$V$1,"cargar",IF(C62="","cargar","pagado"))</f>
        <v>cargar</v>
      </c>
      <c r="I62" s="32">
        <f t="shared" si="14"/>
        <v>2025</v>
      </c>
      <c r="J62" s="32">
        <f t="shared" si="15"/>
        <v>1</v>
      </c>
    </row>
    <row r="63" spans="1:10" x14ac:dyDescent="0.25">
      <c r="A63" t="s">
        <v>20</v>
      </c>
      <c r="B63" t="s">
        <v>309</v>
      </c>
      <c r="C63">
        <v>3111708</v>
      </c>
      <c r="D63">
        <v>52</v>
      </c>
      <c r="E63" s="4">
        <v>-12000000</v>
      </c>
      <c r="F63" t="s">
        <v>19</v>
      </c>
      <c r="G63">
        <v>2</v>
      </c>
      <c r="H63" s="32" t="str">
        <f ca="1">+IF(B63&gt;'sap nuevo'!$V$1,"cargar",IF(C63="","cargar","pagado"))</f>
        <v>cargar</v>
      </c>
      <c r="I63" s="32">
        <f t="shared" si="14"/>
        <v>2025</v>
      </c>
      <c r="J63" s="32">
        <f t="shared" si="15"/>
        <v>1</v>
      </c>
    </row>
    <row r="64" spans="1:10" x14ac:dyDescent="0.25">
      <c r="A64" t="s">
        <v>20</v>
      </c>
      <c r="B64" t="s">
        <v>309</v>
      </c>
      <c r="C64">
        <v>3111711</v>
      </c>
      <c r="D64">
        <v>52</v>
      </c>
      <c r="E64" s="4">
        <v>-10000000</v>
      </c>
      <c r="F64" t="s">
        <v>19</v>
      </c>
      <c r="G64">
        <v>2</v>
      </c>
      <c r="H64" s="32" t="str">
        <f ca="1">+IF(B64&gt;'sap nuevo'!$V$1,"cargar",IF(C64="","cargar","pagado"))</f>
        <v>cargar</v>
      </c>
      <c r="I64" s="32">
        <f t="shared" si="14"/>
        <v>2025</v>
      </c>
      <c r="J64" s="32">
        <f t="shared" si="15"/>
        <v>1</v>
      </c>
    </row>
    <row r="65" spans="1:10" x14ac:dyDescent="0.25">
      <c r="A65" t="s">
        <v>20</v>
      </c>
      <c r="B65" t="s">
        <v>309</v>
      </c>
      <c r="C65">
        <v>3111713</v>
      </c>
      <c r="D65">
        <v>52</v>
      </c>
      <c r="E65" s="4">
        <v>-7000000</v>
      </c>
      <c r="F65" t="s">
        <v>19</v>
      </c>
      <c r="G65">
        <v>2</v>
      </c>
      <c r="H65" s="32" t="str">
        <f ca="1">+IF(B65&gt;'sap nuevo'!$V$1,"cargar",IF(C65="","cargar","pagado"))</f>
        <v>cargar</v>
      </c>
      <c r="I65" s="32">
        <f t="shared" si="14"/>
        <v>2025</v>
      </c>
      <c r="J65" s="32">
        <f t="shared" si="15"/>
        <v>1</v>
      </c>
    </row>
    <row r="66" spans="1:10" x14ac:dyDescent="0.25">
      <c r="A66" t="s">
        <v>20</v>
      </c>
      <c r="B66" t="s">
        <v>309</v>
      </c>
      <c r="C66">
        <v>3111706</v>
      </c>
      <c r="D66">
        <v>52</v>
      </c>
      <c r="E66" s="4">
        <v>-458773.42</v>
      </c>
      <c r="F66" t="s">
        <v>19</v>
      </c>
      <c r="G66">
        <v>2</v>
      </c>
      <c r="H66" s="32" t="str">
        <f ca="1">+IF(B66&gt;'sap nuevo'!$V$1,"cargar",IF(C66="","cargar","pagado"))</f>
        <v>cargar</v>
      </c>
      <c r="I66" s="32">
        <f t="shared" si="14"/>
        <v>2025</v>
      </c>
      <c r="J66" s="32">
        <f t="shared" si="15"/>
        <v>1</v>
      </c>
    </row>
    <row r="67" spans="1:10" x14ac:dyDescent="0.25">
      <c r="A67" t="s">
        <v>20</v>
      </c>
      <c r="B67" t="s">
        <v>76</v>
      </c>
      <c r="C67">
        <v>3111640</v>
      </c>
      <c r="D67">
        <v>52</v>
      </c>
      <c r="E67" s="4">
        <v>-16000000</v>
      </c>
      <c r="F67" t="s">
        <v>19</v>
      </c>
      <c r="G67">
        <v>2</v>
      </c>
      <c r="H67" s="32" t="str">
        <f ca="1">+IF(B67&gt;'sap nuevo'!$V$1,"cargar",IF(C67="","cargar","pagado"))</f>
        <v>cargar</v>
      </c>
      <c r="I67" s="32">
        <f t="shared" si="14"/>
        <v>2025</v>
      </c>
      <c r="J67" s="32">
        <f t="shared" si="15"/>
        <v>1</v>
      </c>
    </row>
    <row r="68" spans="1:10" x14ac:dyDescent="0.25">
      <c r="A68" t="s">
        <v>20</v>
      </c>
      <c r="B68" t="s">
        <v>76</v>
      </c>
      <c r="C68">
        <v>3111709</v>
      </c>
      <c r="D68">
        <v>52</v>
      </c>
      <c r="E68" s="4">
        <v>-11246166.65</v>
      </c>
      <c r="F68" t="s">
        <v>19</v>
      </c>
      <c r="G68">
        <v>2</v>
      </c>
      <c r="H68" s="32" t="str">
        <f ca="1">+IF(B68&gt;'sap nuevo'!$V$1,"cargar",IF(C68="","cargar","pagado"))</f>
        <v>cargar</v>
      </c>
      <c r="I68" s="32">
        <f t="shared" si="14"/>
        <v>2025</v>
      </c>
      <c r="J68" s="32">
        <f t="shared" si="15"/>
        <v>1</v>
      </c>
    </row>
    <row r="69" spans="1:10" x14ac:dyDescent="0.25">
      <c r="A69" t="s">
        <v>20</v>
      </c>
      <c r="B69" t="s">
        <v>76</v>
      </c>
      <c r="C69">
        <v>3111712</v>
      </c>
      <c r="D69">
        <v>52</v>
      </c>
      <c r="E69" s="4">
        <v>-9009501.8000000007</v>
      </c>
      <c r="F69" t="s">
        <v>19</v>
      </c>
      <c r="G69">
        <v>2</v>
      </c>
      <c r="H69" s="32" t="str">
        <f ca="1">+IF(B69&gt;'sap nuevo'!$V$1,"cargar",IF(C69="","cargar","pagado"))</f>
        <v>cargar</v>
      </c>
      <c r="I69" s="32">
        <f t="shared" si="14"/>
        <v>2025</v>
      </c>
      <c r="J69" s="32">
        <f t="shared" si="15"/>
        <v>1</v>
      </c>
    </row>
    <row r="70" spans="1:10" x14ac:dyDescent="0.25">
      <c r="A70" t="s">
        <v>20</v>
      </c>
      <c r="B70" t="s">
        <v>76</v>
      </c>
      <c r="C70">
        <v>3111716</v>
      </c>
      <c r="D70">
        <v>52</v>
      </c>
      <c r="E70" s="4">
        <v>-5084776.4000000004</v>
      </c>
      <c r="F70" t="s">
        <v>19</v>
      </c>
      <c r="G70">
        <v>2</v>
      </c>
      <c r="H70" s="32" t="str">
        <f ca="1">+IF(B70&gt;'sap nuevo'!$V$1,"cargar",IF(C70="","cargar","pagado"))</f>
        <v>cargar</v>
      </c>
      <c r="I70" s="32">
        <f t="shared" si="14"/>
        <v>2025</v>
      </c>
      <c r="J70" s="32">
        <f t="shared" si="15"/>
        <v>1</v>
      </c>
    </row>
    <row r="71" spans="1:10" x14ac:dyDescent="0.25">
      <c r="A71" t="s">
        <v>20</v>
      </c>
      <c r="B71" t="s">
        <v>76</v>
      </c>
      <c r="C71">
        <v>3111705</v>
      </c>
      <c r="D71">
        <v>52</v>
      </c>
      <c r="E71" s="4">
        <v>-192107.1</v>
      </c>
      <c r="F71" t="s">
        <v>19</v>
      </c>
      <c r="G71">
        <v>2</v>
      </c>
      <c r="H71" s="32" t="str">
        <f ca="1">+IF(B71&gt;'sap nuevo'!$V$1,"cargar",IF(C71="","cargar","pagado"))</f>
        <v>cargar</v>
      </c>
      <c r="I71" s="32">
        <f t="shared" si="14"/>
        <v>2025</v>
      </c>
      <c r="J71" s="32">
        <f t="shared" si="15"/>
        <v>1</v>
      </c>
    </row>
    <row r="72" spans="1:10" x14ac:dyDescent="0.25">
      <c r="A72" t="s">
        <v>12</v>
      </c>
      <c r="B72" t="s">
        <v>309</v>
      </c>
      <c r="C72">
        <v>97123403</v>
      </c>
      <c r="D72">
        <v>140</v>
      </c>
      <c r="E72" s="4">
        <v>-7956945.7800000003</v>
      </c>
      <c r="F72" t="s">
        <v>63</v>
      </c>
      <c r="G72">
        <v>0</v>
      </c>
      <c r="H72" s="32" t="str">
        <f ca="1">+IF(B72&gt;'sap nuevo'!$V$1,"cargar",IF(C72="","cargar","pagado"))</f>
        <v>cargar</v>
      </c>
      <c r="I72" s="32">
        <f t="shared" si="14"/>
        <v>2025</v>
      </c>
      <c r="J72" s="32">
        <f t="shared" si="15"/>
        <v>1</v>
      </c>
    </row>
    <row r="73" spans="1:10" x14ac:dyDescent="0.25">
      <c r="A73" t="s">
        <v>20</v>
      </c>
      <c r="B73" s="3">
        <v>45679</v>
      </c>
      <c r="C73">
        <v>3111718</v>
      </c>
      <c r="D73">
        <v>52</v>
      </c>
      <c r="E73" s="4">
        <v>-11200155.33</v>
      </c>
      <c r="F73" t="s">
        <v>19</v>
      </c>
      <c r="G73">
        <v>2</v>
      </c>
      <c r="H73" s="32" t="str">
        <f ca="1">+IF(B73&gt;'sap nuevo'!$V$1,"cargar",IF(C73="","cargar","pagado"))</f>
        <v>pagado</v>
      </c>
      <c r="I73" s="32">
        <f t="shared" ref="I73:I81" si="16">+YEAR(B73)</f>
        <v>2025</v>
      </c>
      <c r="J73" s="32">
        <f t="shared" ref="J73:J81" si="17">+MONTH(B73)</f>
        <v>1</v>
      </c>
    </row>
    <row r="74" spans="1:10" x14ac:dyDescent="0.25">
      <c r="A74" t="s">
        <v>20</v>
      </c>
      <c r="B74" t="s">
        <v>77</v>
      </c>
      <c r="C74">
        <v>3111717</v>
      </c>
      <c r="D74">
        <v>52</v>
      </c>
      <c r="E74" s="4">
        <v>-13410435.199999999</v>
      </c>
      <c r="F74" t="s">
        <v>19</v>
      </c>
      <c r="G74">
        <v>2</v>
      </c>
      <c r="H74" s="32" t="str">
        <f ca="1">+IF(B74&gt;'sap nuevo'!$V$1,"cargar",IF(C74="","cargar","pagado"))</f>
        <v>cargar</v>
      </c>
      <c r="I74" s="32">
        <f t="shared" si="16"/>
        <v>2025</v>
      </c>
      <c r="J74" s="32">
        <f t="shared" si="17"/>
        <v>1</v>
      </c>
    </row>
    <row r="75" spans="1:10" x14ac:dyDescent="0.25">
      <c r="A75" t="s">
        <v>20</v>
      </c>
      <c r="B75" t="s">
        <v>77</v>
      </c>
      <c r="C75">
        <v>3111714</v>
      </c>
      <c r="D75">
        <v>52</v>
      </c>
      <c r="E75" s="4">
        <v>-7648843.4000000004</v>
      </c>
      <c r="F75" t="s">
        <v>19</v>
      </c>
      <c r="G75">
        <v>2</v>
      </c>
      <c r="H75" s="32" t="str">
        <f ca="1">+IF(B75&gt;'sap nuevo'!$V$1,"cargar",IF(C75="","cargar","pagado"))</f>
        <v>cargar</v>
      </c>
      <c r="I75" s="32">
        <f t="shared" si="16"/>
        <v>2025</v>
      </c>
      <c r="J75" s="32">
        <f t="shared" si="17"/>
        <v>1</v>
      </c>
    </row>
    <row r="76" spans="1:10" x14ac:dyDescent="0.25">
      <c r="A76" t="s">
        <v>20</v>
      </c>
      <c r="B76" t="s">
        <v>73</v>
      </c>
      <c r="C76">
        <v>97123397</v>
      </c>
      <c r="D76">
        <v>140</v>
      </c>
      <c r="E76" s="4">
        <v>-13000000</v>
      </c>
      <c r="F76" t="s">
        <v>62</v>
      </c>
      <c r="G76">
        <v>0</v>
      </c>
      <c r="H76" s="32" t="str">
        <f ca="1">+IF(B76&gt;'sap nuevo'!$V$1,"cargar",IF(C76="","cargar","pagado"))</f>
        <v>cargar</v>
      </c>
      <c r="I76" s="32">
        <f t="shared" si="16"/>
        <v>2025</v>
      </c>
      <c r="J76" s="32">
        <f t="shared" si="17"/>
        <v>1</v>
      </c>
    </row>
    <row r="77" spans="1:10" x14ac:dyDescent="0.25">
      <c r="A77" t="s">
        <v>20</v>
      </c>
      <c r="B77" t="s">
        <v>78</v>
      </c>
      <c r="C77">
        <v>3111707</v>
      </c>
      <c r="D77">
        <v>52</v>
      </c>
      <c r="E77" s="4">
        <v>-12595484.16</v>
      </c>
      <c r="F77" t="s">
        <v>19</v>
      </c>
      <c r="G77">
        <v>2</v>
      </c>
      <c r="H77" s="32" t="str">
        <f ca="1">+IF(B77&gt;'sap nuevo'!$V$1,"cargar",IF(C77="","cargar","pagado"))</f>
        <v>cargar</v>
      </c>
      <c r="I77" s="32">
        <f t="shared" si="16"/>
        <v>2025</v>
      </c>
      <c r="J77" s="32">
        <f t="shared" si="17"/>
        <v>1</v>
      </c>
    </row>
    <row r="78" spans="1:10" x14ac:dyDescent="0.25">
      <c r="A78" t="s">
        <v>20</v>
      </c>
      <c r="B78" t="s">
        <v>78</v>
      </c>
      <c r="C78">
        <v>94231481</v>
      </c>
      <c r="D78">
        <v>52</v>
      </c>
      <c r="E78" s="4">
        <v>-300000</v>
      </c>
      <c r="F78" t="s">
        <v>19</v>
      </c>
      <c r="G78">
        <v>2</v>
      </c>
      <c r="H78" s="32" t="str">
        <f ca="1">+IF(B78&gt;'sap nuevo'!$V$1,"cargar",IF(C78="","cargar","pagado"))</f>
        <v>cargar</v>
      </c>
      <c r="I78" s="32">
        <f t="shared" si="16"/>
        <v>2025</v>
      </c>
      <c r="J78" s="32">
        <f t="shared" si="17"/>
        <v>1</v>
      </c>
    </row>
    <row r="79" spans="1:10" x14ac:dyDescent="0.25">
      <c r="A79" t="s">
        <v>20</v>
      </c>
      <c r="B79" t="s">
        <v>78</v>
      </c>
      <c r="C79">
        <v>94231482</v>
      </c>
      <c r="D79">
        <v>52</v>
      </c>
      <c r="E79" s="4">
        <v>-300000</v>
      </c>
      <c r="F79" t="s">
        <v>19</v>
      </c>
      <c r="G79">
        <v>2</v>
      </c>
      <c r="H79" s="32" t="str">
        <f ca="1">+IF(B79&gt;'sap nuevo'!$V$1,"cargar",IF(C79="","cargar","pagado"))</f>
        <v>cargar</v>
      </c>
      <c r="I79" s="32">
        <f t="shared" si="16"/>
        <v>2025</v>
      </c>
      <c r="J79" s="32">
        <f t="shared" si="17"/>
        <v>1</v>
      </c>
    </row>
    <row r="80" spans="1:10" x14ac:dyDescent="0.25">
      <c r="A80" t="s">
        <v>20</v>
      </c>
      <c r="B80" t="s">
        <v>78</v>
      </c>
      <c r="C80">
        <v>94231478</v>
      </c>
      <c r="D80">
        <v>52</v>
      </c>
      <c r="E80" s="4">
        <v>-100000</v>
      </c>
      <c r="F80" t="s">
        <v>19</v>
      </c>
      <c r="G80">
        <v>2</v>
      </c>
      <c r="H80" s="32" t="str">
        <f ca="1">+IF(B80&gt;'sap nuevo'!$V$1,"cargar",IF(C80="","cargar","pagado"))</f>
        <v>cargar</v>
      </c>
      <c r="I80" s="32">
        <f t="shared" si="16"/>
        <v>2025</v>
      </c>
      <c r="J80" s="32">
        <f t="shared" si="17"/>
        <v>1</v>
      </c>
    </row>
    <row r="81" spans="1:10" x14ac:dyDescent="0.25">
      <c r="A81" t="s">
        <v>20</v>
      </c>
      <c r="B81" t="s">
        <v>310</v>
      </c>
      <c r="C81">
        <v>3111725</v>
      </c>
      <c r="D81">
        <v>52</v>
      </c>
      <c r="E81" s="4">
        <v>-15000000</v>
      </c>
      <c r="F81" t="s">
        <v>19</v>
      </c>
      <c r="G81">
        <v>2</v>
      </c>
      <c r="H81" s="32" t="str">
        <f ca="1">+IF(B81&gt;'sap nuevo'!$V$1,"cargar",IF(C81="","cargar","pagado"))</f>
        <v>cargar</v>
      </c>
      <c r="I81" s="32">
        <f t="shared" si="16"/>
        <v>2025</v>
      </c>
      <c r="J81" s="32">
        <f t="shared" si="17"/>
        <v>1</v>
      </c>
    </row>
    <row r="82" spans="1:10" x14ac:dyDescent="0.25">
      <c r="A82" t="s">
        <v>20</v>
      </c>
      <c r="B82" t="s">
        <v>310</v>
      </c>
      <c r="C82">
        <v>3111723</v>
      </c>
      <c r="D82">
        <v>52</v>
      </c>
      <c r="E82" s="4">
        <v>-11658151.119999999</v>
      </c>
      <c r="F82" t="s">
        <v>19</v>
      </c>
      <c r="G82">
        <v>2</v>
      </c>
      <c r="H82" s="32" t="str">
        <f ca="1">+IF(B82&gt;'sap nuevo'!$V$1,"cargar",IF(C82="","cargar","pagado"))</f>
        <v>cargar</v>
      </c>
      <c r="I82" s="32">
        <f t="shared" ref="I82" si="18">+YEAR(B82)</f>
        <v>2025</v>
      </c>
      <c r="J82" s="32">
        <f t="shared" ref="J82" si="19">+MONTH(B82)</f>
        <v>1</v>
      </c>
    </row>
    <row r="83" spans="1:10" x14ac:dyDescent="0.25">
      <c r="A83" t="s">
        <v>20</v>
      </c>
      <c r="B83" t="s">
        <v>310</v>
      </c>
      <c r="C83">
        <v>3111715</v>
      </c>
      <c r="D83">
        <v>52</v>
      </c>
      <c r="E83" s="4">
        <v>-6992278.7800000003</v>
      </c>
      <c r="F83" t="s">
        <v>19</v>
      </c>
      <c r="G83">
        <v>2</v>
      </c>
      <c r="H83" s="32" t="str">
        <f ca="1">+IF(B83&gt;'sap nuevo'!$V$1,"cargar",IF(C83="","cargar","pagado"))</f>
        <v>cargar</v>
      </c>
      <c r="I83" s="32">
        <f t="shared" ref="I83:I94" si="20">+YEAR(B83)</f>
        <v>2025</v>
      </c>
      <c r="J83" s="32">
        <f t="shared" ref="J83:J94" si="21">+MONTH(B83)</f>
        <v>1</v>
      </c>
    </row>
    <row r="84" spans="1:10" x14ac:dyDescent="0.25">
      <c r="A84" t="s">
        <v>20</v>
      </c>
      <c r="B84" t="s">
        <v>310</v>
      </c>
      <c r="C84">
        <v>3111729</v>
      </c>
      <c r="D84">
        <v>52</v>
      </c>
      <c r="E84" s="4">
        <v>-6137336.0999999996</v>
      </c>
      <c r="F84" t="s">
        <v>19</v>
      </c>
      <c r="G84">
        <v>2</v>
      </c>
      <c r="H84" s="32" t="str">
        <f ca="1">+IF(B84&gt;'sap nuevo'!$V$1,"cargar",IF(C84="","cargar","pagado"))</f>
        <v>cargar</v>
      </c>
      <c r="I84" s="32">
        <f t="shared" si="20"/>
        <v>2025</v>
      </c>
      <c r="J84" s="32">
        <f t="shared" si="21"/>
        <v>1</v>
      </c>
    </row>
    <row r="85" spans="1:10" x14ac:dyDescent="0.25">
      <c r="A85" t="s">
        <v>20</v>
      </c>
      <c r="B85" t="s">
        <v>310</v>
      </c>
      <c r="C85">
        <v>94231502</v>
      </c>
      <c r="D85">
        <v>52</v>
      </c>
      <c r="E85" s="4">
        <v>-5000000</v>
      </c>
      <c r="F85" t="s">
        <v>19</v>
      </c>
      <c r="G85">
        <v>2</v>
      </c>
      <c r="H85" s="32" t="str">
        <f ca="1">+IF(B85&gt;'sap nuevo'!$V$1,"cargar",IF(C85="","cargar","pagado"))</f>
        <v>cargar</v>
      </c>
      <c r="I85" s="32">
        <f t="shared" si="20"/>
        <v>2025</v>
      </c>
      <c r="J85" s="32">
        <f t="shared" si="21"/>
        <v>1</v>
      </c>
    </row>
    <row r="86" spans="1:10" x14ac:dyDescent="0.25">
      <c r="A86" t="s">
        <v>20</v>
      </c>
      <c r="B86" t="s">
        <v>310</v>
      </c>
      <c r="C86">
        <v>94231503</v>
      </c>
      <c r="D86">
        <v>52</v>
      </c>
      <c r="E86" s="4">
        <v>-5000000</v>
      </c>
      <c r="F86" t="s">
        <v>19</v>
      </c>
      <c r="G86">
        <v>2</v>
      </c>
      <c r="H86" s="32" t="str">
        <f ca="1">+IF(B86&gt;'sap nuevo'!$V$1,"cargar",IF(C86="","cargar","pagado"))</f>
        <v>cargar</v>
      </c>
      <c r="I86" s="32">
        <f t="shared" si="20"/>
        <v>2025</v>
      </c>
      <c r="J86" s="32">
        <f t="shared" si="21"/>
        <v>1</v>
      </c>
    </row>
    <row r="87" spans="1:10" x14ac:dyDescent="0.25">
      <c r="A87" t="s">
        <v>20</v>
      </c>
      <c r="B87" t="s">
        <v>310</v>
      </c>
      <c r="C87">
        <v>94231504</v>
      </c>
      <c r="D87">
        <v>52</v>
      </c>
      <c r="E87" s="4">
        <v>-5000000</v>
      </c>
      <c r="F87" t="s">
        <v>19</v>
      </c>
      <c r="G87">
        <v>2</v>
      </c>
      <c r="H87" s="32" t="str">
        <f ca="1">+IF(B87&gt;'sap nuevo'!$V$1,"cargar",IF(C87="","cargar","pagado"))</f>
        <v>cargar</v>
      </c>
      <c r="I87" s="32">
        <f t="shared" si="20"/>
        <v>2025</v>
      </c>
      <c r="J87" s="32">
        <f t="shared" si="21"/>
        <v>1</v>
      </c>
    </row>
    <row r="88" spans="1:10" x14ac:dyDescent="0.25">
      <c r="A88" t="s">
        <v>20</v>
      </c>
      <c r="B88" t="s">
        <v>310</v>
      </c>
      <c r="C88">
        <v>94231505</v>
      </c>
      <c r="D88">
        <v>52</v>
      </c>
      <c r="E88" s="4">
        <v>-5000000</v>
      </c>
      <c r="F88" t="s">
        <v>19</v>
      </c>
      <c r="G88">
        <v>2</v>
      </c>
      <c r="H88" s="32" t="str">
        <f ca="1">+IF(B88&gt;'sap nuevo'!$V$1,"cargar",IF(C88="","cargar","pagado"))</f>
        <v>cargar</v>
      </c>
      <c r="I88" s="32">
        <f t="shared" si="20"/>
        <v>2025</v>
      </c>
      <c r="J88" s="32">
        <f t="shared" si="21"/>
        <v>1</v>
      </c>
    </row>
    <row r="89" spans="1:10" x14ac:dyDescent="0.25">
      <c r="A89" t="s">
        <v>20</v>
      </c>
      <c r="B89" t="s">
        <v>310</v>
      </c>
      <c r="C89">
        <v>94231506</v>
      </c>
      <c r="D89">
        <v>52</v>
      </c>
      <c r="E89" s="4">
        <v>-5000000</v>
      </c>
      <c r="F89" t="s">
        <v>19</v>
      </c>
      <c r="G89">
        <v>2</v>
      </c>
      <c r="H89" s="32" t="str">
        <f ca="1">+IF(B89&gt;'sap nuevo'!$V$1,"cargar",IF(C89="","cargar","pagado"))</f>
        <v>cargar</v>
      </c>
      <c r="I89" s="32">
        <f t="shared" si="20"/>
        <v>2025</v>
      </c>
      <c r="J89" s="32">
        <f t="shared" si="21"/>
        <v>1</v>
      </c>
    </row>
    <row r="90" spans="1:10" x14ac:dyDescent="0.25">
      <c r="A90" t="s">
        <v>20</v>
      </c>
      <c r="B90" t="s">
        <v>310</v>
      </c>
      <c r="C90">
        <v>3111720</v>
      </c>
      <c r="D90">
        <v>52</v>
      </c>
      <c r="E90" s="4">
        <v>-4709104.5</v>
      </c>
      <c r="F90" t="s">
        <v>19</v>
      </c>
      <c r="G90">
        <v>2</v>
      </c>
      <c r="H90" s="32" t="str">
        <f ca="1">+IF(B90&gt;'sap nuevo'!$V$1,"cargar",IF(C90="","cargar","pagado"))</f>
        <v>cargar</v>
      </c>
      <c r="I90" s="32">
        <f t="shared" si="20"/>
        <v>2025</v>
      </c>
      <c r="J90" s="32">
        <f t="shared" si="21"/>
        <v>1</v>
      </c>
    </row>
    <row r="91" spans="1:10" x14ac:dyDescent="0.25">
      <c r="A91" t="s">
        <v>20</v>
      </c>
      <c r="B91" t="s">
        <v>310</v>
      </c>
      <c r="C91">
        <v>3111727</v>
      </c>
      <c r="D91">
        <v>52</v>
      </c>
      <c r="E91" s="4">
        <v>-4066706</v>
      </c>
      <c r="F91" t="s">
        <v>19</v>
      </c>
      <c r="G91">
        <v>2</v>
      </c>
      <c r="H91" s="32" t="str">
        <f ca="1">+IF(B91&gt;'sap nuevo'!$V$1,"cargar",IF(C91="","cargar","pagado"))</f>
        <v>cargar</v>
      </c>
      <c r="I91" s="32">
        <f t="shared" si="20"/>
        <v>2025</v>
      </c>
      <c r="J91" s="32">
        <f t="shared" si="21"/>
        <v>1</v>
      </c>
    </row>
    <row r="92" spans="1:10" x14ac:dyDescent="0.25">
      <c r="A92" t="s">
        <v>20</v>
      </c>
      <c r="B92" t="s">
        <v>310</v>
      </c>
      <c r="C92">
        <v>3111719</v>
      </c>
      <c r="D92">
        <v>52</v>
      </c>
      <c r="E92" s="4">
        <v>-3366630.7</v>
      </c>
      <c r="F92" t="s">
        <v>19</v>
      </c>
      <c r="G92">
        <v>2</v>
      </c>
      <c r="H92" s="32" t="str">
        <f ca="1">+IF(B92&gt;'sap nuevo'!$V$1,"cargar",IF(C92="","cargar","pagado"))</f>
        <v>cargar</v>
      </c>
      <c r="I92" s="32">
        <f t="shared" si="20"/>
        <v>2025</v>
      </c>
      <c r="J92" s="32">
        <f t="shared" si="21"/>
        <v>1</v>
      </c>
    </row>
    <row r="93" spans="1:10" x14ac:dyDescent="0.25">
      <c r="A93" t="s">
        <v>20</v>
      </c>
      <c r="B93" t="s">
        <v>310</v>
      </c>
      <c r="C93">
        <v>3111728</v>
      </c>
      <c r="D93">
        <v>52</v>
      </c>
      <c r="E93" s="4">
        <v>-2906983.8</v>
      </c>
      <c r="F93" t="s">
        <v>19</v>
      </c>
      <c r="G93">
        <v>2</v>
      </c>
      <c r="H93" s="32" t="str">
        <f ca="1">+IF(B93&gt;'sap nuevo'!$V$1,"cargar",IF(C93="","cargar","pagado"))</f>
        <v>cargar</v>
      </c>
      <c r="I93" s="32">
        <f t="shared" si="20"/>
        <v>2025</v>
      </c>
      <c r="J93" s="32">
        <f t="shared" si="21"/>
        <v>1</v>
      </c>
    </row>
    <row r="94" spans="1:10" x14ac:dyDescent="0.25">
      <c r="A94" t="s">
        <v>20</v>
      </c>
      <c r="B94" t="s">
        <v>310</v>
      </c>
      <c r="C94">
        <v>97123392</v>
      </c>
      <c r="D94">
        <v>140</v>
      </c>
      <c r="E94" s="4">
        <v>-5005406.93</v>
      </c>
      <c r="F94" t="s">
        <v>62</v>
      </c>
      <c r="G94">
        <v>0</v>
      </c>
      <c r="H94" s="32" t="str">
        <f ca="1">+IF(B94&gt;'sap nuevo'!$V$1,"cargar",IF(C94="","cargar","pagado"))</f>
        <v>cargar</v>
      </c>
      <c r="I94" s="32">
        <f t="shared" si="20"/>
        <v>2025</v>
      </c>
      <c r="J94" s="32">
        <f t="shared" si="21"/>
        <v>1</v>
      </c>
    </row>
    <row r="95" spans="1:10" x14ac:dyDescent="0.25">
      <c r="A95" t="s">
        <v>20</v>
      </c>
      <c r="B95" t="s">
        <v>476</v>
      </c>
      <c r="C95">
        <v>94231493</v>
      </c>
      <c r="D95">
        <v>52</v>
      </c>
      <c r="E95" s="4">
        <v>-30000000</v>
      </c>
      <c r="F95" t="s">
        <v>19</v>
      </c>
      <c r="G95">
        <v>2</v>
      </c>
      <c r="H95" s="32" t="str">
        <f ca="1">+IF(B95&gt;'sap nuevo'!$V$1,"cargar",IF(C95="","cargar","pagado"))</f>
        <v>cargar</v>
      </c>
      <c r="I95" s="32">
        <f t="shared" ref="I95:I102" si="22">+YEAR(B95)</f>
        <v>2025</v>
      </c>
      <c r="J95" s="32">
        <f t="shared" ref="J95:J102" si="23">+MONTH(B95)</f>
        <v>1</v>
      </c>
    </row>
    <row r="96" spans="1:10" x14ac:dyDescent="0.25">
      <c r="A96" t="s">
        <v>20</v>
      </c>
      <c r="B96" t="s">
        <v>476</v>
      </c>
      <c r="C96">
        <v>3111726</v>
      </c>
      <c r="D96">
        <v>52</v>
      </c>
      <c r="E96" s="4">
        <v>-15648232.550000001</v>
      </c>
      <c r="F96" t="s">
        <v>19</v>
      </c>
      <c r="G96">
        <v>2</v>
      </c>
      <c r="H96" s="32" t="str">
        <f ca="1">+IF(B96&gt;'sap nuevo'!$V$1,"cargar",IF(C96="","cargar","pagado"))</f>
        <v>cargar</v>
      </c>
      <c r="I96" s="32">
        <f t="shared" si="22"/>
        <v>2025</v>
      </c>
      <c r="J96" s="32">
        <f t="shared" si="23"/>
        <v>1</v>
      </c>
    </row>
    <row r="97" spans="1:10" x14ac:dyDescent="0.25">
      <c r="A97" t="s">
        <v>20</v>
      </c>
      <c r="B97" t="s">
        <v>476</v>
      </c>
      <c r="C97">
        <v>3111680</v>
      </c>
      <c r="D97">
        <v>52</v>
      </c>
      <c r="E97" s="4">
        <v>-13000000</v>
      </c>
      <c r="F97" t="s">
        <v>19</v>
      </c>
      <c r="G97">
        <v>2</v>
      </c>
      <c r="H97" s="32" t="str">
        <f ca="1">+IF(B97&gt;'sap nuevo'!$V$1,"cargar",IF(C97="","cargar","pagado"))</f>
        <v>cargar</v>
      </c>
      <c r="I97" s="32">
        <f t="shared" si="22"/>
        <v>2025</v>
      </c>
      <c r="J97" s="32">
        <f t="shared" si="23"/>
        <v>1</v>
      </c>
    </row>
    <row r="98" spans="1:10" x14ac:dyDescent="0.25">
      <c r="A98" t="s">
        <v>20</v>
      </c>
      <c r="B98" t="s">
        <v>476</v>
      </c>
      <c r="C98">
        <v>94231495</v>
      </c>
      <c r="D98">
        <v>52</v>
      </c>
      <c r="E98" s="4">
        <v>-3169268.9</v>
      </c>
      <c r="F98" t="s">
        <v>19</v>
      </c>
      <c r="G98">
        <v>2</v>
      </c>
      <c r="H98" s="32" t="str">
        <f ca="1">+IF(B98&gt;'sap nuevo'!$V$1,"cargar",IF(C98="","cargar","pagado"))</f>
        <v>cargar</v>
      </c>
      <c r="I98" s="32">
        <f t="shared" si="22"/>
        <v>2025</v>
      </c>
      <c r="J98" s="32">
        <f t="shared" si="23"/>
        <v>1</v>
      </c>
    </row>
    <row r="99" spans="1:10" x14ac:dyDescent="0.25">
      <c r="A99" t="s">
        <v>20</v>
      </c>
      <c r="B99" t="s">
        <v>476</v>
      </c>
      <c r="C99">
        <v>94231494</v>
      </c>
      <c r="D99">
        <v>52</v>
      </c>
      <c r="E99" s="4">
        <v>-3000000</v>
      </c>
      <c r="F99" t="s">
        <v>19</v>
      </c>
      <c r="G99">
        <v>2</v>
      </c>
      <c r="H99" s="32" t="str">
        <f ca="1">+IF(B99&gt;'sap nuevo'!$V$1,"cargar",IF(C99="","cargar","pagado"))</f>
        <v>cargar</v>
      </c>
      <c r="I99" s="32">
        <f t="shared" si="22"/>
        <v>2025</v>
      </c>
      <c r="J99" s="32">
        <f t="shared" si="23"/>
        <v>1</v>
      </c>
    </row>
    <row r="100" spans="1:10" x14ac:dyDescent="0.25">
      <c r="A100" t="s">
        <v>20</v>
      </c>
      <c r="B100" t="s">
        <v>476</v>
      </c>
      <c r="C100">
        <v>94231486</v>
      </c>
      <c r="D100">
        <v>52</v>
      </c>
      <c r="E100" s="4">
        <v>-500000</v>
      </c>
      <c r="F100" t="s">
        <v>19</v>
      </c>
      <c r="G100">
        <v>2</v>
      </c>
      <c r="H100" s="32" t="str">
        <f ca="1">+IF(B100&gt;'sap nuevo'!$V$1,"cargar",IF(C100="","cargar","pagado"))</f>
        <v>cargar</v>
      </c>
      <c r="I100" s="32">
        <f t="shared" si="22"/>
        <v>2025</v>
      </c>
      <c r="J100" s="32">
        <f t="shared" si="23"/>
        <v>1</v>
      </c>
    </row>
    <row r="101" spans="1:10" x14ac:dyDescent="0.25">
      <c r="A101" t="s">
        <v>20</v>
      </c>
      <c r="B101" t="s">
        <v>476</v>
      </c>
      <c r="C101">
        <v>94231489</v>
      </c>
      <c r="D101">
        <v>52</v>
      </c>
      <c r="E101" s="4">
        <v>-500000</v>
      </c>
      <c r="F101" t="s">
        <v>19</v>
      </c>
      <c r="G101">
        <v>2</v>
      </c>
      <c r="H101" s="32" t="str">
        <f ca="1">+IF(B101&gt;'sap nuevo'!$V$1,"cargar",IF(C101="","cargar","pagado"))</f>
        <v>cargar</v>
      </c>
      <c r="I101" s="32">
        <f t="shared" si="22"/>
        <v>2025</v>
      </c>
      <c r="J101" s="32">
        <f t="shared" si="23"/>
        <v>1</v>
      </c>
    </row>
    <row r="102" spans="1:10" x14ac:dyDescent="0.25">
      <c r="A102" t="s">
        <v>20</v>
      </c>
      <c r="B102" t="s">
        <v>476</v>
      </c>
      <c r="C102">
        <v>94231490</v>
      </c>
      <c r="D102">
        <v>52</v>
      </c>
      <c r="E102" s="4">
        <v>-500000</v>
      </c>
      <c r="F102" t="s">
        <v>19</v>
      </c>
      <c r="G102">
        <v>2</v>
      </c>
      <c r="H102" s="32" t="str">
        <f ca="1">+IF(B102&gt;'sap nuevo'!$V$1,"cargar",IF(C102="","cargar","pagado"))</f>
        <v>cargar</v>
      </c>
      <c r="I102" s="32">
        <f t="shared" si="22"/>
        <v>2025</v>
      </c>
      <c r="J102" s="32">
        <f t="shared" si="23"/>
        <v>1</v>
      </c>
    </row>
    <row r="103" spans="1:10" x14ac:dyDescent="0.25">
      <c r="A103" t="s">
        <v>20</v>
      </c>
      <c r="B103" t="s">
        <v>79</v>
      </c>
      <c r="C103">
        <v>94231500</v>
      </c>
      <c r="D103">
        <v>52</v>
      </c>
      <c r="E103" s="4">
        <v>-3000000</v>
      </c>
      <c r="F103" t="s">
        <v>19</v>
      </c>
      <c r="G103">
        <v>2</v>
      </c>
      <c r="H103" s="32" t="str">
        <f ca="1">+IF(B103&gt;'sap nuevo'!$V$1,"cargar",IF(C103="","cargar","pagado"))</f>
        <v>cargar</v>
      </c>
      <c r="I103" s="32">
        <f t="shared" ref="I103" si="24">+YEAR(B103)</f>
        <v>2025</v>
      </c>
      <c r="J103" s="32">
        <f t="shared" ref="J103" si="25">+MONTH(B103)</f>
        <v>1</v>
      </c>
    </row>
    <row r="104" spans="1:10" x14ac:dyDescent="0.25">
      <c r="A104" t="s">
        <v>20</v>
      </c>
      <c r="B104" t="s">
        <v>79</v>
      </c>
      <c r="C104">
        <v>94231485</v>
      </c>
      <c r="D104">
        <v>52</v>
      </c>
      <c r="E104" s="4">
        <v>-500000</v>
      </c>
      <c r="F104" t="s">
        <v>19</v>
      </c>
      <c r="G104">
        <v>2</v>
      </c>
      <c r="H104" s="32" t="str">
        <f ca="1">+IF(B104&gt;'sap nuevo'!$V$1,"cargar",IF(C104="","cargar","pagado"))</f>
        <v>cargar</v>
      </c>
      <c r="I104" s="32">
        <f t="shared" ref="I104:I114" si="26">+YEAR(B104)</f>
        <v>2025</v>
      </c>
      <c r="J104" s="32">
        <f t="shared" ref="J104:J114" si="27">+MONTH(B104)</f>
        <v>1</v>
      </c>
    </row>
    <row r="105" spans="1:10" x14ac:dyDescent="0.25">
      <c r="A105" t="s">
        <v>20</v>
      </c>
      <c r="B105" t="s">
        <v>79</v>
      </c>
      <c r="C105">
        <v>94231487</v>
      </c>
      <c r="D105">
        <v>52</v>
      </c>
      <c r="E105" s="4">
        <v>-500000</v>
      </c>
      <c r="F105" t="s">
        <v>19</v>
      </c>
      <c r="G105">
        <v>2</v>
      </c>
      <c r="H105" s="32" t="str">
        <f ca="1">+IF(B105&gt;'sap nuevo'!$V$1,"cargar",IF(C105="","cargar","pagado"))</f>
        <v>cargar</v>
      </c>
      <c r="I105" s="32">
        <f t="shared" si="26"/>
        <v>2025</v>
      </c>
      <c r="J105" s="32">
        <f t="shared" si="27"/>
        <v>1</v>
      </c>
    </row>
    <row r="106" spans="1:10" x14ac:dyDescent="0.25">
      <c r="A106" t="s">
        <v>20</v>
      </c>
      <c r="B106" t="s">
        <v>79</v>
      </c>
      <c r="C106">
        <v>94231488</v>
      </c>
      <c r="D106">
        <v>52</v>
      </c>
      <c r="E106" s="4">
        <v>-500000</v>
      </c>
      <c r="F106" t="s">
        <v>19</v>
      </c>
      <c r="G106">
        <v>2</v>
      </c>
      <c r="H106" s="32" t="str">
        <f ca="1">+IF(B106&gt;'sap nuevo'!$V$1,"cargar",IF(C106="","cargar","pagado"))</f>
        <v>cargar</v>
      </c>
      <c r="I106" s="32">
        <f t="shared" si="26"/>
        <v>2025</v>
      </c>
      <c r="J106" s="32">
        <f t="shared" si="27"/>
        <v>1</v>
      </c>
    </row>
    <row r="107" spans="1:10" x14ac:dyDescent="0.25">
      <c r="A107" t="s">
        <v>20</v>
      </c>
      <c r="B107" t="s">
        <v>79</v>
      </c>
      <c r="C107">
        <v>94231491</v>
      </c>
      <c r="D107">
        <v>52</v>
      </c>
      <c r="E107" s="4">
        <v>-500000</v>
      </c>
      <c r="F107" t="s">
        <v>19</v>
      </c>
      <c r="G107">
        <v>2</v>
      </c>
      <c r="H107" s="32" t="str">
        <f ca="1">+IF(B107&gt;'sap nuevo'!$V$1,"cargar",IF(C107="","cargar","pagado"))</f>
        <v>cargar</v>
      </c>
      <c r="I107" s="32">
        <f t="shared" si="26"/>
        <v>2025</v>
      </c>
      <c r="J107" s="32">
        <f t="shared" si="27"/>
        <v>1</v>
      </c>
    </row>
    <row r="108" spans="1:10" x14ac:dyDescent="0.25">
      <c r="A108" t="s">
        <v>20</v>
      </c>
      <c r="B108" t="s">
        <v>79</v>
      </c>
      <c r="C108">
        <v>94231484</v>
      </c>
      <c r="D108">
        <v>52</v>
      </c>
      <c r="E108" s="4">
        <v>-300000</v>
      </c>
      <c r="F108" t="s">
        <v>19</v>
      </c>
      <c r="G108">
        <v>2</v>
      </c>
      <c r="H108" s="32" t="str">
        <f ca="1">+IF(B108&gt;'sap nuevo'!$V$1,"cargar",IF(C108="","cargar","pagado"))</f>
        <v>cargar</v>
      </c>
      <c r="I108" s="32">
        <f t="shared" si="26"/>
        <v>2025</v>
      </c>
      <c r="J108" s="32">
        <f t="shared" si="27"/>
        <v>1</v>
      </c>
    </row>
    <row r="109" spans="1:10" x14ac:dyDescent="0.25">
      <c r="A109" t="s">
        <v>12</v>
      </c>
      <c r="B109" t="s">
        <v>79</v>
      </c>
      <c r="C109">
        <v>97123394</v>
      </c>
      <c r="D109">
        <v>140</v>
      </c>
      <c r="E109" s="4">
        <v>-5036570.32</v>
      </c>
      <c r="F109" t="s">
        <v>63</v>
      </c>
      <c r="G109">
        <v>0</v>
      </c>
      <c r="H109" s="32" t="str">
        <f ca="1">+IF(B109&gt;'sap nuevo'!$V$1,"cargar",IF(C109="","cargar","pagado"))</f>
        <v>cargar</v>
      </c>
      <c r="I109" s="32">
        <f t="shared" si="26"/>
        <v>2025</v>
      </c>
      <c r="J109" s="32">
        <f t="shared" si="27"/>
        <v>1</v>
      </c>
    </row>
    <row r="110" spans="1:10" x14ac:dyDescent="0.25">
      <c r="A110" t="s">
        <v>20</v>
      </c>
      <c r="B110" t="s">
        <v>80</v>
      </c>
      <c r="C110">
        <v>3111721</v>
      </c>
      <c r="D110">
        <v>52</v>
      </c>
      <c r="E110" s="4">
        <v>-28667147.739999998</v>
      </c>
      <c r="F110" t="s">
        <v>19</v>
      </c>
      <c r="G110">
        <v>2</v>
      </c>
      <c r="H110" s="32" t="str">
        <f ca="1">+IF(B110&gt;'sap nuevo'!$V$1,"cargar",IF(C110="","cargar","pagado"))</f>
        <v>cargar</v>
      </c>
      <c r="I110" s="32">
        <f t="shared" si="26"/>
        <v>2025</v>
      </c>
      <c r="J110" s="32">
        <f t="shared" si="27"/>
        <v>2</v>
      </c>
    </row>
    <row r="111" spans="1:10" x14ac:dyDescent="0.25">
      <c r="A111" t="s">
        <v>20</v>
      </c>
      <c r="B111" t="s">
        <v>80</v>
      </c>
      <c r="C111">
        <v>94231512</v>
      </c>
      <c r="D111">
        <v>52</v>
      </c>
      <c r="E111" s="4">
        <v>-12333090</v>
      </c>
      <c r="F111" t="s">
        <v>19</v>
      </c>
      <c r="G111">
        <v>2</v>
      </c>
      <c r="H111" s="32" t="str">
        <f ca="1">+IF(B111&gt;'sap nuevo'!$V$1,"cargar",IF(C111="","cargar","pagado"))</f>
        <v>cargar</v>
      </c>
      <c r="I111" s="32">
        <f t="shared" si="26"/>
        <v>2025</v>
      </c>
      <c r="J111" s="32">
        <f t="shared" si="27"/>
        <v>2</v>
      </c>
    </row>
    <row r="112" spans="1:10" x14ac:dyDescent="0.25">
      <c r="A112" t="s">
        <v>20</v>
      </c>
      <c r="B112" t="s">
        <v>80</v>
      </c>
      <c r="C112">
        <v>3111731</v>
      </c>
      <c r="D112">
        <v>52</v>
      </c>
      <c r="E112" s="4">
        <v>-10000000</v>
      </c>
      <c r="F112" t="s">
        <v>19</v>
      </c>
      <c r="G112">
        <v>2</v>
      </c>
      <c r="H112" s="32" t="str">
        <f ca="1">+IF(B112&gt;'sap nuevo'!$V$1,"cargar",IF(C112="","cargar","pagado"))</f>
        <v>cargar</v>
      </c>
      <c r="I112" s="32">
        <f t="shared" si="26"/>
        <v>2025</v>
      </c>
      <c r="J112" s="32">
        <f t="shared" si="27"/>
        <v>2</v>
      </c>
    </row>
    <row r="113" spans="1:10" x14ac:dyDescent="0.25">
      <c r="A113" t="s">
        <v>20</v>
      </c>
      <c r="B113" t="s">
        <v>80</v>
      </c>
      <c r="C113">
        <v>3111734</v>
      </c>
      <c r="D113">
        <v>52</v>
      </c>
      <c r="E113" s="4">
        <v>-10000000</v>
      </c>
      <c r="F113" t="s">
        <v>19</v>
      </c>
      <c r="G113">
        <v>2</v>
      </c>
      <c r="H113" s="32" t="str">
        <f ca="1">+IF(B113&gt;'sap nuevo'!$V$1,"cargar",IF(C113="","cargar","pagado"))</f>
        <v>cargar</v>
      </c>
      <c r="I113" s="32">
        <f t="shared" si="26"/>
        <v>2025</v>
      </c>
      <c r="J113" s="32">
        <f t="shared" si="27"/>
        <v>2</v>
      </c>
    </row>
    <row r="114" spans="1:10" x14ac:dyDescent="0.25">
      <c r="A114" t="s">
        <v>20</v>
      </c>
      <c r="B114" t="s">
        <v>80</v>
      </c>
      <c r="C114">
        <v>3111737</v>
      </c>
      <c r="D114">
        <v>52</v>
      </c>
      <c r="E114" s="4">
        <v>-7715669.8200000003</v>
      </c>
      <c r="F114" t="s">
        <v>19</v>
      </c>
      <c r="G114">
        <v>2</v>
      </c>
      <c r="H114" s="32" t="str">
        <f ca="1">+IF(B114&gt;'sap nuevo'!$V$1,"cargar",IF(C114="","cargar","pagado"))</f>
        <v>cargar</v>
      </c>
      <c r="I114" s="32">
        <f t="shared" si="26"/>
        <v>2025</v>
      </c>
      <c r="J114" s="32">
        <f t="shared" si="27"/>
        <v>2</v>
      </c>
    </row>
    <row r="115" spans="1:10" x14ac:dyDescent="0.25">
      <c r="A115" t="s">
        <v>20</v>
      </c>
      <c r="B115" t="s">
        <v>80</v>
      </c>
      <c r="C115">
        <v>3111736</v>
      </c>
      <c r="D115">
        <v>52</v>
      </c>
      <c r="E115" s="4">
        <v>-7096905.2999999998</v>
      </c>
      <c r="F115" t="s">
        <v>19</v>
      </c>
      <c r="G115">
        <v>2</v>
      </c>
      <c r="H115" s="32" t="str">
        <f ca="1">+IF(B115&gt;'sap nuevo'!$V$1,"cargar",IF(C115="","cargar","pagado"))</f>
        <v>cargar</v>
      </c>
      <c r="I115" s="32">
        <f t="shared" ref="I115:I119" si="28">+YEAR(B115)</f>
        <v>2025</v>
      </c>
      <c r="J115" s="32">
        <f t="shared" ref="J115:J119" si="29">+MONTH(B115)</f>
        <v>2</v>
      </c>
    </row>
    <row r="116" spans="1:10" x14ac:dyDescent="0.25">
      <c r="A116" t="s">
        <v>20</v>
      </c>
      <c r="B116" t="s">
        <v>80</v>
      </c>
      <c r="C116">
        <v>3111733</v>
      </c>
      <c r="D116">
        <v>52</v>
      </c>
      <c r="E116" s="4">
        <v>-6705396.2999999998</v>
      </c>
      <c r="F116" t="s">
        <v>19</v>
      </c>
      <c r="G116">
        <v>2</v>
      </c>
      <c r="H116" s="32" t="str">
        <f ca="1">+IF(B116&gt;'sap nuevo'!$V$1,"cargar",IF(C116="","cargar","pagado"))</f>
        <v>cargar</v>
      </c>
      <c r="I116" s="32">
        <f t="shared" si="28"/>
        <v>2025</v>
      </c>
      <c r="J116" s="32">
        <f t="shared" si="29"/>
        <v>2</v>
      </c>
    </row>
    <row r="117" spans="1:10" x14ac:dyDescent="0.25">
      <c r="A117" t="s">
        <v>20</v>
      </c>
      <c r="B117" t="s">
        <v>80</v>
      </c>
      <c r="C117">
        <v>94231497</v>
      </c>
      <c r="D117">
        <v>52</v>
      </c>
      <c r="E117" s="4">
        <v>-1000000</v>
      </c>
      <c r="F117" t="s">
        <v>19</v>
      </c>
      <c r="G117">
        <v>2</v>
      </c>
      <c r="H117" s="32" t="str">
        <f ca="1">+IF(B117&gt;'sap nuevo'!$V$1,"cargar",IF(C117="","cargar","pagado"))</f>
        <v>cargar</v>
      </c>
      <c r="I117" s="32">
        <f t="shared" si="28"/>
        <v>2025</v>
      </c>
      <c r="J117" s="32">
        <f t="shared" si="29"/>
        <v>2</v>
      </c>
    </row>
    <row r="118" spans="1:10" x14ac:dyDescent="0.25">
      <c r="A118" t="s">
        <v>20</v>
      </c>
      <c r="B118" t="s">
        <v>80</v>
      </c>
      <c r="C118">
        <v>3111738</v>
      </c>
      <c r="D118">
        <v>52</v>
      </c>
      <c r="E118" s="4">
        <v>-447098.88</v>
      </c>
      <c r="F118" t="s">
        <v>19</v>
      </c>
      <c r="G118">
        <v>2</v>
      </c>
      <c r="H118" s="32" t="str">
        <f ca="1">+IF(B118&gt;'sap nuevo'!$V$1,"cargar",IF(C118="","cargar","pagado"))</f>
        <v>cargar</v>
      </c>
      <c r="I118" s="32">
        <f t="shared" si="28"/>
        <v>2025</v>
      </c>
      <c r="J118" s="32">
        <f t="shared" si="29"/>
        <v>2</v>
      </c>
    </row>
    <row r="119" spans="1:10" x14ac:dyDescent="0.25">
      <c r="A119" t="s">
        <v>20</v>
      </c>
      <c r="B119" t="s">
        <v>81</v>
      </c>
      <c r="C119">
        <v>3111661</v>
      </c>
      <c r="D119">
        <v>52</v>
      </c>
      <c r="E119" s="4">
        <v>-34925000</v>
      </c>
      <c r="F119" t="s">
        <v>19</v>
      </c>
      <c r="G119">
        <v>2</v>
      </c>
      <c r="H119" s="32" t="str">
        <f ca="1">+IF(B119&gt;'sap nuevo'!$V$1,"cargar",IF(C119="","cargar","pagado"))</f>
        <v>cargar</v>
      </c>
      <c r="I119" s="32">
        <f t="shared" si="28"/>
        <v>2025</v>
      </c>
      <c r="J119" s="32">
        <f t="shared" si="29"/>
        <v>2</v>
      </c>
    </row>
    <row r="120" spans="1:10" x14ac:dyDescent="0.25">
      <c r="A120" t="s">
        <v>20</v>
      </c>
      <c r="B120" t="s">
        <v>81</v>
      </c>
      <c r="C120">
        <v>3111730</v>
      </c>
      <c r="D120">
        <v>52</v>
      </c>
      <c r="E120" s="4">
        <v>-12503219.4</v>
      </c>
      <c r="F120" t="s">
        <v>19</v>
      </c>
      <c r="G120">
        <v>2</v>
      </c>
      <c r="H120" s="32" t="str">
        <f ca="1">+IF(B120&gt;'sap nuevo'!$V$1,"cargar",IF(C120="","cargar","pagado"))</f>
        <v>cargar</v>
      </c>
      <c r="I120" s="32">
        <f t="shared" ref="I120:I128" si="30">+YEAR(B120)</f>
        <v>2025</v>
      </c>
      <c r="J120" s="32">
        <f t="shared" ref="J120:J128" si="31">+MONTH(B120)</f>
        <v>2</v>
      </c>
    </row>
    <row r="121" spans="1:10" x14ac:dyDescent="0.25">
      <c r="A121" t="s">
        <v>20</v>
      </c>
      <c r="B121" t="s">
        <v>81</v>
      </c>
      <c r="C121">
        <v>3111735</v>
      </c>
      <c r="D121">
        <v>52</v>
      </c>
      <c r="E121" s="4">
        <v>-10351673.4</v>
      </c>
      <c r="F121" t="s">
        <v>19</v>
      </c>
      <c r="G121">
        <v>2</v>
      </c>
      <c r="H121" s="32" t="str">
        <f ca="1">+IF(B121&gt;'sap nuevo'!$V$1,"cargar",IF(C121="","cargar","pagado"))</f>
        <v>cargar</v>
      </c>
      <c r="I121" s="32">
        <f t="shared" si="30"/>
        <v>2025</v>
      </c>
      <c r="J121" s="32">
        <f t="shared" si="31"/>
        <v>2</v>
      </c>
    </row>
    <row r="122" spans="1:10" x14ac:dyDescent="0.25">
      <c r="A122" t="s">
        <v>20</v>
      </c>
      <c r="B122" t="s">
        <v>81</v>
      </c>
      <c r="C122">
        <v>3111732</v>
      </c>
      <c r="D122">
        <v>52</v>
      </c>
      <c r="E122" s="4">
        <v>-10058167.15</v>
      </c>
      <c r="F122" t="s">
        <v>19</v>
      </c>
      <c r="G122">
        <v>2</v>
      </c>
      <c r="H122" s="32" t="str">
        <f ca="1">+IF(B122&gt;'sap nuevo'!$V$1,"cargar",IF(C122="","cargar","pagado"))</f>
        <v>cargar</v>
      </c>
      <c r="I122" s="32">
        <f t="shared" si="30"/>
        <v>2025</v>
      </c>
      <c r="J122" s="32">
        <f t="shared" si="31"/>
        <v>2</v>
      </c>
    </row>
    <row r="123" spans="1:10" x14ac:dyDescent="0.25">
      <c r="A123" t="s">
        <v>20</v>
      </c>
      <c r="B123" t="s">
        <v>81</v>
      </c>
      <c r="C123">
        <v>3111722</v>
      </c>
      <c r="D123">
        <v>52</v>
      </c>
      <c r="E123" s="4">
        <v>-8807343.4000000004</v>
      </c>
      <c r="F123" t="s">
        <v>19</v>
      </c>
      <c r="G123">
        <v>2</v>
      </c>
      <c r="H123" s="32" t="str">
        <f ca="1">+IF(B123&gt;'sap nuevo'!$V$1,"cargar",IF(C123="","cargar","pagado"))</f>
        <v>cargar</v>
      </c>
      <c r="I123" s="32">
        <f t="shared" si="30"/>
        <v>2025</v>
      </c>
      <c r="J123" s="32">
        <f t="shared" si="31"/>
        <v>2</v>
      </c>
    </row>
    <row r="124" spans="1:10" x14ac:dyDescent="0.25">
      <c r="A124" t="s">
        <v>20</v>
      </c>
      <c r="B124" t="s">
        <v>477</v>
      </c>
      <c r="C124">
        <v>3111741</v>
      </c>
      <c r="D124">
        <v>52</v>
      </c>
      <c r="E124" s="4">
        <v>-16676986.76</v>
      </c>
      <c r="F124" t="s">
        <v>19</v>
      </c>
      <c r="G124">
        <v>2</v>
      </c>
      <c r="H124" s="32" t="str">
        <f ca="1">+IF(B124&gt;'sap nuevo'!$V$1,"cargar",IF(C124="","cargar","pagado"))</f>
        <v>cargar</v>
      </c>
      <c r="I124" s="32">
        <f t="shared" si="30"/>
        <v>2025</v>
      </c>
      <c r="J124" s="32">
        <f t="shared" si="31"/>
        <v>2</v>
      </c>
    </row>
    <row r="125" spans="1:10" x14ac:dyDescent="0.25">
      <c r="A125" t="s">
        <v>20</v>
      </c>
      <c r="B125" t="s">
        <v>477</v>
      </c>
      <c r="C125">
        <v>3111740</v>
      </c>
      <c r="D125">
        <v>52</v>
      </c>
      <c r="E125" s="4">
        <v>-11090156.210000001</v>
      </c>
      <c r="F125" t="s">
        <v>19</v>
      </c>
      <c r="G125">
        <v>2</v>
      </c>
      <c r="H125" s="32" t="str">
        <f ca="1">+IF(B125&gt;'sap nuevo'!$V$1,"cargar",IF(C125="","cargar","pagado"))</f>
        <v>cargar</v>
      </c>
      <c r="I125" s="32">
        <f t="shared" si="30"/>
        <v>2025</v>
      </c>
      <c r="J125" s="32">
        <f t="shared" si="31"/>
        <v>2</v>
      </c>
    </row>
    <row r="126" spans="1:10" x14ac:dyDescent="0.25">
      <c r="A126" t="s">
        <v>20</v>
      </c>
      <c r="B126" t="s">
        <v>82</v>
      </c>
      <c r="C126">
        <v>94231492</v>
      </c>
      <c r="D126">
        <v>52</v>
      </c>
      <c r="E126" s="4">
        <v>-1200000</v>
      </c>
      <c r="F126" t="s">
        <v>19</v>
      </c>
      <c r="G126">
        <v>2</v>
      </c>
      <c r="H126" s="32" t="str">
        <f ca="1">+IF(B126&gt;'sap nuevo'!$V$1,"cargar",IF(C126="","cargar","pagado"))</f>
        <v>cargar</v>
      </c>
      <c r="I126" s="32">
        <f t="shared" si="30"/>
        <v>2025</v>
      </c>
      <c r="J126" s="32">
        <f t="shared" si="31"/>
        <v>2</v>
      </c>
    </row>
    <row r="127" spans="1:10" x14ac:dyDescent="0.25">
      <c r="A127" t="s">
        <v>20</v>
      </c>
      <c r="B127" t="s">
        <v>82</v>
      </c>
      <c r="C127">
        <v>94231477</v>
      </c>
      <c r="D127">
        <v>52</v>
      </c>
      <c r="E127" s="4">
        <v>-100000</v>
      </c>
      <c r="F127" t="s">
        <v>19</v>
      </c>
      <c r="G127">
        <v>2</v>
      </c>
      <c r="H127" s="32" t="str">
        <f ca="1">+IF(B127&gt;'sap nuevo'!$V$1,"cargar",IF(C127="","cargar","pagado"))</f>
        <v>cargar</v>
      </c>
      <c r="I127" s="32">
        <f t="shared" si="30"/>
        <v>2025</v>
      </c>
      <c r="J127" s="32">
        <f t="shared" si="31"/>
        <v>2</v>
      </c>
    </row>
    <row r="128" spans="1:10" x14ac:dyDescent="0.25">
      <c r="A128" t="s">
        <v>20</v>
      </c>
      <c r="B128" t="s">
        <v>83</v>
      </c>
      <c r="C128">
        <v>3111594</v>
      </c>
      <c r="D128">
        <v>52</v>
      </c>
      <c r="E128" s="4">
        <v>-51352490.140000001</v>
      </c>
      <c r="F128" t="s">
        <v>19</v>
      </c>
      <c r="G128">
        <v>2</v>
      </c>
      <c r="H128" s="32" t="str">
        <f ca="1">+IF(B128&gt;'sap nuevo'!$V$1,"cargar",IF(C128="","cargar","pagado"))</f>
        <v>cargar</v>
      </c>
      <c r="I128" s="32">
        <f t="shared" si="30"/>
        <v>2025</v>
      </c>
      <c r="J128" s="32">
        <f t="shared" si="31"/>
        <v>2</v>
      </c>
    </row>
    <row r="129" spans="1:10" x14ac:dyDescent="0.25">
      <c r="A129" t="s">
        <v>20</v>
      </c>
      <c r="B129" t="s">
        <v>84</v>
      </c>
      <c r="C129">
        <v>97123407</v>
      </c>
      <c r="D129">
        <v>140</v>
      </c>
      <c r="E129" s="4">
        <v>-12297143.4</v>
      </c>
      <c r="F129" t="s">
        <v>62</v>
      </c>
      <c r="G129">
        <v>0</v>
      </c>
      <c r="H129" s="32" t="str">
        <f ca="1">+IF(B129&gt;'sap nuevo'!$V$1,"cargar",IF(C129="","cargar","pagado"))</f>
        <v>cargar</v>
      </c>
      <c r="I129" s="32">
        <f t="shared" ref="I129:I146" si="32">+YEAR(B129)</f>
        <v>2025</v>
      </c>
      <c r="J129" s="32">
        <f t="shared" ref="J129:J146" si="33">+MONTH(B129)</f>
        <v>2</v>
      </c>
    </row>
    <row r="130" spans="1:10" x14ac:dyDescent="0.25">
      <c r="A130" t="s">
        <v>20</v>
      </c>
      <c r="B130" t="s">
        <v>84</v>
      </c>
      <c r="C130">
        <v>97123414</v>
      </c>
      <c r="D130">
        <v>140</v>
      </c>
      <c r="E130" s="4">
        <v>-9950269.6699999999</v>
      </c>
      <c r="F130" t="s">
        <v>62</v>
      </c>
      <c r="G130">
        <v>0</v>
      </c>
      <c r="H130" s="32" t="str">
        <f ca="1">+IF(B130&gt;'sap nuevo'!$V$1,"cargar",IF(C130="","cargar","pagado"))</f>
        <v>cargar</v>
      </c>
      <c r="I130" s="32">
        <f t="shared" si="32"/>
        <v>2025</v>
      </c>
      <c r="J130" s="32">
        <f t="shared" si="33"/>
        <v>2</v>
      </c>
    </row>
    <row r="131" spans="1:10" x14ac:dyDescent="0.25">
      <c r="A131" t="s">
        <v>20</v>
      </c>
      <c r="B131" t="s">
        <v>84</v>
      </c>
      <c r="C131">
        <v>97123408</v>
      </c>
      <c r="D131">
        <v>140</v>
      </c>
      <c r="E131" s="4">
        <v>-5724935.4000000004</v>
      </c>
      <c r="F131" t="s">
        <v>62</v>
      </c>
      <c r="G131">
        <v>0</v>
      </c>
      <c r="H131" s="32" t="str">
        <f ca="1">+IF(B131&gt;'sap nuevo'!$V$1,"cargar",IF(C131="","cargar","pagado"))</f>
        <v>cargar</v>
      </c>
      <c r="I131" s="32">
        <f t="shared" si="32"/>
        <v>2025</v>
      </c>
      <c r="J131" s="32">
        <f t="shared" si="33"/>
        <v>2</v>
      </c>
    </row>
    <row r="132" spans="1:10" x14ac:dyDescent="0.25">
      <c r="A132" t="s">
        <v>20</v>
      </c>
      <c r="B132" t="s">
        <v>84</v>
      </c>
      <c r="C132">
        <v>97123415</v>
      </c>
      <c r="D132">
        <v>140</v>
      </c>
      <c r="E132" s="4">
        <v>-5148588.67</v>
      </c>
      <c r="F132" t="s">
        <v>62</v>
      </c>
      <c r="G132">
        <v>0</v>
      </c>
      <c r="H132" s="32" t="str">
        <f ca="1">+IF(B132&gt;'sap nuevo'!$V$1,"cargar",IF(C132="","cargar","pagado"))</f>
        <v>cargar</v>
      </c>
      <c r="I132" s="32">
        <f t="shared" si="32"/>
        <v>2025</v>
      </c>
      <c r="J132" s="32">
        <f t="shared" si="33"/>
        <v>2</v>
      </c>
    </row>
    <row r="133" spans="1:10" x14ac:dyDescent="0.25">
      <c r="A133" t="s">
        <v>20</v>
      </c>
      <c r="B133" t="s">
        <v>84</v>
      </c>
      <c r="C133">
        <v>97123413</v>
      </c>
      <c r="D133">
        <v>140</v>
      </c>
      <c r="E133" s="4">
        <v>-4418438.22</v>
      </c>
      <c r="F133" t="s">
        <v>62</v>
      </c>
      <c r="G133">
        <v>0</v>
      </c>
      <c r="H133" s="32" t="str">
        <f ca="1">+IF(B133&gt;'sap nuevo'!$V$1,"cargar",IF(C133="","cargar","pagado"))</f>
        <v>cargar</v>
      </c>
      <c r="I133" s="32">
        <f t="shared" si="32"/>
        <v>2025</v>
      </c>
      <c r="J133" s="32">
        <f t="shared" si="33"/>
        <v>2</v>
      </c>
    </row>
    <row r="134" spans="1:10" x14ac:dyDescent="0.25">
      <c r="A134" t="s">
        <v>12</v>
      </c>
      <c r="B134" t="s">
        <v>84</v>
      </c>
      <c r="C134">
        <v>97123418</v>
      </c>
      <c r="D134">
        <v>140</v>
      </c>
      <c r="E134" s="4">
        <v>-4207024.83</v>
      </c>
      <c r="F134" t="s">
        <v>63</v>
      </c>
      <c r="G134">
        <v>0</v>
      </c>
      <c r="H134" s="32" t="str">
        <f ca="1">+IF(B134&gt;'sap nuevo'!$V$1,"cargar",IF(C134="","cargar","pagado"))</f>
        <v>cargar</v>
      </c>
      <c r="I134" s="32">
        <f t="shared" si="32"/>
        <v>2025</v>
      </c>
      <c r="J134" s="32">
        <f t="shared" si="33"/>
        <v>2</v>
      </c>
    </row>
    <row r="135" spans="1:10" x14ac:dyDescent="0.25">
      <c r="A135" t="s">
        <v>20</v>
      </c>
      <c r="B135" t="s">
        <v>311</v>
      </c>
      <c r="C135">
        <v>97123412</v>
      </c>
      <c r="D135">
        <v>140</v>
      </c>
      <c r="E135" s="4">
        <v>-15715717.939999999</v>
      </c>
      <c r="F135" t="s">
        <v>62</v>
      </c>
      <c r="G135">
        <v>0</v>
      </c>
      <c r="H135" s="32" t="str">
        <f ca="1">+IF(B135&gt;'sap nuevo'!$V$1,"cargar",IF(C135="","cargar","pagado"))</f>
        <v>cargar</v>
      </c>
      <c r="I135" s="32">
        <f t="shared" si="32"/>
        <v>2025</v>
      </c>
      <c r="J135" s="32">
        <f t="shared" si="33"/>
        <v>2</v>
      </c>
    </row>
    <row r="136" spans="1:10" x14ac:dyDescent="0.25">
      <c r="A136" t="s">
        <v>20</v>
      </c>
      <c r="B136" t="s">
        <v>311</v>
      </c>
      <c r="C136">
        <v>97123409</v>
      </c>
      <c r="D136">
        <v>140</v>
      </c>
      <c r="E136" s="4">
        <v>-11745311.539999999</v>
      </c>
      <c r="F136" t="s">
        <v>62</v>
      </c>
      <c r="G136">
        <v>0</v>
      </c>
      <c r="H136" s="32" t="str">
        <f ca="1">+IF(B136&gt;'sap nuevo'!$V$1,"cargar",IF(C136="","cargar","pagado"))</f>
        <v>cargar</v>
      </c>
      <c r="I136" s="32">
        <f t="shared" si="32"/>
        <v>2025</v>
      </c>
      <c r="J136" s="32">
        <f t="shared" si="33"/>
        <v>2</v>
      </c>
    </row>
    <row r="137" spans="1:10" x14ac:dyDescent="0.25">
      <c r="A137" t="s">
        <v>20</v>
      </c>
      <c r="B137" t="s">
        <v>311</v>
      </c>
      <c r="C137">
        <v>97123410</v>
      </c>
      <c r="D137">
        <v>140</v>
      </c>
      <c r="E137" s="4">
        <v>-8495499.3399999999</v>
      </c>
      <c r="F137" t="s">
        <v>62</v>
      </c>
      <c r="G137">
        <v>0</v>
      </c>
      <c r="H137" s="32" t="str">
        <f ca="1">+IF(B137&gt;'sap nuevo'!$V$1,"cargar",IF(C137="","cargar","pagado"))</f>
        <v>cargar</v>
      </c>
      <c r="I137" s="32">
        <f t="shared" si="32"/>
        <v>2025</v>
      </c>
      <c r="J137" s="32">
        <f t="shared" si="33"/>
        <v>2</v>
      </c>
    </row>
    <row r="138" spans="1:10" x14ac:dyDescent="0.25">
      <c r="A138" t="s">
        <v>20</v>
      </c>
      <c r="B138" t="s">
        <v>312</v>
      </c>
      <c r="C138">
        <v>94231511</v>
      </c>
      <c r="D138">
        <v>52</v>
      </c>
      <c r="E138" s="4">
        <v>-5897766.25</v>
      </c>
      <c r="F138" t="s">
        <v>19</v>
      </c>
      <c r="G138">
        <v>2</v>
      </c>
      <c r="H138" s="32" t="str">
        <f ca="1">+IF(B138&gt;'sap nuevo'!$V$1,"cargar",IF(C138="","cargar","pagado"))</f>
        <v>cargar</v>
      </c>
      <c r="I138" s="32">
        <f t="shared" si="32"/>
        <v>2025</v>
      </c>
      <c r="J138" s="32">
        <f t="shared" si="33"/>
        <v>2</v>
      </c>
    </row>
    <row r="139" spans="1:10" x14ac:dyDescent="0.25">
      <c r="A139" t="s">
        <v>20</v>
      </c>
      <c r="B139" t="s">
        <v>312</v>
      </c>
      <c r="C139">
        <v>94231507</v>
      </c>
      <c r="D139">
        <v>52</v>
      </c>
      <c r="E139" s="4">
        <v>-5000000</v>
      </c>
      <c r="F139" t="s">
        <v>19</v>
      </c>
      <c r="G139">
        <v>2</v>
      </c>
      <c r="H139" s="32" t="str">
        <f ca="1">+IF(B139&gt;'sap nuevo'!$V$1,"cargar",IF(C139="","cargar","pagado"))</f>
        <v>cargar</v>
      </c>
      <c r="I139" s="32">
        <f t="shared" si="32"/>
        <v>2025</v>
      </c>
      <c r="J139" s="32">
        <f t="shared" si="33"/>
        <v>2</v>
      </c>
    </row>
    <row r="140" spans="1:10" x14ac:dyDescent="0.25">
      <c r="A140" t="s">
        <v>20</v>
      </c>
      <c r="B140" t="s">
        <v>312</v>
      </c>
      <c r="C140">
        <v>94231508</v>
      </c>
      <c r="D140">
        <v>52</v>
      </c>
      <c r="E140" s="4">
        <v>-5000000</v>
      </c>
      <c r="F140" t="s">
        <v>19</v>
      </c>
      <c r="G140">
        <v>2</v>
      </c>
      <c r="H140" s="32" t="str">
        <f ca="1">+IF(B140&gt;'sap nuevo'!$V$1,"cargar",IF(C140="","cargar","pagado"))</f>
        <v>cargar</v>
      </c>
      <c r="I140" s="32">
        <f t="shared" si="32"/>
        <v>2025</v>
      </c>
      <c r="J140" s="32">
        <f t="shared" si="33"/>
        <v>2</v>
      </c>
    </row>
    <row r="141" spans="1:10" x14ac:dyDescent="0.25">
      <c r="A141" t="s">
        <v>20</v>
      </c>
      <c r="B141" t="s">
        <v>312</v>
      </c>
      <c r="C141">
        <v>94231509</v>
      </c>
      <c r="D141">
        <v>52</v>
      </c>
      <c r="E141" s="4">
        <v>-5000000</v>
      </c>
      <c r="F141" t="s">
        <v>19</v>
      </c>
      <c r="G141">
        <v>2</v>
      </c>
      <c r="H141" s="32" t="str">
        <f ca="1">+IF(B141&gt;'sap nuevo'!$V$1,"cargar",IF(C141="","cargar","pagado"))</f>
        <v>cargar</v>
      </c>
      <c r="I141" s="32">
        <f t="shared" si="32"/>
        <v>2025</v>
      </c>
      <c r="J141" s="32">
        <f t="shared" si="33"/>
        <v>2</v>
      </c>
    </row>
    <row r="142" spans="1:10" x14ac:dyDescent="0.25">
      <c r="A142" t="s">
        <v>20</v>
      </c>
      <c r="B142" t="s">
        <v>312</v>
      </c>
      <c r="C142">
        <v>94231510</v>
      </c>
      <c r="D142">
        <v>52</v>
      </c>
      <c r="E142" s="4">
        <v>-5000000</v>
      </c>
      <c r="F142" t="s">
        <v>19</v>
      </c>
      <c r="G142">
        <v>2</v>
      </c>
      <c r="H142" s="32" t="str">
        <f ca="1">+IF(B142&gt;'sap nuevo'!$V$1,"cargar",IF(C142="","cargar","pagado"))</f>
        <v>cargar</v>
      </c>
      <c r="I142" s="32">
        <f t="shared" si="32"/>
        <v>2025</v>
      </c>
      <c r="J142" s="32">
        <f t="shared" si="33"/>
        <v>2</v>
      </c>
    </row>
    <row r="143" spans="1:10" x14ac:dyDescent="0.25">
      <c r="A143" t="s">
        <v>20</v>
      </c>
      <c r="B143" t="s">
        <v>312</v>
      </c>
      <c r="C143">
        <v>94231501</v>
      </c>
      <c r="D143">
        <v>52</v>
      </c>
      <c r="E143" s="4">
        <v>-3000000</v>
      </c>
      <c r="F143" t="s">
        <v>19</v>
      </c>
      <c r="G143">
        <v>2</v>
      </c>
      <c r="H143" s="32" t="str">
        <f ca="1">+IF(B143&gt;'sap nuevo'!$V$1,"cargar",IF(C143="","cargar","pagado"))</f>
        <v>cargar</v>
      </c>
      <c r="I143" s="32">
        <f t="shared" si="32"/>
        <v>2025</v>
      </c>
      <c r="J143" s="32">
        <f t="shared" si="33"/>
        <v>2</v>
      </c>
    </row>
    <row r="144" spans="1:10" x14ac:dyDescent="0.25">
      <c r="A144" t="s">
        <v>20</v>
      </c>
      <c r="B144" t="s">
        <v>312</v>
      </c>
      <c r="C144">
        <v>3111739</v>
      </c>
      <c r="D144">
        <v>52</v>
      </c>
      <c r="E144" s="4">
        <v>-670237.47</v>
      </c>
      <c r="F144" t="s">
        <v>19</v>
      </c>
      <c r="G144">
        <v>2</v>
      </c>
      <c r="H144" s="32" t="str">
        <f ca="1">+IF(B144&gt;'sap nuevo'!$V$1,"cargar",IF(C144="","cargar","pagado"))</f>
        <v>cargar</v>
      </c>
      <c r="I144" s="32">
        <f t="shared" si="32"/>
        <v>2025</v>
      </c>
      <c r="J144" s="32">
        <f t="shared" si="33"/>
        <v>2</v>
      </c>
    </row>
    <row r="145" spans="1:10" x14ac:dyDescent="0.25">
      <c r="A145" t="s">
        <v>20</v>
      </c>
      <c r="B145" t="s">
        <v>312</v>
      </c>
      <c r="C145">
        <v>94231479</v>
      </c>
      <c r="D145">
        <v>52</v>
      </c>
      <c r="E145" s="4">
        <v>-100000</v>
      </c>
      <c r="F145" t="s">
        <v>19</v>
      </c>
      <c r="G145">
        <v>2</v>
      </c>
      <c r="H145" s="32" t="str">
        <f ca="1">+IF(B145&gt;'sap nuevo'!$V$1,"cargar",IF(C145="","cargar","pagado"))</f>
        <v>cargar</v>
      </c>
      <c r="I145" s="32">
        <f t="shared" si="32"/>
        <v>2025</v>
      </c>
      <c r="J145" s="32">
        <f t="shared" si="33"/>
        <v>2</v>
      </c>
    </row>
    <row r="146" spans="1:10" x14ac:dyDescent="0.25">
      <c r="A146" t="s">
        <v>20</v>
      </c>
      <c r="B146" t="s">
        <v>85</v>
      </c>
      <c r="C146">
        <v>3111742</v>
      </c>
      <c r="D146">
        <v>52</v>
      </c>
      <c r="E146" s="4">
        <v>-1553117.04</v>
      </c>
      <c r="F146" t="s">
        <v>19</v>
      </c>
      <c r="G146">
        <v>2</v>
      </c>
      <c r="H146" s="32" t="str">
        <f ca="1">+IF(B146&gt;'sap nuevo'!$V$1,"cargar",IF(C146="","cargar","pagado"))</f>
        <v>cargar</v>
      </c>
      <c r="I146" s="32">
        <f t="shared" si="32"/>
        <v>2025</v>
      </c>
      <c r="J146" s="32">
        <f t="shared" si="33"/>
        <v>2</v>
      </c>
    </row>
    <row r="147" spans="1:10" x14ac:dyDescent="0.25">
      <c r="A147" t="s">
        <v>12</v>
      </c>
      <c r="B147" t="s">
        <v>312</v>
      </c>
      <c r="C147">
        <v>97123420</v>
      </c>
      <c r="D147">
        <v>140</v>
      </c>
      <c r="E147" s="4">
        <v>-19483734.969999999</v>
      </c>
      <c r="F147" t="s">
        <v>63</v>
      </c>
      <c r="G147">
        <v>0</v>
      </c>
      <c r="H147" s="32" t="str">
        <f ca="1">+IF(B147&gt;'sap nuevo'!$V$1,"cargar",IF(C147="","cargar","pagado"))</f>
        <v>cargar</v>
      </c>
      <c r="I147" s="32">
        <f t="shared" ref="I147:I158" si="34">+YEAR(B147)</f>
        <v>2025</v>
      </c>
      <c r="J147" s="32">
        <f t="shared" ref="J147:J158" si="35">+MONTH(B147)</f>
        <v>2</v>
      </c>
    </row>
    <row r="148" spans="1:10" x14ac:dyDescent="0.25">
      <c r="A148" t="s">
        <v>12</v>
      </c>
      <c r="B148" t="s">
        <v>312</v>
      </c>
      <c r="C148">
        <v>97123419</v>
      </c>
      <c r="D148">
        <v>140</v>
      </c>
      <c r="E148" s="4">
        <v>-18115857.57</v>
      </c>
      <c r="F148" t="s">
        <v>63</v>
      </c>
      <c r="G148">
        <v>0</v>
      </c>
      <c r="H148" s="32" t="str">
        <f ca="1">+IF(B148&gt;'sap nuevo'!$V$1,"cargar",IF(C148="","cargar","pagado"))</f>
        <v>cargar</v>
      </c>
      <c r="I148" s="32">
        <f t="shared" si="34"/>
        <v>2025</v>
      </c>
      <c r="J148" s="32">
        <f t="shared" si="35"/>
        <v>2</v>
      </c>
    </row>
    <row r="149" spans="1:10" x14ac:dyDescent="0.25">
      <c r="A149" t="s">
        <v>20</v>
      </c>
      <c r="B149" t="s">
        <v>312</v>
      </c>
      <c r="C149">
        <v>97123406</v>
      </c>
      <c r="D149">
        <v>140</v>
      </c>
      <c r="E149" s="4">
        <v>-7560293.4000000004</v>
      </c>
      <c r="F149" t="s">
        <v>62</v>
      </c>
      <c r="G149">
        <v>0</v>
      </c>
      <c r="H149" s="32" t="str">
        <f ca="1">+IF(B149&gt;'sap nuevo'!$V$1,"cargar",IF(C149="","cargar","pagado"))</f>
        <v>cargar</v>
      </c>
      <c r="I149" s="32">
        <f t="shared" si="34"/>
        <v>2025</v>
      </c>
      <c r="J149" s="32">
        <f t="shared" si="35"/>
        <v>2</v>
      </c>
    </row>
    <row r="150" spans="1:10" x14ac:dyDescent="0.25">
      <c r="A150" t="s">
        <v>20</v>
      </c>
      <c r="B150" t="s">
        <v>86</v>
      </c>
      <c r="C150">
        <v>94231498</v>
      </c>
      <c r="D150">
        <v>52</v>
      </c>
      <c r="E150" s="4">
        <v>-2000000</v>
      </c>
      <c r="F150" t="s">
        <v>19</v>
      </c>
      <c r="G150">
        <v>2</v>
      </c>
      <c r="H150" s="32" t="str">
        <f ca="1">+IF(B150&gt;'sap nuevo'!$V$1,"cargar",IF(C150="","cargar","pagado"))</f>
        <v>cargar</v>
      </c>
      <c r="I150" s="32">
        <f t="shared" si="34"/>
        <v>2025</v>
      </c>
      <c r="J150" s="32">
        <f t="shared" si="35"/>
        <v>2</v>
      </c>
    </row>
    <row r="151" spans="1:10" x14ac:dyDescent="0.25">
      <c r="A151" t="s">
        <v>20</v>
      </c>
      <c r="B151" t="s">
        <v>86</v>
      </c>
      <c r="C151">
        <v>94231499</v>
      </c>
      <c r="D151">
        <v>52</v>
      </c>
      <c r="E151" s="4">
        <v>-2000000</v>
      </c>
      <c r="F151" t="s">
        <v>19</v>
      </c>
      <c r="G151">
        <v>2</v>
      </c>
      <c r="H151" s="32" t="str">
        <f ca="1">+IF(B151&gt;'sap nuevo'!$V$1,"cargar",IF(C151="","cargar","pagado"))</f>
        <v>cargar</v>
      </c>
      <c r="I151" s="32">
        <f t="shared" si="34"/>
        <v>2025</v>
      </c>
      <c r="J151" s="32">
        <f t="shared" si="35"/>
        <v>2</v>
      </c>
    </row>
    <row r="152" spans="1:10" x14ac:dyDescent="0.25">
      <c r="A152" t="s">
        <v>20</v>
      </c>
      <c r="B152" t="s">
        <v>86</v>
      </c>
      <c r="C152">
        <v>3111625</v>
      </c>
      <c r="D152">
        <v>52</v>
      </c>
      <c r="E152" s="4">
        <v>-1169309.8999999999</v>
      </c>
      <c r="F152" t="s">
        <v>19</v>
      </c>
      <c r="G152">
        <v>2</v>
      </c>
      <c r="H152" s="32" t="str">
        <f ca="1">+IF(B152&gt;'sap nuevo'!$V$1,"cargar",IF(C152="","cargar","pagado"))</f>
        <v>cargar</v>
      </c>
      <c r="I152" s="32">
        <f t="shared" si="34"/>
        <v>2025</v>
      </c>
      <c r="J152" s="32">
        <f t="shared" si="35"/>
        <v>2</v>
      </c>
    </row>
    <row r="153" spans="1:10" x14ac:dyDescent="0.25">
      <c r="A153" t="s">
        <v>20</v>
      </c>
      <c r="B153" t="s">
        <v>86</v>
      </c>
      <c r="C153">
        <v>94231483</v>
      </c>
      <c r="D153">
        <v>52</v>
      </c>
      <c r="E153" s="4">
        <v>-300000</v>
      </c>
      <c r="F153" t="s">
        <v>19</v>
      </c>
      <c r="G153">
        <v>2</v>
      </c>
      <c r="H153" s="32" t="str">
        <f ca="1">+IF(B153&gt;'sap nuevo'!$V$1,"cargar",IF(C153="","cargar","pagado"))</f>
        <v>cargar</v>
      </c>
      <c r="I153" s="32">
        <f t="shared" si="34"/>
        <v>2025</v>
      </c>
      <c r="J153" s="32">
        <f t="shared" si="35"/>
        <v>2</v>
      </c>
    </row>
    <row r="154" spans="1:10" x14ac:dyDescent="0.25">
      <c r="A154" t="s">
        <v>20</v>
      </c>
      <c r="B154" t="s">
        <v>86</v>
      </c>
      <c r="C154">
        <v>94231480</v>
      </c>
      <c r="D154">
        <v>52</v>
      </c>
      <c r="E154" s="4">
        <v>-100000</v>
      </c>
      <c r="F154" t="s">
        <v>19</v>
      </c>
      <c r="G154">
        <v>2</v>
      </c>
      <c r="H154" s="32" t="str">
        <f ca="1">+IF(B154&gt;'sap nuevo'!$V$1,"cargar",IF(C154="","cargar","pagado"))</f>
        <v>cargar</v>
      </c>
      <c r="I154" s="32">
        <f t="shared" si="34"/>
        <v>2025</v>
      </c>
      <c r="J154" s="32">
        <f t="shared" si="35"/>
        <v>2</v>
      </c>
    </row>
    <row r="155" spans="1:10" x14ac:dyDescent="0.25">
      <c r="A155" t="s">
        <v>20</v>
      </c>
      <c r="B155" t="s">
        <v>87</v>
      </c>
      <c r="C155">
        <v>3111633</v>
      </c>
      <c r="D155">
        <v>52</v>
      </c>
      <c r="E155" s="4">
        <v>-42422217.850000001</v>
      </c>
      <c r="F155" t="s">
        <v>19</v>
      </c>
      <c r="G155">
        <v>2</v>
      </c>
      <c r="H155" s="32" t="str">
        <f ca="1">+IF(B155&gt;'sap nuevo'!$V$1,"cargar",IF(C155="","cargar","pagado"))</f>
        <v>cargar</v>
      </c>
      <c r="I155" s="32">
        <f t="shared" si="34"/>
        <v>2025</v>
      </c>
      <c r="J155" s="32">
        <f t="shared" si="35"/>
        <v>2</v>
      </c>
    </row>
    <row r="156" spans="1:10" x14ac:dyDescent="0.25">
      <c r="A156" t="s">
        <v>20</v>
      </c>
      <c r="B156" t="s">
        <v>87</v>
      </c>
      <c r="C156">
        <v>3111743</v>
      </c>
      <c r="D156">
        <v>52</v>
      </c>
      <c r="E156" s="4">
        <v>-20000000</v>
      </c>
      <c r="F156" t="s">
        <v>19</v>
      </c>
      <c r="G156">
        <v>2</v>
      </c>
      <c r="H156" s="32" t="str">
        <f ca="1">+IF(B156&gt;'sap nuevo'!$V$1,"cargar",IF(C156="","cargar","pagado"))</f>
        <v>cargar</v>
      </c>
      <c r="I156" s="32">
        <f t="shared" si="34"/>
        <v>2025</v>
      </c>
      <c r="J156" s="32">
        <f t="shared" si="35"/>
        <v>2</v>
      </c>
    </row>
    <row r="157" spans="1:10" x14ac:dyDescent="0.25">
      <c r="A157" t="s">
        <v>20</v>
      </c>
      <c r="B157" t="s">
        <v>87</v>
      </c>
      <c r="C157">
        <v>3111745</v>
      </c>
      <c r="D157">
        <v>52</v>
      </c>
      <c r="E157" s="4">
        <v>-20000000</v>
      </c>
      <c r="F157" t="s">
        <v>19</v>
      </c>
      <c r="G157">
        <v>2</v>
      </c>
      <c r="H157" s="32" t="str">
        <f ca="1">+IF(B157&gt;'sap nuevo'!$V$1,"cargar",IF(C157="","cargar","pagado"))</f>
        <v>cargar</v>
      </c>
      <c r="I157" s="32">
        <f t="shared" si="34"/>
        <v>2025</v>
      </c>
      <c r="J157" s="32">
        <f t="shared" si="35"/>
        <v>2</v>
      </c>
    </row>
    <row r="158" spans="1:10" x14ac:dyDescent="0.25">
      <c r="A158" t="s">
        <v>20</v>
      </c>
      <c r="B158" t="s">
        <v>87</v>
      </c>
      <c r="C158">
        <v>3111747</v>
      </c>
      <c r="D158">
        <v>52</v>
      </c>
      <c r="E158" s="4">
        <v>-20000000</v>
      </c>
      <c r="F158" t="s">
        <v>19</v>
      </c>
      <c r="G158">
        <v>2</v>
      </c>
      <c r="H158" s="32" t="str">
        <f ca="1">+IF(B158&gt;'sap nuevo'!$V$1,"cargar",IF(C158="","cargar","pagado"))</f>
        <v>cargar</v>
      </c>
      <c r="I158" s="32">
        <f t="shared" si="34"/>
        <v>2025</v>
      </c>
      <c r="J158" s="32">
        <f t="shared" si="35"/>
        <v>2</v>
      </c>
    </row>
    <row r="159" spans="1:10" x14ac:dyDescent="0.25">
      <c r="A159" t="s">
        <v>20</v>
      </c>
      <c r="B159" t="s">
        <v>88</v>
      </c>
      <c r="C159">
        <v>3111744</v>
      </c>
      <c r="D159">
        <v>52</v>
      </c>
      <c r="E159" s="4">
        <v>-21376519.550000001</v>
      </c>
      <c r="F159" t="s">
        <v>19</v>
      </c>
      <c r="G159">
        <v>2</v>
      </c>
      <c r="H159" s="32" t="str">
        <f ca="1">+IF(B159&gt;'sap nuevo'!$V$1,"cargar",IF(C159="","cargar","pagado"))</f>
        <v>cargar</v>
      </c>
      <c r="I159" s="32">
        <f t="shared" ref="I159:I180" si="36">+YEAR(B159)</f>
        <v>2025</v>
      </c>
      <c r="J159" s="32">
        <f t="shared" ref="J159:J180" si="37">+MONTH(B159)</f>
        <v>2</v>
      </c>
    </row>
    <row r="160" spans="1:10" x14ac:dyDescent="0.25">
      <c r="A160" t="s">
        <v>20</v>
      </c>
      <c r="B160" t="s">
        <v>88</v>
      </c>
      <c r="C160">
        <v>3111746</v>
      </c>
      <c r="D160">
        <v>52</v>
      </c>
      <c r="E160" s="4">
        <v>-16793507.399999999</v>
      </c>
      <c r="F160" t="s">
        <v>19</v>
      </c>
      <c r="G160">
        <v>2</v>
      </c>
      <c r="H160" s="32" t="str">
        <f ca="1">+IF(B160&gt;'sap nuevo'!$V$1,"cargar",IF(C160="","cargar","pagado"))</f>
        <v>cargar</v>
      </c>
      <c r="I160" s="32">
        <f t="shared" si="36"/>
        <v>2025</v>
      </c>
      <c r="J160" s="32">
        <f t="shared" si="37"/>
        <v>2</v>
      </c>
    </row>
    <row r="161" spans="1:10" x14ac:dyDescent="0.25">
      <c r="A161" t="s">
        <v>20</v>
      </c>
      <c r="B161" t="s">
        <v>88</v>
      </c>
      <c r="C161">
        <v>3111724</v>
      </c>
      <c r="D161">
        <v>52</v>
      </c>
      <c r="E161" s="4">
        <v>-4000060.08</v>
      </c>
      <c r="F161" t="s">
        <v>19</v>
      </c>
      <c r="G161">
        <v>2</v>
      </c>
      <c r="H161" s="32" t="str">
        <f ca="1">+IF(B161&gt;'sap nuevo'!$V$1,"cargar",IF(C161="","cargar","pagado"))</f>
        <v>cargar</v>
      </c>
      <c r="I161" s="32">
        <f t="shared" si="36"/>
        <v>2025</v>
      </c>
      <c r="J161" s="32">
        <f t="shared" si="37"/>
        <v>2</v>
      </c>
    </row>
    <row r="162" spans="1:10" x14ac:dyDescent="0.25">
      <c r="A162" t="s">
        <v>20</v>
      </c>
      <c r="B162" t="s">
        <v>89</v>
      </c>
      <c r="C162">
        <v>94231521</v>
      </c>
      <c r="D162">
        <v>52</v>
      </c>
      <c r="E162" s="4">
        <v>-15897070</v>
      </c>
      <c r="F162" t="s">
        <v>19</v>
      </c>
      <c r="G162">
        <v>2</v>
      </c>
      <c r="H162" s="32" t="str">
        <f ca="1">+IF(B162&gt;'sap nuevo'!$V$1,"cargar",IF(C162="","cargar","pagado"))</f>
        <v>cargar</v>
      </c>
      <c r="I162" s="32">
        <f t="shared" si="36"/>
        <v>2025</v>
      </c>
      <c r="J162" s="32">
        <f t="shared" si="37"/>
        <v>2</v>
      </c>
    </row>
    <row r="163" spans="1:10" x14ac:dyDescent="0.25">
      <c r="A163" t="s">
        <v>20</v>
      </c>
      <c r="B163" t="s">
        <v>89</v>
      </c>
      <c r="C163">
        <v>3111748</v>
      </c>
      <c r="D163">
        <v>52</v>
      </c>
      <c r="E163" s="4">
        <v>-14668643.17</v>
      </c>
      <c r="F163" t="s">
        <v>19</v>
      </c>
      <c r="G163">
        <v>2</v>
      </c>
      <c r="H163" s="32" t="str">
        <f ca="1">+IF(B163&gt;'sap nuevo'!$V$1,"cargar",IF(C163="","cargar","pagado"))</f>
        <v>cargar</v>
      </c>
      <c r="I163" s="32">
        <f t="shared" si="36"/>
        <v>2025</v>
      </c>
      <c r="J163" s="32">
        <f t="shared" si="37"/>
        <v>2</v>
      </c>
    </row>
    <row r="164" spans="1:10" x14ac:dyDescent="0.25">
      <c r="A164" t="s">
        <v>20</v>
      </c>
      <c r="B164" t="s">
        <v>90</v>
      </c>
      <c r="C164">
        <v>3111755</v>
      </c>
      <c r="D164">
        <v>52</v>
      </c>
      <c r="E164" s="4">
        <v>-8000000</v>
      </c>
      <c r="F164" t="s">
        <v>19</v>
      </c>
      <c r="G164">
        <v>2</v>
      </c>
      <c r="H164" s="32" t="str">
        <f ca="1">+IF(B164&gt;'sap nuevo'!$V$1,"cargar",IF(C164="","cargar","pagado"))</f>
        <v>cargar</v>
      </c>
      <c r="I164" s="32">
        <f t="shared" si="36"/>
        <v>2025</v>
      </c>
      <c r="J164" s="32">
        <f t="shared" si="37"/>
        <v>2</v>
      </c>
    </row>
    <row r="165" spans="1:10" x14ac:dyDescent="0.25">
      <c r="A165" t="s">
        <v>20</v>
      </c>
      <c r="B165" t="s">
        <v>90</v>
      </c>
      <c r="C165">
        <v>3111753</v>
      </c>
      <c r="D165">
        <v>52</v>
      </c>
      <c r="E165" s="4">
        <v>-7884065.7000000002</v>
      </c>
      <c r="F165" t="s">
        <v>19</v>
      </c>
      <c r="G165">
        <v>2</v>
      </c>
      <c r="H165" s="32" t="str">
        <f ca="1">+IF(B165&gt;'sap nuevo'!$V$1,"cargar",IF(C165="","cargar","pagado"))</f>
        <v>cargar</v>
      </c>
      <c r="I165" s="32">
        <f t="shared" si="36"/>
        <v>2025</v>
      </c>
      <c r="J165" s="32">
        <f t="shared" si="37"/>
        <v>2</v>
      </c>
    </row>
    <row r="166" spans="1:10" x14ac:dyDescent="0.25">
      <c r="A166" t="s">
        <v>20</v>
      </c>
      <c r="B166" t="s">
        <v>90</v>
      </c>
      <c r="C166">
        <v>3111749</v>
      </c>
      <c r="D166">
        <v>52</v>
      </c>
      <c r="E166" s="4">
        <v>-4000000</v>
      </c>
      <c r="F166" t="s">
        <v>19</v>
      </c>
      <c r="G166">
        <v>2</v>
      </c>
      <c r="H166" s="32" t="str">
        <f ca="1">+IF(B166&gt;'sap nuevo'!$V$1,"cargar",IF(C166="","cargar","pagado"))</f>
        <v>cargar</v>
      </c>
      <c r="I166" s="32">
        <f t="shared" si="36"/>
        <v>2025</v>
      </c>
      <c r="J166" s="32">
        <f t="shared" si="37"/>
        <v>2</v>
      </c>
    </row>
    <row r="167" spans="1:10" x14ac:dyDescent="0.25">
      <c r="A167" t="s">
        <v>20</v>
      </c>
      <c r="B167" t="s">
        <v>90</v>
      </c>
      <c r="C167">
        <v>3111754</v>
      </c>
      <c r="D167">
        <v>52</v>
      </c>
      <c r="E167" s="4">
        <v>-3536793.02</v>
      </c>
      <c r="F167" t="s">
        <v>19</v>
      </c>
      <c r="G167">
        <v>2</v>
      </c>
      <c r="H167" s="32" t="str">
        <f ca="1">+IF(B167&gt;'sap nuevo'!$V$1,"cargar",IF(C167="","cargar","pagado"))</f>
        <v>cargar</v>
      </c>
      <c r="I167" s="32">
        <f t="shared" si="36"/>
        <v>2025</v>
      </c>
      <c r="J167" s="32">
        <f t="shared" si="37"/>
        <v>2</v>
      </c>
    </row>
    <row r="168" spans="1:10" x14ac:dyDescent="0.25">
      <c r="A168" t="s">
        <v>20</v>
      </c>
      <c r="B168" t="s">
        <v>90</v>
      </c>
      <c r="C168">
        <v>94231496</v>
      </c>
      <c r="D168">
        <v>52</v>
      </c>
      <c r="E168" s="4">
        <v>-1000000</v>
      </c>
      <c r="F168" t="s">
        <v>19</v>
      </c>
      <c r="G168">
        <v>2</v>
      </c>
      <c r="H168" s="32" t="str">
        <f ca="1">+IF(B168&gt;'sap nuevo'!$V$1,"cargar",IF(C168="","cargar","pagado"))</f>
        <v>cargar</v>
      </c>
      <c r="I168" s="32">
        <f t="shared" si="36"/>
        <v>2025</v>
      </c>
      <c r="J168" s="32">
        <f t="shared" si="37"/>
        <v>2</v>
      </c>
    </row>
    <row r="169" spans="1:10" x14ac:dyDescent="0.25">
      <c r="A169" t="s">
        <v>12</v>
      </c>
      <c r="B169" t="s">
        <v>87</v>
      </c>
      <c r="C169">
        <v>97123426</v>
      </c>
      <c r="D169">
        <v>140</v>
      </c>
      <c r="E169" s="4">
        <v>-8089410.7999999998</v>
      </c>
      <c r="F169" t="s">
        <v>63</v>
      </c>
      <c r="G169">
        <v>0</v>
      </c>
      <c r="H169" s="32" t="str">
        <f ca="1">+IF(B169&gt;'sap nuevo'!$V$1,"cargar",IF(C169="","cargar","pagado"))</f>
        <v>cargar</v>
      </c>
      <c r="I169" s="32">
        <f t="shared" si="36"/>
        <v>2025</v>
      </c>
      <c r="J169" s="32">
        <f t="shared" si="37"/>
        <v>2</v>
      </c>
    </row>
    <row r="170" spans="1:10" x14ac:dyDescent="0.25">
      <c r="A170" t="s">
        <v>20</v>
      </c>
      <c r="B170" t="s">
        <v>87</v>
      </c>
      <c r="C170">
        <v>97123431</v>
      </c>
      <c r="D170">
        <v>140</v>
      </c>
      <c r="E170" s="4">
        <v>-7722248.1600000001</v>
      </c>
      <c r="F170" t="s">
        <v>62</v>
      </c>
      <c r="G170">
        <v>0</v>
      </c>
      <c r="H170" s="32" t="str">
        <f ca="1">+IF(B170&gt;'sap nuevo'!$V$1,"cargar",IF(C170="","cargar","pagado"))</f>
        <v>cargar</v>
      </c>
      <c r="I170" s="32">
        <f t="shared" si="36"/>
        <v>2025</v>
      </c>
      <c r="J170" s="32">
        <f t="shared" si="37"/>
        <v>2</v>
      </c>
    </row>
    <row r="171" spans="1:10" x14ac:dyDescent="0.25">
      <c r="A171" t="s">
        <v>20</v>
      </c>
      <c r="B171" t="s">
        <v>88</v>
      </c>
      <c r="C171">
        <v>97123422</v>
      </c>
      <c r="D171">
        <v>140</v>
      </c>
      <c r="E171" s="4">
        <v>-5225008.0999999996</v>
      </c>
      <c r="F171" t="s">
        <v>62</v>
      </c>
      <c r="G171">
        <v>0</v>
      </c>
      <c r="H171" s="32" t="str">
        <f ca="1">+IF(B171&gt;'sap nuevo'!$V$1,"cargar",IF(C171="","cargar","pagado"))</f>
        <v>cargar</v>
      </c>
      <c r="I171" s="32">
        <f t="shared" si="36"/>
        <v>2025</v>
      </c>
      <c r="J171" s="32">
        <f t="shared" si="37"/>
        <v>2</v>
      </c>
    </row>
    <row r="172" spans="1:10" x14ac:dyDescent="0.25">
      <c r="A172" t="s">
        <v>20</v>
      </c>
      <c r="B172" t="s">
        <v>88</v>
      </c>
      <c r="C172">
        <v>97123429</v>
      </c>
      <c r="D172">
        <v>140</v>
      </c>
      <c r="E172" s="4">
        <v>-3371689.67</v>
      </c>
      <c r="F172" t="s">
        <v>62</v>
      </c>
      <c r="G172">
        <v>0</v>
      </c>
      <c r="H172" s="32" t="str">
        <f ca="1">+IF(B172&gt;'sap nuevo'!$V$1,"cargar",IF(C172="","cargar","pagado"))</f>
        <v>cargar</v>
      </c>
      <c r="I172" s="32">
        <f t="shared" si="36"/>
        <v>2025</v>
      </c>
      <c r="J172" s="32">
        <f t="shared" si="37"/>
        <v>2</v>
      </c>
    </row>
    <row r="173" spans="1:10" x14ac:dyDescent="0.25">
      <c r="A173" t="s">
        <v>20</v>
      </c>
      <c r="B173" t="s">
        <v>88</v>
      </c>
      <c r="C173">
        <v>97123430</v>
      </c>
      <c r="D173">
        <v>140</v>
      </c>
      <c r="E173" s="4">
        <v>-3371689.67</v>
      </c>
      <c r="F173" t="s">
        <v>62</v>
      </c>
      <c r="G173">
        <v>0</v>
      </c>
      <c r="H173" s="32" t="str">
        <f ca="1">+IF(B173&gt;'sap nuevo'!$V$1,"cargar",IF(C173="","cargar","pagado"))</f>
        <v>cargar</v>
      </c>
      <c r="I173" s="32">
        <f t="shared" si="36"/>
        <v>2025</v>
      </c>
      <c r="J173" s="32">
        <f t="shared" si="37"/>
        <v>2</v>
      </c>
    </row>
    <row r="174" spans="1:10" x14ac:dyDescent="0.25">
      <c r="A174" t="s">
        <v>20</v>
      </c>
      <c r="B174" t="s">
        <v>89</v>
      </c>
      <c r="C174">
        <v>97123425</v>
      </c>
      <c r="D174">
        <v>140</v>
      </c>
      <c r="E174" s="4">
        <v>-5407820.4000000004</v>
      </c>
      <c r="F174" t="s">
        <v>62</v>
      </c>
      <c r="G174">
        <v>0</v>
      </c>
      <c r="H174" s="32" t="str">
        <f ca="1">+IF(B174&gt;'sap nuevo'!$V$1,"cargar",IF(C174="","cargar","pagado"))</f>
        <v>cargar</v>
      </c>
      <c r="I174" s="32">
        <f t="shared" si="36"/>
        <v>2025</v>
      </c>
      <c r="J174" s="32">
        <f t="shared" si="37"/>
        <v>2</v>
      </c>
    </row>
    <row r="175" spans="1:10" x14ac:dyDescent="0.25">
      <c r="A175" t="s">
        <v>20</v>
      </c>
      <c r="B175" t="s">
        <v>89</v>
      </c>
      <c r="C175">
        <v>97123416</v>
      </c>
      <c r="D175">
        <v>140</v>
      </c>
      <c r="E175" s="4">
        <v>-1265258.33</v>
      </c>
      <c r="F175" t="s">
        <v>62</v>
      </c>
      <c r="G175">
        <v>0</v>
      </c>
      <c r="H175" s="32" t="str">
        <f ca="1">+IF(B175&gt;'sap nuevo'!$V$1,"cargar",IF(C175="","cargar","pagado"))</f>
        <v>cargar</v>
      </c>
      <c r="I175" s="32">
        <f t="shared" si="36"/>
        <v>2025</v>
      </c>
      <c r="J175" s="32">
        <f t="shared" si="37"/>
        <v>2</v>
      </c>
    </row>
    <row r="176" spans="1:10" x14ac:dyDescent="0.25">
      <c r="A176" t="s">
        <v>20</v>
      </c>
      <c r="B176" t="s">
        <v>90</v>
      </c>
      <c r="C176">
        <v>97123421</v>
      </c>
      <c r="D176">
        <v>140</v>
      </c>
      <c r="E176" s="4">
        <v>-9238792.0299999993</v>
      </c>
      <c r="F176" t="s">
        <v>62</v>
      </c>
      <c r="G176">
        <v>0</v>
      </c>
      <c r="H176" s="32" t="str">
        <f ca="1">+IF(B176&gt;'sap nuevo'!$V$1,"cargar",IF(C176="","cargar","pagado"))</f>
        <v>cargar</v>
      </c>
      <c r="I176" s="32">
        <f t="shared" si="36"/>
        <v>2025</v>
      </c>
      <c r="J176" s="32">
        <f t="shared" si="37"/>
        <v>2</v>
      </c>
    </row>
    <row r="177" spans="1:10" x14ac:dyDescent="0.25">
      <c r="A177" t="s">
        <v>20</v>
      </c>
      <c r="B177" t="s">
        <v>91</v>
      </c>
      <c r="C177">
        <v>3111641</v>
      </c>
      <c r="D177">
        <v>52</v>
      </c>
      <c r="E177" s="4">
        <v>-16140130.800000001</v>
      </c>
      <c r="F177" t="s">
        <v>19</v>
      </c>
      <c r="G177">
        <v>2</v>
      </c>
      <c r="H177" s="32" t="str">
        <f ca="1">+IF(B177&gt;'sap nuevo'!$V$1,"cargar",IF(C177="","cargar","pagado"))</f>
        <v>cargar</v>
      </c>
      <c r="I177" s="32">
        <f t="shared" si="36"/>
        <v>2025</v>
      </c>
      <c r="J177" s="32">
        <f t="shared" si="37"/>
        <v>2</v>
      </c>
    </row>
    <row r="178" spans="1:10" x14ac:dyDescent="0.25">
      <c r="A178" t="s">
        <v>20</v>
      </c>
      <c r="B178" t="s">
        <v>91</v>
      </c>
      <c r="C178">
        <v>3111756</v>
      </c>
      <c r="D178">
        <v>52</v>
      </c>
      <c r="E178" s="4">
        <v>-7745430.4000000004</v>
      </c>
      <c r="F178" t="s">
        <v>19</v>
      </c>
      <c r="G178">
        <v>2</v>
      </c>
      <c r="H178" s="32" t="str">
        <f ca="1">+IF(B178&gt;'sap nuevo'!$V$1,"cargar",IF(C178="","cargar","pagado"))</f>
        <v>cargar</v>
      </c>
      <c r="I178" s="32">
        <f t="shared" si="36"/>
        <v>2025</v>
      </c>
      <c r="J178" s="32">
        <f t="shared" si="37"/>
        <v>2</v>
      </c>
    </row>
    <row r="179" spans="1:10" x14ac:dyDescent="0.25">
      <c r="A179" t="s">
        <v>20</v>
      </c>
      <c r="B179" t="s">
        <v>91</v>
      </c>
      <c r="C179">
        <v>3111759</v>
      </c>
      <c r="D179">
        <v>52</v>
      </c>
      <c r="E179" s="4">
        <v>-7516060.4000000004</v>
      </c>
      <c r="F179" t="s">
        <v>19</v>
      </c>
      <c r="G179">
        <v>2</v>
      </c>
      <c r="H179" s="32" t="str">
        <f ca="1">+IF(B179&gt;'sap nuevo'!$V$1,"cargar",IF(C179="","cargar","pagado"))</f>
        <v>cargar</v>
      </c>
      <c r="I179" s="32">
        <f t="shared" si="36"/>
        <v>2025</v>
      </c>
      <c r="J179" s="32">
        <f t="shared" si="37"/>
        <v>2</v>
      </c>
    </row>
    <row r="180" spans="1:10" x14ac:dyDescent="0.25">
      <c r="A180" t="s">
        <v>20</v>
      </c>
      <c r="B180" t="s">
        <v>91</v>
      </c>
      <c r="C180">
        <v>3111750</v>
      </c>
      <c r="D180">
        <v>52</v>
      </c>
      <c r="E180" s="4">
        <v>-3746526.25</v>
      </c>
      <c r="F180" t="s">
        <v>19</v>
      </c>
      <c r="G180">
        <v>2</v>
      </c>
      <c r="H180" s="32" t="str">
        <f ca="1">+IF(B180&gt;'sap nuevo'!$V$1,"cargar",IF(C180="","cargar","pagado"))</f>
        <v>cargar</v>
      </c>
      <c r="I180" s="32">
        <f t="shared" si="36"/>
        <v>2025</v>
      </c>
      <c r="J180" s="32">
        <f t="shared" si="37"/>
        <v>2</v>
      </c>
    </row>
    <row r="181" spans="1:10" x14ac:dyDescent="0.25">
      <c r="A181" t="s">
        <v>12</v>
      </c>
      <c r="B181" t="s">
        <v>91</v>
      </c>
      <c r="C181">
        <v>97123423</v>
      </c>
      <c r="D181">
        <v>140</v>
      </c>
      <c r="E181" s="4">
        <v>-5000000</v>
      </c>
      <c r="F181" t="s">
        <v>63</v>
      </c>
      <c r="G181">
        <v>0</v>
      </c>
      <c r="H181" s="32" t="str">
        <f ca="1">+IF(B181&gt;'sap nuevo'!$V$1,"cargar",IF(C181="","cargar","pagado"))</f>
        <v>cargar</v>
      </c>
      <c r="I181" s="32">
        <f t="shared" ref="I181:I192" si="38">+YEAR(B181)</f>
        <v>2025</v>
      </c>
      <c r="J181" s="32">
        <f t="shared" ref="J181:J192" si="39">+MONTH(B181)</f>
        <v>2</v>
      </c>
    </row>
    <row r="182" spans="1:10" x14ac:dyDescent="0.25">
      <c r="A182" t="s">
        <v>12</v>
      </c>
      <c r="B182" t="s">
        <v>91</v>
      </c>
      <c r="C182">
        <v>97123424</v>
      </c>
      <c r="D182">
        <v>140</v>
      </c>
      <c r="E182" s="4">
        <v>-4642304.7699999996</v>
      </c>
      <c r="F182" t="s">
        <v>63</v>
      </c>
      <c r="G182">
        <v>0</v>
      </c>
      <c r="H182" s="32" t="str">
        <f ca="1">+IF(B182&gt;'sap nuevo'!$V$1,"cargar",IF(C182="","cargar","pagado"))</f>
        <v>cargar</v>
      </c>
      <c r="I182" s="32">
        <f t="shared" si="38"/>
        <v>2025</v>
      </c>
      <c r="J182" s="32">
        <f t="shared" si="39"/>
        <v>2</v>
      </c>
    </row>
    <row r="183" spans="1:10" x14ac:dyDescent="0.25">
      <c r="A183" t="s">
        <v>20</v>
      </c>
      <c r="B183" t="s">
        <v>92</v>
      </c>
      <c r="C183">
        <v>3111761</v>
      </c>
      <c r="D183">
        <v>52</v>
      </c>
      <c r="E183" s="4">
        <v>-16000000</v>
      </c>
      <c r="F183" t="s">
        <v>19</v>
      </c>
      <c r="G183">
        <v>2</v>
      </c>
      <c r="H183" s="32" t="str">
        <f ca="1">+IF(B183&gt;'sap nuevo'!$V$1,"cargar",IF(C183="","cargar","pagado"))</f>
        <v>cargar</v>
      </c>
      <c r="I183" s="32">
        <f t="shared" si="38"/>
        <v>2025</v>
      </c>
      <c r="J183" s="32">
        <f t="shared" si="39"/>
        <v>2</v>
      </c>
    </row>
    <row r="184" spans="1:10" x14ac:dyDescent="0.25">
      <c r="A184" t="s">
        <v>20</v>
      </c>
      <c r="B184" t="s">
        <v>92</v>
      </c>
      <c r="C184">
        <v>94231517</v>
      </c>
      <c r="D184">
        <v>52</v>
      </c>
      <c r="E184" s="4">
        <v>-5000000</v>
      </c>
      <c r="F184" t="s">
        <v>19</v>
      </c>
      <c r="G184">
        <v>2</v>
      </c>
      <c r="H184" s="32" t="str">
        <f ca="1">+IF(B184&gt;'sap nuevo'!$V$1,"cargar",IF(C184="","cargar","pagado"))</f>
        <v>cargar</v>
      </c>
      <c r="I184" s="32">
        <f t="shared" si="38"/>
        <v>2025</v>
      </c>
      <c r="J184" s="32">
        <f t="shared" si="39"/>
        <v>2</v>
      </c>
    </row>
    <row r="185" spans="1:10" x14ac:dyDescent="0.25">
      <c r="A185" t="s">
        <v>20</v>
      </c>
      <c r="B185" t="s">
        <v>92</v>
      </c>
      <c r="C185">
        <v>94231518</v>
      </c>
      <c r="D185">
        <v>52</v>
      </c>
      <c r="E185" s="4">
        <v>-5000000</v>
      </c>
      <c r="F185" t="s">
        <v>19</v>
      </c>
      <c r="G185">
        <v>2</v>
      </c>
      <c r="H185" s="32" t="str">
        <f ca="1">+IF(B185&gt;'sap nuevo'!$V$1,"cargar",IF(C185="","cargar","pagado"))</f>
        <v>cargar</v>
      </c>
      <c r="I185" s="32">
        <f t="shared" si="38"/>
        <v>2025</v>
      </c>
      <c r="J185" s="32">
        <f t="shared" si="39"/>
        <v>2</v>
      </c>
    </row>
    <row r="186" spans="1:10" x14ac:dyDescent="0.25">
      <c r="A186" t="s">
        <v>20</v>
      </c>
      <c r="B186" t="s">
        <v>92</v>
      </c>
      <c r="C186">
        <v>94231519</v>
      </c>
      <c r="D186">
        <v>52</v>
      </c>
      <c r="E186" s="4">
        <v>-5000000</v>
      </c>
      <c r="F186" t="s">
        <v>19</v>
      </c>
      <c r="G186">
        <v>2</v>
      </c>
      <c r="H186" s="32" t="str">
        <f ca="1">+IF(B186&gt;'sap nuevo'!$V$1,"cargar",IF(C186="","cargar","pagado"))</f>
        <v>cargar</v>
      </c>
      <c r="I186" s="32">
        <f t="shared" si="38"/>
        <v>2025</v>
      </c>
      <c r="J186" s="32">
        <f t="shared" si="39"/>
        <v>2</v>
      </c>
    </row>
    <row r="187" spans="1:10" x14ac:dyDescent="0.25">
      <c r="A187" t="s">
        <v>20</v>
      </c>
      <c r="B187" t="s">
        <v>92</v>
      </c>
      <c r="C187">
        <v>94231516</v>
      </c>
      <c r="D187">
        <v>52</v>
      </c>
      <c r="E187" s="4">
        <v>-2000000</v>
      </c>
      <c r="F187" t="s">
        <v>19</v>
      </c>
      <c r="G187">
        <v>2</v>
      </c>
      <c r="H187" s="32" t="str">
        <f ca="1">+IF(B187&gt;'sap nuevo'!$V$1,"cargar",IF(C187="","cargar","pagado"))</f>
        <v>cargar</v>
      </c>
      <c r="I187" s="32">
        <f t="shared" si="38"/>
        <v>2025</v>
      </c>
      <c r="J187" s="32">
        <f t="shared" si="39"/>
        <v>2</v>
      </c>
    </row>
    <row r="188" spans="1:10" x14ac:dyDescent="0.25">
      <c r="A188" t="s">
        <v>20</v>
      </c>
      <c r="B188" t="s">
        <v>92</v>
      </c>
      <c r="C188">
        <v>94231513</v>
      </c>
      <c r="D188">
        <v>52</v>
      </c>
      <c r="E188" s="4">
        <v>-1000000</v>
      </c>
      <c r="F188" t="s">
        <v>19</v>
      </c>
      <c r="G188">
        <v>2</v>
      </c>
      <c r="H188" s="32" t="str">
        <f ca="1">+IF(B188&gt;'sap nuevo'!$V$1,"cargar",IF(C188="","cargar","pagado"))</f>
        <v>cargar</v>
      </c>
      <c r="I188" s="32">
        <f t="shared" si="38"/>
        <v>2025</v>
      </c>
      <c r="J188" s="32">
        <f t="shared" si="39"/>
        <v>2</v>
      </c>
    </row>
    <row r="189" spans="1:10" x14ac:dyDescent="0.25">
      <c r="A189" t="s">
        <v>20</v>
      </c>
      <c r="B189" t="s">
        <v>92</v>
      </c>
      <c r="C189">
        <v>94231514</v>
      </c>
      <c r="D189">
        <v>52</v>
      </c>
      <c r="E189" s="4">
        <v>-1000000</v>
      </c>
      <c r="F189" t="s">
        <v>19</v>
      </c>
      <c r="G189">
        <v>2</v>
      </c>
      <c r="H189" s="32" t="str">
        <f ca="1">+IF(B189&gt;'sap nuevo'!$V$1,"cargar",IF(C189="","cargar","pagado"))</f>
        <v>cargar</v>
      </c>
      <c r="I189" s="32">
        <f t="shared" si="38"/>
        <v>2025</v>
      </c>
      <c r="J189" s="32">
        <f t="shared" si="39"/>
        <v>2</v>
      </c>
    </row>
    <row r="190" spans="1:10" x14ac:dyDescent="0.25">
      <c r="A190" t="s">
        <v>20</v>
      </c>
      <c r="B190" t="s">
        <v>93</v>
      </c>
      <c r="C190">
        <v>3111762</v>
      </c>
      <c r="D190">
        <v>52</v>
      </c>
      <c r="E190" s="4">
        <v>-16009838.5</v>
      </c>
      <c r="F190" t="s">
        <v>19</v>
      </c>
      <c r="G190">
        <v>2</v>
      </c>
      <c r="H190" s="32" t="str">
        <f ca="1">+IF(B190&gt;'sap nuevo'!$V$1,"cargar",IF(C190="","cargar","pagado"))</f>
        <v>cargar</v>
      </c>
      <c r="I190" s="32">
        <f t="shared" si="38"/>
        <v>2025</v>
      </c>
      <c r="J190" s="32">
        <f t="shared" si="39"/>
        <v>2</v>
      </c>
    </row>
    <row r="191" spans="1:10" x14ac:dyDescent="0.25">
      <c r="A191" t="s">
        <v>20</v>
      </c>
      <c r="B191" t="s">
        <v>94</v>
      </c>
      <c r="C191">
        <v>3111770</v>
      </c>
      <c r="D191">
        <v>52</v>
      </c>
      <c r="E191" s="4">
        <v>-10000000</v>
      </c>
      <c r="F191" t="s">
        <v>19</v>
      </c>
      <c r="G191">
        <v>2</v>
      </c>
      <c r="H191" s="32" t="str">
        <f ca="1">+IF(B191&gt;'sap nuevo'!$V$1,"cargar",IF(C191="","cargar","pagado"))</f>
        <v>cargar</v>
      </c>
      <c r="I191" s="32">
        <f t="shared" si="38"/>
        <v>2025</v>
      </c>
      <c r="J191" s="32">
        <f t="shared" si="39"/>
        <v>2</v>
      </c>
    </row>
    <row r="192" spans="1:10" x14ac:dyDescent="0.25">
      <c r="A192" t="s">
        <v>20</v>
      </c>
      <c r="B192" t="s">
        <v>94</v>
      </c>
      <c r="C192">
        <v>3111772</v>
      </c>
      <c r="D192">
        <v>52</v>
      </c>
      <c r="E192" s="4">
        <v>-10000000</v>
      </c>
      <c r="F192" t="s">
        <v>19</v>
      </c>
      <c r="G192">
        <v>2</v>
      </c>
      <c r="H192" s="32" t="str">
        <f ca="1">+IF(B192&gt;'sap nuevo'!$V$1,"cargar",IF(C192="","cargar","pagado"))</f>
        <v>cargar</v>
      </c>
      <c r="I192" s="32">
        <f t="shared" si="38"/>
        <v>2025</v>
      </c>
      <c r="J192" s="32">
        <f t="shared" si="39"/>
        <v>2</v>
      </c>
    </row>
    <row r="193" spans="1:10" x14ac:dyDescent="0.25">
      <c r="A193" t="s">
        <v>20</v>
      </c>
      <c r="B193" t="s">
        <v>94</v>
      </c>
      <c r="C193">
        <v>3111768</v>
      </c>
      <c r="D193">
        <v>52</v>
      </c>
      <c r="E193" s="4">
        <v>-9975778</v>
      </c>
      <c r="F193" t="s">
        <v>19</v>
      </c>
      <c r="G193">
        <v>2</v>
      </c>
      <c r="H193" s="32" t="str">
        <f ca="1">+IF(B193&gt;'sap nuevo'!$V$1,"cargar",IF(C193="","cargar","pagado"))</f>
        <v>cargar</v>
      </c>
      <c r="I193" s="32">
        <f t="shared" ref="I193:I205" si="40">+YEAR(B193)</f>
        <v>2025</v>
      </c>
      <c r="J193" s="32">
        <f t="shared" ref="J193:J205" si="41">+MONTH(B193)</f>
        <v>2</v>
      </c>
    </row>
    <row r="194" spans="1:10" x14ac:dyDescent="0.25">
      <c r="A194" t="s">
        <v>20</v>
      </c>
      <c r="B194" t="s">
        <v>94</v>
      </c>
      <c r="C194">
        <v>3111765</v>
      </c>
      <c r="D194">
        <v>52</v>
      </c>
      <c r="E194" s="4">
        <v>-9630656.3300000001</v>
      </c>
      <c r="F194" t="s">
        <v>19</v>
      </c>
      <c r="G194">
        <v>2</v>
      </c>
      <c r="H194" s="32" t="str">
        <f ca="1">+IF(B194&gt;'sap nuevo'!$V$1,"cargar",IF(C194="","cargar","pagado"))</f>
        <v>cargar</v>
      </c>
      <c r="I194" s="32">
        <f t="shared" si="40"/>
        <v>2025</v>
      </c>
      <c r="J194" s="32">
        <f t="shared" si="41"/>
        <v>2</v>
      </c>
    </row>
    <row r="195" spans="1:10" x14ac:dyDescent="0.25">
      <c r="A195" t="s">
        <v>20</v>
      </c>
      <c r="B195" t="s">
        <v>94</v>
      </c>
      <c r="C195">
        <v>3111769</v>
      </c>
      <c r="D195">
        <v>52</v>
      </c>
      <c r="E195" s="4">
        <v>-6995270.25</v>
      </c>
      <c r="F195" t="s">
        <v>19</v>
      </c>
      <c r="G195">
        <v>2</v>
      </c>
      <c r="H195" s="32" t="str">
        <f ca="1">+IF(B195&gt;'sap nuevo'!$V$1,"cargar",IF(C195="","cargar","pagado"))</f>
        <v>cargar</v>
      </c>
      <c r="I195" s="32">
        <f t="shared" si="40"/>
        <v>2025</v>
      </c>
      <c r="J195" s="32">
        <f t="shared" si="41"/>
        <v>2</v>
      </c>
    </row>
    <row r="196" spans="1:10" x14ac:dyDescent="0.25">
      <c r="A196" t="s">
        <v>20</v>
      </c>
      <c r="B196" t="s">
        <v>94</v>
      </c>
      <c r="C196">
        <v>3111767</v>
      </c>
      <c r="D196">
        <v>52</v>
      </c>
      <c r="E196" s="4">
        <v>-4673964.62</v>
      </c>
      <c r="F196" t="s">
        <v>19</v>
      </c>
      <c r="G196">
        <v>2</v>
      </c>
      <c r="H196" s="32" t="str">
        <f ca="1">+IF(B196&gt;'sap nuevo'!$V$1,"cargar",IF(C196="","cargar","pagado"))</f>
        <v>cargar</v>
      </c>
      <c r="I196" s="32">
        <f t="shared" si="40"/>
        <v>2025</v>
      </c>
      <c r="J196" s="32">
        <f t="shared" si="41"/>
        <v>2</v>
      </c>
    </row>
    <row r="197" spans="1:10" x14ac:dyDescent="0.25">
      <c r="A197" t="s">
        <v>20</v>
      </c>
      <c r="B197" t="s">
        <v>94</v>
      </c>
      <c r="C197">
        <v>3111766</v>
      </c>
      <c r="D197">
        <v>52</v>
      </c>
      <c r="E197" s="4">
        <v>-4404589.04</v>
      </c>
      <c r="F197" t="s">
        <v>19</v>
      </c>
      <c r="G197">
        <v>2</v>
      </c>
      <c r="H197" s="32" t="str">
        <f ca="1">+IF(B197&gt;'sap nuevo'!$V$1,"cargar",IF(C197="","cargar","pagado"))</f>
        <v>cargar</v>
      </c>
      <c r="I197" s="32">
        <f t="shared" si="40"/>
        <v>2025</v>
      </c>
      <c r="J197" s="32">
        <f t="shared" si="41"/>
        <v>2</v>
      </c>
    </row>
    <row r="198" spans="1:10" x14ac:dyDescent="0.25">
      <c r="A198" t="s">
        <v>20</v>
      </c>
      <c r="B198" t="s">
        <v>478</v>
      </c>
      <c r="C198">
        <v>3111773</v>
      </c>
      <c r="D198">
        <v>52</v>
      </c>
      <c r="E198" s="4">
        <v>-8357138.4199999999</v>
      </c>
      <c r="F198" t="s">
        <v>19</v>
      </c>
      <c r="G198">
        <v>2</v>
      </c>
      <c r="H198" s="32" t="str">
        <f ca="1">+IF(B198&gt;'sap nuevo'!$V$1,"cargar",IF(C198="","cargar","pagado"))</f>
        <v>cargar</v>
      </c>
      <c r="I198" s="32">
        <f t="shared" si="40"/>
        <v>2025</v>
      </c>
      <c r="J198" s="32">
        <f t="shared" si="41"/>
        <v>2</v>
      </c>
    </row>
    <row r="199" spans="1:10" x14ac:dyDescent="0.25">
      <c r="A199" t="s">
        <v>20</v>
      </c>
      <c r="B199" t="s">
        <v>478</v>
      </c>
      <c r="C199">
        <v>3111771</v>
      </c>
      <c r="D199">
        <v>52</v>
      </c>
      <c r="E199" s="4">
        <v>-7771700.1900000004</v>
      </c>
      <c r="F199" t="s">
        <v>19</v>
      </c>
      <c r="G199">
        <v>2</v>
      </c>
      <c r="H199" s="32" t="str">
        <f ca="1">+IF(B199&gt;'sap nuevo'!$V$1,"cargar",IF(C199="","cargar","pagado"))</f>
        <v>cargar</v>
      </c>
      <c r="I199" s="32">
        <f t="shared" si="40"/>
        <v>2025</v>
      </c>
      <c r="J199" s="32">
        <f t="shared" si="41"/>
        <v>2</v>
      </c>
    </row>
    <row r="200" spans="1:10" x14ac:dyDescent="0.25">
      <c r="A200" t="s">
        <v>20</v>
      </c>
      <c r="B200" t="s">
        <v>478</v>
      </c>
      <c r="C200">
        <v>3400724</v>
      </c>
      <c r="D200">
        <v>52</v>
      </c>
      <c r="E200" s="4">
        <v>-1831370.3</v>
      </c>
      <c r="F200" t="s">
        <v>19</v>
      </c>
      <c r="G200">
        <v>2</v>
      </c>
      <c r="H200" s="32" t="str">
        <f ca="1">+IF(B200&gt;'sap nuevo'!$V$1,"cargar",IF(C200="","cargar","pagado"))</f>
        <v>cargar</v>
      </c>
      <c r="I200" s="32">
        <f t="shared" si="40"/>
        <v>2025</v>
      </c>
      <c r="J200" s="32">
        <f t="shared" si="41"/>
        <v>2</v>
      </c>
    </row>
    <row r="201" spans="1:10" x14ac:dyDescent="0.25">
      <c r="A201" t="s">
        <v>20</v>
      </c>
      <c r="B201" t="s">
        <v>92</v>
      </c>
      <c r="C201">
        <v>97123417</v>
      </c>
      <c r="D201">
        <v>140</v>
      </c>
      <c r="E201" s="4">
        <v>-1714036.72</v>
      </c>
      <c r="F201" t="s">
        <v>62</v>
      </c>
      <c r="G201">
        <v>0</v>
      </c>
      <c r="H201" s="32" t="str">
        <f ca="1">+IF(B201&gt;'sap nuevo'!$V$1,"cargar",IF(C201="","cargar","pagado"))</f>
        <v>cargar</v>
      </c>
      <c r="I201" s="32">
        <f t="shared" si="40"/>
        <v>2025</v>
      </c>
      <c r="J201" s="32">
        <f t="shared" si="41"/>
        <v>2</v>
      </c>
    </row>
    <row r="202" spans="1:10" x14ac:dyDescent="0.25">
      <c r="A202" t="s">
        <v>20</v>
      </c>
      <c r="B202" t="s">
        <v>94</v>
      </c>
      <c r="C202">
        <v>97123433</v>
      </c>
      <c r="D202">
        <v>140</v>
      </c>
      <c r="E202" s="4">
        <v>-12768015</v>
      </c>
      <c r="F202" t="s">
        <v>62</v>
      </c>
      <c r="G202">
        <v>0</v>
      </c>
      <c r="H202" s="32" t="str">
        <f ca="1">+IF(B202&gt;'sap nuevo'!$V$1,"cargar",IF(C202="","cargar","pagado"))</f>
        <v>cargar</v>
      </c>
      <c r="I202" s="32">
        <f t="shared" si="40"/>
        <v>2025</v>
      </c>
      <c r="J202" s="32">
        <f t="shared" si="41"/>
        <v>2</v>
      </c>
    </row>
    <row r="203" spans="1:10" x14ac:dyDescent="0.25">
      <c r="A203" t="s">
        <v>20</v>
      </c>
      <c r="B203" t="s">
        <v>94</v>
      </c>
      <c r="C203">
        <v>97123428</v>
      </c>
      <c r="D203">
        <v>140</v>
      </c>
      <c r="E203" s="4">
        <v>-8745327.6400000006</v>
      </c>
      <c r="F203" t="s">
        <v>62</v>
      </c>
      <c r="G203">
        <v>0</v>
      </c>
      <c r="H203" s="32" t="str">
        <f ca="1">+IF(B203&gt;'sap nuevo'!$V$1,"cargar",IF(C203="","cargar","pagado"))</f>
        <v>cargar</v>
      </c>
      <c r="I203" s="32">
        <f t="shared" si="40"/>
        <v>2025</v>
      </c>
      <c r="J203" s="32">
        <f t="shared" si="41"/>
        <v>2</v>
      </c>
    </row>
    <row r="204" spans="1:10" x14ac:dyDescent="0.25">
      <c r="A204" t="s">
        <v>20</v>
      </c>
      <c r="B204" t="s">
        <v>478</v>
      </c>
      <c r="C204">
        <v>97123432</v>
      </c>
      <c r="D204">
        <v>140</v>
      </c>
      <c r="E204" s="4">
        <v>-15000000</v>
      </c>
      <c r="F204" t="s">
        <v>62</v>
      </c>
      <c r="G204">
        <v>0</v>
      </c>
      <c r="H204" s="32" t="str">
        <f ca="1">+IF(B204&gt;'sap nuevo'!$V$1,"cargar",IF(C204="","cargar","pagado"))</f>
        <v>cargar</v>
      </c>
      <c r="I204" s="32">
        <f t="shared" si="40"/>
        <v>2025</v>
      </c>
      <c r="J204" s="32">
        <f t="shared" si="41"/>
        <v>2</v>
      </c>
    </row>
    <row r="205" spans="1:10" x14ac:dyDescent="0.25">
      <c r="A205" t="s">
        <v>20</v>
      </c>
      <c r="B205" t="s">
        <v>313</v>
      </c>
      <c r="C205">
        <v>3111681</v>
      </c>
      <c r="D205">
        <v>52</v>
      </c>
      <c r="E205" s="4">
        <v>-12852924.6</v>
      </c>
      <c r="F205" t="s">
        <v>19</v>
      </c>
      <c r="G205">
        <v>2</v>
      </c>
      <c r="H205" s="32" t="str">
        <f ca="1">+IF(B205&gt;'sap nuevo'!$V$1,"cargar",IF(C205="","cargar","pagado"))</f>
        <v>cargar</v>
      </c>
      <c r="I205" s="32">
        <f t="shared" si="40"/>
        <v>2025</v>
      </c>
      <c r="J205" s="32">
        <f t="shared" si="41"/>
        <v>2</v>
      </c>
    </row>
    <row r="206" spans="1:10" x14ac:dyDescent="0.25">
      <c r="A206" t="s">
        <v>20</v>
      </c>
      <c r="B206" t="s">
        <v>313</v>
      </c>
      <c r="C206">
        <v>3400727</v>
      </c>
      <c r="D206">
        <v>52</v>
      </c>
      <c r="E206" s="4">
        <v>-5000000</v>
      </c>
      <c r="F206" t="s">
        <v>19</v>
      </c>
      <c r="G206">
        <v>2</v>
      </c>
      <c r="H206" s="32" t="str">
        <f ca="1">+IF(B206&gt;'sap nuevo'!$V$1,"cargar",IF(C206="","cargar","pagado"))</f>
        <v>cargar</v>
      </c>
      <c r="I206" s="32">
        <f t="shared" ref="I206:I216" si="42">+YEAR(B206)</f>
        <v>2025</v>
      </c>
      <c r="J206" s="32">
        <f t="shared" ref="J206:J216" si="43">+MONTH(B206)</f>
        <v>2</v>
      </c>
    </row>
    <row r="207" spans="1:10" x14ac:dyDescent="0.25">
      <c r="A207" t="s">
        <v>20</v>
      </c>
      <c r="B207" t="s">
        <v>313</v>
      </c>
      <c r="C207">
        <v>3400723</v>
      </c>
      <c r="D207">
        <v>52</v>
      </c>
      <c r="E207" s="4">
        <v>-4423276</v>
      </c>
      <c r="F207" t="s">
        <v>19</v>
      </c>
      <c r="G207">
        <v>2</v>
      </c>
      <c r="H207" s="32" t="str">
        <f ca="1">+IF(B207&gt;'sap nuevo'!$V$1,"cargar",IF(C207="","cargar","pagado"))</f>
        <v>cargar</v>
      </c>
      <c r="I207" s="32">
        <f t="shared" si="42"/>
        <v>2025</v>
      </c>
      <c r="J207" s="32">
        <f t="shared" si="43"/>
        <v>2</v>
      </c>
    </row>
    <row r="208" spans="1:10" x14ac:dyDescent="0.25">
      <c r="A208" t="s">
        <v>20</v>
      </c>
      <c r="B208" t="s">
        <v>313</v>
      </c>
      <c r="C208">
        <v>94231515</v>
      </c>
      <c r="D208">
        <v>52</v>
      </c>
      <c r="E208" s="4">
        <v>-2000000</v>
      </c>
      <c r="F208" t="s">
        <v>19</v>
      </c>
      <c r="G208">
        <v>2</v>
      </c>
      <c r="H208" s="32" t="str">
        <f ca="1">+IF(B208&gt;'sap nuevo'!$V$1,"cargar",IF(C208="","cargar","pagado"))</f>
        <v>cargar</v>
      </c>
      <c r="I208" s="32">
        <f t="shared" si="42"/>
        <v>2025</v>
      </c>
      <c r="J208" s="32">
        <f t="shared" si="43"/>
        <v>2</v>
      </c>
    </row>
    <row r="209" spans="1:10" x14ac:dyDescent="0.25">
      <c r="A209" t="s">
        <v>20</v>
      </c>
      <c r="B209" t="s">
        <v>314</v>
      </c>
      <c r="C209">
        <v>3400726</v>
      </c>
      <c r="D209">
        <v>52</v>
      </c>
      <c r="E209" s="4">
        <v>-8582958.6999999993</v>
      </c>
      <c r="F209" t="s">
        <v>19</v>
      </c>
      <c r="G209">
        <v>2</v>
      </c>
      <c r="H209" s="32" t="str">
        <f ca="1">+IF(B209&gt;'sap nuevo'!$V$1,"cargar",IF(C209="","cargar","pagado"))</f>
        <v>cargar</v>
      </c>
      <c r="I209" s="32">
        <f t="shared" si="42"/>
        <v>2025</v>
      </c>
      <c r="J209" s="32">
        <f t="shared" si="43"/>
        <v>3</v>
      </c>
    </row>
    <row r="210" spans="1:10" x14ac:dyDescent="0.25">
      <c r="A210" t="s">
        <v>20</v>
      </c>
      <c r="B210" t="s">
        <v>314</v>
      </c>
      <c r="C210">
        <v>3400725</v>
      </c>
      <c r="D210">
        <v>52</v>
      </c>
      <c r="E210" s="4">
        <v>-8000000</v>
      </c>
      <c r="F210" t="s">
        <v>19</v>
      </c>
      <c r="G210">
        <v>2</v>
      </c>
      <c r="H210" s="32" t="str">
        <f ca="1">+IF(B210&gt;'sap nuevo'!$V$1,"cargar",IF(C210="","cargar","pagado"))</f>
        <v>cargar</v>
      </c>
      <c r="I210" s="32">
        <f t="shared" si="42"/>
        <v>2025</v>
      </c>
      <c r="J210" s="32">
        <f t="shared" si="43"/>
        <v>3</v>
      </c>
    </row>
    <row r="211" spans="1:10" x14ac:dyDescent="0.25">
      <c r="A211" t="s">
        <v>20</v>
      </c>
      <c r="B211" t="s">
        <v>314</v>
      </c>
      <c r="C211">
        <v>3400729</v>
      </c>
      <c r="D211">
        <v>52</v>
      </c>
      <c r="E211" s="4">
        <v>-7758064.6500000004</v>
      </c>
      <c r="F211" t="s">
        <v>19</v>
      </c>
      <c r="G211">
        <v>2</v>
      </c>
      <c r="H211" s="32" t="str">
        <f ca="1">+IF(B211&gt;'sap nuevo'!$V$1,"cargar",IF(C211="","cargar","pagado"))</f>
        <v>cargar</v>
      </c>
      <c r="I211" s="32">
        <f t="shared" si="42"/>
        <v>2025</v>
      </c>
      <c r="J211" s="32">
        <f t="shared" si="43"/>
        <v>3</v>
      </c>
    </row>
    <row r="212" spans="1:10" x14ac:dyDescent="0.25">
      <c r="A212" t="s">
        <v>20</v>
      </c>
      <c r="B212" t="s">
        <v>314</v>
      </c>
      <c r="C212">
        <v>3400732</v>
      </c>
      <c r="D212">
        <v>52</v>
      </c>
      <c r="E212" s="4">
        <v>-6104379.1299999999</v>
      </c>
      <c r="F212" t="s">
        <v>19</v>
      </c>
      <c r="G212">
        <v>2</v>
      </c>
      <c r="H212" s="32" t="str">
        <f ca="1">+IF(B212&gt;'sap nuevo'!$V$1,"cargar",IF(C212="","cargar","pagado"))</f>
        <v>cargar</v>
      </c>
      <c r="I212" s="32">
        <f t="shared" si="42"/>
        <v>2025</v>
      </c>
      <c r="J212" s="32">
        <f t="shared" si="43"/>
        <v>3</v>
      </c>
    </row>
    <row r="213" spans="1:10" x14ac:dyDescent="0.25">
      <c r="A213" t="s">
        <v>20</v>
      </c>
      <c r="B213" t="s">
        <v>314</v>
      </c>
      <c r="C213">
        <v>3111757</v>
      </c>
      <c r="D213">
        <v>52</v>
      </c>
      <c r="E213" s="4">
        <v>-6000000</v>
      </c>
      <c r="F213" t="s">
        <v>19</v>
      </c>
      <c r="G213">
        <v>2</v>
      </c>
      <c r="H213" s="32" t="str">
        <f ca="1">+IF(B213&gt;'sap nuevo'!$V$1,"cargar",IF(C213="","cargar","pagado"))</f>
        <v>cargar</v>
      </c>
      <c r="I213" s="32">
        <f t="shared" si="42"/>
        <v>2025</v>
      </c>
      <c r="J213" s="32">
        <f t="shared" si="43"/>
        <v>3</v>
      </c>
    </row>
    <row r="214" spans="1:10" x14ac:dyDescent="0.25">
      <c r="A214" t="s">
        <v>20</v>
      </c>
      <c r="B214" t="s">
        <v>314</v>
      </c>
      <c r="C214">
        <v>3400728</v>
      </c>
      <c r="D214">
        <v>52</v>
      </c>
      <c r="E214" s="4">
        <v>-5777436.9000000004</v>
      </c>
      <c r="F214" t="s">
        <v>19</v>
      </c>
      <c r="G214">
        <v>2</v>
      </c>
      <c r="H214" s="32" t="str">
        <f ca="1">+IF(B214&gt;'sap nuevo'!$V$1,"cargar",IF(C214="","cargar","pagado"))</f>
        <v>cargar</v>
      </c>
      <c r="I214" s="32">
        <f t="shared" si="42"/>
        <v>2025</v>
      </c>
      <c r="J214" s="32">
        <f t="shared" si="43"/>
        <v>3</v>
      </c>
    </row>
    <row r="215" spans="1:10" x14ac:dyDescent="0.25">
      <c r="A215" t="s">
        <v>20</v>
      </c>
      <c r="B215" t="s">
        <v>314</v>
      </c>
      <c r="C215">
        <v>3400731</v>
      </c>
      <c r="D215">
        <v>52</v>
      </c>
      <c r="E215" s="4">
        <v>-4439047.0599999996</v>
      </c>
      <c r="F215" t="s">
        <v>19</v>
      </c>
      <c r="G215">
        <v>2</v>
      </c>
      <c r="H215" s="32" t="str">
        <f ca="1">+IF(B215&gt;'sap nuevo'!$V$1,"cargar",IF(C215="","cargar","pagado"))</f>
        <v>cargar</v>
      </c>
      <c r="I215" s="32">
        <f t="shared" si="42"/>
        <v>2025</v>
      </c>
      <c r="J215" s="32">
        <f t="shared" si="43"/>
        <v>3</v>
      </c>
    </row>
    <row r="216" spans="1:10" x14ac:dyDescent="0.25">
      <c r="A216" t="s">
        <v>20</v>
      </c>
      <c r="B216" t="s">
        <v>95</v>
      </c>
      <c r="C216">
        <v>3400735</v>
      </c>
      <c r="D216">
        <v>52</v>
      </c>
      <c r="E216" s="4">
        <v>-10037035.439999999</v>
      </c>
      <c r="F216" t="s">
        <v>19</v>
      </c>
      <c r="G216">
        <v>2</v>
      </c>
      <c r="H216" s="32" t="str">
        <f ca="1">+IF(B216&gt;'sap nuevo'!$V$1,"cargar",IF(C216="","cargar","pagado"))</f>
        <v>cargar</v>
      </c>
      <c r="I216" s="32">
        <f t="shared" si="42"/>
        <v>2025</v>
      </c>
      <c r="J216" s="32">
        <f t="shared" si="43"/>
        <v>3</v>
      </c>
    </row>
    <row r="217" spans="1:10" x14ac:dyDescent="0.25">
      <c r="A217" t="s">
        <v>20</v>
      </c>
      <c r="B217" t="s">
        <v>95</v>
      </c>
      <c r="C217">
        <v>3111758</v>
      </c>
      <c r="D217">
        <v>52</v>
      </c>
      <c r="E217" s="4">
        <v>-6477960</v>
      </c>
      <c r="F217" t="s">
        <v>19</v>
      </c>
      <c r="G217">
        <v>2</v>
      </c>
      <c r="H217" s="32" t="str">
        <f ca="1">+IF(B217&gt;'sap nuevo'!$V$1,"cargar",IF(C217="","cargar","pagado"))</f>
        <v>cargar</v>
      </c>
      <c r="I217" s="32">
        <f t="shared" ref="I217:I231" si="44">+YEAR(B217)</f>
        <v>2025</v>
      </c>
      <c r="J217" s="32">
        <f t="shared" ref="J217:J231" si="45">+MONTH(B217)</f>
        <v>3</v>
      </c>
    </row>
    <row r="218" spans="1:10" x14ac:dyDescent="0.25">
      <c r="A218" t="s">
        <v>20</v>
      </c>
      <c r="B218" t="s">
        <v>95</v>
      </c>
      <c r="C218">
        <v>3111779</v>
      </c>
      <c r="D218">
        <v>52</v>
      </c>
      <c r="E218" s="4">
        <v>-5000000</v>
      </c>
      <c r="F218" t="s">
        <v>19</v>
      </c>
      <c r="G218">
        <v>2</v>
      </c>
      <c r="H218" s="32" t="str">
        <f ca="1">+IF(B218&gt;'sap nuevo'!$V$1,"cargar",IF(C218="","cargar","pagado"))</f>
        <v>cargar</v>
      </c>
      <c r="I218" s="32">
        <f t="shared" si="44"/>
        <v>2025</v>
      </c>
      <c r="J218" s="32">
        <f t="shared" si="45"/>
        <v>3</v>
      </c>
    </row>
    <row r="219" spans="1:10" x14ac:dyDescent="0.25">
      <c r="A219" t="s">
        <v>20</v>
      </c>
      <c r="B219" t="s">
        <v>95</v>
      </c>
      <c r="C219">
        <v>3111780</v>
      </c>
      <c r="D219">
        <v>52</v>
      </c>
      <c r="E219" s="4">
        <v>-5000000</v>
      </c>
      <c r="F219" t="s">
        <v>19</v>
      </c>
      <c r="G219">
        <v>2</v>
      </c>
      <c r="H219" s="32" t="str">
        <f ca="1">+IF(B219&gt;'sap nuevo'!$V$1,"cargar",IF(C219="","cargar","pagado"))</f>
        <v>cargar</v>
      </c>
      <c r="I219" s="32">
        <f t="shared" si="44"/>
        <v>2025</v>
      </c>
      <c r="J219" s="32">
        <f t="shared" si="45"/>
        <v>3</v>
      </c>
    </row>
    <row r="220" spans="1:10" x14ac:dyDescent="0.25">
      <c r="A220" t="s">
        <v>20</v>
      </c>
      <c r="B220" t="s">
        <v>95</v>
      </c>
      <c r="C220">
        <v>3400737</v>
      </c>
      <c r="D220">
        <v>52</v>
      </c>
      <c r="E220" s="4">
        <v>-4903650.8099999996</v>
      </c>
      <c r="F220" t="s">
        <v>19</v>
      </c>
      <c r="G220">
        <v>2</v>
      </c>
      <c r="H220" s="32" t="str">
        <f ca="1">+IF(B220&gt;'sap nuevo'!$V$1,"cargar",IF(C220="","cargar","pagado"))</f>
        <v>cargar</v>
      </c>
      <c r="I220" s="32">
        <f t="shared" si="44"/>
        <v>2025</v>
      </c>
      <c r="J220" s="32">
        <f t="shared" si="45"/>
        <v>3</v>
      </c>
    </row>
    <row r="221" spans="1:10" x14ac:dyDescent="0.25">
      <c r="A221" t="s">
        <v>20</v>
      </c>
      <c r="B221" t="s">
        <v>95</v>
      </c>
      <c r="C221">
        <v>3400721</v>
      </c>
      <c r="D221">
        <v>52</v>
      </c>
      <c r="E221" s="4">
        <v>-2981564.25</v>
      </c>
      <c r="F221" t="s">
        <v>19</v>
      </c>
      <c r="G221">
        <v>2</v>
      </c>
      <c r="H221" s="32" t="str">
        <f ca="1">+IF(B221&gt;'sap nuevo'!$V$1,"cargar",IF(C221="","cargar","pagado"))</f>
        <v>cargar</v>
      </c>
      <c r="I221" s="32">
        <f t="shared" si="44"/>
        <v>2025</v>
      </c>
      <c r="J221" s="32">
        <f t="shared" si="45"/>
        <v>3</v>
      </c>
    </row>
    <row r="222" spans="1:10" x14ac:dyDescent="0.25">
      <c r="A222" t="s">
        <v>20</v>
      </c>
      <c r="B222" t="s">
        <v>95</v>
      </c>
      <c r="C222">
        <v>3400733</v>
      </c>
      <c r="D222">
        <v>52</v>
      </c>
      <c r="E222" s="4">
        <v>-2914278.75</v>
      </c>
      <c r="F222" t="s">
        <v>19</v>
      </c>
      <c r="G222">
        <v>2</v>
      </c>
      <c r="H222" s="32" t="str">
        <f ca="1">+IF(B222&gt;'sap nuevo'!$V$1,"cargar",IF(C222="","cargar","pagado"))</f>
        <v>cargar</v>
      </c>
      <c r="I222" s="32">
        <f t="shared" si="44"/>
        <v>2025</v>
      </c>
      <c r="J222" s="32">
        <f t="shared" si="45"/>
        <v>3</v>
      </c>
    </row>
    <row r="223" spans="1:10" x14ac:dyDescent="0.25">
      <c r="A223" t="s">
        <v>20</v>
      </c>
      <c r="B223" t="s">
        <v>95</v>
      </c>
      <c r="C223">
        <v>3111776</v>
      </c>
      <c r="D223">
        <v>52</v>
      </c>
      <c r="E223" s="4">
        <v>-2000000</v>
      </c>
      <c r="F223" t="s">
        <v>19</v>
      </c>
      <c r="G223">
        <v>2</v>
      </c>
      <c r="H223" s="32" t="str">
        <f ca="1">+IF(B223&gt;'sap nuevo'!$V$1,"cargar",IF(C223="","cargar","pagado"))</f>
        <v>cargar</v>
      </c>
      <c r="I223" s="32">
        <f t="shared" si="44"/>
        <v>2025</v>
      </c>
      <c r="J223" s="32">
        <f t="shared" si="45"/>
        <v>3</v>
      </c>
    </row>
    <row r="224" spans="1:10" x14ac:dyDescent="0.25">
      <c r="A224" t="s">
        <v>20</v>
      </c>
      <c r="B224" t="s">
        <v>95</v>
      </c>
      <c r="C224">
        <v>3111777</v>
      </c>
      <c r="D224">
        <v>52</v>
      </c>
      <c r="E224" s="4">
        <v>-2000000</v>
      </c>
      <c r="F224" t="s">
        <v>19</v>
      </c>
      <c r="G224">
        <v>2</v>
      </c>
      <c r="H224" s="32" t="str">
        <f ca="1">+IF(B224&gt;'sap nuevo'!$V$1,"cargar",IF(C224="","cargar","pagado"))</f>
        <v>cargar</v>
      </c>
      <c r="I224" s="32">
        <f t="shared" si="44"/>
        <v>2025</v>
      </c>
      <c r="J224" s="32">
        <f t="shared" si="45"/>
        <v>3</v>
      </c>
    </row>
    <row r="225" spans="1:10" x14ac:dyDescent="0.25">
      <c r="A225" t="s">
        <v>20</v>
      </c>
      <c r="B225" t="s">
        <v>95</v>
      </c>
      <c r="C225">
        <v>3111778</v>
      </c>
      <c r="D225">
        <v>52</v>
      </c>
      <c r="E225" s="4">
        <v>-2000000</v>
      </c>
      <c r="F225" t="s">
        <v>19</v>
      </c>
      <c r="G225">
        <v>2</v>
      </c>
      <c r="H225" s="32" t="str">
        <f ca="1">+IF(B225&gt;'sap nuevo'!$V$1,"cargar",IF(C225="","cargar","pagado"))</f>
        <v>cargar</v>
      </c>
      <c r="I225" s="32">
        <f t="shared" si="44"/>
        <v>2025</v>
      </c>
      <c r="J225" s="32">
        <f t="shared" si="45"/>
        <v>3</v>
      </c>
    </row>
    <row r="226" spans="1:10" x14ac:dyDescent="0.25">
      <c r="A226" t="s">
        <v>20</v>
      </c>
      <c r="B226" t="s">
        <v>95</v>
      </c>
      <c r="C226">
        <v>3400736</v>
      </c>
      <c r="D226">
        <v>52</v>
      </c>
      <c r="E226" s="4">
        <v>-1289536.05</v>
      </c>
      <c r="F226" t="s">
        <v>19</v>
      </c>
      <c r="G226">
        <v>2</v>
      </c>
      <c r="H226" s="32" t="str">
        <f ca="1">+IF(B226&gt;'sap nuevo'!$V$1,"cargar",IF(C226="","cargar","pagado"))</f>
        <v>cargar</v>
      </c>
      <c r="I226" s="32">
        <f t="shared" si="44"/>
        <v>2025</v>
      </c>
      <c r="J226" s="32">
        <f t="shared" si="45"/>
        <v>3</v>
      </c>
    </row>
    <row r="227" spans="1:10" x14ac:dyDescent="0.25">
      <c r="A227" t="s">
        <v>20</v>
      </c>
      <c r="B227" t="s">
        <v>95</v>
      </c>
      <c r="C227">
        <v>3111775</v>
      </c>
      <c r="D227">
        <v>52</v>
      </c>
      <c r="E227" s="4">
        <v>-1000000</v>
      </c>
      <c r="F227" t="s">
        <v>19</v>
      </c>
      <c r="G227">
        <v>2</v>
      </c>
      <c r="H227" s="32" t="str">
        <f ca="1">+IF(B227&gt;'sap nuevo'!$V$1,"cargar",IF(C227="","cargar","pagado"))</f>
        <v>cargar</v>
      </c>
      <c r="I227" s="32">
        <f t="shared" si="44"/>
        <v>2025</v>
      </c>
      <c r="J227" s="32">
        <f t="shared" si="45"/>
        <v>3</v>
      </c>
    </row>
    <row r="228" spans="1:10" x14ac:dyDescent="0.25">
      <c r="A228" t="s">
        <v>20</v>
      </c>
      <c r="B228" t="s">
        <v>95</v>
      </c>
      <c r="C228">
        <v>94231522</v>
      </c>
      <c r="D228">
        <v>52</v>
      </c>
      <c r="E228" s="4">
        <v>-515024</v>
      </c>
      <c r="F228" t="s">
        <v>19</v>
      </c>
      <c r="G228">
        <v>2</v>
      </c>
      <c r="H228" s="32" t="str">
        <f ca="1">+IF(B228&gt;'sap nuevo'!$V$1,"cargar",IF(C228="","cargar","pagado"))</f>
        <v>cargar</v>
      </c>
      <c r="I228" s="32">
        <f t="shared" si="44"/>
        <v>2025</v>
      </c>
      <c r="J228" s="32">
        <f t="shared" si="45"/>
        <v>3</v>
      </c>
    </row>
    <row r="229" spans="1:10" x14ac:dyDescent="0.25">
      <c r="A229" t="s">
        <v>20</v>
      </c>
      <c r="B229" t="s">
        <v>479</v>
      </c>
      <c r="C229">
        <v>3400734</v>
      </c>
      <c r="D229">
        <v>52</v>
      </c>
      <c r="E229" s="4">
        <v>-4926343.4000000004</v>
      </c>
      <c r="F229" t="s">
        <v>19</v>
      </c>
      <c r="G229">
        <v>2</v>
      </c>
      <c r="H229" s="32" t="str">
        <f ca="1">+IF(B229&gt;'sap nuevo'!$V$1,"cargar",IF(C229="","cargar","pagado"))</f>
        <v>cargar</v>
      </c>
      <c r="I229" s="32">
        <f t="shared" si="44"/>
        <v>2025</v>
      </c>
      <c r="J229" s="32">
        <f t="shared" si="45"/>
        <v>3</v>
      </c>
    </row>
    <row r="230" spans="1:10" x14ac:dyDescent="0.25">
      <c r="A230" t="s">
        <v>20</v>
      </c>
      <c r="B230" t="s">
        <v>99</v>
      </c>
      <c r="C230">
        <v>3111752</v>
      </c>
      <c r="D230">
        <v>52</v>
      </c>
      <c r="E230" s="4">
        <v>-2147288.7000000002</v>
      </c>
      <c r="F230" t="s">
        <v>19</v>
      </c>
      <c r="G230">
        <v>2</v>
      </c>
      <c r="H230" s="32" t="str">
        <f ca="1">+IF(B230&gt;'sap nuevo'!$V$1,"cargar",IF(C230="","cargar","pagado"))</f>
        <v>cargar</v>
      </c>
      <c r="I230" s="32">
        <f t="shared" si="44"/>
        <v>2025</v>
      </c>
      <c r="J230" s="32">
        <f t="shared" si="45"/>
        <v>3</v>
      </c>
    </row>
    <row r="231" spans="1:10" x14ac:dyDescent="0.25">
      <c r="A231" t="s">
        <v>20</v>
      </c>
      <c r="B231" t="s">
        <v>99</v>
      </c>
      <c r="C231">
        <v>3111751</v>
      </c>
      <c r="D231">
        <v>52</v>
      </c>
      <c r="E231" s="4">
        <v>-2000000</v>
      </c>
      <c r="F231" t="s">
        <v>19</v>
      </c>
      <c r="G231">
        <v>2</v>
      </c>
      <c r="H231" s="32" t="str">
        <f ca="1">+IF(B231&gt;'sap nuevo'!$V$1,"cargar",IF(C231="","cargar","pagado"))</f>
        <v>cargar</v>
      </c>
      <c r="I231" s="32">
        <f t="shared" si="44"/>
        <v>2025</v>
      </c>
      <c r="J231" s="32">
        <f t="shared" si="45"/>
        <v>3</v>
      </c>
    </row>
    <row r="232" spans="1:10" x14ac:dyDescent="0.25">
      <c r="A232" t="s">
        <v>20</v>
      </c>
      <c r="B232" t="s">
        <v>97</v>
      </c>
      <c r="C232">
        <v>3400738</v>
      </c>
      <c r="D232">
        <v>52</v>
      </c>
      <c r="E232" s="4">
        <v>-14397858.050000001</v>
      </c>
      <c r="F232" t="s">
        <v>19</v>
      </c>
      <c r="G232">
        <v>2</v>
      </c>
      <c r="H232" s="32" t="str">
        <f ca="1">+IF(B232&gt;'sap nuevo'!$V$1,"cargar",IF(C232="","cargar","pagado"))</f>
        <v>cargar</v>
      </c>
      <c r="I232" s="32">
        <f t="shared" ref="I232:I240" si="46">+YEAR(B232)</f>
        <v>2025</v>
      </c>
      <c r="J232" s="32">
        <f t="shared" ref="J232:J240" si="47">+MONTH(B232)</f>
        <v>3</v>
      </c>
    </row>
    <row r="233" spans="1:10" x14ac:dyDescent="0.25">
      <c r="A233" t="s">
        <v>20</v>
      </c>
      <c r="B233" t="s">
        <v>97</v>
      </c>
      <c r="C233">
        <v>3400739</v>
      </c>
      <c r="D233">
        <v>52</v>
      </c>
      <c r="E233" s="4">
        <v>-13016615.41</v>
      </c>
      <c r="F233" t="s">
        <v>19</v>
      </c>
      <c r="G233">
        <v>2</v>
      </c>
      <c r="H233" s="32" t="str">
        <f ca="1">+IF(B233&gt;'sap nuevo'!$V$1,"cargar",IF(C233="","cargar","pagado"))</f>
        <v>cargar</v>
      </c>
      <c r="I233" s="32">
        <f t="shared" si="46"/>
        <v>2025</v>
      </c>
      <c r="J233" s="32">
        <f t="shared" si="47"/>
        <v>3</v>
      </c>
    </row>
    <row r="234" spans="1:10" x14ac:dyDescent="0.25">
      <c r="A234" t="s">
        <v>20</v>
      </c>
      <c r="B234" t="s">
        <v>97</v>
      </c>
      <c r="C234">
        <v>3400741</v>
      </c>
      <c r="D234">
        <v>52</v>
      </c>
      <c r="E234" s="4">
        <v>-11365218.630000001</v>
      </c>
      <c r="F234" t="s">
        <v>19</v>
      </c>
      <c r="G234">
        <v>2</v>
      </c>
      <c r="H234" s="32" t="str">
        <f ca="1">+IF(B234&gt;'sap nuevo'!$V$1,"cargar",IF(C234="","cargar","pagado"))</f>
        <v>cargar</v>
      </c>
      <c r="I234" s="32">
        <f t="shared" si="46"/>
        <v>2025</v>
      </c>
      <c r="J234" s="32">
        <f t="shared" si="47"/>
        <v>3</v>
      </c>
    </row>
    <row r="235" spans="1:10" x14ac:dyDescent="0.25">
      <c r="A235" t="s">
        <v>20</v>
      </c>
      <c r="B235" t="s">
        <v>97</v>
      </c>
      <c r="C235">
        <v>3400740</v>
      </c>
      <c r="D235">
        <v>52</v>
      </c>
      <c r="E235" s="4">
        <v>-11343092.050000001</v>
      </c>
      <c r="F235" t="s">
        <v>19</v>
      </c>
      <c r="G235">
        <v>2</v>
      </c>
      <c r="H235" s="32" t="str">
        <f ca="1">+IF(B235&gt;'sap nuevo'!$V$1,"cargar",IF(C235="","cargar","pagado"))</f>
        <v>cargar</v>
      </c>
      <c r="I235" s="32">
        <f t="shared" si="46"/>
        <v>2025</v>
      </c>
      <c r="J235" s="32">
        <f t="shared" si="47"/>
        <v>3</v>
      </c>
    </row>
    <row r="236" spans="1:10" x14ac:dyDescent="0.25">
      <c r="A236" t="s">
        <v>20</v>
      </c>
      <c r="B236" t="s">
        <v>97</v>
      </c>
      <c r="C236">
        <v>3111774</v>
      </c>
      <c r="D236">
        <v>52</v>
      </c>
      <c r="E236" s="4">
        <v>-1000000</v>
      </c>
      <c r="F236" t="s">
        <v>19</v>
      </c>
      <c r="G236">
        <v>2</v>
      </c>
      <c r="H236" s="32" t="str">
        <f ca="1">+IF(B236&gt;'sap nuevo'!$V$1,"cargar",IF(C236="","cargar","pagado"))</f>
        <v>cargar</v>
      </c>
      <c r="I236" s="32">
        <f t="shared" si="46"/>
        <v>2025</v>
      </c>
      <c r="J236" s="32">
        <f t="shared" si="47"/>
        <v>3</v>
      </c>
    </row>
    <row r="237" spans="1:10" x14ac:dyDescent="0.25">
      <c r="A237" t="s">
        <v>20</v>
      </c>
      <c r="B237" t="s">
        <v>98</v>
      </c>
      <c r="C237">
        <v>3111760</v>
      </c>
      <c r="D237">
        <v>52</v>
      </c>
      <c r="E237" s="4">
        <v>-13947208.59</v>
      </c>
      <c r="F237" t="s">
        <v>19</v>
      </c>
      <c r="G237">
        <v>2</v>
      </c>
      <c r="H237" s="32" t="str">
        <f ca="1">+IF(B237&gt;'sap nuevo'!$V$1,"cargar",IF(C237="","cargar","pagado"))</f>
        <v>cargar</v>
      </c>
      <c r="I237" s="32">
        <f t="shared" si="46"/>
        <v>2025</v>
      </c>
      <c r="J237" s="32">
        <f t="shared" si="47"/>
        <v>3</v>
      </c>
    </row>
    <row r="238" spans="1:10" x14ac:dyDescent="0.25">
      <c r="A238" t="s">
        <v>12</v>
      </c>
      <c r="B238" t="s">
        <v>95</v>
      </c>
      <c r="C238">
        <v>97123411</v>
      </c>
      <c r="D238">
        <v>140</v>
      </c>
      <c r="E238" s="4">
        <v>-1569578.57</v>
      </c>
      <c r="F238" t="s">
        <v>63</v>
      </c>
      <c r="G238">
        <v>0</v>
      </c>
      <c r="H238" s="32" t="str">
        <f ca="1">+IF(B238&gt;'sap nuevo'!$V$1,"cargar",IF(C238="","cargar","pagado"))</f>
        <v>cargar</v>
      </c>
      <c r="I238" s="32">
        <f t="shared" si="46"/>
        <v>2025</v>
      </c>
      <c r="J238" s="32">
        <f t="shared" si="47"/>
        <v>3</v>
      </c>
    </row>
    <row r="239" spans="1:10" x14ac:dyDescent="0.25">
      <c r="A239" t="s">
        <v>20</v>
      </c>
      <c r="B239" t="s">
        <v>96</v>
      </c>
      <c r="C239">
        <v>97123427</v>
      </c>
      <c r="D239">
        <v>140</v>
      </c>
      <c r="E239" s="4">
        <v>-8000000</v>
      </c>
      <c r="F239" t="s">
        <v>62</v>
      </c>
      <c r="G239">
        <v>0</v>
      </c>
      <c r="H239" s="32" t="str">
        <f ca="1">+IF(B239&gt;'sap nuevo'!$V$1,"cargar",IF(C239="","cargar","pagado"))</f>
        <v>cargar</v>
      </c>
      <c r="I239" s="32">
        <f t="shared" si="46"/>
        <v>2025</v>
      </c>
      <c r="J239" s="32">
        <f t="shared" si="47"/>
        <v>3</v>
      </c>
    </row>
    <row r="240" spans="1:10" x14ac:dyDescent="0.25">
      <c r="A240" t="s">
        <v>12</v>
      </c>
      <c r="B240" t="s">
        <v>100</v>
      </c>
      <c r="C240">
        <v>97123439</v>
      </c>
      <c r="D240">
        <v>140</v>
      </c>
      <c r="E240" s="4">
        <v>-23000000</v>
      </c>
      <c r="F240" t="s">
        <v>63</v>
      </c>
      <c r="G240">
        <v>0</v>
      </c>
      <c r="H240" s="32" t="str">
        <f ca="1">+IF(B240&gt;'sap nuevo'!$V$1,"cargar",IF(C240="","cargar","pagado"))</f>
        <v>cargar</v>
      </c>
      <c r="I240" s="32">
        <f t="shared" si="46"/>
        <v>2025</v>
      </c>
      <c r="J240" s="32">
        <f t="shared" si="47"/>
        <v>3</v>
      </c>
    </row>
    <row r="241" spans="1:10" x14ac:dyDescent="0.25">
      <c r="A241" t="s">
        <v>20</v>
      </c>
      <c r="B241" t="s">
        <v>100</v>
      </c>
      <c r="C241">
        <v>97123443</v>
      </c>
      <c r="D241">
        <v>140</v>
      </c>
      <c r="E241" s="4">
        <v>-18000000</v>
      </c>
      <c r="F241" t="s">
        <v>62</v>
      </c>
      <c r="G241">
        <v>0</v>
      </c>
      <c r="H241" s="32" t="str">
        <f ca="1">+IF(B241&gt;'sap nuevo'!$V$1,"cargar",IF(C241="","cargar","pagado"))</f>
        <v>cargar</v>
      </c>
      <c r="I241" s="32">
        <f t="shared" ref="I241:I246" si="48">+YEAR(B241)</f>
        <v>2025</v>
      </c>
      <c r="J241" s="32">
        <f t="shared" ref="J241:J246" si="49">+MONTH(B241)</f>
        <v>3</v>
      </c>
    </row>
    <row r="242" spans="1:10" x14ac:dyDescent="0.25">
      <c r="A242" t="s">
        <v>12</v>
      </c>
      <c r="B242" t="s">
        <v>100</v>
      </c>
      <c r="C242">
        <v>97123450</v>
      </c>
      <c r="D242">
        <v>140</v>
      </c>
      <c r="E242" s="4">
        <v>-14011767.74</v>
      </c>
      <c r="F242" t="s">
        <v>63</v>
      </c>
      <c r="G242">
        <v>0</v>
      </c>
      <c r="H242" s="32" t="str">
        <f ca="1">+IF(B242&gt;'sap nuevo'!$V$1,"cargar",IF(C242="","cargar","pagado"))</f>
        <v>cargar</v>
      </c>
      <c r="I242" s="32">
        <f t="shared" si="48"/>
        <v>2025</v>
      </c>
      <c r="J242" s="32">
        <f t="shared" si="49"/>
        <v>3</v>
      </c>
    </row>
    <row r="243" spans="1:10" x14ac:dyDescent="0.25">
      <c r="A243" t="s">
        <v>12</v>
      </c>
      <c r="B243" t="s">
        <v>100</v>
      </c>
      <c r="C243">
        <v>97123434</v>
      </c>
      <c r="D243">
        <v>140</v>
      </c>
      <c r="E243" s="4">
        <v>-13000000</v>
      </c>
      <c r="F243" t="s">
        <v>63</v>
      </c>
      <c r="G243">
        <v>0</v>
      </c>
      <c r="H243" s="32" t="str">
        <f ca="1">+IF(B243&gt;'sap nuevo'!$V$1,"cargar",IF(C243="","cargar","pagado"))</f>
        <v>cargar</v>
      </c>
      <c r="I243" s="32">
        <f t="shared" si="48"/>
        <v>2025</v>
      </c>
      <c r="J243" s="32">
        <f t="shared" si="49"/>
        <v>3</v>
      </c>
    </row>
    <row r="244" spans="1:10" x14ac:dyDescent="0.25">
      <c r="A244" t="s">
        <v>12</v>
      </c>
      <c r="B244" t="s">
        <v>100</v>
      </c>
      <c r="C244">
        <v>97123448</v>
      </c>
      <c r="D244">
        <v>140</v>
      </c>
      <c r="E244" s="4">
        <v>-13000000</v>
      </c>
      <c r="F244" t="s">
        <v>63</v>
      </c>
      <c r="G244">
        <v>0</v>
      </c>
      <c r="H244" s="32" t="str">
        <f ca="1">+IF(B244&gt;'sap nuevo'!$V$1,"cargar",IF(C244="","cargar","pagado"))</f>
        <v>cargar</v>
      </c>
      <c r="I244" s="32">
        <f t="shared" si="48"/>
        <v>2025</v>
      </c>
      <c r="J244" s="32">
        <f t="shared" si="49"/>
        <v>3</v>
      </c>
    </row>
    <row r="245" spans="1:10" x14ac:dyDescent="0.25">
      <c r="A245" t="s">
        <v>20</v>
      </c>
      <c r="B245" t="s">
        <v>100</v>
      </c>
      <c r="C245">
        <v>97123445</v>
      </c>
      <c r="D245">
        <v>140</v>
      </c>
      <c r="E245" s="4">
        <v>-10000000</v>
      </c>
      <c r="F245" t="s">
        <v>62</v>
      </c>
      <c r="G245">
        <v>0</v>
      </c>
      <c r="H245" s="32" t="str">
        <f ca="1">+IF(B245&gt;'sap nuevo'!$V$1,"cargar",IF(C245="","cargar","pagado"))</f>
        <v>cargar</v>
      </c>
      <c r="I245" s="32">
        <f t="shared" si="48"/>
        <v>2025</v>
      </c>
      <c r="J245" s="32">
        <f t="shared" si="49"/>
        <v>3</v>
      </c>
    </row>
    <row r="246" spans="1:10" x14ac:dyDescent="0.25">
      <c r="A246" t="s">
        <v>12</v>
      </c>
      <c r="B246" t="s">
        <v>100</v>
      </c>
      <c r="C246">
        <v>97123437</v>
      </c>
      <c r="D246">
        <v>140</v>
      </c>
      <c r="E246" s="4">
        <v>-9457422.1999999993</v>
      </c>
      <c r="F246" t="s">
        <v>63</v>
      </c>
      <c r="G246">
        <v>0</v>
      </c>
      <c r="H246" s="32" t="str">
        <f ca="1">+IF(B246&gt;'sap nuevo'!$V$1,"cargar",IF(C246="","cargar","pagado"))</f>
        <v>cargar</v>
      </c>
      <c r="I246" s="32">
        <f t="shared" si="48"/>
        <v>2025</v>
      </c>
      <c r="J246" s="32">
        <f t="shared" si="49"/>
        <v>3</v>
      </c>
    </row>
    <row r="247" spans="1:10" x14ac:dyDescent="0.25">
      <c r="A247" t="s">
        <v>12</v>
      </c>
      <c r="B247" t="s">
        <v>100</v>
      </c>
      <c r="C247">
        <v>97123447</v>
      </c>
      <c r="D247">
        <v>140</v>
      </c>
      <c r="E247" s="4">
        <v>-8531433.1500000004</v>
      </c>
      <c r="F247" t="s">
        <v>63</v>
      </c>
      <c r="G247">
        <v>0</v>
      </c>
      <c r="H247" s="32" t="e">
        <f ca="1">+IF(#REF!&gt;'sap nuevo'!$V$1,"cargar",IF(#REF!="","cargar","pagado"))</f>
        <v>#REF!</v>
      </c>
      <c r="I247" s="32" t="e">
        <f>+YEAR(#REF!)</f>
        <v>#REF!</v>
      </c>
      <c r="J247" s="32" t="e">
        <f>+MONTH(#REF!)</f>
        <v>#REF!</v>
      </c>
    </row>
    <row r="248" spans="1:10" x14ac:dyDescent="0.25">
      <c r="A248" t="s">
        <v>20</v>
      </c>
      <c r="B248" t="s">
        <v>100</v>
      </c>
      <c r="C248">
        <v>97123451</v>
      </c>
      <c r="D248">
        <v>140</v>
      </c>
      <c r="E248" s="4">
        <v>-7208101</v>
      </c>
      <c r="F248" t="s">
        <v>62</v>
      </c>
      <c r="G248">
        <v>0</v>
      </c>
      <c r="H248" s="32" t="e">
        <f ca="1">+IF(#REF!&gt;'sap nuevo'!$V$1,"cargar",IF(#REF!="","cargar","pagado"))</f>
        <v>#REF!</v>
      </c>
      <c r="I248" s="32" t="e">
        <f>+YEAR(#REF!)</f>
        <v>#REF!</v>
      </c>
      <c r="J248" s="32" t="e">
        <f>+MONTH(#REF!)</f>
        <v>#REF!</v>
      </c>
    </row>
    <row r="249" spans="1:10" x14ac:dyDescent="0.25">
      <c r="A249" t="s">
        <v>20</v>
      </c>
      <c r="B249" t="s">
        <v>100</v>
      </c>
      <c r="C249">
        <v>97123438</v>
      </c>
      <c r="D249">
        <v>140</v>
      </c>
      <c r="E249" s="4">
        <v>-5586407.9000000004</v>
      </c>
      <c r="F249" t="s">
        <v>62</v>
      </c>
      <c r="G249">
        <v>0</v>
      </c>
      <c r="H249" s="32" t="e">
        <f ca="1">+IF(#REF!&gt;'sap nuevo'!$V$1,"cargar",IF(#REF!="","cargar","pagado"))</f>
        <v>#REF!</v>
      </c>
      <c r="I249" s="32" t="e">
        <f>+YEAR(#REF!)</f>
        <v>#REF!</v>
      </c>
      <c r="J249" s="32" t="e">
        <f>+MONTH(#REF!)</f>
        <v>#REF!</v>
      </c>
    </row>
    <row r="250" spans="1:10" x14ac:dyDescent="0.25">
      <c r="A250" t="s">
        <v>20</v>
      </c>
      <c r="B250" t="s">
        <v>480</v>
      </c>
      <c r="C250">
        <v>94231523</v>
      </c>
      <c r="D250">
        <v>52</v>
      </c>
      <c r="E250" s="4">
        <v>-13371410</v>
      </c>
      <c r="F250" t="s">
        <v>19</v>
      </c>
      <c r="G250">
        <v>2</v>
      </c>
      <c r="H250" s="32" t="e">
        <f ca="1">+IF(#REF!&gt;'sap nuevo'!$V$1,"cargar",IF(#REF!="","cargar","pagado"))</f>
        <v>#REF!</v>
      </c>
      <c r="I250" s="32" t="e">
        <f>+YEAR(#REF!)</f>
        <v>#REF!</v>
      </c>
      <c r="J250" s="32" t="e">
        <f>+MONTH(#REF!)</f>
        <v>#REF!</v>
      </c>
    </row>
    <row r="251" spans="1:10" x14ac:dyDescent="0.25">
      <c r="A251" t="s">
        <v>20</v>
      </c>
      <c r="B251" t="s">
        <v>480</v>
      </c>
      <c r="C251">
        <v>3400722</v>
      </c>
      <c r="D251">
        <v>52</v>
      </c>
      <c r="E251" s="4">
        <v>-464138.31</v>
      </c>
      <c r="F251" t="s">
        <v>19</v>
      </c>
      <c r="G251">
        <v>2</v>
      </c>
      <c r="H251" s="32" t="str">
        <f ca="1">+IF(B251&gt;'sap nuevo'!$V$1,"cargar",IF(C251="","cargar","pagado"))</f>
        <v>cargar</v>
      </c>
      <c r="I251" s="32">
        <f>+YEAR(B251)</f>
        <v>2025</v>
      </c>
      <c r="J251" s="32">
        <f>+MONTH(B251)</f>
        <v>3</v>
      </c>
    </row>
    <row r="252" spans="1:10" x14ac:dyDescent="0.25">
      <c r="A252" t="s">
        <v>12</v>
      </c>
      <c r="B252" t="s">
        <v>480</v>
      </c>
      <c r="C252">
        <v>97123440</v>
      </c>
      <c r="D252">
        <v>140</v>
      </c>
      <c r="E252" s="4">
        <v>-23741732.899999999</v>
      </c>
      <c r="F252" t="s">
        <v>63</v>
      </c>
      <c r="G252">
        <v>0</v>
      </c>
      <c r="H252" s="32" t="str">
        <f ca="1">+IF(B252&gt;'sap nuevo'!$V$1,"cargar",IF(C252="","cargar","pagado"))</f>
        <v>cargar</v>
      </c>
      <c r="I252" s="32">
        <f>+YEAR(B252)</f>
        <v>2025</v>
      </c>
      <c r="J252" s="32">
        <f>+MONTH(B252)</f>
        <v>3</v>
      </c>
    </row>
    <row r="253" spans="1:10" x14ac:dyDescent="0.25">
      <c r="A253" t="s">
        <v>20</v>
      </c>
      <c r="B253" t="s">
        <v>480</v>
      </c>
      <c r="C253">
        <v>97123452</v>
      </c>
      <c r="D253">
        <v>140</v>
      </c>
      <c r="E253" s="4">
        <v>-18687162.399999999</v>
      </c>
      <c r="F253" t="s">
        <v>62</v>
      </c>
      <c r="G253">
        <v>0</v>
      </c>
      <c r="H253" s="32" t="str">
        <f ca="1">+IF(B253&gt;'sap nuevo'!$V$1,"cargar",IF(C253="","cargar","pagado"))</f>
        <v>cargar</v>
      </c>
      <c r="I253" s="32">
        <f t="shared" ref="I253:I261" si="50">+YEAR(B253)</f>
        <v>2025</v>
      </c>
      <c r="J253" s="32">
        <f t="shared" ref="J253:J261" si="51">+MONTH(B253)</f>
        <v>3</v>
      </c>
    </row>
    <row r="254" spans="1:10" x14ac:dyDescent="0.25">
      <c r="A254" t="s">
        <v>12</v>
      </c>
      <c r="B254" t="s">
        <v>480</v>
      </c>
      <c r="C254">
        <v>97123435</v>
      </c>
      <c r="D254">
        <v>140</v>
      </c>
      <c r="E254" s="4">
        <v>-12866828.1</v>
      </c>
      <c r="F254" t="s">
        <v>63</v>
      </c>
      <c r="G254">
        <v>0</v>
      </c>
      <c r="H254" s="32" t="str">
        <f ca="1">+IF(B254&gt;'sap nuevo'!$V$1,"cargar",IF(C254="","cargar","pagado"))</f>
        <v>cargar</v>
      </c>
      <c r="I254" s="32">
        <f t="shared" si="50"/>
        <v>2025</v>
      </c>
      <c r="J254" s="32">
        <f t="shared" si="51"/>
        <v>3</v>
      </c>
    </row>
    <row r="255" spans="1:10" x14ac:dyDescent="0.25">
      <c r="A255" t="s">
        <v>12</v>
      </c>
      <c r="B255" t="s">
        <v>480</v>
      </c>
      <c r="C255">
        <v>97123449</v>
      </c>
      <c r="D255">
        <v>140</v>
      </c>
      <c r="E255" s="4">
        <v>-12146623.310000001</v>
      </c>
      <c r="F255" t="s">
        <v>63</v>
      </c>
      <c r="G255">
        <v>0</v>
      </c>
      <c r="H255" s="32" t="str">
        <f ca="1">+IF(B255&gt;'sap nuevo'!$V$1,"cargar",IF(C255="","cargar","pagado"))</f>
        <v>cargar</v>
      </c>
      <c r="I255" s="32">
        <f t="shared" si="50"/>
        <v>2025</v>
      </c>
      <c r="J255" s="32">
        <f t="shared" si="51"/>
        <v>3</v>
      </c>
    </row>
    <row r="256" spans="1:10" x14ac:dyDescent="0.25">
      <c r="A256" t="s">
        <v>20</v>
      </c>
      <c r="B256" t="s">
        <v>480</v>
      </c>
      <c r="C256">
        <v>97123446</v>
      </c>
      <c r="D256">
        <v>140</v>
      </c>
      <c r="E256" s="4">
        <v>-9215558.9700000007</v>
      </c>
      <c r="F256" t="s">
        <v>62</v>
      </c>
      <c r="G256">
        <v>0</v>
      </c>
      <c r="H256" s="32" t="str">
        <f ca="1">+IF(B256&gt;'sap nuevo'!$V$1,"cargar",IF(C256="","cargar","pagado"))</f>
        <v>cargar</v>
      </c>
      <c r="I256" s="32">
        <f t="shared" si="50"/>
        <v>2025</v>
      </c>
      <c r="J256" s="32">
        <f t="shared" si="51"/>
        <v>3</v>
      </c>
    </row>
    <row r="257" spans="1:10" x14ac:dyDescent="0.25">
      <c r="A257" t="s">
        <v>20</v>
      </c>
      <c r="B257" t="s">
        <v>480</v>
      </c>
      <c r="C257">
        <v>97123436</v>
      </c>
      <c r="D257">
        <v>140</v>
      </c>
      <c r="E257" s="4">
        <v>-3640830.9</v>
      </c>
      <c r="F257" t="s">
        <v>62</v>
      </c>
      <c r="G257">
        <v>0</v>
      </c>
      <c r="H257" s="32" t="str">
        <f ca="1">+IF(B257&gt;'sap nuevo'!$V$1,"cargar",IF(C257="","cargar","pagado"))</f>
        <v>cargar</v>
      </c>
      <c r="I257" s="32">
        <f t="shared" si="50"/>
        <v>2025</v>
      </c>
      <c r="J257" s="32">
        <f t="shared" si="51"/>
        <v>3</v>
      </c>
    </row>
    <row r="258" spans="1:10" x14ac:dyDescent="0.25">
      <c r="A258" t="s">
        <v>20</v>
      </c>
      <c r="B258" t="s">
        <v>315</v>
      </c>
      <c r="C258">
        <v>3111764</v>
      </c>
      <c r="D258">
        <v>52</v>
      </c>
      <c r="E258" s="4">
        <v>-12029813.48</v>
      </c>
      <c r="F258" t="s">
        <v>19</v>
      </c>
      <c r="G258">
        <v>2</v>
      </c>
      <c r="H258" s="32" t="str">
        <f ca="1">+IF(B258&gt;'sap nuevo'!$V$1,"cargar",IF(C258="","cargar","pagado"))</f>
        <v>cargar</v>
      </c>
      <c r="I258" s="32">
        <f t="shared" si="50"/>
        <v>2025</v>
      </c>
      <c r="J258" s="32">
        <f t="shared" si="51"/>
        <v>3</v>
      </c>
    </row>
    <row r="259" spans="1:10" x14ac:dyDescent="0.25">
      <c r="A259" t="s">
        <v>20</v>
      </c>
      <c r="B259" t="s">
        <v>315</v>
      </c>
      <c r="C259">
        <v>3111763</v>
      </c>
      <c r="D259">
        <v>52</v>
      </c>
      <c r="E259" s="4">
        <v>-5000000</v>
      </c>
      <c r="F259" t="s">
        <v>19</v>
      </c>
      <c r="G259">
        <v>2</v>
      </c>
      <c r="H259" s="32" t="str">
        <f ca="1">+IF(B259&gt;'sap nuevo'!$V$1,"cargar",IF(C259="","cargar","pagado"))</f>
        <v>cargar</v>
      </c>
      <c r="I259" s="32">
        <f t="shared" si="50"/>
        <v>2025</v>
      </c>
      <c r="J259" s="32">
        <f t="shared" si="51"/>
        <v>3</v>
      </c>
    </row>
    <row r="260" spans="1:10" x14ac:dyDescent="0.25">
      <c r="A260" t="s">
        <v>20</v>
      </c>
      <c r="B260" t="s">
        <v>101</v>
      </c>
      <c r="C260">
        <v>3400730</v>
      </c>
      <c r="D260">
        <v>52</v>
      </c>
      <c r="E260" s="4">
        <v>-2694022.45</v>
      </c>
      <c r="F260" t="s">
        <v>19</v>
      </c>
      <c r="G260">
        <v>2</v>
      </c>
      <c r="H260" s="32" t="str">
        <f ca="1">+IF(B260&gt;'sap nuevo'!$V$1,"cargar",IF(C260="","cargar","pagado"))</f>
        <v>cargar</v>
      </c>
      <c r="I260" s="32">
        <f t="shared" si="50"/>
        <v>2025</v>
      </c>
      <c r="J260" s="32">
        <f t="shared" si="51"/>
        <v>3</v>
      </c>
    </row>
    <row r="261" spans="1:10" x14ac:dyDescent="0.25">
      <c r="A261" t="s">
        <v>20</v>
      </c>
      <c r="B261" t="s">
        <v>101</v>
      </c>
      <c r="C261">
        <v>97123453</v>
      </c>
      <c r="D261">
        <v>140</v>
      </c>
      <c r="E261" s="4">
        <v>-42816564.740000002</v>
      </c>
      <c r="F261" t="s">
        <v>62</v>
      </c>
      <c r="G261">
        <v>0</v>
      </c>
      <c r="H261" s="32" t="str">
        <f ca="1">+IF(B261&gt;'sap nuevo'!$V$1,"cargar",IF(C261="","cargar","pagado"))</f>
        <v>cargar</v>
      </c>
      <c r="I261" s="32">
        <f t="shared" si="50"/>
        <v>2025</v>
      </c>
      <c r="J261" s="32">
        <f t="shared" si="51"/>
        <v>3</v>
      </c>
    </row>
    <row r="262" spans="1:10" x14ac:dyDescent="0.25">
      <c r="A262" t="s">
        <v>20</v>
      </c>
      <c r="B262" t="s">
        <v>101</v>
      </c>
      <c r="C262">
        <v>97123444</v>
      </c>
      <c r="D262">
        <v>140</v>
      </c>
      <c r="E262" s="4">
        <v>-15839448.83</v>
      </c>
      <c r="F262" t="s">
        <v>62</v>
      </c>
      <c r="G262">
        <v>0</v>
      </c>
      <c r="H262" s="32" t="str">
        <f ca="1">+IF(B262&gt;'sap nuevo'!$V$1,"cargar",IF(C262="","cargar","pagado"))</f>
        <v>cargar</v>
      </c>
      <c r="I262" s="32">
        <f t="shared" ref="I262:I274" si="52">+YEAR(B262)</f>
        <v>2025</v>
      </c>
      <c r="J262" s="32">
        <f t="shared" ref="J262:J274" si="53">+MONTH(B262)</f>
        <v>3</v>
      </c>
    </row>
    <row r="263" spans="1:10" x14ac:dyDescent="0.25">
      <c r="A263" t="s">
        <v>12</v>
      </c>
      <c r="B263" t="s">
        <v>101</v>
      </c>
      <c r="C263">
        <v>97123458</v>
      </c>
      <c r="D263">
        <v>140</v>
      </c>
      <c r="E263" s="4">
        <v>-7046108.5</v>
      </c>
      <c r="F263" t="s">
        <v>63</v>
      </c>
      <c r="G263">
        <v>0</v>
      </c>
      <c r="H263" s="32" t="str">
        <f ca="1">+IF(B263&gt;'sap nuevo'!$V$1,"cargar",IF(C263="","cargar","pagado"))</f>
        <v>cargar</v>
      </c>
      <c r="I263" s="32">
        <f t="shared" si="52"/>
        <v>2025</v>
      </c>
      <c r="J263" s="32">
        <f t="shared" si="53"/>
        <v>3</v>
      </c>
    </row>
    <row r="264" spans="1:10" x14ac:dyDescent="0.25">
      <c r="A264" t="s">
        <v>20</v>
      </c>
      <c r="B264" t="s">
        <v>101</v>
      </c>
      <c r="C264">
        <v>97123454</v>
      </c>
      <c r="D264">
        <v>140</v>
      </c>
      <c r="E264" s="4">
        <v>-6561563</v>
      </c>
      <c r="F264" t="s">
        <v>62</v>
      </c>
      <c r="G264">
        <v>0</v>
      </c>
      <c r="H264" s="32" t="str">
        <f ca="1">+IF(B264&gt;'sap nuevo'!$V$1,"cargar",IF(C264="","cargar","pagado"))</f>
        <v>cargar</v>
      </c>
      <c r="I264" s="32">
        <f t="shared" si="52"/>
        <v>2025</v>
      </c>
      <c r="J264" s="32">
        <f t="shared" si="53"/>
        <v>3</v>
      </c>
    </row>
    <row r="265" spans="1:10" x14ac:dyDescent="0.25">
      <c r="A265" t="s">
        <v>20</v>
      </c>
      <c r="B265" t="s">
        <v>101</v>
      </c>
      <c r="C265">
        <v>97123455</v>
      </c>
      <c r="D265">
        <v>140</v>
      </c>
      <c r="E265" s="4">
        <v>-3108226.38</v>
      </c>
      <c r="F265" t="s">
        <v>62</v>
      </c>
      <c r="G265">
        <v>0</v>
      </c>
      <c r="H265" s="32" t="str">
        <f ca="1">+IF(B265&gt;'sap nuevo'!$V$1,"cargar",IF(C265="","cargar","pagado"))</f>
        <v>cargar</v>
      </c>
      <c r="I265" s="32">
        <f t="shared" si="52"/>
        <v>2025</v>
      </c>
      <c r="J265" s="32">
        <f t="shared" si="53"/>
        <v>3</v>
      </c>
    </row>
    <row r="266" spans="1:10" x14ac:dyDescent="0.25">
      <c r="A266" t="s">
        <v>20</v>
      </c>
      <c r="B266" t="s">
        <v>101</v>
      </c>
      <c r="C266">
        <v>97123457</v>
      </c>
      <c r="D266">
        <v>140</v>
      </c>
      <c r="E266" s="4">
        <v>-2968761.24</v>
      </c>
      <c r="F266" t="s">
        <v>62</v>
      </c>
      <c r="G266">
        <v>0</v>
      </c>
      <c r="H266" s="32" t="str">
        <f ca="1">+IF(B266&gt;'sap nuevo'!$V$1,"cargar",IF(C266="","cargar","pagado"))</f>
        <v>cargar</v>
      </c>
      <c r="I266" s="32">
        <f t="shared" si="52"/>
        <v>2025</v>
      </c>
      <c r="J266" s="32">
        <f t="shared" si="53"/>
        <v>3</v>
      </c>
    </row>
    <row r="267" spans="1:10" x14ac:dyDescent="0.25">
      <c r="A267" t="s">
        <v>20</v>
      </c>
      <c r="B267" t="s">
        <v>101</v>
      </c>
      <c r="C267">
        <v>97123456</v>
      </c>
      <c r="D267">
        <v>140</v>
      </c>
      <c r="E267" s="4">
        <v>-2945459.8</v>
      </c>
      <c r="F267" t="s">
        <v>62</v>
      </c>
      <c r="G267">
        <v>0</v>
      </c>
      <c r="H267" s="32" t="str">
        <f ca="1">+IF(B267&gt;'sap nuevo'!$V$1,"cargar",IF(C267="","cargar","pagado"))</f>
        <v>cargar</v>
      </c>
      <c r="I267" s="32">
        <f t="shared" si="52"/>
        <v>2025</v>
      </c>
      <c r="J267" s="32">
        <f t="shared" si="53"/>
        <v>3</v>
      </c>
    </row>
    <row r="268" spans="1:10" x14ac:dyDescent="0.25">
      <c r="A268" t="s">
        <v>20</v>
      </c>
      <c r="B268" t="s">
        <v>102</v>
      </c>
      <c r="C268">
        <v>97123466</v>
      </c>
      <c r="D268">
        <v>140</v>
      </c>
      <c r="E268" s="4">
        <v>-8000000</v>
      </c>
      <c r="F268" t="s">
        <v>62</v>
      </c>
      <c r="G268">
        <v>0</v>
      </c>
      <c r="H268" s="32" t="str">
        <f ca="1">+IF(B268&gt;'sap nuevo'!$V$1,"cargar",IF(C268="","cargar","pagado"))</f>
        <v>cargar</v>
      </c>
      <c r="I268" s="32">
        <f t="shared" si="52"/>
        <v>2025</v>
      </c>
      <c r="J268" s="32">
        <f t="shared" si="53"/>
        <v>3</v>
      </c>
    </row>
    <row r="269" spans="1:10" x14ac:dyDescent="0.25">
      <c r="A269" t="s">
        <v>20</v>
      </c>
      <c r="B269" t="s">
        <v>103</v>
      </c>
      <c r="C269">
        <v>94231524</v>
      </c>
      <c r="D269">
        <v>52</v>
      </c>
      <c r="E269" s="4">
        <v>-2000000</v>
      </c>
      <c r="F269" t="s">
        <v>19</v>
      </c>
      <c r="G269">
        <v>2</v>
      </c>
      <c r="H269" s="32" t="str">
        <f ca="1">+IF(B269&gt;'sap nuevo'!$V$1,"cargar",IF(C269="","cargar","pagado"))</f>
        <v>cargar</v>
      </c>
      <c r="I269" s="32">
        <f t="shared" si="52"/>
        <v>2025</v>
      </c>
      <c r="J269" s="32">
        <f t="shared" si="53"/>
        <v>4</v>
      </c>
    </row>
    <row r="270" spans="1:10" x14ac:dyDescent="0.25">
      <c r="A270" t="s">
        <v>20</v>
      </c>
      <c r="B270" t="s">
        <v>103</v>
      </c>
      <c r="C270">
        <v>94231525</v>
      </c>
      <c r="D270">
        <v>52</v>
      </c>
      <c r="E270" s="4">
        <v>-2000000</v>
      </c>
      <c r="F270" t="s">
        <v>19</v>
      </c>
      <c r="G270">
        <v>2</v>
      </c>
      <c r="H270" s="32" t="str">
        <f ca="1">+IF(B270&gt;'sap nuevo'!$V$1,"cargar",IF(C270="","cargar","pagado"))</f>
        <v>cargar</v>
      </c>
      <c r="I270" s="32">
        <f t="shared" si="52"/>
        <v>2025</v>
      </c>
      <c r="J270" s="32">
        <f t="shared" si="53"/>
        <v>4</v>
      </c>
    </row>
    <row r="271" spans="1:10" x14ac:dyDescent="0.25">
      <c r="A271" t="s">
        <v>20</v>
      </c>
      <c r="B271" t="s">
        <v>103</v>
      </c>
      <c r="C271">
        <v>94231526</v>
      </c>
      <c r="D271">
        <v>52</v>
      </c>
      <c r="E271" s="4">
        <v>-2000000</v>
      </c>
      <c r="F271" t="s">
        <v>19</v>
      </c>
      <c r="G271">
        <v>2</v>
      </c>
      <c r="H271" s="32" t="str">
        <f ca="1">+IF(B271&gt;'sap nuevo'!$V$1,"cargar",IF(C271="","cargar","pagado"))</f>
        <v>cargar</v>
      </c>
      <c r="I271" s="32">
        <f t="shared" si="52"/>
        <v>2025</v>
      </c>
      <c r="J271" s="32">
        <f t="shared" si="53"/>
        <v>4</v>
      </c>
    </row>
    <row r="272" spans="1:10" x14ac:dyDescent="0.25">
      <c r="A272" t="s">
        <v>20</v>
      </c>
      <c r="B272" t="s">
        <v>103</v>
      </c>
      <c r="C272">
        <v>94231527</v>
      </c>
      <c r="D272">
        <v>52</v>
      </c>
      <c r="E272" s="4">
        <v>-1357589.55</v>
      </c>
      <c r="F272" t="s">
        <v>19</v>
      </c>
      <c r="G272">
        <v>2</v>
      </c>
      <c r="H272" s="32" t="str">
        <f ca="1">+IF(B272&gt;'sap nuevo'!$V$1,"cargar",IF(C272="","cargar","pagado"))</f>
        <v>cargar</v>
      </c>
      <c r="I272" s="32">
        <f t="shared" si="52"/>
        <v>2025</v>
      </c>
      <c r="J272" s="32">
        <f t="shared" si="53"/>
        <v>4</v>
      </c>
    </row>
    <row r="273" spans="1:10" x14ac:dyDescent="0.25">
      <c r="A273" t="s">
        <v>12</v>
      </c>
      <c r="B273" t="s">
        <v>104</v>
      </c>
      <c r="C273">
        <v>97123460</v>
      </c>
      <c r="D273">
        <v>140</v>
      </c>
      <c r="E273" s="4">
        <v>-8226073.7199999997</v>
      </c>
      <c r="F273" t="s">
        <v>63</v>
      </c>
      <c r="G273">
        <v>0</v>
      </c>
      <c r="H273" s="32" t="str">
        <f ca="1">+IF(B273&gt;'sap nuevo'!$V$1,"cargar",IF(C273="","cargar","pagado"))</f>
        <v>cargar</v>
      </c>
      <c r="I273" s="32">
        <f t="shared" si="52"/>
        <v>2025</v>
      </c>
      <c r="J273" s="32">
        <f t="shared" si="53"/>
        <v>3</v>
      </c>
    </row>
    <row r="274" spans="1:10" x14ac:dyDescent="0.25">
      <c r="A274" t="s">
        <v>20</v>
      </c>
      <c r="B274" t="s">
        <v>104</v>
      </c>
      <c r="C274">
        <v>97123467</v>
      </c>
      <c r="D274">
        <v>140</v>
      </c>
      <c r="E274" s="4">
        <v>-8096328.8700000001</v>
      </c>
      <c r="F274" t="s">
        <v>62</v>
      </c>
      <c r="G274">
        <v>0</v>
      </c>
      <c r="H274" s="32" t="str">
        <f ca="1">+IF(B274&gt;'sap nuevo'!$V$1,"cargar",IF(C274="","cargar","pagado"))</f>
        <v>cargar</v>
      </c>
      <c r="I274" s="32">
        <f t="shared" si="52"/>
        <v>2025</v>
      </c>
      <c r="J274" s="32">
        <f t="shared" si="53"/>
        <v>3</v>
      </c>
    </row>
    <row r="275" spans="1:10" x14ac:dyDescent="0.25">
      <c r="A275" t="s">
        <v>12</v>
      </c>
      <c r="B275" t="s">
        <v>104</v>
      </c>
      <c r="C275">
        <v>97123459</v>
      </c>
      <c r="D275">
        <v>140</v>
      </c>
      <c r="E275" s="4">
        <v>-8000000</v>
      </c>
      <c r="F275" t="s">
        <v>63</v>
      </c>
      <c r="G275">
        <v>0</v>
      </c>
      <c r="H275" s="32" t="str">
        <f ca="1">+IF(B275&gt;'sap nuevo'!$V$1,"cargar",IF(C275="","cargar","pagado"))</f>
        <v>cargar</v>
      </c>
      <c r="I275" s="32">
        <f t="shared" ref="I275:I286" si="54">+YEAR(B275)</f>
        <v>2025</v>
      </c>
      <c r="J275" s="32">
        <f t="shared" ref="J275:J286" si="55">+MONTH(B275)</f>
        <v>3</v>
      </c>
    </row>
    <row r="276" spans="1:10" x14ac:dyDescent="0.25">
      <c r="A276" t="s">
        <v>20</v>
      </c>
      <c r="B276" t="s">
        <v>104</v>
      </c>
      <c r="C276">
        <v>97123464</v>
      </c>
      <c r="D276">
        <v>140</v>
      </c>
      <c r="E276" s="4">
        <v>-7865003.4000000004</v>
      </c>
      <c r="F276" t="s">
        <v>62</v>
      </c>
      <c r="G276">
        <v>0</v>
      </c>
      <c r="H276" s="32" t="str">
        <f ca="1">+IF(B276&gt;'sap nuevo'!$V$1,"cargar",IF(C276="","cargar","pagado"))</f>
        <v>cargar</v>
      </c>
      <c r="I276" s="32">
        <f t="shared" si="54"/>
        <v>2025</v>
      </c>
      <c r="J276" s="32">
        <f t="shared" si="55"/>
        <v>3</v>
      </c>
    </row>
    <row r="277" spans="1:10" x14ac:dyDescent="0.25">
      <c r="A277" t="s">
        <v>20</v>
      </c>
      <c r="B277" t="s">
        <v>104</v>
      </c>
      <c r="C277">
        <v>97123463</v>
      </c>
      <c r="D277">
        <v>140</v>
      </c>
      <c r="E277" s="4">
        <v>-7000000</v>
      </c>
      <c r="F277" t="s">
        <v>62</v>
      </c>
      <c r="G277">
        <v>0</v>
      </c>
      <c r="H277" s="32" t="str">
        <f ca="1">+IF(B277&gt;'sap nuevo'!$V$1,"cargar",IF(C277="","cargar","pagado"))</f>
        <v>cargar</v>
      </c>
      <c r="I277" s="32">
        <f t="shared" si="54"/>
        <v>2025</v>
      </c>
      <c r="J277" s="32">
        <f t="shared" si="55"/>
        <v>3</v>
      </c>
    </row>
    <row r="278" spans="1:10" x14ac:dyDescent="0.25">
      <c r="A278" t="s">
        <v>12</v>
      </c>
      <c r="B278" t="s">
        <v>481</v>
      </c>
      <c r="C278">
        <v>97123461</v>
      </c>
      <c r="D278">
        <v>140</v>
      </c>
      <c r="E278" s="4">
        <v>-7214873.04</v>
      </c>
      <c r="F278" t="s">
        <v>63</v>
      </c>
      <c r="G278">
        <v>0</v>
      </c>
      <c r="H278" s="32" t="str">
        <f ca="1">+IF(B278&gt;'sap nuevo'!$V$1,"cargar",IF(C278="","cargar","pagado"))</f>
        <v>cargar</v>
      </c>
      <c r="I278" s="32">
        <f t="shared" si="54"/>
        <v>2025</v>
      </c>
      <c r="J278" s="32">
        <f t="shared" si="55"/>
        <v>4</v>
      </c>
    </row>
    <row r="279" spans="1:10" x14ac:dyDescent="0.25">
      <c r="A279" t="s">
        <v>20</v>
      </c>
      <c r="B279" t="s">
        <v>105</v>
      </c>
      <c r="C279">
        <v>97123471</v>
      </c>
      <c r="D279">
        <v>140</v>
      </c>
      <c r="E279" s="4">
        <v>-10623911.189999999</v>
      </c>
      <c r="F279" t="s">
        <v>62</v>
      </c>
      <c r="G279">
        <v>0</v>
      </c>
      <c r="H279" s="32" t="str">
        <f ca="1">+IF(B279&gt;'sap nuevo'!$V$1,"cargar",IF(C279="","cargar","pagado"))</f>
        <v>cargar</v>
      </c>
      <c r="I279" s="32">
        <f t="shared" si="54"/>
        <v>2025</v>
      </c>
      <c r="J279" s="32">
        <f t="shared" si="55"/>
        <v>4</v>
      </c>
    </row>
    <row r="280" spans="1:10" x14ac:dyDescent="0.25">
      <c r="A280" t="s">
        <v>20</v>
      </c>
      <c r="B280" t="s">
        <v>105</v>
      </c>
      <c r="C280">
        <v>97123472</v>
      </c>
      <c r="D280">
        <v>140</v>
      </c>
      <c r="E280" s="4">
        <v>-3424976</v>
      </c>
      <c r="F280" t="s">
        <v>62</v>
      </c>
      <c r="G280">
        <v>0</v>
      </c>
      <c r="H280" s="32" t="str">
        <f ca="1">+IF(B280&gt;'sap nuevo'!$V$1,"cargar",IF(C280="","cargar","pagado"))</f>
        <v>cargar</v>
      </c>
      <c r="I280" s="32">
        <f t="shared" si="54"/>
        <v>2025</v>
      </c>
      <c r="J280" s="32">
        <f t="shared" si="55"/>
        <v>4</v>
      </c>
    </row>
    <row r="281" spans="1:10" x14ac:dyDescent="0.25">
      <c r="A281" t="s">
        <v>12</v>
      </c>
      <c r="B281" t="s">
        <v>105</v>
      </c>
      <c r="C281">
        <v>97123469</v>
      </c>
      <c r="D281">
        <v>140</v>
      </c>
      <c r="E281" s="4">
        <v>-2471040</v>
      </c>
      <c r="F281" t="s">
        <v>63</v>
      </c>
      <c r="G281">
        <v>0</v>
      </c>
      <c r="H281" s="32" t="str">
        <f ca="1">+IF(B281&gt;'sap nuevo'!$V$1,"cargar",IF(C281="","cargar","pagado"))</f>
        <v>cargar</v>
      </c>
      <c r="I281" s="32">
        <f t="shared" si="54"/>
        <v>2025</v>
      </c>
      <c r="J281" s="32">
        <f t="shared" si="55"/>
        <v>4</v>
      </c>
    </row>
    <row r="282" spans="1:10" x14ac:dyDescent="0.25">
      <c r="A282" t="s">
        <v>20</v>
      </c>
      <c r="B282" t="s">
        <v>105</v>
      </c>
      <c r="C282">
        <v>97123470</v>
      </c>
      <c r="D282">
        <v>140</v>
      </c>
      <c r="E282" s="4">
        <v>-2086875</v>
      </c>
      <c r="F282" t="s">
        <v>62</v>
      </c>
      <c r="G282">
        <v>0</v>
      </c>
      <c r="H282" s="32" t="str">
        <f ca="1">+IF(B282&gt;'sap nuevo'!$V$1,"cargar",IF(C282="","cargar","pagado"))</f>
        <v>cargar</v>
      </c>
      <c r="I282" s="32">
        <f t="shared" si="54"/>
        <v>2025</v>
      </c>
      <c r="J282" s="32">
        <f t="shared" si="55"/>
        <v>4</v>
      </c>
    </row>
    <row r="283" spans="1:10" x14ac:dyDescent="0.25">
      <c r="A283" t="s">
        <v>20</v>
      </c>
      <c r="B283" t="s">
        <v>105</v>
      </c>
      <c r="C283">
        <v>97123468</v>
      </c>
      <c r="D283">
        <v>140</v>
      </c>
      <c r="E283" s="4">
        <v>-1078222</v>
      </c>
      <c r="F283" t="s">
        <v>62</v>
      </c>
      <c r="G283">
        <v>0</v>
      </c>
      <c r="H283" s="32" t="str">
        <f ca="1">+IF(B283&gt;'sap nuevo'!$V$1,"cargar",IF(C283="","cargar","pagado"))</f>
        <v>cargar</v>
      </c>
      <c r="I283" s="32">
        <f t="shared" si="54"/>
        <v>2025</v>
      </c>
      <c r="J283" s="32">
        <f t="shared" si="55"/>
        <v>4</v>
      </c>
    </row>
    <row r="284" spans="1:10" x14ac:dyDescent="0.25">
      <c r="A284" t="s">
        <v>20</v>
      </c>
      <c r="B284" t="s">
        <v>482</v>
      </c>
      <c r="C284">
        <v>94231528</v>
      </c>
      <c r="D284">
        <v>52</v>
      </c>
      <c r="E284" s="4">
        <v>-8000000</v>
      </c>
      <c r="F284" t="s">
        <v>19</v>
      </c>
      <c r="G284">
        <v>2</v>
      </c>
      <c r="H284" s="32" t="str">
        <f ca="1">+IF(B284&gt;'sap nuevo'!$V$1,"cargar",IF(C284="","cargar","pagado"))</f>
        <v>cargar</v>
      </c>
      <c r="I284" s="32">
        <f t="shared" si="54"/>
        <v>2025</v>
      </c>
      <c r="J284" s="32">
        <f t="shared" si="55"/>
        <v>4</v>
      </c>
    </row>
    <row r="285" spans="1:10" x14ac:dyDescent="0.25">
      <c r="A285" t="s">
        <v>20</v>
      </c>
      <c r="B285" t="s">
        <v>482</v>
      </c>
      <c r="C285">
        <v>94231529</v>
      </c>
      <c r="D285">
        <v>52</v>
      </c>
      <c r="E285" s="4">
        <v>-500000</v>
      </c>
      <c r="F285" t="s">
        <v>19</v>
      </c>
      <c r="G285">
        <v>2</v>
      </c>
      <c r="H285" s="32" t="str">
        <f ca="1">+IF(B285&gt;'sap nuevo'!$V$1,"cargar",IF(C285="","cargar","pagado"))</f>
        <v>cargar</v>
      </c>
      <c r="I285" s="32">
        <f t="shared" si="54"/>
        <v>2025</v>
      </c>
      <c r="J285" s="32">
        <f t="shared" si="55"/>
        <v>4</v>
      </c>
    </row>
    <row r="286" spans="1:10" x14ac:dyDescent="0.25">
      <c r="A286" t="s">
        <v>20</v>
      </c>
      <c r="B286" t="s">
        <v>482</v>
      </c>
      <c r="C286">
        <v>94231533</v>
      </c>
      <c r="D286">
        <v>52</v>
      </c>
      <c r="E286" s="4">
        <v>-500000</v>
      </c>
      <c r="F286" t="s">
        <v>19</v>
      </c>
      <c r="G286">
        <v>2</v>
      </c>
      <c r="H286" s="32" t="str">
        <f ca="1">+IF(B286&gt;'sap nuevo'!$V$1,"cargar",IF(C286="","cargar","pagado"))</f>
        <v>cargar</v>
      </c>
      <c r="I286" s="32">
        <f t="shared" si="54"/>
        <v>2025</v>
      </c>
      <c r="J286" s="32">
        <f t="shared" si="55"/>
        <v>4</v>
      </c>
    </row>
    <row r="287" spans="1:10" x14ac:dyDescent="0.25">
      <c r="A287" t="s">
        <v>20</v>
      </c>
      <c r="B287" t="s">
        <v>482</v>
      </c>
      <c r="C287">
        <v>94231537</v>
      </c>
      <c r="D287">
        <v>52</v>
      </c>
      <c r="E287" s="4">
        <v>-300000</v>
      </c>
      <c r="F287" t="s">
        <v>19</v>
      </c>
      <c r="G287">
        <v>2</v>
      </c>
      <c r="H287" s="32" t="str">
        <f ca="1">+IF(B287&gt;'sap nuevo'!$V$1,"cargar",IF(C287="","cargar","pagado"))</f>
        <v>cargar</v>
      </c>
      <c r="I287" s="32">
        <f t="shared" ref="I287:I303" si="56">+YEAR(B287)</f>
        <v>2025</v>
      </c>
      <c r="J287" s="32">
        <f t="shared" ref="J287:J303" si="57">+MONTH(B287)</f>
        <v>4</v>
      </c>
    </row>
    <row r="288" spans="1:10" x14ac:dyDescent="0.25">
      <c r="A288" t="s">
        <v>20</v>
      </c>
      <c r="B288" t="s">
        <v>106</v>
      </c>
      <c r="C288">
        <v>94231530</v>
      </c>
      <c r="D288">
        <v>52</v>
      </c>
      <c r="E288" s="4">
        <v>-500000</v>
      </c>
      <c r="F288" t="s">
        <v>19</v>
      </c>
      <c r="G288">
        <v>2</v>
      </c>
      <c r="H288" s="32" t="str">
        <f ca="1">+IF(B288&gt;'sap nuevo'!$V$1,"cargar",IF(C288="","cargar","pagado"))</f>
        <v>cargar</v>
      </c>
      <c r="I288" s="32">
        <f t="shared" si="56"/>
        <v>2025</v>
      </c>
      <c r="J288" s="32">
        <f t="shared" si="57"/>
        <v>4</v>
      </c>
    </row>
    <row r="289" spans="1:10" x14ac:dyDescent="0.25">
      <c r="A289" t="s">
        <v>20</v>
      </c>
      <c r="B289" t="s">
        <v>106</v>
      </c>
      <c r="C289">
        <v>94231531</v>
      </c>
      <c r="D289">
        <v>52</v>
      </c>
      <c r="E289" s="4">
        <v>-500000</v>
      </c>
      <c r="F289" t="s">
        <v>19</v>
      </c>
      <c r="G289">
        <v>2</v>
      </c>
      <c r="H289" s="32" t="str">
        <f ca="1">+IF(B289&gt;'sap nuevo'!$V$1,"cargar",IF(C289="","cargar","pagado"))</f>
        <v>cargar</v>
      </c>
      <c r="I289" s="32">
        <f t="shared" si="56"/>
        <v>2025</v>
      </c>
      <c r="J289" s="32">
        <f t="shared" si="57"/>
        <v>4</v>
      </c>
    </row>
    <row r="290" spans="1:10" x14ac:dyDescent="0.25">
      <c r="A290" t="s">
        <v>20</v>
      </c>
      <c r="B290" t="s">
        <v>106</v>
      </c>
      <c r="C290">
        <v>94231535</v>
      </c>
      <c r="D290">
        <v>52</v>
      </c>
      <c r="E290" s="4">
        <v>-300000</v>
      </c>
      <c r="F290" t="s">
        <v>19</v>
      </c>
      <c r="G290">
        <v>2</v>
      </c>
      <c r="H290" s="32" t="str">
        <f ca="1">+IF(B290&gt;'sap nuevo'!$V$1,"cargar",IF(C290="","cargar","pagado"))</f>
        <v>cargar</v>
      </c>
      <c r="I290" s="32">
        <f t="shared" si="56"/>
        <v>2025</v>
      </c>
      <c r="J290" s="32">
        <f t="shared" si="57"/>
        <v>4</v>
      </c>
    </row>
    <row r="291" spans="1:10" x14ac:dyDescent="0.25">
      <c r="A291" t="s">
        <v>20</v>
      </c>
      <c r="B291" t="s">
        <v>106</v>
      </c>
      <c r="C291">
        <v>97123476</v>
      </c>
      <c r="D291">
        <v>140</v>
      </c>
      <c r="E291" s="4">
        <v>-3490589.04</v>
      </c>
      <c r="F291" t="s">
        <v>62</v>
      </c>
      <c r="G291">
        <v>0</v>
      </c>
      <c r="H291" s="32" t="str">
        <f ca="1">+IF(B291&gt;'sap nuevo'!$V$1,"cargar",IF(C291="","cargar","pagado"))</f>
        <v>cargar</v>
      </c>
      <c r="I291" s="32">
        <f t="shared" si="56"/>
        <v>2025</v>
      </c>
      <c r="J291" s="32">
        <f t="shared" si="57"/>
        <v>4</v>
      </c>
    </row>
    <row r="292" spans="1:10" x14ac:dyDescent="0.25">
      <c r="A292" t="s">
        <v>20</v>
      </c>
      <c r="B292" t="s">
        <v>107</v>
      </c>
      <c r="C292">
        <v>94231538</v>
      </c>
      <c r="D292">
        <v>52</v>
      </c>
      <c r="E292" s="4">
        <v>-300000</v>
      </c>
      <c r="F292" t="s">
        <v>19</v>
      </c>
      <c r="G292">
        <v>2</v>
      </c>
      <c r="H292" s="32" t="str">
        <f ca="1">+IF(B292&gt;'sap nuevo'!$V$1,"cargar",IF(C292="","cargar","pagado"))</f>
        <v>cargar</v>
      </c>
      <c r="I292" s="32">
        <f t="shared" si="56"/>
        <v>2025</v>
      </c>
      <c r="J292" s="32">
        <f t="shared" si="57"/>
        <v>4</v>
      </c>
    </row>
    <row r="293" spans="1:10" x14ac:dyDescent="0.25">
      <c r="A293" t="s">
        <v>20</v>
      </c>
      <c r="B293" t="s">
        <v>107</v>
      </c>
      <c r="C293">
        <v>97123475</v>
      </c>
      <c r="D293">
        <v>140</v>
      </c>
      <c r="E293" s="4">
        <v>-8391143.0899999999</v>
      </c>
      <c r="F293" t="s">
        <v>62</v>
      </c>
      <c r="G293">
        <v>0</v>
      </c>
      <c r="H293" s="32" t="str">
        <f ca="1">+IF(B293&gt;'sap nuevo'!$V$1,"cargar",IF(C293="","cargar","pagado"))</f>
        <v>cargar</v>
      </c>
      <c r="I293" s="32">
        <f t="shared" si="56"/>
        <v>2025</v>
      </c>
      <c r="J293" s="32">
        <f t="shared" si="57"/>
        <v>4</v>
      </c>
    </row>
    <row r="294" spans="1:10" x14ac:dyDescent="0.25">
      <c r="A294" t="s">
        <v>12</v>
      </c>
      <c r="B294" t="s">
        <v>107</v>
      </c>
      <c r="C294">
        <v>97123481</v>
      </c>
      <c r="D294">
        <v>140</v>
      </c>
      <c r="E294" s="4">
        <v>-6948188.6900000004</v>
      </c>
      <c r="F294" t="s">
        <v>63</v>
      </c>
      <c r="G294">
        <v>0</v>
      </c>
      <c r="H294" s="32" t="str">
        <f ca="1">+IF(B294&gt;'sap nuevo'!$V$1,"cargar",IF(C294="","cargar","pagado"))</f>
        <v>cargar</v>
      </c>
      <c r="I294" s="32">
        <f t="shared" si="56"/>
        <v>2025</v>
      </c>
      <c r="J294" s="32">
        <f t="shared" si="57"/>
        <v>4</v>
      </c>
    </row>
    <row r="295" spans="1:10" x14ac:dyDescent="0.25">
      <c r="A295" t="s">
        <v>20</v>
      </c>
      <c r="B295" t="s">
        <v>107</v>
      </c>
      <c r="C295">
        <v>97123462</v>
      </c>
      <c r="D295">
        <v>140</v>
      </c>
      <c r="E295" s="4">
        <v>-6814140.4199999999</v>
      </c>
      <c r="F295" t="s">
        <v>62</v>
      </c>
      <c r="G295">
        <v>0</v>
      </c>
      <c r="H295" s="32" t="str">
        <f ca="1">+IF(B295&gt;'sap nuevo'!$V$1,"cargar",IF(C295="","cargar","pagado"))</f>
        <v>cargar</v>
      </c>
      <c r="I295" s="32">
        <f t="shared" si="56"/>
        <v>2025</v>
      </c>
      <c r="J295" s="32">
        <f t="shared" si="57"/>
        <v>4</v>
      </c>
    </row>
    <row r="296" spans="1:10" x14ac:dyDescent="0.25">
      <c r="A296" t="s">
        <v>20</v>
      </c>
      <c r="B296" t="s">
        <v>107</v>
      </c>
      <c r="C296">
        <v>97123479</v>
      </c>
      <c r="D296">
        <v>140</v>
      </c>
      <c r="E296" s="4">
        <v>-2981417.92</v>
      </c>
      <c r="F296" t="s">
        <v>62</v>
      </c>
      <c r="G296">
        <v>0</v>
      </c>
      <c r="H296" s="32" t="str">
        <f ca="1">+IF(B296&gt;'sap nuevo'!$V$1,"cargar",IF(C296="","cargar","pagado"))</f>
        <v>cargar</v>
      </c>
      <c r="I296" s="32">
        <f t="shared" si="56"/>
        <v>2025</v>
      </c>
      <c r="J296" s="32">
        <f t="shared" si="57"/>
        <v>4</v>
      </c>
    </row>
    <row r="297" spans="1:10" x14ac:dyDescent="0.25">
      <c r="A297" t="s">
        <v>20</v>
      </c>
      <c r="B297" t="s">
        <v>107</v>
      </c>
      <c r="C297">
        <v>97123478</v>
      </c>
      <c r="D297">
        <v>140</v>
      </c>
      <c r="E297" s="4">
        <v>-2150060.8199999998</v>
      </c>
      <c r="F297" t="s">
        <v>62</v>
      </c>
      <c r="G297">
        <v>0</v>
      </c>
      <c r="H297" s="32" t="str">
        <f ca="1">+IF(B297&gt;'sap nuevo'!$V$1,"cargar",IF(C297="","cargar","pagado"))</f>
        <v>cargar</v>
      </c>
      <c r="I297" s="32">
        <f t="shared" si="56"/>
        <v>2025</v>
      </c>
      <c r="J297" s="32">
        <f t="shared" si="57"/>
        <v>4</v>
      </c>
    </row>
    <row r="298" spans="1:10" x14ac:dyDescent="0.25">
      <c r="A298" t="s">
        <v>20</v>
      </c>
      <c r="B298" t="s">
        <v>108</v>
      </c>
      <c r="C298">
        <v>97123442</v>
      </c>
      <c r="D298">
        <v>140</v>
      </c>
      <c r="E298" s="4">
        <v>-15017868.4</v>
      </c>
      <c r="F298" t="s">
        <v>62</v>
      </c>
      <c r="G298">
        <v>0</v>
      </c>
      <c r="H298" s="32" t="str">
        <f ca="1">+IF(B298&gt;'sap nuevo'!$V$1,"cargar",IF(C298="","cargar","pagado"))</f>
        <v>cargar</v>
      </c>
      <c r="I298" s="32">
        <f t="shared" si="56"/>
        <v>2025</v>
      </c>
      <c r="J298" s="32">
        <f t="shared" si="57"/>
        <v>4</v>
      </c>
    </row>
    <row r="299" spans="1:10" x14ac:dyDescent="0.25">
      <c r="A299" t="s">
        <v>20</v>
      </c>
      <c r="B299" t="s">
        <v>108</v>
      </c>
      <c r="C299">
        <v>97123441</v>
      </c>
      <c r="D299">
        <v>140</v>
      </c>
      <c r="E299" s="4">
        <v>-15000000</v>
      </c>
      <c r="F299" t="s">
        <v>62</v>
      </c>
      <c r="G299">
        <v>0</v>
      </c>
      <c r="H299" s="32" t="str">
        <f ca="1">+IF(B299&gt;'sap nuevo'!$V$1,"cargar",IF(C299="","cargar","pagado"))</f>
        <v>cargar</v>
      </c>
      <c r="I299" s="32">
        <f t="shared" si="56"/>
        <v>2025</v>
      </c>
      <c r="J299" s="32">
        <f t="shared" si="57"/>
        <v>4</v>
      </c>
    </row>
    <row r="300" spans="1:10" x14ac:dyDescent="0.25">
      <c r="A300" t="s">
        <v>20</v>
      </c>
      <c r="B300" t="s">
        <v>108</v>
      </c>
      <c r="C300">
        <v>97123480</v>
      </c>
      <c r="D300">
        <v>140</v>
      </c>
      <c r="E300" s="4">
        <v>-2751183.98</v>
      </c>
      <c r="F300" t="s">
        <v>62</v>
      </c>
      <c r="G300">
        <v>0</v>
      </c>
      <c r="H300" s="32" t="str">
        <f ca="1">+IF(B300&gt;'sap nuevo'!$V$1,"cargar",IF(C300="","cargar","pagado"))</f>
        <v>cargar</v>
      </c>
      <c r="I300" s="32">
        <f t="shared" si="56"/>
        <v>2025</v>
      </c>
      <c r="J300" s="32">
        <f t="shared" si="57"/>
        <v>4</v>
      </c>
    </row>
    <row r="301" spans="1:10" x14ac:dyDescent="0.25">
      <c r="A301" t="s">
        <v>20</v>
      </c>
      <c r="B301" t="s">
        <v>316</v>
      </c>
      <c r="C301">
        <v>94231532</v>
      </c>
      <c r="D301">
        <v>52</v>
      </c>
      <c r="E301" s="4">
        <v>-500000</v>
      </c>
      <c r="F301" t="s">
        <v>19</v>
      </c>
      <c r="G301">
        <v>2</v>
      </c>
      <c r="H301" s="32" t="str">
        <f ca="1">+IF(B301&gt;'sap nuevo'!$V$1,"cargar",IF(C301="","cargar","pagado"))</f>
        <v>cargar</v>
      </c>
      <c r="I301" s="32">
        <f t="shared" si="56"/>
        <v>2025</v>
      </c>
      <c r="J301" s="32">
        <f t="shared" si="57"/>
        <v>4</v>
      </c>
    </row>
    <row r="302" spans="1:10" x14ac:dyDescent="0.25">
      <c r="A302" t="s">
        <v>20</v>
      </c>
      <c r="B302" t="s">
        <v>316</v>
      </c>
      <c r="C302">
        <v>94231534</v>
      </c>
      <c r="D302">
        <v>52</v>
      </c>
      <c r="E302" s="4">
        <v>-300000</v>
      </c>
      <c r="F302" t="s">
        <v>19</v>
      </c>
      <c r="G302">
        <v>2</v>
      </c>
      <c r="H302" s="32" t="str">
        <f ca="1">+IF(B302&gt;'sap nuevo'!$V$1,"cargar",IF(C302="","cargar","pagado"))</f>
        <v>cargar</v>
      </c>
      <c r="I302" s="32">
        <f t="shared" si="56"/>
        <v>2025</v>
      </c>
      <c r="J302" s="32">
        <f t="shared" si="57"/>
        <v>4</v>
      </c>
    </row>
    <row r="303" spans="1:10" x14ac:dyDescent="0.25">
      <c r="A303" t="s">
        <v>20</v>
      </c>
      <c r="B303" t="s">
        <v>316</v>
      </c>
      <c r="C303">
        <v>94231536</v>
      </c>
      <c r="D303">
        <v>52</v>
      </c>
      <c r="E303" s="4">
        <v>-300000</v>
      </c>
      <c r="F303" t="s">
        <v>19</v>
      </c>
      <c r="G303">
        <v>2</v>
      </c>
      <c r="H303" s="32" t="str">
        <f ca="1">+IF(B303&gt;'sap nuevo'!$V$1,"cargar",IF(C303="","cargar","pagado"))</f>
        <v>cargar</v>
      </c>
      <c r="I303" s="32">
        <f t="shared" si="56"/>
        <v>2025</v>
      </c>
      <c r="J303" s="32">
        <f t="shared" si="57"/>
        <v>4</v>
      </c>
    </row>
    <row r="304" spans="1:10" x14ac:dyDescent="0.25">
      <c r="A304" t="s">
        <v>20</v>
      </c>
      <c r="B304" t="s">
        <v>316</v>
      </c>
      <c r="C304">
        <v>94231539</v>
      </c>
      <c r="D304">
        <v>52</v>
      </c>
      <c r="E304" s="4">
        <v>-113443.4</v>
      </c>
      <c r="F304" t="s">
        <v>19</v>
      </c>
      <c r="G304">
        <v>2</v>
      </c>
      <c r="H304" s="32" t="str">
        <f ca="1">+IF(B304&gt;'sap nuevo'!$V$1,"cargar",IF(C304="","cargar","pagado"))</f>
        <v>cargar</v>
      </c>
      <c r="I304" s="32">
        <f t="shared" ref="I304:I312" si="58">+YEAR(B304)</f>
        <v>2025</v>
      </c>
      <c r="J304" s="32">
        <f t="shared" ref="J304:J312" si="59">+MONTH(B304)</f>
        <v>4</v>
      </c>
    </row>
    <row r="305" spans="1:10" x14ac:dyDescent="0.25">
      <c r="A305" t="s">
        <v>20</v>
      </c>
      <c r="B305" t="s">
        <v>109</v>
      </c>
      <c r="C305">
        <v>3400742</v>
      </c>
      <c r="D305">
        <v>52</v>
      </c>
      <c r="E305" s="4">
        <v>-28087500</v>
      </c>
      <c r="F305" t="s">
        <v>19</v>
      </c>
      <c r="G305">
        <v>2</v>
      </c>
      <c r="H305" s="32" t="str">
        <f ca="1">+IF(B305&gt;'sap nuevo'!$V$1,"cargar",IF(C305="","cargar","pagado"))</f>
        <v>cargar</v>
      </c>
      <c r="I305" s="32">
        <f t="shared" si="58"/>
        <v>2025</v>
      </c>
      <c r="J305" s="32">
        <f t="shared" si="59"/>
        <v>4</v>
      </c>
    </row>
    <row r="306" spans="1:10" x14ac:dyDescent="0.25">
      <c r="A306" t="s">
        <v>20</v>
      </c>
      <c r="B306" t="s">
        <v>109</v>
      </c>
      <c r="C306">
        <v>3400743</v>
      </c>
      <c r="D306">
        <v>52</v>
      </c>
      <c r="E306" s="4">
        <v>-28087500</v>
      </c>
      <c r="F306" t="s">
        <v>19</v>
      </c>
      <c r="G306">
        <v>2</v>
      </c>
      <c r="H306" s="32" t="str">
        <f ca="1">+IF(B306&gt;'sap nuevo'!$V$1,"cargar",IF(C306="","cargar","pagado"))</f>
        <v>cargar</v>
      </c>
      <c r="I306" s="32">
        <f t="shared" si="58"/>
        <v>2025</v>
      </c>
      <c r="J306" s="32">
        <f t="shared" si="59"/>
        <v>4</v>
      </c>
    </row>
    <row r="307" spans="1:10" x14ac:dyDescent="0.25">
      <c r="A307" t="s">
        <v>20</v>
      </c>
      <c r="B307" t="s">
        <v>109</v>
      </c>
      <c r="C307">
        <v>94231541</v>
      </c>
      <c r="D307">
        <v>52</v>
      </c>
      <c r="E307" s="4">
        <v>-12698470</v>
      </c>
      <c r="F307" t="s">
        <v>19</v>
      </c>
      <c r="G307">
        <v>2</v>
      </c>
      <c r="H307" s="32" t="str">
        <f ca="1">+IF(B307&gt;'sap nuevo'!$V$1,"cargar",IF(C307="","cargar","pagado"))</f>
        <v>cargar</v>
      </c>
      <c r="I307" s="32">
        <f t="shared" si="58"/>
        <v>2025</v>
      </c>
      <c r="J307" s="32">
        <f t="shared" si="59"/>
        <v>4</v>
      </c>
    </row>
    <row r="308" spans="1:10" x14ac:dyDescent="0.25">
      <c r="A308" t="s">
        <v>20</v>
      </c>
      <c r="B308" t="s">
        <v>110</v>
      </c>
      <c r="C308">
        <v>97123483</v>
      </c>
      <c r="D308">
        <v>140</v>
      </c>
      <c r="E308" s="4">
        <v>-30000000</v>
      </c>
      <c r="F308" t="s">
        <v>62</v>
      </c>
      <c r="G308">
        <v>0</v>
      </c>
      <c r="H308" s="32" t="str">
        <f ca="1">+IF(B308&gt;'sap nuevo'!$V$1,"cargar",IF(C308="","cargar","pagado"))</f>
        <v>cargar</v>
      </c>
      <c r="I308" s="32">
        <f t="shared" si="58"/>
        <v>2025</v>
      </c>
      <c r="J308" s="32">
        <f t="shared" si="59"/>
        <v>4</v>
      </c>
    </row>
    <row r="309" spans="1:10" x14ac:dyDescent="0.25">
      <c r="A309" t="s">
        <v>20</v>
      </c>
      <c r="B309" t="s">
        <v>110</v>
      </c>
      <c r="C309">
        <v>97123487</v>
      </c>
      <c r="D309">
        <v>140</v>
      </c>
      <c r="E309" s="4">
        <v>-15000000</v>
      </c>
      <c r="F309" t="s">
        <v>62</v>
      </c>
      <c r="G309">
        <v>0</v>
      </c>
      <c r="H309" s="32" t="str">
        <f ca="1">+IF(B309&gt;'sap nuevo'!$V$1,"cargar",IF(C309="","cargar","pagado"))</f>
        <v>cargar</v>
      </c>
      <c r="I309" s="32">
        <f t="shared" si="58"/>
        <v>2025</v>
      </c>
      <c r="J309" s="32">
        <f t="shared" si="59"/>
        <v>4</v>
      </c>
    </row>
    <row r="310" spans="1:10" x14ac:dyDescent="0.25">
      <c r="A310" t="s">
        <v>20</v>
      </c>
      <c r="B310" t="s">
        <v>110</v>
      </c>
      <c r="C310">
        <v>97123485</v>
      </c>
      <c r="D310">
        <v>140</v>
      </c>
      <c r="E310" s="4">
        <v>-11465296.449999999</v>
      </c>
      <c r="F310" t="s">
        <v>62</v>
      </c>
      <c r="G310">
        <v>0</v>
      </c>
      <c r="H310" s="32" t="str">
        <f ca="1">+IF(B310&gt;'sap nuevo'!$V$1,"cargar",IF(C310="","cargar","pagado"))</f>
        <v>cargar</v>
      </c>
      <c r="I310" s="32">
        <f t="shared" si="58"/>
        <v>2025</v>
      </c>
      <c r="J310" s="32">
        <f t="shared" si="59"/>
        <v>4</v>
      </c>
    </row>
    <row r="311" spans="1:10" x14ac:dyDescent="0.25">
      <c r="A311" t="s">
        <v>20</v>
      </c>
      <c r="B311" t="s">
        <v>110</v>
      </c>
      <c r="C311">
        <v>97123492</v>
      </c>
      <c r="D311">
        <v>140</v>
      </c>
      <c r="E311" s="4">
        <v>-11306156.9</v>
      </c>
      <c r="F311" t="s">
        <v>62</v>
      </c>
      <c r="G311">
        <v>0</v>
      </c>
      <c r="H311" s="32" t="str">
        <f ca="1">+IF(B311&gt;'sap nuevo'!$V$1,"cargar",IF(C311="","cargar","pagado"))</f>
        <v>cargar</v>
      </c>
      <c r="I311" s="32">
        <f t="shared" si="58"/>
        <v>2025</v>
      </c>
      <c r="J311" s="32">
        <f t="shared" si="59"/>
        <v>4</v>
      </c>
    </row>
    <row r="312" spans="1:10" x14ac:dyDescent="0.25">
      <c r="A312" t="s">
        <v>12</v>
      </c>
      <c r="B312" t="s">
        <v>110</v>
      </c>
      <c r="C312">
        <v>97123465</v>
      </c>
      <c r="D312">
        <v>140</v>
      </c>
      <c r="E312" s="4">
        <v>-8236282.5700000003</v>
      </c>
      <c r="F312" t="s">
        <v>63</v>
      </c>
      <c r="G312">
        <v>0</v>
      </c>
      <c r="H312" s="32" t="str">
        <f ca="1">+IF(B312&gt;'sap nuevo'!$V$1,"cargar",IF(C312="","cargar","pagado"))</f>
        <v>cargar</v>
      </c>
      <c r="I312" s="32">
        <f t="shared" si="58"/>
        <v>2025</v>
      </c>
      <c r="J312" s="32">
        <f t="shared" si="59"/>
        <v>4</v>
      </c>
    </row>
    <row r="313" spans="1:10" x14ac:dyDescent="0.25">
      <c r="A313" t="s">
        <v>12</v>
      </c>
      <c r="B313" t="s">
        <v>110</v>
      </c>
      <c r="C313">
        <v>97123486</v>
      </c>
      <c r="D313">
        <v>140</v>
      </c>
      <c r="E313" s="4">
        <v>-4633382</v>
      </c>
      <c r="F313" t="s">
        <v>63</v>
      </c>
      <c r="G313">
        <v>0</v>
      </c>
      <c r="H313" s="32" t="str">
        <f ca="1">+IF(B313&gt;'sap nuevo'!$V$1,"cargar",IF(C313="","cargar","pagado"))</f>
        <v>cargar</v>
      </c>
      <c r="I313" s="32">
        <f t="shared" ref="I313:I327" si="60">+YEAR(B313)</f>
        <v>2025</v>
      </c>
      <c r="J313" s="32">
        <f t="shared" ref="J313:J327" si="61">+MONTH(B313)</f>
        <v>4</v>
      </c>
    </row>
    <row r="314" spans="1:10" x14ac:dyDescent="0.25">
      <c r="A314" t="s">
        <v>20</v>
      </c>
      <c r="B314" t="s">
        <v>110</v>
      </c>
      <c r="C314">
        <v>97123491</v>
      </c>
      <c r="D314">
        <v>140</v>
      </c>
      <c r="E314" s="4">
        <v>-4305453</v>
      </c>
      <c r="F314" t="s">
        <v>62</v>
      </c>
      <c r="G314">
        <v>0</v>
      </c>
      <c r="H314" s="32" t="str">
        <f ca="1">+IF(B314&gt;'sap nuevo'!$V$1,"cargar",IF(C314="","cargar","pagado"))</f>
        <v>cargar</v>
      </c>
      <c r="I314" s="32">
        <f t="shared" si="60"/>
        <v>2025</v>
      </c>
      <c r="J314" s="32">
        <f t="shared" si="61"/>
        <v>4</v>
      </c>
    </row>
    <row r="315" spans="1:10" x14ac:dyDescent="0.25">
      <c r="A315" t="s">
        <v>20</v>
      </c>
      <c r="B315" t="s">
        <v>111</v>
      </c>
      <c r="C315">
        <v>97123484</v>
      </c>
      <c r="D315">
        <v>140</v>
      </c>
      <c r="E315" s="4">
        <v>-29623928.539999999</v>
      </c>
      <c r="F315" t="s">
        <v>62</v>
      </c>
      <c r="G315">
        <v>0</v>
      </c>
      <c r="H315" s="32" t="str">
        <f ca="1">+IF(B315&gt;'sap nuevo'!$V$1,"cargar",IF(C315="","cargar","pagado"))</f>
        <v>cargar</v>
      </c>
      <c r="I315" s="32">
        <f t="shared" si="60"/>
        <v>2025</v>
      </c>
      <c r="J315" s="32">
        <f t="shared" si="61"/>
        <v>4</v>
      </c>
    </row>
    <row r="316" spans="1:10" x14ac:dyDescent="0.25">
      <c r="A316" t="s">
        <v>20</v>
      </c>
      <c r="B316" t="s">
        <v>111</v>
      </c>
      <c r="C316">
        <v>97123488</v>
      </c>
      <c r="D316">
        <v>140</v>
      </c>
      <c r="E316" s="4">
        <v>-15857316.6</v>
      </c>
      <c r="F316" t="s">
        <v>62</v>
      </c>
      <c r="G316">
        <v>0</v>
      </c>
      <c r="H316" s="32" t="str">
        <f ca="1">+IF(B316&gt;'sap nuevo'!$V$1,"cargar",IF(C316="","cargar","pagado"))</f>
        <v>cargar</v>
      </c>
      <c r="I316" s="32">
        <f t="shared" si="60"/>
        <v>2025</v>
      </c>
      <c r="J316" s="32">
        <f t="shared" si="61"/>
        <v>4</v>
      </c>
    </row>
    <row r="317" spans="1:10" x14ac:dyDescent="0.25">
      <c r="A317" t="s">
        <v>12</v>
      </c>
      <c r="B317" t="s">
        <v>111</v>
      </c>
      <c r="C317">
        <v>97123489</v>
      </c>
      <c r="D317">
        <v>140</v>
      </c>
      <c r="E317" s="4">
        <v>-15000000</v>
      </c>
      <c r="F317" t="s">
        <v>63</v>
      </c>
      <c r="G317">
        <v>0</v>
      </c>
      <c r="H317" s="32" t="str">
        <f ca="1">+IF(B317&gt;'sap nuevo'!$V$1,"cargar",IF(C317="","cargar","pagado"))</f>
        <v>cargar</v>
      </c>
      <c r="I317" s="32">
        <f t="shared" si="60"/>
        <v>2025</v>
      </c>
      <c r="J317" s="32">
        <f t="shared" si="61"/>
        <v>4</v>
      </c>
    </row>
    <row r="318" spans="1:10" x14ac:dyDescent="0.25">
      <c r="A318" t="s">
        <v>20</v>
      </c>
      <c r="B318" t="s">
        <v>111</v>
      </c>
      <c r="C318">
        <v>97123495</v>
      </c>
      <c r="D318">
        <v>140</v>
      </c>
      <c r="E318" s="4">
        <v>-14987333.4</v>
      </c>
      <c r="F318" t="s">
        <v>62</v>
      </c>
      <c r="G318">
        <v>0</v>
      </c>
      <c r="H318" s="32" t="str">
        <f ca="1">+IF(B318&gt;'sap nuevo'!$V$1,"cargar",IF(C318="","cargar","pagado"))</f>
        <v>cargar</v>
      </c>
      <c r="I318" s="32">
        <f t="shared" si="60"/>
        <v>2025</v>
      </c>
      <c r="J318" s="32">
        <f t="shared" si="61"/>
        <v>4</v>
      </c>
    </row>
    <row r="319" spans="1:10" x14ac:dyDescent="0.25">
      <c r="A319" t="s">
        <v>12</v>
      </c>
      <c r="B319" t="s">
        <v>111</v>
      </c>
      <c r="C319">
        <v>97123494</v>
      </c>
      <c r="D319">
        <v>140</v>
      </c>
      <c r="E319" s="4">
        <v>-13665667.15</v>
      </c>
      <c r="F319" t="s">
        <v>63</v>
      </c>
      <c r="G319">
        <v>0</v>
      </c>
      <c r="H319" s="32" t="str">
        <f ca="1">+IF(B319&gt;'sap nuevo'!$V$1,"cargar",IF(C319="","cargar","pagado"))</f>
        <v>cargar</v>
      </c>
      <c r="I319" s="32">
        <f t="shared" si="60"/>
        <v>2025</v>
      </c>
      <c r="J319" s="32">
        <f t="shared" si="61"/>
        <v>4</v>
      </c>
    </row>
    <row r="320" spans="1:10" x14ac:dyDescent="0.25">
      <c r="A320" t="s">
        <v>12</v>
      </c>
      <c r="B320" t="s">
        <v>111</v>
      </c>
      <c r="C320">
        <v>97123490</v>
      </c>
      <c r="D320">
        <v>140</v>
      </c>
      <c r="E320" s="4">
        <v>-10899797.85</v>
      </c>
      <c r="F320" t="s">
        <v>63</v>
      </c>
      <c r="G320">
        <v>0</v>
      </c>
      <c r="H320" s="32" t="str">
        <f ca="1">+IF(B320&gt;'sap nuevo'!$V$1,"cargar",IF(C320="","cargar","pagado"))</f>
        <v>cargar</v>
      </c>
      <c r="I320" s="32">
        <f t="shared" si="60"/>
        <v>2025</v>
      </c>
      <c r="J320" s="32">
        <f t="shared" si="61"/>
        <v>4</v>
      </c>
    </row>
    <row r="321" spans="1:10" x14ac:dyDescent="0.25">
      <c r="A321" t="s">
        <v>12</v>
      </c>
      <c r="B321" t="s">
        <v>111</v>
      </c>
      <c r="C321">
        <v>97123493</v>
      </c>
      <c r="D321">
        <v>140</v>
      </c>
      <c r="E321" s="4">
        <v>-6487780.1900000004</v>
      </c>
      <c r="F321" t="s">
        <v>63</v>
      </c>
      <c r="G321">
        <v>0</v>
      </c>
      <c r="H321" s="32" t="str">
        <f ca="1">+IF(B321&gt;'sap nuevo'!$V$1,"cargar",IF(C321="","cargar","pagado"))</f>
        <v>cargar</v>
      </c>
      <c r="I321" s="32">
        <f t="shared" si="60"/>
        <v>2025</v>
      </c>
      <c r="J321" s="32">
        <f t="shared" si="61"/>
        <v>4</v>
      </c>
    </row>
    <row r="322" spans="1:10" x14ac:dyDescent="0.25">
      <c r="A322" t="s">
        <v>20</v>
      </c>
      <c r="B322" t="s">
        <v>112</v>
      </c>
      <c r="C322">
        <v>97123496</v>
      </c>
      <c r="D322">
        <v>140</v>
      </c>
      <c r="E322" s="4">
        <v>-8000000</v>
      </c>
      <c r="F322" t="s">
        <v>62</v>
      </c>
      <c r="G322">
        <v>0</v>
      </c>
      <c r="H322" s="32" t="str">
        <f ca="1">+IF(B322&gt;'sap nuevo'!$V$1,"cargar",IF(C322="","cargar","pagado"))</f>
        <v>cargar</v>
      </c>
      <c r="I322" s="32">
        <f t="shared" si="60"/>
        <v>2025</v>
      </c>
      <c r="J322" s="32">
        <f t="shared" si="61"/>
        <v>4</v>
      </c>
    </row>
    <row r="323" spans="1:10" x14ac:dyDescent="0.25">
      <c r="A323" t="s">
        <v>20</v>
      </c>
      <c r="B323" t="s">
        <v>112</v>
      </c>
      <c r="C323">
        <v>97123498</v>
      </c>
      <c r="D323">
        <v>140</v>
      </c>
      <c r="E323" s="4">
        <v>-2845691.75</v>
      </c>
      <c r="F323" t="s">
        <v>62</v>
      </c>
      <c r="G323">
        <v>0</v>
      </c>
      <c r="H323" s="32" t="str">
        <f ca="1">+IF(B323&gt;'sap nuevo'!$V$1,"cargar",IF(C323="","cargar","pagado"))</f>
        <v>cargar</v>
      </c>
      <c r="I323" s="32">
        <f t="shared" si="60"/>
        <v>2025</v>
      </c>
      <c r="J323" s="32">
        <f t="shared" si="61"/>
        <v>4</v>
      </c>
    </row>
    <row r="324" spans="1:10" x14ac:dyDescent="0.25">
      <c r="A324" t="s">
        <v>20</v>
      </c>
      <c r="B324" t="s">
        <v>113</v>
      </c>
      <c r="C324">
        <v>94231542</v>
      </c>
      <c r="D324">
        <v>52</v>
      </c>
      <c r="E324" s="4">
        <v>-474400</v>
      </c>
      <c r="F324" t="s">
        <v>19</v>
      </c>
      <c r="G324">
        <v>2</v>
      </c>
      <c r="H324" s="32" t="str">
        <f ca="1">+IF(B324&gt;'sap nuevo'!$V$1,"cargar",IF(C324="","cargar","pagado"))</f>
        <v>cargar</v>
      </c>
      <c r="I324" s="32">
        <f t="shared" si="60"/>
        <v>2025</v>
      </c>
      <c r="J324" s="32">
        <f t="shared" si="61"/>
        <v>5</v>
      </c>
    </row>
    <row r="325" spans="1:10" x14ac:dyDescent="0.25">
      <c r="A325" t="s">
        <v>20</v>
      </c>
      <c r="B325" t="s">
        <v>113</v>
      </c>
      <c r="C325">
        <v>94231543</v>
      </c>
      <c r="D325">
        <v>52</v>
      </c>
      <c r="E325" s="4">
        <v>-474400</v>
      </c>
      <c r="F325" t="s">
        <v>19</v>
      </c>
      <c r="G325">
        <v>2</v>
      </c>
      <c r="H325" s="32" t="str">
        <f ca="1">+IF(B325&gt;'sap nuevo'!$V$1,"cargar",IF(C325="","cargar","pagado"))</f>
        <v>cargar</v>
      </c>
      <c r="I325" s="32">
        <f t="shared" si="60"/>
        <v>2025</v>
      </c>
      <c r="J325" s="32">
        <f t="shared" si="61"/>
        <v>5</v>
      </c>
    </row>
    <row r="326" spans="1:10" x14ac:dyDescent="0.25">
      <c r="A326" t="s">
        <v>12</v>
      </c>
      <c r="B326" t="s">
        <v>113</v>
      </c>
      <c r="C326">
        <v>97123504</v>
      </c>
      <c r="D326">
        <v>140</v>
      </c>
      <c r="E326" s="4">
        <v>-19243310.199999999</v>
      </c>
      <c r="F326" t="s">
        <v>63</v>
      </c>
      <c r="G326">
        <v>0</v>
      </c>
      <c r="H326" s="32" t="str">
        <f ca="1">+IF(B326&gt;'sap nuevo'!$V$1,"cargar",IF(C326="","cargar","pagado"))</f>
        <v>cargar</v>
      </c>
      <c r="I326" s="32">
        <f t="shared" si="60"/>
        <v>2025</v>
      </c>
      <c r="J326" s="32">
        <f t="shared" si="61"/>
        <v>5</v>
      </c>
    </row>
    <row r="327" spans="1:10" x14ac:dyDescent="0.25">
      <c r="A327" t="s">
        <v>20</v>
      </c>
      <c r="B327" t="s">
        <v>113</v>
      </c>
      <c r="C327">
        <v>97123506</v>
      </c>
      <c r="D327">
        <v>140</v>
      </c>
      <c r="E327" s="4">
        <v>-11279571.4</v>
      </c>
      <c r="F327" t="s">
        <v>62</v>
      </c>
      <c r="G327">
        <v>0</v>
      </c>
      <c r="H327" s="32" t="str">
        <f ca="1">+IF(B327&gt;'sap nuevo'!$V$1,"cargar",IF(C327="","cargar","pagado"))</f>
        <v>cargar</v>
      </c>
      <c r="I327" s="32">
        <f t="shared" si="60"/>
        <v>2025</v>
      </c>
      <c r="J327" s="32">
        <f t="shared" si="61"/>
        <v>5</v>
      </c>
    </row>
    <row r="328" spans="1:10" x14ac:dyDescent="0.25">
      <c r="A328" t="s">
        <v>12</v>
      </c>
      <c r="B328" t="s">
        <v>113</v>
      </c>
      <c r="C328">
        <v>97123501</v>
      </c>
      <c r="D328">
        <v>140</v>
      </c>
      <c r="E328" s="4">
        <v>-9993892.3599999994</v>
      </c>
      <c r="F328" t="s">
        <v>63</v>
      </c>
      <c r="G328">
        <v>0</v>
      </c>
      <c r="H328" s="32" t="str">
        <f ca="1">+IF(B328&gt;'sap nuevo'!$V$1,"cargar",IF(C328="","cargar","pagado"))</f>
        <v>cargar</v>
      </c>
      <c r="I328" s="32">
        <f t="shared" ref="I328:I351" si="62">+YEAR(B328)</f>
        <v>2025</v>
      </c>
      <c r="J328" s="32">
        <f t="shared" ref="J328:J351" si="63">+MONTH(B328)</f>
        <v>5</v>
      </c>
    </row>
    <row r="329" spans="1:10" x14ac:dyDescent="0.25">
      <c r="A329" t="s">
        <v>20</v>
      </c>
      <c r="B329" t="s">
        <v>113</v>
      </c>
      <c r="C329">
        <v>97123505</v>
      </c>
      <c r="D329">
        <v>140</v>
      </c>
      <c r="E329" s="4">
        <v>-8807343.4000000004</v>
      </c>
      <c r="F329" t="s">
        <v>62</v>
      </c>
      <c r="G329">
        <v>0</v>
      </c>
      <c r="H329" s="32" t="str">
        <f ca="1">+IF(B329&gt;'sap nuevo'!$V$1,"cargar",IF(C329="","cargar","pagado"))</f>
        <v>cargar</v>
      </c>
      <c r="I329" s="32">
        <f t="shared" si="62"/>
        <v>2025</v>
      </c>
      <c r="J329" s="32">
        <f t="shared" si="63"/>
        <v>5</v>
      </c>
    </row>
    <row r="330" spans="1:10" x14ac:dyDescent="0.25">
      <c r="A330" t="s">
        <v>20</v>
      </c>
      <c r="B330" t="s">
        <v>113</v>
      </c>
      <c r="C330">
        <v>97123503</v>
      </c>
      <c r="D330">
        <v>140</v>
      </c>
      <c r="E330" s="4">
        <v>-5951965.6500000004</v>
      </c>
      <c r="F330" t="s">
        <v>62</v>
      </c>
      <c r="G330">
        <v>0</v>
      </c>
      <c r="H330" s="32" t="str">
        <f ca="1">+IF(B330&gt;'sap nuevo'!$V$1,"cargar",IF(C330="","cargar","pagado"))</f>
        <v>cargar</v>
      </c>
      <c r="I330" s="32">
        <f t="shared" si="62"/>
        <v>2025</v>
      </c>
      <c r="J330" s="32">
        <f t="shared" si="63"/>
        <v>5</v>
      </c>
    </row>
    <row r="331" spans="1:10" x14ac:dyDescent="0.25">
      <c r="A331" t="s">
        <v>20</v>
      </c>
      <c r="B331" t="s">
        <v>115</v>
      </c>
      <c r="C331">
        <v>94231540</v>
      </c>
      <c r="D331">
        <v>52</v>
      </c>
      <c r="E331" s="4">
        <v>-670042.30000000005</v>
      </c>
      <c r="F331" t="s">
        <v>19</v>
      </c>
      <c r="G331">
        <v>2</v>
      </c>
      <c r="H331" s="32" t="str">
        <f ca="1">+IF(B331&gt;'sap nuevo'!$V$1,"cargar",IF(C331="","cargar","pagado"))</f>
        <v>cargar</v>
      </c>
      <c r="I331" s="32">
        <f t="shared" si="62"/>
        <v>2025</v>
      </c>
      <c r="J331" s="32">
        <f t="shared" si="63"/>
        <v>5</v>
      </c>
    </row>
    <row r="332" spans="1:10" x14ac:dyDescent="0.25">
      <c r="A332" t="s">
        <v>12</v>
      </c>
      <c r="B332" t="s">
        <v>115</v>
      </c>
      <c r="C332">
        <v>97123500</v>
      </c>
      <c r="D332">
        <v>140</v>
      </c>
      <c r="E332" s="4">
        <v>-33084275.699999999</v>
      </c>
      <c r="F332" t="s">
        <v>63</v>
      </c>
      <c r="G332">
        <v>0</v>
      </c>
      <c r="H332" s="32" t="str">
        <f ca="1">+IF(B332&gt;'sap nuevo'!$V$1,"cargar",IF(C332="","cargar","pagado"))</f>
        <v>cargar</v>
      </c>
      <c r="I332" s="32">
        <f t="shared" si="62"/>
        <v>2025</v>
      </c>
      <c r="J332" s="32">
        <f t="shared" si="63"/>
        <v>5</v>
      </c>
    </row>
    <row r="333" spans="1:10" x14ac:dyDescent="0.25">
      <c r="A333" t="s">
        <v>12</v>
      </c>
      <c r="B333" t="s">
        <v>115</v>
      </c>
      <c r="C333">
        <v>97123502</v>
      </c>
      <c r="D333">
        <v>140</v>
      </c>
      <c r="E333" s="4">
        <v>-28999682.719999999</v>
      </c>
      <c r="F333" t="s">
        <v>63</v>
      </c>
      <c r="G333">
        <v>0</v>
      </c>
      <c r="H333" s="32" t="str">
        <f ca="1">+IF(B333&gt;'sap nuevo'!$V$1,"cargar",IF(C333="","cargar","pagado"))</f>
        <v>cargar</v>
      </c>
      <c r="I333" s="32">
        <f t="shared" si="62"/>
        <v>2025</v>
      </c>
      <c r="J333" s="32">
        <f t="shared" si="63"/>
        <v>5</v>
      </c>
    </row>
    <row r="334" spans="1:10" x14ac:dyDescent="0.25">
      <c r="A334" t="s">
        <v>20</v>
      </c>
      <c r="B334" t="s">
        <v>115</v>
      </c>
      <c r="C334">
        <v>97123509</v>
      </c>
      <c r="D334">
        <v>140</v>
      </c>
      <c r="E334" s="4">
        <v>-4288213.4000000004</v>
      </c>
      <c r="F334" t="s">
        <v>62</v>
      </c>
      <c r="G334">
        <v>0</v>
      </c>
      <c r="H334" s="32" t="str">
        <f ca="1">+IF(B334&gt;'sap nuevo'!$V$1,"cargar",IF(C334="","cargar","pagado"))</f>
        <v>cargar</v>
      </c>
      <c r="I334" s="32">
        <f t="shared" si="62"/>
        <v>2025</v>
      </c>
      <c r="J334" s="32">
        <f t="shared" si="63"/>
        <v>5</v>
      </c>
    </row>
    <row r="335" spans="1:10" x14ac:dyDescent="0.25">
      <c r="A335" t="s">
        <v>20</v>
      </c>
      <c r="B335" t="s">
        <v>115</v>
      </c>
      <c r="C335">
        <v>97123508</v>
      </c>
      <c r="D335">
        <v>140</v>
      </c>
      <c r="E335" s="4">
        <v>-3411298.5</v>
      </c>
      <c r="F335" t="s">
        <v>62</v>
      </c>
      <c r="G335">
        <v>0</v>
      </c>
      <c r="H335" s="32" t="str">
        <f ca="1">+IF(B335&gt;'sap nuevo'!$V$1,"cargar",IF(C335="","cargar","pagado"))</f>
        <v>cargar</v>
      </c>
      <c r="I335" s="32">
        <f t="shared" si="62"/>
        <v>2025</v>
      </c>
      <c r="J335" s="32">
        <f t="shared" si="63"/>
        <v>5</v>
      </c>
    </row>
    <row r="336" spans="1:10" x14ac:dyDescent="0.25">
      <c r="A336" t="s">
        <v>12</v>
      </c>
      <c r="B336" t="s">
        <v>114</v>
      </c>
      <c r="C336">
        <v>97123511</v>
      </c>
      <c r="D336">
        <v>140</v>
      </c>
      <c r="E336" s="4">
        <v>-45991454.549999997</v>
      </c>
      <c r="F336" t="s">
        <v>63</v>
      </c>
      <c r="G336">
        <v>0</v>
      </c>
      <c r="H336" s="32" t="str">
        <f ca="1">+IF(B336&gt;'sap nuevo'!$V$1,"cargar",IF(C336="","cargar","pagado"))</f>
        <v>cargar</v>
      </c>
      <c r="I336" s="32">
        <f t="shared" si="62"/>
        <v>2025</v>
      </c>
      <c r="J336" s="32">
        <f t="shared" si="63"/>
        <v>5</v>
      </c>
    </row>
    <row r="337" spans="1:10" x14ac:dyDescent="0.25">
      <c r="A337" t="s">
        <v>12</v>
      </c>
      <c r="B337" t="s">
        <v>114</v>
      </c>
      <c r="C337">
        <v>97123510</v>
      </c>
      <c r="D337">
        <v>140</v>
      </c>
      <c r="E337" s="4">
        <v>-12641535.58</v>
      </c>
      <c r="F337" t="s">
        <v>63</v>
      </c>
      <c r="G337">
        <v>0</v>
      </c>
      <c r="H337" s="32" t="str">
        <f ca="1">+IF(B337&gt;'sap nuevo'!$V$1,"cargar",IF(C337="","cargar","pagado"))</f>
        <v>cargar</v>
      </c>
      <c r="I337" s="32">
        <f t="shared" si="62"/>
        <v>2025</v>
      </c>
      <c r="J337" s="32">
        <f t="shared" si="63"/>
        <v>5</v>
      </c>
    </row>
    <row r="338" spans="1:10" x14ac:dyDescent="0.25">
      <c r="A338" t="s">
        <v>12</v>
      </c>
      <c r="B338" t="s">
        <v>114</v>
      </c>
      <c r="C338">
        <v>97123497</v>
      </c>
      <c r="D338">
        <v>140</v>
      </c>
      <c r="E338" s="4">
        <v>-8314869.75</v>
      </c>
      <c r="F338" t="s">
        <v>63</v>
      </c>
      <c r="G338">
        <v>0</v>
      </c>
      <c r="H338" s="32" t="str">
        <f ca="1">+IF(B338&gt;'sap nuevo'!$V$1,"cargar",IF(C338="","cargar","pagado"))</f>
        <v>cargar</v>
      </c>
      <c r="I338" s="32">
        <f t="shared" si="62"/>
        <v>2025</v>
      </c>
      <c r="J338" s="32">
        <f t="shared" si="63"/>
        <v>5</v>
      </c>
    </row>
    <row r="339" spans="1:10" x14ac:dyDescent="0.25">
      <c r="A339" t="s">
        <v>12</v>
      </c>
      <c r="B339" t="s">
        <v>116</v>
      </c>
      <c r="C339">
        <v>97123507</v>
      </c>
      <c r="D339">
        <v>140</v>
      </c>
      <c r="E339" s="4">
        <v>-25602500</v>
      </c>
      <c r="F339" t="s">
        <v>63</v>
      </c>
      <c r="G339">
        <v>0</v>
      </c>
      <c r="H339" s="32" t="str">
        <f ca="1">+IF(B339&gt;'sap nuevo'!$V$1,"cargar",IF(C339="","cargar","pagado"))</f>
        <v>cargar</v>
      </c>
      <c r="I339" s="32">
        <f t="shared" si="62"/>
        <v>2025</v>
      </c>
      <c r="J339" s="32">
        <f t="shared" si="63"/>
        <v>5</v>
      </c>
    </row>
    <row r="340" spans="1:10" x14ac:dyDescent="0.25">
      <c r="A340" t="s">
        <v>20</v>
      </c>
      <c r="B340" t="s">
        <v>116</v>
      </c>
      <c r="C340">
        <v>97123512</v>
      </c>
      <c r="D340">
        <v>140</v>
      </c>
      <c r="E340" s="4">
        <v>-9548104.6799999997</v>
      </c>
      <c r="F340" t="s">
        <v>62</v>
      </c>
      <c r="G340">
        <v>0</v>
      </c>
      <c r="H340" s="32" t="str">
        <f ca="1">+IF(B340&gt;'sap nuevo'!$V$1,"cargar",IF(C340="","cargar","pagado"))</f>
        <v>cargar</v>
      </c>
      <c r="I340" s="32">
        <f t="shared" si="62"/>
        <v>2025</v>
      </c>
      <c r="J340" s="32">
        <f t="shared" si="63"/>
        <v>5</v>
      </c>
    </row>
    <row r="341" spans="1:10" x14ac:dyDescent="0.25">
      <c r="A341" t="s">
        <v>12</v>
      </c>
      <c r="B341" t="s">
        <v>116</v>
      </c>
      <c r="C341">
        <v>97123514</v>
      </c>
      <c r="D341">
        <v>140</v>
      </c>
      <c r="E341" s="4">
        <v>-7560893.4000000004</v>
      </c>
      <c r="F341" t="s">
        <v>63</v>
      </c>
      <c r="G341">
        <v>0</v>
      </c>
      <c r="H341" s="32" t="str">
        <f ca="1">+IF(B341&gt;'sap nuevo'!$V$1,"cargar",IF(C341="","cargar","pagado"))</f>
        <v>cargar</v>
      </c>
      <c r="I341" s="32">
        <f t="shared" si="62"/>
        <v>2025</v>
      </c>
      <c r="J341" s="32">
        <f t="shared" si="63"/>
        <v>5</v>
      </c>
    </row>
    <row r="342" spans="1:10" x14ac:dyDescent="0.25">
      <c r="A342" t="s">
        <v>20</v>
      </c>
      <c r="B342" t="s">
        <v>117</v>
      </c>
      <c r="C342">
        <v>97123499</v>
      </c>
      <c r="D342">
        <v>140</v>
      </c>
      <c r="E342" s="4">
        <v>-14296925.4</v>
      </c>
      <c r="F342" t="s">
        <v>62</v>
      </c>
      <c r="G342">
        <v>0</v>
      </c>
      <c r="H342" s="32" t="str">
        <f ca="1">+IF(B342&gt;'sap nuevo'!$V$1,"cargar",IF(C342="","cargar","pagado"))</f>
        <v>cargar</v>
      </c>
      <c r="I342" s="32">
        <f t="shared" si="62"/>
        <v>2025</v>
      </c>
      <c r="J342" s="32">
        <f t="shared" si="63"/>
        <v>5</v>
      </c>
    </row>
    <row r="343" spans="1:10" x14ac:dyDescent="0.25">
      <c r="A343" t="s">
        <v>20</v>
      </c>
      <c r="B343" t="s">
        <v>117</v>
      </c>
      <c r="C343">
        <v>97123515</v>
      </c>
      <c r="D343">
        <v>140</v>
      </c>
      <c r="E343" s="4">
        <v>-13210343.4</v>
      </c>
      <c r="F343" t="s">
        <v>62</v>
      </c>
      <c r="G343">
        <v>0</v>
      </c>
      <c r="H343" s="32" t="str">
        <f ca="1">+IF(B343&gt;'sap nuevo'!$V$1,"cargar",IF(C343="","cargar","pagado"))</f>
        <v>cargar</v>
      </c>
      <c r="I343" s="32">
        <f t="shared" si="62"/>
        <v>2025</v>
      </c>
      <c r="J343" s="32">
        <f t="shared" si="63"/>
        <v>5</v>
      </c>
    </row>
    <row r="344" spans="1:10" x14ac:dyDescent="0.25">
      <c r="A344" t="s">
        <v>20</v>
      </c>
      <c r="B344" t="s">
        <v>117</v>
      </c>
      <c r="C344">
        <v>97123516</v>
      </c>
      <c r="D344">
        <v>140</v>
      </c>
      <c r="E344" s="4">
        <v>-9107142.4000000004</v>
      </c>
      <c r="F344" t="s">
        <v>62</v>
      </c>
      <c r="G344">
        <v>0</v>
      </c>
      <c r="H344" s="32" t="str">
        <f ca="1">+IF(B344&gt;'sap nuevo'!$V$1,"cargar",IF(C344="","cargar","pagado"))</f>
        <v>cargar</v>
      </c>
      <c r="I344" s="32">
        <f t="shared" si="62"/>
        <v>2025</v>
      </c>
      <c r="J344" s="32">
        <f t="shared" si="63"/>
        <v>5</v>
      </c>
    </row>
    <row r="345" spans="1:10" x14ac:dyDescent="0.25">
      <c r="A345" t="s">
        <v>20</v>
      </c>
      <c r="B345" t="s">
        <v>117</v>
      </c>
      <c r="C345">
        <v>97123513</v>
      </c>
      <c r="D345">
        <v>140</v>
      </c>
      <c r="E345" s="4">
        <v>-8588108.4000000004</v>
      </c>
      <c r="F345" t="s">
        <v>62</v>
      </c>
      <c r="G345">
        <v>0</v>
      </c>
      <c r="H345" s="32" t="str">
        <f ca="1">+IF(B345&gt;'sap nuevo'!$V$1,"cargar",IF(C345="","cargar","pagado"))</f>
        <v>cargar</v>
      </c>
      <c r="I345" s="32">
        <f t="shared" si="62"/>
        <v>2025</v>
      </c>
      <c r="J345" s="32">
        <f t="shared" si="63"/>
        <v>5</v>
      </c>
    </row>
    <row r="346" spans="1:10" x14ac:dyDescent="0.25">
      <c r="A346" t="s">
        <v>20</v>
      </c>
      <c r="B346" t="s">
        <v>117</v>
      </c>
      <c r="C346">
        <v>97123517</v>
      </c>
      <c r="D346">
        <v>140</v>
      </c>
      <c r="E346" s="4">
        <v>-7236463.5999999996</v>
      </c>
      <c r="F346" t="s">
        <v>62</v>
      </c>
      <c r="G346">
        <v>0</v>
      </c>
      <c r="H346" s="32" t="str">
        <f ca="1">+IF(B346&gt;'sap nuevo'!$V$1,"cargar",IF(C346="","cargar","pagado"))</f>
        <v>cargar</v>
      </c>
      <c r="I346" s="32">
        <f t="shared" si="62"/>
        <v>2025</v>
      </c>
      <c r="J346" s="32">
        <f t="shared" si="63"/>
        <v>5</v>
      </c>
    </row>
    <row r="347" spans="1:10" x14ac:dyDescent="0.25">
      <c r="A347" t="s">
        <v>20</v>
      </c>
      <c r="B347" t="s">
        <v>119</v>
      </c>
      <c r="C347">
        <v>97123482</v>
      </c>
      <c r="D347">
        <v>140</v>
      </c>
      <c r="E347" s="4">
        <v>-193651920</v>
      </c>
      <c r="F347" t="s">
        <v>62</v>
      </c>
      <c r="G347">
        <v>0</v>
      </c>
      <c r="H347" s="32" t="str">
        <f ca="1">+IF(B347&gt;'sap nuevo'!$V$1,"cargar",IF(C347="","cargar","pagado"))</f>
        <v>cargar</v>
      </c>
      <c r="I347" s="32">
        <f t="shared" si="62"/>
        <v>2025</v>
      </c>
      <c r="J347" s="32">
        <f t="shared" si="63"/>
        <v>5</v>
      </c>
    </row>
    <row r="348" spans="1:10" x14ac:dyDescent="0.25">
      <c r="A348" t="s">
        <v>20</v>
      </c>
      <c r="B348" t="s">
        <v>118</v>
      </c>
      <c r="C348">
        <v>97123523</v>
      </c>
      <c r="D348">
        <v>140</v>
      </c>
      <c r="E348" s="4">
        <v>-23000000</v>
      </c>
      <c r="F348" t="s">
        <v>62</v>
      </c>
      <c r="G348">
        <v>0</v>
      </c>
      <c r="H348" s="32" t="str">
        <f ca="1">+IF(B348&gt;'sap nuevo'!$V$1,"cargar",IF(C348="","cargar","pagado"))</f>
        <v>cargar</v>
      </c>
      <c r="I348" s="32">
        <f t="shared" si="62"/>
        <v>2025</v>
      </c>
      <c r="J348" s="32">
        <f t="shared" si="63"/>
        <v>5</v>
      </c>
    </row>
    <row r="349" spans="1:10" x14ac:dyDescent="0.25">
      <c r="A349" t="s">
        <v>20</v>
      </c>
      <c r="B349" t="s">
        <v>118</v>
      </c>
      <c r="C349">
        <v>97123520</v>
      </c>
      <c r="D349">
        <v>140</v>
      </c>
      <c r="E349" s="4">
        <v>-22000000</v>
      </c>
      <c r="F349" t="s">
        <v>62</v>
      </c>
      <c r="G349">
        <v>0</v>
      </c>
      <c r="H349" s="32" t="str">
        <f ca="1">+IF(B349&gt;'sap nuevo'!$V$1,"cargar",IF(C349="","cargar","pagado"))</f>
        <v>cargar</v>
      </c>
      <c r="I349" s="32">
        <f t="shared" si="62"/>
        <v>2025</v>
      </c>
      <c r="J349" s="32">
        <f t="shared" si="63"/>
        <v>5</v>
      </c>
    </row>
    <row r="350" spans="1:10" x14ac:dyDescent="0.25">
      <c r="A350" t="s">
        <v>20</v>
      </c>
      <c r="B350" t="s">
        <v>118</v>
      </c>
      <c r="C350">
        <v>97123473</v>
      </c>
      <c r="D350">
        <v>140</v>
      </c>
      <c r="E350" s="4">
        <v>-20000000</v>
      </c>
      <c r="F350" t="s">
        <v>62</v>
      </c>
      <c r="G350">
        <v>0</v>
      </c>
      <c r="H350" s="32" t="str">
        <f ca="1">+IF(B350&gt;'sap nuevo'!$V$1,"cargar",IF(C350="","cargar","pagado"))</f>
        <v>cargar</v>
      </c>
      <c r="I350" s="32">
        <f t="shared" si="62"/>
        <v>2025</v>
      </c>
      <c r="J350" s="32">
        <f t="shared" si="63"/>
        <v>5</v>
      </c>
    </row>
    <row r="351" spans="1:10" x14ac:dyDescent="0.25">
      <c r="A351" t="s">
        <v>20</v>
      </c>
      <c r="B351" t="s">
        <v>118</v>
      </c>
      <c r="C351">
        <v>97123528</v>
      </c>
      <c r="D351">
        <v>140</v>
      </c>
      <c r="E351" s="4">
        <v>-11120378.300000001</v>
      </c>
      <c r="F351" t="s">
        <v>62</v>
      </c>
      <c r="G351">
        <v>0</v>
      </c>
      <c r="H351" s="32" t="str">
        <f ca="1">+IF(B351&gt;'sap nuevo'!$V$1,"cargar",IF(C351="","cargar","pagado"))</f>
        <v>cargar</v>
      </c>
      <c r="I351" s="32">
        <f t="shared" si="62"/>
        <v>2025</v>
      </c>
      <c r="J351" s="32">
        <f t="shared" si="63"/>
        <v>5</v>
      </c>
    </row>
    <row r="352" spans="1:10" x14ac:dyDescent="0.25">
      <c r="A352" t="s">
        <v>12</v>
      </c>
      <c r="B352" t="s">
        <v>118</v>
      </c>
      <c r="C352">
        <v>97123535</v>
      </c>
      <c r="D352">
        <v>140</v>
      </c>
      <c r="E352" s="4">
        <v>-11000000</v>
      </c>
      <c r="F352" t="s">
        <v>63</v>
      </c>
      <c r="G352">
        <v>0</v>
      </c>
      <c r="H352" s="32" t="str">
        <f ca="1">+IF(B352&gt;'sap nuevo'!$V$1,"cargar",IF(C352="","cargar","pagado"))</f>
        <v>cargar</v>
      </c>
      <c r="I352" s="32">
        <f t="shared" ref="I352:I364" si="64">+YEAR(B352)</f>
        <v>2025</v>
      </c>
      <c r="J352" s="32">
        <f t="shared" ref="J352:J364" si="65">+MONTH(B352)</f>
        <v>5</v>
      </c>
    </row>
    <row r="353" spans="1:10" x14ac:dyDescent="0.25">
      <c r="A353" t="s">
        <v>20</v>
      </c>
      <c r="B353" t="s">
        <v>118</v>
      </c>
      <c r="C353">
        <v>97123526</v>
      </c>
      <c r="D353">
        <v>140</v>
      </c>
      <c r="E353" s="4">
        <v>-10800711.4</v>
      </c>
      <c r="F353" t="s">
        <v>62</v>
      </c>
      <c r="G353">
        <v>0</v>
      </c>
      <c r="H353" s="32" t="str">
        <f ca="1">+IF(B353&gt;'sap nuevo'!$V$1,"cargar",IF(C353="","cargar","pagado"))</f>
        <v>cargar</v>
      </c>
      <c r="I353" s="32">
        <f t="shared" si="64"/>
        <v>2025</v>
      </c>
      <c r="J353" s="32">
        <f t="shared" si="65"/>
        <v>5</v>
      </c>
    </row>
    <row r="354" spans="1:10" x14ac:dyDescent="0.25">
      <c r="A354" t="s">
        <v>20</v>
      </c>
      <c r="B354" t="s">
        <v>118</v>
      </c>
      <c r="C354">
        <v>97123530</v>
      </c>
      <c r="D354">
        <v>140</v>
      </c>
      <c r="E354" s="4">
        <v>-9994807.8200000003</v>
      </c>
      <c r="F354" t="s">
        <v>62</v>
      </c>
      <c r="G354">
        <v>0</v>
      </c>
      <c r="H354" s="32" t="str">
        <f ca="1">+IF(B354&gt;'sap nuevo'!$V$1,"cargar",IF(C354="","cargar","pagado"))</f>
        <v>cargar</v>
      </c>
      <c r="I354" s="32">
        <f t="shared" si="64"/>
        <v>2025</v>
      </c>
      <c r="J354" s="32">
        <f t="shared" si="65"/>
        <v>5</v>
      </c>
    </row>
    <row r="355" spans="1:10" x14ac:dyDescent="0.25">
      <c r="A355" t="s">
        <v>12</v>
      </c>
      <c r="B355" t="s">
        <v>118</v>
      </c>
      <c r="C355">
        <v>97123534</v>
      </c>
      <c r="D355">
        <v>140</v>
      </c>
      <c r="E355" s="4">
        <v>-9617991.3900000006</v>
      </c>
      <c r="F355" t="s">
        <v>63</v>
      </c>
      <c r="G355">
        <v>0</v>
      </c>
      <c r="H355" s="32" t="str">
        <f ca="1">+IF(B355&gt;'sap nuevo'!$V$1,"cargar",IF(C355="","cargar","pagado"))</f>
        <v>cargar</v>
      </c>
      <c r="I355" s="32">
        <f t="shared" si="64"/>
        <v>2025</v>
      </c>
      <c r="J355" s="32">
        <f t="shared" si="65"/>
        <v>5</v>
      </c>
    </row>
    <row r="356" spans="1:10" x14ac:dyDescent="0.25">
      <c r="A356" t="s">
        <v>20</v>
      </c>
      <c r="B356" t="s">
        <v>118</v>
      </c>
      <c r="C356">
        <v>97123522</v>
      </c>
      <c r="D356">
        <v>140</v>
      </c>
      <c r="E356" s="4">
        <v>-9372943.4000000004</v>
      </c>
      <c r="F356" t="s">
        <v>62</v>
      </c>
      <c r="G356">
        <v>0</v>
      </c>
      <c r="H356" s="32" t="str">
        <f ca="1">+IF(B356&gt;'sap nuevo'!$V$1,"cargar",IF(C356="","cargar","pagado"))</f>
        <v>cargar</v>
      </c>
      <c r="I356" s="32">
        <f t="shared" si="64"/>
        <v>2025</v>
      </c>
      <c r="J356" s="32">
        <f t="shared" si="65"/>
        <v>5</v>
      </c>
    </row>
    <row r="357" spans="1:10" x14ac:dyDescent="0.25">
      <c r="A357" t="s">
        <v>12</v>
      </c>
      <c r="B357" t="s">
        <v>118</v>
      </c>
      <c r="C357">
        <v>97123525</v>
      </c>
      <c r="D357">
        <v>140</v>
      </c>
      <c r="E357" s="4">
        <v>-8236483.8499999996</v>
      </c>
      <c r="F357" t="s">
        <v>63</v>
      </c>
      <c r="G357">
        <v>0</v>
      </c>
      <c r="H357" s="32" t="str">
        <f ca="1">+IF(B357&gt;'sap nuevo'!$V$1,"cargar",IF(C357="","cargar","pagado"))</f>
        <v>cargar</v>
      </c>
      <c r="I357" s="32">
        <f t="shared" si="64"/>
        <v>2025</v>
      </c>
      <c r="J357" s="32">
        <f t="shared" si="65"/>
        <v>5</v>
      </c>
    </row>
    <row r="358" spans="1:10" x14ac:dyDescent="0.25">
      <c r="A358" t="s">
        <v>20</v>
      </c>
      <c r="B358" t="s">
        <v>118</v>
      </c>
      <c r="C358">
        <v>97123533</v>
      </c>
      <c r="D358">
        <v>140</v>
      </c>
      <c r="E358" s="4">
        <v>-6177998.8600000003</v>
      </c>
      <c r="F358" t="s">
        <v>62</v>
      </c>
      <c r="G358">
        <v>0</v>
      </c>
      <c r="H358" s="32" t="str">
        <f ca="1">+IF(B358&gt;'sap nuevo'!$V$1,"cargar",IF(C358="","cargar","pagado"))</f>
        <v>cargar</v>
      </c>
      <c r="I358" s="32">
        <f t="shared" si="64"/>
        <v>2025</v>
      </c>
      <c r="J358" s="32">
        <f t="shared" si="65"/>
        <v>5</v>
      </c>
    </row>
    <row r="359" spans="1:10" x14ac:dyDescent="0.25">
      <c r="A359" t="s">
        <v>12</v>
      </c>
      <c r="B359" t="s">
        <v>118</v>
      </c>
      <c r="C359">
        <v>97123532</v>
      </c>
      <c r="D359">
        <v>140</v>
      </c>
      <c r="E359" s="4">
        <v>-4683141.54</v>
      </c>
      <c r="F359" t="s">
        <v>63</v>
      </c>
      <c r="G359">
        <v>0</v>
      </c>
      <c r="H359" s="32" t="str">
        <f ca="1">+IF(B359&gt;'sap nuevo'!$V$1,"cargar",IF(C359="","cargar","pagado"))</f>
        <v>cargar</v>
      </c>
      <c r="I359" s="32">
        <f t="shared" si="64"/>
        <v>2025</v>
      </c>
      <c r="J359" s="32">
        <f t="shared" si="65"/>
        <v>5</v>
      </c>
    </row>
    <row r="360" spans="1:10" x14ac:dyDescent="0.25">
      <c r="A360" t="s">
        <v>20</v>
      </c>
      <c r="B360" t="s">
        <v>120</v>
      </c>
      <c r="C360">
        <v>94231545</v>
      </c>
      <c r="D360">
        <v>52</v>
      </c>
      <c r="E360" s="4">
        <v>-200000</v>
      </c>
      <c r="F360" t="s">
        <v>19</v>
      </c>
      <c r="G360">
        <v>2</v>
      </c>
      <c r="H360" s="32" t="str">
        <f ca="1">+IF(B360&gt;'sap nuevo'!$V$1,"cargar",IF(C360="","cargar","pagado"))</f>
        <v>cargar</v>
      </c>
      <c r="I360" s="32">
        <f t="shared" si="64"/>
        <v>2025</v>
      </c>
      <c r="J360" s="32">
        <f t="shared" si="65"/>
        <v>5</v>
      </c>
    </row>
    <row r="361" spans="1:10" x14ac:dyDescent="0.25">
      <c r="A361" t="s">
        <v>12</v>
      </c>
      <c r="B361" t="s">
        <v>120</v>
      </c>
      <c r="C361">
        <v>97123536</v>
      </c>
      <c r="D361">
        <v>140</v>
      </c>
      <c r="E361" s="4">
        <v>-10940939.789999999</v>
      </c>
      <c r="F361" t="s">
        <v>63</v>
      </c>
      <c r="G361">
        <v>0</v>
      </c>
      <c r="H361" s="32" t="str">
        <f ca="1">+IF(B361&gt;'sap nuevo'!$V$1,"cargar",IF(C361="","cargar","pagado"))</f>
        <v>cargar</v>
      </c>
      <c r="I361" s="32">
        <f t="shared" si="64"/>
        <v>2025</v>
      </c>
      <c r="J361" s="32">
        <f t="shared" si="65"/>
        <v>5</v>
      </c>
    </row>
    <row r="362" spans="1:10" x14ac:dyDescent="0.25">
      <c r="A362" t="s">
        <v>20</v>
      </c>
      <c r="B362" t="s">
        <v>120</v>
      </c>
      <c r="C362">
        <v>97123531</v>
      </c>
      <c r="D362">
        <v>140</v>
      </c>
      <c r="E362" s="4">
        <v>-7529330.3300000001</v>
      </c>
      <c r="F362" t="s">
        <v>62</v>
      </c>
      <c r="G362">
        <v>0</v>
      </c>
      <c r="H362" s="32" t="str">
        <f ca="1">+IF(B362&gt;'sap nuevo'!$V$1,"cargar",IF(C362="","cargar","pagado"))</f>
        <v>cargar</v>
      </c>
      <c r="I362" s="32">
        <f t="shared" si="64"/>
        <v>2025</v>
      </c>
      <c r="J362" s="32">
        <f t="shared" si="65"/>
        <v>5</v>
      </c>
    </row>
    <row r="363" spans="1:10" x14ac:dyDescent="0.25">
      <c r="A363" t="s">
        <v>20</v>
      </c>
      <c r="B363" t="s">
        <v>120</v>
      </c>
      <c r="C363">
        <v>97123529</v>
      </c>
      <c r="D363">
        <v>140</v>
      </c>
      <c r="E363" s="4">
        <v>-7189299.7599999998</v>
      </c>
      <c r="F363" t="s">
        <v>62</v>
      </c>
      <c r="G363">
        <v>0</v>
      </c>
      <c r="H363" s="32" t="str">
        <f ca="1">+IF(B363&gt;'sap nuevo'!$V$1,"cargar",IF(C363="","cargar","pagado"))</f>
        <v>cargar</v>
      </c>
      <c r="I363" s="32">
        <f t="shared" si="64"/>
        <v>2025</v>
      </c>
      <c r="J363" s="32">
        <f t="shared" si="65"/>
        <v>5</v>
      </c>
    </row>
    <row r="364" spans="1:10" x14ac:dyDescent="0.25">
      <c r="A364" t="s">
        <v>20</v>
      </c>
      <c r="B364" t="s">
        <v>483</v>
      </c>
      <c r="C364">
        <v>97123537</v>
      </c>
      <c r="D364">
        <v>140</v>
      </c>
      <c r="E364" s="4">
        <v>-2701185.4</v>
      </c>
      <c r="F364" t="s">
        <v>62</v>
      </c>
      <c r="G364">
        <v>0</v>
      </c>
      <c r="H364" s="32" t="str">
        <f ca="1">+IF(B364&gt;'sap nuevo'!$V$1,"cargar",IF(C364="","cargar","pagado"))</f>
        <v>cargar</v>
      </c>
      <c r="I364" s="32">
        <f t="shared" si="64"/>
        <v>2025</v>
      </c>
      <c r="J364" s="32">
        <f t="shared" si="65"/>
        <v>5</v>
      </c>
    </row>
    <row r="365" spans="1:10" x14ac:dyDescent="0.25">
      <c r="A365" t="s">
        <v>20</v>
      </c>
      <c r="B365" t="s">
        <v>121</v>
      </c>
      <c r="C365">
        <v>97123524</v>
      </c>
      <c r="D365">
        <v>140</v>
      </c>
      <c r="E365" s="4">
        <v>-20602938.5</v>
      </c>
      <c r="F365" t="s">
        <v>62</v>
      </c>
      <c r="G365">
        <v>0</v>
      </c>
      <c r="H365" s="32" t="str">
        <f ca="1">+IF(B365&gt;'sap nuevo'!$V$1,"cargar",IF(C365="","cargar","pagado"))</f>
        <v>cargar</v>
      </c>
      <c r="I365" s="32">
        <f t="shared" ref="I365:I370" si="66">+YEAR(B365)</f>
        <v>2025</v>
      </c>
      <c r="J365" s="32">
        <f t="shared" ref="J365:J370" si="67">+MONTH(B365)</f>
        <v>5</v>
      </c>
    </row>
    <row r="366" spans="1:10" x14ac:dyDescent="0.25">
      <c r="A366" t="s">
        <v>20</v>
      </c>
      <c r="B366" t="s">
        <v>124</v>
      </c>
      <c r="C366">
        <v>97123547</v>
      </c>
      <c r="D366">
        <v>140</v>
      </c>
      <c r="E366" s="4">
        <v>-12962967.279999999</v>
      </c>
      <c r="F366" t="s">
        <v>62</v>
      </c>
      <c r="G366">
        <v>0</v>
      </c>
      <c r="H366" s="32" t="str">
        <f ca="1">+IF(B366&gt;'sap nuevo'!$V$1,"cargar",IF(C366="","cargar","pagado"))</f>
        <v>cargar</v>
      </c>
      <c r="I366" s="32">
        <f t="shared" si="66"/>
        <v>2025</v>
      </c>
      <c r="J366" s="32">
        <f t="shared" si="67"/>
        <v>5</v>
      </c>
    </row>
    <row r="367" spans="1:10" x14ac:dyDescent="0.25">
      <c r="A367" t="s">
        <v>12</v>
      </c>
      <c r="B367" t="s">
        <v>124</v>
      </c>
      <c r="C367">
        <v>97123541</v>
      </c>
      <c r="D367">
        <v>140</v>
      </c>
      <c r="E367" s="4">
        <v>-12695564.98</v>
      </c>
      <c r="F367" t="s">
        <v>63</v>
      </c>
      <c r="G367">
        <v>0</v>
      </c>
      <c r="H367" s="32" t="str">
        <f ca="1">+IF(B367&gt;'sap nuevo'!$V$1,"cargar",IF(C367="","cargar","pagado"))</f>
        <v>cargar</v>
      </c>
      <c r="I367" s="32">
        <f t="shared" si="66"/>
        <v>2025</v>
      </c>
      <c r="J367" s="32">
        <f t="shared" si="67"/>
        <v>5</v>
      </c>
    </row>
    <row r="368" spans="1:10" x14ac:dyDescent="0.25">
      <c r="A368" t="s">
        <v>20</v>
      </c>
      <c r="B368" t="s">
        <v>124</v>
      </c>
      <c r="C368">
        <v>97123538</v>
      </c>
      <c r="D368">
        <v>140</v>
      </c>
      <c r="E368" s="4">
        <v>-8806000</v>
      </c>
      <c r="F368" t="s">
        <v>62</v>
      </c>
      <c r="G368">
        <v>0</v>
      </c>
      <c r="H368" s="32" t="str">
        <f ca="1">+IF(B368&gt;'sap nuevo'!$V$1,"cargar",IF(C368="","cargar","pagado"))</f>
        <v>cargar</v>
      </c>
      <c r="I368" s="32">
        <f t="shared" si="66"/>
        <v>2025</v>
      </c>
      <c r="J368" s="32">
        <f t="shared" si="67"/>
        <v>5</v>
      </c>
    </row>
    <row r="369" spans="1:10" x14ac:dyDescent="0.25">
      <c r="A369" t="s">
        <v>20</v>
      </c>
      <c r="B369" t="s">
        <v>124</v>
      </c>
      <c r="C369">
        <v>97123543</v>
      </c>
      <c r="D369">
        <v>140</v>
      </c>
      <c r="E369" s="4">
        <v>-6807633.5700000003</v>
      </c>
      <c r="F369" t="s">
        <v>62</v>
      </c>
      <c r="G369">
        <v>0</v>
      </c>
      <c r="H369" s="32" t="str">
        <f ca="1">+IF(B369&gt;'sap nuevo'!$V$1,"cargar",IF(C369="","cargar","pagado"))</f>
        <v>cargar</v>
      </c>
      <c r="I369" s="32">
        <f t="shared" si="66"/>
        <v>2025</v>
      </c>
      <c r="J369" s="32">
        <f t="shared" si="67"/>
        <v>5</v>
      </c>
    </row>
    <row r="370" spans="1:10" x14ac:dyDescent="0.25">
      <c r="A370" t="s">
        <v>12</v>
      </c>
      <c r="B370" t="s">
        <v>124</v>
      </c>
      <c r="C370">
        <v>97123542</v>
      </c>
      <c r="D370">
        <v>140</v>
      </c>
      <c r="E370" s="4">
        <v>-3256303.45</v>
      </c>
      <c r="F370" t="s">
        <v>63</v>
      </c>
      <c r="G370">
        <v>0</v>
      </c>
      <c r="H370" s="32" t="str">
        <f ca="1">+IF(B370&gt;'sap nuevo'!$V$1,"cargar",IF(C370="","cargar","pagado"))</f>
        <v>cargar</v>
      </c>
      <c r="I370" s="32">
        <f t="shared" si="66"/>
        <v>2025</v>
      </c>
      <c r="J370" s="32">
        <f t="shared" si="67"/>
        <v>5</v>
      </c>
    </row>
    <row r="371" spans="1:10" x14ac:dyDescent="0.25">
      <c r="A371" t="s">
        <v>12</v>
      </c>
      <c r="B371" t="s">
        <v>124</v>
      </c>
      <c r="C371">
        <v>97123540</v>
      </c>
      <c r="D371">
        <v>140</v>
      </c>
      <c r="E371" s="4">
        <v>-3014400</v>
      </c>
      <c r="F371" t="s">
        <v>63</v>
      </c>
      <c r="G371">
        <v>0</v>
      </c>
      <c r="H371" s="32" t="str">
        <f ca="1">+IF(B371&gt;'sap nuevo'!$V$1,"cargar",IF(C371="","cargar","pagado"))</f>
        <v>cargar</v>
      </c>
      <c r="I371" s="32">
        <f t="shared" ref="I371:I384" si="68">+YEAR(B371)</f>
        <v>2025</v>
      </c>
      <c r="J371" s="32">
        <f t="shared" ref="J371:J384" si="69">+MONTH(B371)</f>
        <v>5</v>
      </c>
    </row>
    <row r="372" spans="1:10" x14ac:dyDescent="0.25">
      <c r="A372" t="s">
        <v>20</v>
      </c>
      <c r="B372" t="s">
        <v>124</v>
      </c>
      <c r="C372">
        <v>97123544</v>
      </c>
      <c r="D372">
        <v>140</v>
      </c>
      <c r="E372" s="4">
        <v>-1886523.46</v>
      </c>
      <c r="F372" t="s">
        <v>62</v>
      </c>
      <c r="G372">
        <v>0</v>
      </c>
      <c r="H372" s="32" t="str">
        <f ca="1">+IF(B372&gt;'sap nuevo'!$V$1,"cargar",IF(C372="","cargar","pagado"))</f>
        <v>cargar</v>
      </c>
      <c r="I372" s="32">
        <f t="shared" si="68"/>
        <v>2025</v>
      </c>
      <c r="J372" s="32">
        <f t="shared" si="69"/>
        <v>5</v>
      </c>
    </row>
    <row r="373" spans="1:10" x14ac:dyDescent="0.25">
      <c r="A373" t="s">
        <v>12</v>
      </c>
      <c r="B373" t="s">
        <v>125</v>
      </c>
      <c r="C373">
        <v>97123548</v>
      </c>
      <c r="D373">
        <v>140</v>
      </c>
      <c r="E373" s="4">
        <v>-43487582.719999999</v>
      </c>
      <c r="F373" t="s">
        <v>63</v>
      </c>
      <c r="G373">
        <v>0</v>
      </c>
      <c r="H373" s="32" t="str">
        <f ca="1">+IF(B373&gt;'sap nuevo'!$V$1,"cargar",IF(C373="","cargar","pagado"))</f>
        <v>cargar</v>
      </c>
      <c r="I373" s="32">
        <f t="shared" si="68"/>
        <v>2025</v>
      </c>
      <c r="J373" s="32">
        <f t="shared" si="69"/>
        <v>5</v>
      </c>
    </row>
    <row r="374" spans="1:10" x14ac:dyDescent="0.25">
      <c r="A374" t="s">
        <v>12</v>
      </c>
      <c r="B374" t="s">
        <v>125</v>
      </c>
      <c r="C374">
        <v>97123539</v>
      </c>
      <c r="D374">
        <v>140</v>
      </c>
      <c r="E374" s="4">
        <v>-5850955</v>
      </c>
      <c r="F374" t="s">
        <v>63</v>
      </c>
      <c r="G374">
        <v>0</v>
      </c>
      <c r="H374" s="32" t="str">
        <f ca="1">+IF(B374&gt;'sap nuevo'!$V$1,"cargar",IF(C374="","cargar","pagado"))</f>
        <v>cargar</v>
      </c>
      <c r="I374" s="32">
        <f t="shared" si="68"/>
        <v>2025</v>
      </c>
      <c r="J374" s="32">
        <f t="shared" si="69"/>
        <v>5</v>
      </c>
    </row>
    <row r="375" spans="1:10" x14ac:dyDescent="0.25">
      <c r="A375" t="s">
        <v>12</v>
      </c>
      <c r="B375" t="s">
        <v>125</v>
      </c>
      <c r="C375">
        <v>97123546</v>
      </c>
      <c r="D375">
        <v>140</v>
      </c>
      <c r="E375" s="4">
        <v>-2279030.02</v>
      </c>
      <c r="F375" t="s">
        <v>63</v>
      </c>
      <c r="G375">
        <v>0</v>
      </c>
      <c r="H375" s="32" t="str">
        <f ca="1">+IF(B375&gt;'sap nuevo'!$V$1,"cargar",IF(C375="","cargar","pagado"))</f>
        <v>cargar</v>
      </c>
      <c r="I375" s="32">
        <f t="shared" si="68"/>
        <v>2025</v>
      </c>
      <c r="J375" s="32">
        <f t="shared" si="69"/>
        <v>5</v>
      </c>
    </row>
    <row r="376" spans="1:10" x14ac:dyDescent="0.25">
      <c r="A376" t="s">
        <v>20</v>
      </c>
      <c r="B376" t="s">
        <v>317</v>
      </c>
      <c r="C376">
        <v>94231546</v>
      </c>
      <c r="D376">
        <v>52</v>
      </c>
      <c r="E376" s="4">
        <v>-12607380</v>
      </c>
      <c r="F376" t="s">
        <v>19</v>
      </c>
      <c r="G376">
        <v>2</v>
      </c>
      <c r="H376" s="32" t="str">
        <f ca="1">+IF(B376&gt;'sap nuevo'!$V$1,"cargar",IF(C376="","cargar","pagado"))</f>
        <v>cargar</v>
      </c>
      <c r="I376" s="32">
        <f t="shared" si="68"/>
        <v>2025</v>
      </c>
      <c r="J376" s="32">
        <f t="shared" si="69"/>
        <v>5</v>
      </c>
    </row>
    <row r="377" spans="1:10" x14ac:dyDescent="0.25">
      <c r="A377" t="s">
        <v>20</v>
      </c>
      <c r="B377" t="s">
        <v>126</v>
      </c>
      <c r="C377">
        <v>94231544</v>
      </c>
      <c r="D377">
        <v>52</v>
      </c>
      <c r="E377" s="4">
        <v>-170000</v>
      </c>
      <c r="F377" t="s">
        <v>19</v>
      </c>
      <c r="G377">
        <v>2</v>
      </c>
      <c r="H377" s="32" t="str">
        <f ca="1">+IF(B377&gt;'sap nuevo'!$V$1,"cargar",IF(C377="","cargar","pagado"))</f>
        <v>cargar</v>
      </c>
      <c r="I377" s="32">
        <f t="shared" si="68"/>
        <v>2025</v>
      </c>
      <c r="J377" s="32">
        <f t="shared" si="69"/>
        <v>5</v>
      </c>
    </row>
    <row r="378" spans="1:10" x14ac:dyDescent="0.25">
      <c r="A378" t="s">
        <v>12</v>
      </c>
      <c r="B378" t="s">
        <v>317</v>
      </c>
      <c r="C378">
        <v>97123552</v>
      </c>
      <c r="D378">
        <v>140</v>
      </c>
      <c r="E378" s="4">
        <v>-7916254.2999999998</v>
      </c>
      <c r="F378" t="s">
        <v>63</v>
      </c>
      <c r="G378">
        <v>0</v>
      </c>
      <c r="H378" s="32" t="str">
        <f ca="1">+IF(B378&gt;'sap nuevo'!$V$1,"cargar",IF(C378="","cargar","pagado"))</f>
        <v>cargar</v>
      </c>
      <c r="I378" s="32">
        <f t="shared" si="68"/>
        <v>2025</v>
      </c>
      <c r="J378" s="32">
        <f t="shared" si="69"/>
        <v>5</v>
      </c>
    </row>
    <row r="379" spans="1:10" x14ac:dyDescent="0.25">
      <c r="A379" t="s">
        <v>20</v>
      </c>
      <c r="B379" t="s">
        <v>317</v>
      </c>
      <c r="C379">
        <v>97123549</v>
      </c>
      <c r="D379">
        <v>140</v>
      </c>
      <c r="E379" s="4">
        <v>-6381944.7400000002</v>
      </c>
      <c r="F379" t="s">
        <v>62</v>
      </c>
      <c r="G379">
        <v>0</v>
      </c>
      <c r="H379" s="32" t="str">
        <f ca="1">+IF(B379&gt;'sap nuevo'!$V$1,"cargar",IF(C379="","cargar","pagado"))</f>
        <v>cargar</v>
      </c>
      <c r="I379" s="32">
        <f t="shared" si="68"/>
        <v>2025</v>
      </c>
      <c r="J379" s="32">
        <f t="shared" si="69"/>
        <v>5</v>
      </c>
    </row>
    <row r="380" spans="1:10" x14ac:dyDescent="0.25">
      <c r="A380" t="s">
        <v>20</v>
      </c>
      <c r="B380" t="s">
        <v>126</v>
      </c>
      <c r="C380">
        <v>97123551</v>
      </c>
      <c r="D380">
        <v>140</v>
      </c>
      <c r="E380" s="4">
        <v>-36301812.100000001</v>
      </c>
      <c r="F380" t="s">
        <v>62</v>
      </c>
      <c r="G380">
        <v>0</v>
      </c>
      <c r="H380" s="32" t="str">
        <f ca="1">+IF(B380&gt;'sap nuevo'!$V$1,"cargar",IF(C380="","cargar","pagado"))</f>
        <v>cargar</v>
      </c>
      <c r="I380" s="32">
        <f t="shared" si="68"/>
        <v>2025</v>
      </c>
      <c r="J380" s="32">
        <f t="shared" si="69"/>
        <v>5</v>
      </c>
    </row>
    <row r="381" spans="1:10" x14ac:dyDescent="0.25">
      <c r="A381" t="s">
        <v>20</v>
      </c>
      <c r="B381" t="s">
        <v>127</v>
      </c>
      <c r="C381">
        <v>97123527</v>
      </c>
      <c r="D381">
        <v>140</v>
      </c>
      <c r="E381" s="4">
        <v>-7501903.4000000004</v>
      </c>
      <c r="F381" t="s">
        <v>62</v>
      </c>
      <c r="G381">
        <v>0</v>
      </c>
      <c r="H381" s="32" t="str">
        <f ca="1">+IF(B381&gt;'sap nuevo'!$V$1,"cargar",IF(C381="","cargar","pagado"))</f>
        <v>cargar</v>
      </c>
      <c r="I381" s="32">
        <f t="shared" si="68"/>
        <v>2025</v>
      </c>
      <c r="J381" s="32">
        <f t="shared" si="69"/>
        <v>5</v>
      </c>
    </row>
    <row r="382" spans="1:10" x14ac:dyDescent="0.25">
      <c r="A382" t="s">
        <v>20</v>
      </c>
      <c r="B382" t="s">
        <v>127</v>
      </c>
      <c r="C382">
        <v>97123554</v>
      </c>
      <c r="D382">
        <v>140</v>
      </c>
      <c r="E382" s="4">
        <v>-6000000</v>
      </c>
      <c r="F382" t="s">
        <v>62</v>
      </c>
      <c r="G382">
        <v>0</v>
      </c>
      <c r="H382" s="32" t="str">
        <f ca="1">+IF(B382&gt;'sap nuevo'!$V$1,"cargar",IF(C382="","cargar","pagado"))</f>
        <v>cargar</v>
      </c>
      <c r="I382" s="32">
        <f t="shared" si="68"/>
        <v>2025</v>
      </c>
      <c r="J382" s="32">
        <f t="shared" si="69"/>
        <v>5</v>
      </c>
    </row>
    <row r="383" spans="1:10" x14ac:dyDescent="0.25">
      <c r="A383" t="s">
        <v>20</v>
      </c>
      <c r="B383" t="s">
        <v>127</v>
      </c>
      <c r="C383">
        <v>97123553</v>
      </c>
      <c r="D383">
        <v>140</v>
      </c>
      <c r="E383" s="4">
        <v>-4554913.75</v>
      </c>
      <c r="F383" t="s">
        <v>62</v>
      </c>
      <c r="G383">
        <v>0</v>
      </c>
      <c r="H383" s="32" t="str">
        <f ca="1">+IF(B383&gt;'sap nuevo'!$V$1,"cargar",IF(C383="","cargar","pagado"))</f>
        <v>cargar</v>
      </c>
      <c r="I383" s="32">
        <f t="shared" si="68"/>
        <v>2025</v>
      </c>
      <c r="J383" s="32">
        <f t="shared" si="69"/>
        <v>5</v>
      </c>
    </row>
    <row r="384" spans="1:10" x14ac:dyDescent="0.25">
      <c r="A384" t="s">
        <v>12</v>
      </c>
      <c r="B384" t="s">
        <v>127</v>
      </c>
      <c r="C384">
        <v>97123556</v>
      </c>
      <c r="D384">
        <v>140</v>
      </c>
      <c r="E384" s="4">
        <v>-2000000</v>
      </c>
      <c r="F384" t="s">
        <v>63</v>
      </c>
      <c r="G384">
        <v>0</v>
      </c>
      <c r="H384" s="32" t="str">
        <f ca="1">+IF(B384&gt;'sap nuevo'!$V$1,"cargar",IF(C384="","cargar","pagado"))</f>
        <v>cargar</v>
      </c>
      <c r="I384" s="32">
        <f t="shared" si="68"/>
        <v>2025</v>
      </c>
      <c r="J384" s="32">
        <f t="shared" si="69"/>
        <v>5</v>
      </c>
    </row>
    <row r="385" spans="1:10" x14ac:dyDescent="0.25">
      <c r="A385" t="s">
        <v>12</v>
      </c>
      <c r="B385" t="s">
        <v>127</v>
      </c>
      <c r="C385">
        <v>97123557</v>
      </c>
      <c r="D385">
        <v>140</v>
      </c>
      <c r="E385" s="4">
        <v>-2000000</v>
      </c>
      <c r="F385" t="s">
        <v>63</v>
      </c>
      <c r="G385">
        <v>0</v>
      </c>
      <c r="H385" s="32" t="str">
        <f ca="1">+IF(B385&gt;'sap nuevo'!$V$1,"cargar",IF(C385="","cargar","pagado"))</f>
        <v>cargar</v>
      </c>
      <c r="I385" s="32">
        <f t="shared" ref="I385:I398" si="70">+YEAR(B385)</f>
        <v>2025</v>
      </c>
      <c r="J385" s="32">
        <f t="shared" ref="J385:J398" si="71">+MONTH(B385)</f>
        <v>5</v>
      </c>
    </row>
    <row r="386" spans="1:10" x14ac:dyDescent="0.25">
      <c r="A386" t="s">
        <v>12</v>
      </c>
      <c r="B386" t="s">
        <v>127</v>
      </c>
      <c r="C386">
        <v>97123558</v>
      </c>
      <c r="D386">
        <v>140</v>
      </c>
      <c r="E386" s="4">
        <v>-2000000</v>
      </c>
      <c r="F386" t="s">
        <v>63</v>
      </c>
      <c r="G386">
        <v>0</v>
      </c>
      <c r="H386" s="32" t="str">
        <f ca="1">+IF(B386&gt;'sap nuevo'!$V$1,"cargar",IF(C386="","cargar","pagado"))</f>
        <v>cargar</v>
      </c>
      <c r="I386" s="32">
        <f t="shared" si="70"/>
        <v>2025</v>
      </c>
      <c r="J386" s="32">
        <f t="shared" si="71"/>
        <v>5</v>
      </c>
    </row>
    <row r="387" spans="1:10" x14ac:dyDescent="0.25">
      <c r="A387" t="s">
        <v>12</v>
      </c>
      <c r="B387" t="s">
        <v>484</v>
      </c>
      <c r="C387">
        <v>97123568</v>
      </c>
      <c r="D387">
        <v>140</v>
      </c>
      <c r="E387" s="4">
        <v>-25000000</v>
      </c>
      <c r="F387" t="s">
        <v>63</v>
      </c>
      <c r="G387">
        <v>0</v>
      </c>
      <c r="H387" s="32" t="str">
        <f ca="1">+IF(B387&gt;'sap nuevo'!$V$1,"cargar",IF(C387="","cargar","pagado"))</f>
        <v>cargar</v>
      </c>
      <c r="I387" s="32">
        <f t="shared" si="70"/>
        <v>2025</v>
      </c>
      <c r="J387" s="32">
        <f t="shared" si="71"/>
        <v>6</v>
      </c>
    </row>
    <row r="388" spans="1:10" x14ac:dyDescent="0.25">
      <c r="A388" t="s">
        <v>20</v>
      </c>
      <c r="B388" t="s">
        <v>484</v>
      </c>
      <c r="C388">
        <v>97123566</v>
      </c>
      <c r="D388">
        <v>140</v>
      </c>
      <c r="E388" s="4">
        <v>-20000000</v>
      </c>
      <c r="F388" t="s">
        <v>62</v>
      </c>
      <c r="G388">
        <v>0</v>
      </c>
      <c r="H388" s="32" t="str">
        <f ca="1">+IF(B388&gt;'sap nuevo'!$V$1,"cargar",IF(C388="","cargar","pagado"))</f>
        <v>cargar</v>
      </c>
      <c r="I388" s="32">
        <f t="shared" si="70"/>
        <v>2025</v>
      </c>
      <c r="J388" s="32">
        <f t="shared" si="71"/>
        <v>6</v>
      </c>
    </row>
    <row r="389" spans="1:10" x14ac:dyDescent="0.25">
      <c r="A389" t="s">
        <v>20</v>
      </c>
      <c r="B389" t="s">
        <v>484</v>
      </c>
      <c r="C389">
        <v>97123570</v>
      </c>
      <c r="D389">
        <v>140</v>
      </c>
      <c r="E389" s="4">
        <v>-12000000</v>
      </c>
      <c r="F389" t="s">
        <v>62</v>
      </c>
      <c r="G389">
        <v>0</v>
      </c>
      <c r="H389" s="32" t="str">
        <f ca="1">+IF(B389&gt;'sap nuevo'!$V$1,"cargar",IF(C389="","cargar","pagado"))</f>
        <v>cargar</v>
      </c>
      <c r="I389" s="32">
        <f t="shared" si="70"/>
        <v>2025</v>
      </c>
      <c r="J389" s="32">
        <f t="shared" si="71"/>
        <v>6</v>
      </c>
    </row>
    <row r="390" spans="1:10" x14ac:dyDescent="0.25">
      <c r="A390" t="s">
        <v>20</v>
      </c>
      <c r="B390" t="s">
        <v>484</v>
      </c>
      <c r="C390">
        <v>97123555</v>
      </c>
      <c r="D390">
        <v>140</v>
      </c>
      <c r="E390" s="4">
        <v>-6509862.4800000004</v>
      </c>
      <c r="F390" t="s">
        <v>62</v>
      </c>
      <c r="G390">
        <v>0</v>
      </c>
      <c r="H390" s="32" t="str">
        <f ca="1">+IF(B390&gt;'sap nuevo'!$V$1,"cargar",IF(C390="","cargar","pagado"))</f>
        <v>cargar</v>
      </c>
      <c r="I390" s="32">
        <f t="shared" si="70"/>
        <v>2025</v>
      </c>
      <c r="J390" s="32">
        <f t="shared" si="71"/>
        <v>6</v>
      </c>
    </row>
    <row r="391" spans="1:10" x14ac:dyDescent="0.25">
      <c r="A391" t="s">
        <v>20</v>
      </c>
      <c r="B391" t="s">
        <v>485</v>
      </c>
      <c r="C391">
        <v>97123545</v>
      </c>
      <c r="D391">
        <v>140</v>
      </c>
      <c r="E391" s="4">
        <v>-1720173</v>
      </c>
      <c r="F391" t="s">
        <v>62</v>
      </c>
      <c r="G391">
        <v>0</v>
      </c>
      <c r="H391" s="32" t="str">
        <f ca="1">+IF(B391&gt;'sap nuevo'!$V$1,"cargar",IF(C391="","cargar","pagado"))</f>
        <v>cargar</v>
      </c>
      <c r="I391" s="32">
        <f t="shared" si="70"/>
        <v>2025</v>
      </c>
      <c r="J391" s="32">
        <f t="shared" si="71"/>
        <v>6</v>
      </c>
    </row>
    <row r="392" spans="1:10" x14ac:dyDescent="0.25">
      <c r="A392" t="s">
        <v>12</v>
      </c>
      <c r="B392" t="s">
        <v>128</v>
      </c>
      <c r="C392">
        <v>97123569</v>
      </c>
      <c r="D392">
        <v>140</v>
      </c>
      <c r="E392" s="4">
        <v>-23505897.850000001</v>
      </c>
      <c r="F392" t="s">
        <v>63</v>
      </c>
      <c r="G392">
        <v>0</v>
      </c>
      <c r="H392" s="32" t="str">
        <f ca="1">+IF(B392&gt;'sap nuevo'!$V$1,"cargar",IF(C392="","cargar","pagado"))</f>
        <v>cargar</v>
      </c>
      <c r="I392" s="32">
        <f t="shared" si="70"/>
        <v>2025</v>
      </c>
      <c r="J392" s="32">
        <f t="shared" si="71"/>
        <v>6</v>
      </c>
    </row>
    <row r="393" spans="1:10" x14ac:dyDescent="0.25">
      <c r="A393" t="s">
        <v>20</v>
      </c>
      <c r="B393" t="s">
        <v>128</v>
      </c>
      <c r="C393">
        <v>97123567</v>
      </c>
      <c r="D393">
        <v>140</v>
      </c>
      <c r="E393" s="4">
        <v>-15728477.85</v>
      </c>
      <c r="F393" t="s">
        <v>62</v>
      </c>
      <c r="G393">
        <v>0</v>
      </c>
      <c r="H393" s="32" t="str">
        <f ca="1">+IF(B393&gt;'sap nuevo'!$V$1,"cargar",IF(C393="","cargar","pagado"))</f>
        <v>cargar</v>
      </c>
      <c r="I393" s="32">
        <f t="shared" si="70"/>
        <v>2025</v>
      </c>
      <c r="J393" s="32">
        <f t="shared" si="71"/>
        <v>6</v>
      </c>
    </row>
    <row r="394" spans="1:10" x14ac:dyDescent="0.25">
      <c r="A394" t="s">
        <v>20</v>
      </c>
      <c r="B394" t="s">
        <v>128</v>
      </c>
      <c r="C394">
        <v>97123572</v>
      </c>
      <c r="D394">
        <v>140</v>
      </c>
      <c r="E394" s="4">
        <v>-12767204.609999999</v>
      </c>
      <c r="F394" t="s">
        <v>62</v>
      </c>
      <c r="G394">
        <v>0</v>
      </c>
      <c r="H394" s="32" t="str">
        <f ca="1">+IF(B394&gt;'sap nuevo'!$V$1,"cargar",IF(C394="","cargar","pagado"))</f>
        <v>cargar</v>
      </c>
      <c r="I394" s="32">
        <f t="shared" si="70"/>
        <v>2025</v>
      </c>
      <c r="J394" s="32">
        <f t="shared" si="71"/>
        <v>6</v>
      </c>
    </row>
    <row r="395" spans="1:10" x14ac:dyDescent="0.25">
      <c r="A395" t="s">
        <v>20</v>
      </c>
      <c r="B395" t="s">
        <v>128</v>
      </c>
      <c r="C395">
        <v>97123571</v>
      </c>
      <c r="D395">
        <v>140</v>
      </c>
      <c r="E395" s="4">
        <v>-12440001.17</v>
      </c>
      <c r="F395" t="s">
        <v>62</v>
      </c>
      <c r="G395">
        <v>0</v>
      </c>
      <c r="H395" s="32" t="str">
        <f ca="1">+IF(B395&gt;'sap nuevo'!$V$1,"cargar",IF(C395="","cargar","pagado"))</f>
        <v>cargar</v>
      </c>
      <c r="I395" s="32">
        <f t="shared" si="70"/>
        <v>2025</v>
      </c>
      <c r="J395" s="32">
        <f t="shared" si="71"/>
        <v>6</v>
      </c>
    </row>
    <row r="396" spans="1:10" x14ac:dyDescent="0.25">
      <c r="A396" t="s">
        <v>20</v>
      </c>
      <c r="B396" t="s">
        <v>128</v>
      </c>
      <c r="C396">
        <v>97123519</v>
      </c>
      <c r="D396">
        <v>140</v>
      </c>
      <c r="E396" s="4">
        <v>-7924488</v>
      </c>
      <c r="F396" t="s">
        <v>62</v>
      </c>
      <c r="G396">
        <v>0</v>
      </c>
      <c r="H396" s="32" t="str">
        <f ca="1">+IF(B396&gt;'sap nuevo'!$V$1,"cargar",IF(C396="","cargar","pagado"))</f>
        <v>cargar</v>
      </c>
      <c r="I396" s="32">
        <f t="shared" si="70"/>
        <v>2025</v>
      </c>
      <c r="J396" s="32">
        <f t="shared" si="71"/>
        <v>6</v>
      </c>
    </row>
    <row r="397" spans="1:10" x14ac:dyDescent="0.25">
      <c r="A397" t="s">
        <v>20</v>
      </c>
      <c r="B397" t="s">
        <v>128</v>
      </c>
      <c r="C397">
        <v>97123565</v>
      </c>
      <c r="D397">
        <v>140</v>
      </c>
      <c r="E397" s="4">
        <v>-5575083.5599999996</v>
      </c>
      <c r="F397" t="s">
        <v>62</v>
      </c>
      <c r="G397">
        <v>0</v>
      </c>
      <c r="H397" s="32" t="str">
        <f ca="1">+IF(B397&gt;'sap nuevo'!$V$1,"cargar",IF(C397="","cargar","pagado"))</f>
        <v>cargar</v>
      </c>
      <c r="I397" s="32">
        <f t="shared" si="70"/>
        <v>2025</v>
      </c>
      <c r="J397" s="32">
        <f t="shared" si="71"/>
        <v>6</v>
      </c>
    </row>
    <row r="398" spans="1:10" x14ac:dyDescent="0.25">
      <c r="A398" t="s">
        <v>20</v>
      </c>
      <c r="B398" t="s">
        <v>129</v>
      </c>
      <c r="C398">
        <v>94231547</v>
      </c>
      <c r="D398">
        <v>52</v>
      </c>
      <c r="E398" s="4">
        <v>-10000000</v>
      </c>
      <c r="F398" t="s">
        <v>19</v>
      </c>
      <c r="G398">
        <v>2</v>
      </c>
      <c r="H398" s="32" t="str">
        <f ca="1">+IF(B398&gt;'sap nuevo'!$V$1,"cargar",IF(C398="","cargar","pagado"))</f>
        <v>cargar</v>
      </c>
      <c r="I398" s="32">
        <f t="shared" si="70"/>
        <v>2025</v>
      </c>
      <c r="J398" s="32">
        <f t="shared" si="71"/>
        <v>6</v>
      </c>
    </row>
    <row r="399" spans="1:10" x14ac:dyDescent="0.25">
      <c r="A399" t="s">
        <v>20</v>
      </c>
      <c r="B399" t="s">
        <v>130</v>
      </c>
      <c r="C399">
        <v>94231550</v>
      </c>
      <c r="D399">
        <v>52</v>
      </c>
      <c r="E399" s="4">
        <v>-500000</v>
      </c>
      <c r="F399" t="s">
        <v>19</v>
      </c>
      <c r="G399">
        <v>2</v>
      </c>
      <c r="H399" s="32" t="str">
        <f ca="1">+IF(B399&gt;'sap nuevo'!$V$1,"cargar",IF(C399="","cargar","pagado"))</f>
        <v>cargar</v>
      </c>
      <c r="I399" s="32">
        <f t="shared" ref="I399" si="72">+YEAR(B399)</f>
        <v>2025</v>
      </c>
      <c r="J399" s="32">
        <f t="shared" ref="J399" si="73">+MONTH(B399)</f>
        <v>6</v>
      </c>
    </row>
    <row r="400" spans="1:10" x14ac:dyDescent="0.25">
      <c r="A400" t="s">
        <v>20</v>
      </c>
      <c r="B400" t="s">
        <v>131</v>
      </c>
      <c r="C400">
        <v>94231551</v>
      </c>
      <c r="D400">
        <v>52</v>
      </c>
      <c r="E400" s="4">
        <v>-500000</v>
      </c>
      <c r="F400" t="s">
        <v>19</v>
      </c>
      <c r="G400">
        <v>2</v>
      </c>
      <c r="H400" s="32" t="str">
        <f ca="1">+IF(B400&gt;'sap nuevo'!$V$1,"cargar",IF(C400="","cargar","pagado"))</f>
        <v>cargar</v>
      </c>
      <c r="I400" s="32">
        <f t="shared" ref="I400:I428" si="74">+YEAR(B400)</f>
        <v>2025</v>
      </c>
      <c r="J400" s="32">
        <f t="shared" ref="J400:J428" si="75">+MONTH(B400)</f>
        <v>6</v>
      </c>
    </row>
    <row r="401" spans="1:10" x14ac:dyDescent="0.25">
      <c r="A401" t="s">
        <v>20</v>
      </c>
      <c r="B401" t="s">
        <v>130</v>
      </c>
      <c r="C401">
        <v>97123564</v>
      </c>
      <c r="D401">
        <v>140</v>
      </c>
      <c r="E401" s="4">
        <v>-4063008.02</v>
      </c>
      <c r="F401" t="s">
        <v>62</v>
      </c>
      <c r="G401">
        <v>0</v>
      </c>
      <c r="H401" s="32" t="str">
        <f ca="1">+IF(B401&gt;'sap nuevo'!$V$1,"cargar",IF(C401="","cargar","pagado"))</f>
        <v>cargar</v>
      </c>
      <c r="I401" s="32">
        <f t="shared" si="74"/>
        <v>2025</v>
      </c>
      <c r="J401" s="32">
        <f t="shared" si="75"/>
        <v>6</v>
      </c>
    </row>
    <row r="402" spans="1:10" x14ac:dyDescent="0.25">
      <c r="A402" t="s">
        <v>20</v>
      </c>
      <c r="B402" t="s">
        <v>131</v>
      </c>
      <c r="C402">
        <v>97123521</v>
      </c>
      <c r="D402">
        <v>140</v>
      </c>
      <c r="E402" s="4">
        <v>-22518406.57</v>
      </c>
      <c r="F402" t="s">
        <v>62</v>
      </c>
      <c r="G402">
        <v>0</v>
      </c>
      <c r="H402" s="32" t="str">
        <f ca="1">+IF(B402&gt;'sap nuevo'!$V$1,"cargar",IF(C402="","cargar","pagado"))</f>
        <v>cargar</v>
      </c>
      <c r="I402" s="32">
        <f t="shared" si="74"/>
        <v>2025</v>
      </c>
      <c r="J402" s="32">
        <f t="shared" si="75"/>
        <v>6</v>
      </c>
    </row>
    <row r="403" spans="1:10" x14ac:dyDescent="0.25">
      <c r="A403" t="s">
        <v>20</v>
      </c>
      <c r="B403" t="s">
        <v>131</v>
      </c>
      <c r="C403">
        <v>97123582</v>
      </c>
      <c r="D403">
        <v>140</v>
      </c>
      <c r="E403" s="4">
        <v>-15000000</v>
      </c>
      <c r="F403" t="s">
        <v>62</v>
      </c>
      <c r="G403">
        <v>0</v>
      </c>
      <c r="H403" s="32" t="str">
        <f ca="1">+IF(B403&gt;'sap nuevo'!$V$1,"cargar",IF(C403="","cargar","pagado"))</f>
        <v>cargar</v>
      </c>
      <c r="I403" s="32">
        <f t="shared" si="74"/>
        <v>2025</v>
      </c>
      <c r="J403" s="32">
        <f t="shared" si="75"/>
        <v>6</v>
      </c>
    </row>
    <row r="404" spans="1:10" x14ac:dyDescent="0.25">
      <c r="A404" t="s">
        <v>20</v>
      </c>
      <c r="B404" t="s">
        <v>131</v>
      </c>
      <c r="C404">
        <v>97123584</v>
      </c>
      <c r="D404">
        <v>140</v>
      </c>
      <c r="E404" s="4">
        <v>-15000000</v>
      </c>
      <c r="F404" t="s">
        <v>62</v>
      </c>
      <c r="G404">
        <v>0</v>
      </c>
      <c r="H404" s="32" t="str">
        <f ca="1">+IF(B404&gt;'sap nuevo'!$V$1,"cargar",IF(C404="","cargar","pagado"))</f>
        <v>cargar</v>
      </c>
      <c r="I404" s="32">
        <f t="shared" si="74"/>
        <v>2025</v>
      </c>
      <c r="J404" s="32">
        <f t="shared" si="75"/>
        <v>6</v>
      </c>
    </row>
    <row r="405" spans="1:10" x14ac:dyDescent="0.25">
      <c r="A405" t="s">
        <v>20</v>
      </c>
      <c r="B405" t="s">
        <v>131</v>
      </c>
      <c r="C405">
        <v>97123586</v>
      </c>
      <c r="D405">
        <v>140</v>
      </c>
      <c r="E405" s="4">
        <v>-13000000</v>
      </c>
      <c r="F405" t="s">
        <v>62</v>
      </c>
      <c r="G405">
        <v>0</v>
      </c>
      <c r="H405" s="32" t="str">
        <f ca="1">+IF(B405&gt;'sap nuevo'!$V$1,"cargar",IF(C405="","cargar","pagado"))</f>
        <v>cargar</v>
      </c>
      <c r="I405" s="32">
        <f t="shared" si="74"/>
        <v>2025</v>
      </c>
      <c r="J405" s="32">
        <f t="shared" si="75"/>
        <v>6</v>
      </c>
    </row>
    <row r="406" spans="1:10" x14ac:dyDescent="0.25">
      <c r="A406" t="s">
        <v>20</v>
      </c>
      <c r="B406" t="s">
        <v>131</v>
      </c>
      <c r="C406">
        <v>97123575</v>
      </c>
      <c r="D406">
        <v>140</v>
      </c>
      <c r="E406" s="4">
        <v>-8650081.0999999996</v>
      </c>
      <c r="F406" t="s">
        <v>62</v>
      </c>
      <c r="G406">
        <v>0</v>
      </c>
      <c r="H406" s="32" t="str">
        <f ca="1">+IF(B406&gt;'sap nuevo'!$V$1,"cargar",IF(C406="","cargar","pagado"))</f>
        <v>cargar</v>
      </c>
      <c r="I406" s="32">
        <f t="shared" si="74"/>
        <v>2025</v>
      </c>
      <c r="J406" s="32">
        <f t="shared" si="75"/>
        <v>6</v>
      </c>
    </row>
    <row r="407" spans="1:10" x14ac:dyDescent="0.25">
      <c r="A407" t="s">
        <v>12</v>
      </c>
      <c r="B407" t="s">
        <v>131</v>
      </c>
      <c r="C407">
        <v>97123592</v>
      </c>
      <c r="D407">
        <v>140</v>
      </c>
      <c r="E407" s="4">
        <v>-8000000</v>
      </c>
      <c r="F407" t="s">
        <v>63</v>
      </c>
      <c r="G407">
        <v>0</v>
      </c>
      <c r="H407" s="32" t="str">
        <f ca="1">+IF(B407&gt;'sap nuevo'!$V$1,"cargar",IF(C407="","cargar","pagado"))</f>
        <v>cargar</v>
      </c>
      <c r="I407" s="32">
        <f t="shared" si="74"/>
        <v>2025</v>
      </c>
      <c r="J407" s="32">
        <f t="shared" si="75"/>
        <v>6</v>
      </c>
    </row>
    <row r="408" spans="1:10" x14ac:dyDescent="0.25">
      <c r="A408" t="s">
        <v>20</v>
      </c>
      <c r="B408" t="s">
        <v>131</v>
      </c>
      <c r="C408">
        <v>97123573</v>
      </c>
      <c r="D408">
        <v>140</v>
      </c>
      <c r="E408" s="4">
        <v>-7222263.4000000004</v>
      </c>
      <c r="F408" t="s">
        <v>62</v>
      </c>
      <c r="G408">
        <v>0</v>
      </c>
      <c r="H408" s="32" t="str">
        <f ca="1">+IF(B408&gt;'sap nuevo'!$V$1,"cargar",IF(C408="","cargar","pagado"))</f>
        <v>cargar</v>
      </c>
      <c r="I408" s="32">
        <f t="shared" si="74"/>
        <v>2025</v>
      </c>
      <c r="J408" s="32">
        <f t="shared" si="75"/>
        <v>6</v>
      </c>
    </row>
    <row r="409" spans="1:10" x14ac:dyDescent="0.25">
      <c r="A409" t="s">
        <v>20</v>
      </c>
      <c r="B409" t="s">
        <v>131</v>
      </c>
      <c r="C409">
        <v>97123574</v>
      </c>
      <c r="D409">
        <v>140</v>
      </c>
      <c r="E409" s="4">
        <v>-6518128.3700000001</v>
      </c>
      <c r="F409" t="s">
        <v>62</v>
      </c>
      <c r="G409">
        <v>0</v>
      </c>
      <c r="H409" s="32" t="str">
        <f ca="1">+IF(B409&gt;'sap nuevo'!$V$1,"cargar",IF(C409="","cargar","pagado"))</f>
        <v>cargar</v>
      </c>
      <c r="I409" s="32">
        <f t="shared" si="74"/>
        <v>2025</v>
      </c>
      <c r="J409" s="32">
        <f t="shared" si="75"/>
        <v>6</v>
      </c>
    </row>
    <row r="410" spans="1:10" x14ac:dyDescent="0.25">
      <c r="A410" t="s">
        <v>12</v>
      </c>
      <c r="B410" t="s">
        <v>131</v>
      </c>
      <c r="C410">
        <v>97123591</v>
      </c>
      <c r="D410">
        <v>140</v>
      </c>
      <c r="E410" s="4">
        <v>-5067190.53</v>
      </c>
      <c r="F410" t="s">
        <v>63</v>
      </c>
      <c r="G410">
        <v>0</v>
      </c>
      <c r="H410" s="32" t="str">
        <f ca="1">+IF(B410&gt;'sap nuevo'!$V$1,"cargar",IF(C410="","cargar","pagado"))</f>
        <v>cargar</v>
      </c>
      <c r="I410" s="32">
        <f t="shared" si="74"/>
        <v>2025</v>
      </c>
      <c r="J410" s="32">
        <f t="shared" si="75"/>
        <v>6</v>
      </c>
    </row>
    <row r="411" spans="1:10" x14ac:dyDescent="0.25">
      <c r="A411" t="s">
        <v>12</v>
      </c>
      <c r="B411" t="s">
        <v>131</v>
      </c>
      <c r="C411">
        <v>97123581</v>
      </c>
      <c r="D411">
        <v>140</v>
      </c>
      <c r="E411" s="4">
        <v>-3768167.92</v>
      </c>
      <c r="F411" t="s">
        <v>63</v>
      </c>
      <c r="G411">
        <v>0</v>
      </c>
      <c r="H411" s="32" t="str">
        <f ca="1">+IF(B411&gt;'sap nuevo'!$V$1,"cargar",IF(C411="","cargar","pagado"))</f>
        <v>cargar</v>
      </c>
      <c r="I411" s="32">
        <f t="shared" si="74"/>
        <v>2025</v>
      </c>
      <c r="J411" s="32">
        <f t="shared" si="75"/>
        <v>6</v>
      </c>
    </row>
    <row r="412" spans="1:10" x14ac:dyDescent="0.25">
      <c r="A412" t="s">
        <v>12</v>
      </c>
      <c r="B412" t="s">
        <v>131</v>
      </c>
      <c r="C412">
        <v>97123580</v>
      </c>
      <c r="D412">
        <v>140</v>
      </c>
      <c r="E412" s="4">
        <v>-3034813.72</v>
      </c>
      <c r="F412" t="s">
        <v>63</v>
      </c>
      <c r="G412">
        <v>0</v>
      </c>
      <c r="H412" s="32" t="str">
        <f ca="1">+IF(B412&gt;'sap nuevo'!$V$1,"cargar",IF(C412="","cargar","pagado"))</f>
        <v>cargar</v>
      </c>
      <c r="I412" s="32">
        <f t="shared" si="74"/>
        <v>2025</v>
      </c>
      <c r="J412" s="32">
        <f t="shared" si="75"/>
        <v>6</v>
      </c>
    </row>
    <row r="413" spans="1:10" x14ac:dyDescent="0.25">
      <c r="A413" t="s">
        <v>20</v>
      </c>
      <c r="B413" t="s">
        <v>131</v>
      </c>
      <c r="C413">
        <v>97123578</v>
      </c>
      <c r="D413">
        <v>140</v>
      </c>
      <c r="E413" s="4">
        <v>-2625899.7799999998</v>
      </c>
      <c r="F413" t="s">
        <v>62</v>
      </c>
      <c r="G413">
        <v>0</v>
      </c>
      <c r="H413" s="32" t="str">
        <f ca="1">+IF(B413&gt;'sap nuevo'!$V$1,"cargar",IF(C413="","cargar","pagado"))</f>
        <v>cargar</v>
      </c>
      <c r="I413" s="32">
        <f t="shared" si="74"/>
        <v>2025</v>
      </c>
      <c r="J413" s="32">
        <f t="shared" si="75"/>
        <v>6</v>
      </c>
    </row>
    <row r="414" spans="1:10" x14ac:dyDescent="0.25">
      <c r="A414" t="s">
        <v>12</v>
      </c>
      <c r="B414" t="s">
        <v>131</v>
      </c>
      <c r="C414">
        <v>97123559</v>
      </c>
      <c r="D414">
        <v>140</v>
      </c>
      <c r="E414" s="4">
        <v>-2000000</v>
      </c>
      <c r="F414" t="s">
        <v>63</v>
      </c>
      <c r="G414">
        <v>0</v>
      </c>
      <c r="H414" s="32" t="str">
        <f ca="1">+IF(B414&gt;'sap nuevo'!$V$1,"cargar",IF(C414="","cargar","pagado"))</f>
        <v>cargar</v>
      </c>
      <c r="I414" s="32">
        <f t="shared" si="74"/>
        <v>2025</v>
      </c>
      <c r="J414" s="32">
        <f t="shared" si="75"/>
        <v>6</v>
      </c>
    </row>
    <row r="415" spans="1:10" x14ac:dyDescent="0.25">
      <c r="A415" t="s">
        <v>12</v>
      </c>
      <c r="B415" t="s">
        <v>131</v>
      </c>
      <c r="C415">
        <v>97123560</v>
      </c>
      <c r="D415">
        <v>140</v>
      </c>
      <c r="E415" s="4">
        <v>-2000000</v>
      </c>
      <c r="F415" t="s">
        <v>63</v>
      </c>
      <c r="G415">
        <v>0</v>
      </c>
      <c r="H415" s="32" t="str">
        <f ca="1">+IF(B415&gt;'sap nuevo'!$V$1,"cargar",IF(C415="","cargar","pagado"))</f>
        <v>cargar</v>
      </c>
      <c r="I415" s="32">
        <f t="shared" si="74"/>
        <v>2025</v>
      </c>
      <c r="J415" s="32">
        <f t="shared" si="75"/>
        <v>6</v>
      </c>
    </row>
    <row r="416" spans="1:10" x14ac:dyDescent="0.25">
      <c r="A416" t="s">
        <v>12</v>
      </c>
      <c r="B416" t="s">
        <v>131</v>
      </c>
      <c r="C416">
        <v>97123562</v>
      </c>
      <c r="D416">
        <v>140</v>
      </c>
      <c r="E416" s="4">
        <v>-1564920.9</v>
      </c>
      <c r="F416" t="s">
        <v>63</v>
      </c>
      <c r="G416">
        <v>0</v>
      </c>
      <c r="H416" s="32" t="str">
        <f ca="1">+IF(B416&gt;'sap nuevo'!$V$1,"cargar",IF(C416="","cargar","pagado"))</f>
        <v>cargar</v>
      </c>
      <c r="I416" s="32">
        <f t="shared" si="74"/>
        <v>2025</v>
      </c>
      <c r="J416" s="32">
        <f t="shared" si="75"/>
        <v>6</v>
      </c>
    </row>
    <row r="417" spans="1:10" x14ac:dyDescent="0.25">
      <c r="A417" t="s">
        <v>20</v>
      </c>
      <c r="B417" t="s">
        <v>318</v>
      </c>
      <c r="C417">
        <v>97123585</v>
      </c>
      <c r="D417">
        <v>140</v>
      </c>
      <c r="E417" s="4">
        <v>-16724791.76</v>
      </c>
      <c r="F417" t="s">
        <v>62</v>
      </c>
      <c r="G417">
        <v>0</v>
      </c>
      <c r="H417" s="32" t="str">
        <f ca="1">+IF(B417&gt;'sap nuevo'!$V$1,"cargar",IF(C417="","cargar","pagado"))</f>
        <v>cargar</v>
      </c>
      <c r="I417" s="32">
        <f t="shared" si="74"/>
        <v>2025</v>
      </c>
      <c r="J417" s="32">
        <f t="shared" si="75"/>
        <v>6</v>
      </c>
    </row>
    <row r="418" spans="1:10" x14ac:dyDescent="0.25">
      <c r="A418" t="s">
        <v>20</v>
      </c>
      <c r="B418" t="s">
        <v>318</v>
      </c>
      <c r="C418">
        <v>97123590</v>
      </c>
      <c r="D418">
        <v>140</v>
      </c>
      <c r="E418" s="4">
        <v>-14064357.029999999</v>
      </c>
      <c r="F418" t="s">
        <v>62</v>
      </c>
      <c r="G418">
        <v>0</v>
      </c>
      <c r="H418" s="32" t="str">
        <f ca="1">+IF(B418&gt;'sap nuevo'!$V$1,"cargar",IF(C418="","cargar","pagado"))</f>
        <v>cargar</v>
      </c>
      <c r="I418" s="32">
        <f t="shared" si="74"/>
        <v>2025</v>
      </c>
      <c r="J418" s="32">
        <f t="shared" si="75"/>
        <v>6</v>
      </c>
    </row>
    <row r="419" spans="1:10" x14ac:dyDescent="0.25">
      <c r="A419" t="s">
        <v>20</v>
      </c>
      <c r="B419" t="s">
        <v>318</v>
      </c>
      <c r="C419">
        <v>97123587</v>
      </c>
      <c r="D419">
        <v>140</v>
      </c>
      <c r="E419" s="4">
        <v>-13093217.98</v>
      </c>
      <c r="F419" t="s">
        <v>62</v>
      </c>
      <c r="G419">
        <v>0</v>
      </c>
      <c r="H419" s="32" t="str">
        <f ca="1">+IF(B419&gt;'sap nuevo'!$V$1,"cargar",IF(C419="","cargar","pagado"))</f>
        <v>cargar</v>
      </c>
      <c r="I419" s="32">
        <f t="shared" si="74"/>
        <v>2025</v>
      </c>
      <c r="J419" s="32">
        <f t="shared" si="75"/>
        <v>6</v>
      </c>
    </row>
    <row r="420" spans="1:10" x14ac:dyDescent="0.25">
      <c r="A420" t="s">
        <v>20</v>
      </c>
      <c r="B420" t="s">
        <v>318</v>
      </c>
      <c r="C420">
        <v>97123588</v>
      </c>
      <c r="D420">
        <v>140</v>
      </c>
      <c r="E420" s="4">
        <v>-11583281.75</v>
      </c>
      <c r="F420" t="s">
        <v>62</v>
      </c>
      <c r="G420">
        <v>0</v>
      </c>
      <c r="H420" s="32" t="str">
        <f ca="1">+IF(B420&gt;'sap nuevo'!$V$1,"cargar",IF(C420="","cargar","pagado"))</f>
        <v>cargar</v>
      </c>
      <c r="I420" s="32">
        <f t="shared" si="74"/>
        <v>2025</v>
      </c>
      <c r="J420" s="32">
        <f t="shared" si="75"/>
        <v>6</v>
      </c>
    </row>
    <row r="421" spans="1:10" x14ac:dyDescent="0.25">
      <c r="A421" t="s">
        <v>20</v>
      </c>
      <c r="B421" t="s">
        <v>318</v>
      </c>
      <c r="C421">
        <v>97123583</v>
      </c>
      <c r="D421">
        <v>140</v>
      </c>
      <c r="E421" s="4">
        <v>-10335296.789999999</v>
      </c>
      <c r="F421" t="s">
        <v>62</v>
      </c>
      <c r="G421">
        <v>0</v>
      </c>
      <c r="H421" s="32" t="str">
        <f ca="1">+IF(B421&gt;'sap nuevo'!$V$1,"cargar",IF(C421="","cargar","pagado"))</f>
        <v>cargar</v>
      </c>
      <c r="I421" s="32">
        <f t="shared" si="74"/>
        <v>2025</v>
      </c>
      <c r="J421" s="32">
        <f t="shared" si="75"/>
        <v>6</v>
      </c>
    </row>
    <row r="422" spans="1:10" x14ac:dyDescent="0.25">
      <c r="A422" t="s">
        <v>20</v>
      </c>
      <c r="B422" t="s">
        <v>318</v>
      </c>
      <c r="C422">
        <v>97123577</v>
      </c>
      <c r="D422">
        <v>140</v>
      </c>
      <c r="E422" s="4">
        <v>-9425410.0999999996</v>
      </c>
      <c r="F422" t="s">
        <v>62</v>
      </c>
      <c r="G422">
        <v>0</v>
      </c>
      <c r="H422" s="32" t="str">
        <f ca="1">+IF(B422&gt;'sap nuevo'!$V$1,"cargar",IF(C422="","cargar","pagado"))</f>
        <v>cargar</v>
      </c>
      <c r="I422" s="32">
        <f t="shared" si="74"/>
        <v>2025</v>
      </c>
      <c r="J422" s="32">
        <f t="shared" si="75"/>
        <v>6</v>
      </c>
    </row>
    <row r="423" spans="1:10" x14ac:dyDescent="0.25">
      <c r="A423" t="s">
        <v>20</v>
      </c>
      <c r="B423" t="s">
        <v>318</v>
      </c>
      <c r="C423">
        <v>97123576</v>
      </c>
      <c r="D423">
        <v>140</v>
      </c>
      <c r="E423" s="4">
        <v>-9273780.4600000009</v>
      </c>
      <c r="F423" t="s">
        <v>62</v>
      </c>
      <c r="G423">
        <v>0</v>
      </c>
      <c r="H423" s="32" t="str">
        <f ca="1">+IF(B423&gt;'sap nuevo'!$V$1,"cargar",IF(C423="","cargar","pagado"))</f>
        <v>cargar</v>
      </c>
      <c r="I423" s="32">
        <f t="shared" si="74"/>
        <v>2025</v>
      </c>
      <c r="J423" s="32">
        <f t="shared" si="75"/>
        <v>6</v>
      </c>
    </row>
    <row r="424" spans="1:10" x14ac:dyDescent="0.25">
      <c r="A424" t="s">
        <v>12</v>
      </c>
      <c r="B424" t="s">
        <v>318</v>
      </c>
      <c r="C424">
        <v>97123593</v>
      </c>
      <c r="D424">
        <v>140</v>
      </c>
      <c r="E424" s="4">
        <v>-8295215.9100000001</v>
      </c>
      <c r="F424" t="s">
        <v>63</v>
      </c>
      <c r="G424">
        <v>0</v>
      </c>
      <c r="H424" s="32" t="str">
        <f ca="1">+IF(B424&gt;'sap nuevo'!$V$1,"cargar",IF(C424="","cargar","pagado"))</f>
        <v>cargar</v>
      </c>
      <c r="I424" s="32">
        <f t="shared" si="74"/>
        <v>2025</v>
      </c>
      <c r="J424" s="32">
        <f t="shared" si="75"/>
        <v>6</v>
      </c>
    </row>
    <row r="425" spans="1:10" x14ac:dyDescent="0.25">
      <c r="A425" t="s">
        <v>12</v>
      </c>
      <c r="B425" t="s">
        <v>318</v>
      </c>
      <c r="C425">
        <v>97123589</v>
      </c>
      <c r="D425">
        <v>140</v>
      </c>
      <c r="E425" s="4">
        <v>-3560486.77</v>
      </c>
      <c r="F425" t="s">
        <v>63</v>
      </c>
      <c r="G425">
        <v>0</v>
      </c>
      <c r="H425" s="32" t="str">
        <f ca="1">+IF(B425&gt;'sap nuevo'!$V$1,"cargar",IF(C425="","cargar","pagado"))</f>
        <v>cargar</v>
      </c>
      <c r="I425" s="32">
        <f t="shared" si="74"/>
        <v>2025</v>
      </c>
      <c r="J425" s="32">
        <f t="shared" si="75"/>
        <v>6</v>
      </c>
    </row>
    <row r="426" spans="1:10" x14ac:dyDescent="0.25">
      <c r="A426" t="s">
        <v>12</v>
      </c>
      <c r="B426" t="s">
        <v>318</v>
      </c>
      <c r="C426">
        <v>97123561</v>
      </c>
      <c r="D426">
        <v>140</v>
      </c>
      <c r="E426" s="4">
        <v>-2000000</v>
      </c>
      <c r="F426" t="s">
        <v>63</v>
      </c>
      <c r="G426">
        <v>0</v>
      </c>
      <c r="H426" s="32" t="str">
        <f ca="1">+IF(B426&gt;'sap nuevo'!$V$1,"cargar",IF(C426="","cargar","pagado"))</f>
        <v>cargar</v>
      </c>
      <c r="I426" s="32">
        <f t="shared" si="74"/>
        <v>2025</v>
      </c>
      <c r="J426" s="32">
        <f t="shared" si="75"/>
        <v>6</v>
      </c>
    </row>
    <row r="427" spans="1:10" x14ac:dyDescent="0.25">
      <c r="A427" t="s">
        <v>20</v>
      </c>
      <c r="B427" t="s">
        <v>132</v>
      </c>
      <c r="C427">
        <v>97123594</v>
      </c>
      <c r="D427">
        <v>140</v>
      </c>
      <c r="E427" s="4">
        <v>-11178582.01</v>
      </c>
      <c r="F427" t="s">
        <v>62</v>
      </c>
      <c r="G427">
        <v>0</v>
      </c>
      <c r="H427" s="32" t="str">
        <f ca="1">+IF(B427&gt;'sap nuevo'!$V$1,"cargar",IF(C427="","cargar","pagado"))</f>
        <v>cargar</v>
      </c>
      <c r="I427" s="32">
        <f t="shared" si="74"/>
        <v>2025</v>
      </c>
      <c r="J427" s="32">
        <f t="shared" si="75"/>
        <v>6</v>
      </c>
    </row>
    <row r="428" spans="1:10" x14ac:dyDescent="0.25">
      <c r="A428" t="s">
        <v>20</v>
      </c>
      <c r="B428" t="s">
        <v>132</v>
      </c>
      <c r="C428">
        <v>97123579</v>
      </c>
      <c r="D428">
        <v>140</v>
      </c>
      <c r="E428" s="4">
        <v>-3095749.7</v>
      </c>
      <c r="F428" t="s">
        <v>62</v>
      </c>
      <c r="G428">
        <v>0</v>
      </c>
      <c r="H428" s="32" t="str">
        <f ca="1">+IF(B428&gt;'sap nuevo'!$V$1,"cargar",IF(C428="","cargar","pagado"))</f>
        <v>cargar</v>
      </c>
      <c r="I428" s="32">
        <f t="shared" si="74"/>
        <v>2025</v>
      </c>
      <c r="J428" s="32">
        <f t="shared" si="75"/>
        <v>6</v>
      </c>
    </row>
    <row r="429" spans="1:10" x14ac:dyDescent="0.25">
      <c r="A429" t="s">
        <v>20</v>
      </c>
      <c r="B429" t="s">
        <v>133</v>
      </c>
      <c r="C429">
        <v>97123563</v>
      </c>
      <c r="D429">
        <v>140</v>
      </c>
      <c r="E429" s="4">
        <v>-5463364.5</v>
      </c>
      <c r="F429" t="s">
        <v>62</v>
      </c>
      <c r="G429">
        <v>0</v>
      </c>
      <c r="H429" s="32" t="str">
        <f ca="1">+IF(B429&gt;'sap nuevo'!$V$1,"cargar",IF(C429="","cargar","pagado"))</f>
        <v>cargar</v>
      </c>
      <c r="I429" s="32">
        <f t="shared" ref="I429:I458" si="76">+YEAR(B429)</f>
        <v>2025</v>
      </c>
      <c r="J429" s="32">
        <f t="shared" ref="J429:J458" si="77">+MONTH(B429)</f>
        <v>6</v>
      </c>
    </row>
    <row r="430" spans="1:10" x14ac:dyDescent="0.25">
      <c r="A430" t="s">
        <v>20</v>
      </c>
      <c r="B430" t="s">
        <v>134</v>
      </c>
      <c r="C430">
        <v>3111595</v>
      </c>
      <c r="D430">
        <v>52</v>
      </c>
      <c r="E430" s="4">
        <v>-38880256.219999999</v>
      </c>
      <c r="F430" t="s">
        <v>19</v>
      </c>
      <c r="G430">
        <v>2</v>
      </c>
      <c r="H430" s="32" t="str">
        <f ca="1">+IF(B430&gt;'sap nuevo'!$V$1,"cargar",IF(C430="","cargar","pagado"))</f>
        <v>cargar</v>
      </c>
      <c r="I430" s="32">
        <f t="shared" si="76"/>
        <v>2025</v>
      </c>
      <c r="J430" s="32">
        <f t="shared" si="77"/>
        <v>6</v>
      </c>
    </row>
    <row r="431" spans="1:10" x14ac:dyDescent="0.25">
      <c r="A431" t="s">
        <v>20</v>
      </c>
      <c r="B431" t="s">
        <v>134</v>
      </c>
      <c r="C431">
        <v>94231554</v>
      </c>
      <c r="D431">
        <v>52</v>
      </c>
      <c r="E431" s="4">
        <v>-13866510</v>
      </c>
      <c r="F431" t="s">
        <v>19</v>
      </c>
      <c r="G431">
        <v>2</v>
      </c>
      <c r="H431" s="32" t="str">
        <f ca="1">+IF(B431&gt;'sap nuevo'!$V$1,"cargar",IF(C431="","cargar","pagado"))</f>
        <v>cargar</v>
      </c>
      <c r="I431" s="32">
        <f t="shared" si="76"/>
        <v>2025</v>
      </c>
      <c r="J431" s="32">
        <f t="shared" si="77"/>
        <v>6</v>
      </c>
    </row>
    <row r="432" spans="1:10" x14ac:dyDescent="0.25">
      <c r="A432" t="s">
        <v>12</v>
      </c>
      <c r="B432" t="s">
        <v>134</v>
      </c>
      <c r="C432">
        <v>97123607</v>
      </c>
      <c r="D432">
        <v>140</v>
      </c>
      <c r="E432" s="4">
        <v>-10466343.4</v>
      </c>
      <c r="F432" t="s">
        <v>63</v>
      </c>
      <c r="G432">
        <v>0</v>
      </c>
      <c r="H432" s="32" t="str">
        <f ca="1">+IF(B432&gt;'sap nuevo'!$V$1,"cargar",IF(C432="","cargar","pagado"))</f>
        <v>cargar</v>
      </c>
      <c r="I432" s="32">
        <f t="shared" si="76"/>
        <v>2025</v>
      </c>
      <c r="J432" s="32">
        <f t="shared" si="77"/>
        <v>6</v>
      </c>
    </row>
    <row r="433" spans="1:10" x14ac:dyDescent="0.25">
      <c r="A433" t="s">
        <v>20</v>
      </c>
      <c r="B433" t="s">
        <v>134</v>
      </c>
      <c r="C433">
        <v>97123608</v>
      </c>
      <c r="D433">
        <v>140</v>
      </c>
      <c r="E433" s="4">
        <v>-6101642.9199999999</v>
      </c>
      <c r="F433" t="s">
        <v>62</v>
      </c>
      <c r="G433">
        <v>0</v>
      </c>
      <c r="H433" s="32" t="str">
        <f ca="1">+IF(B433&gt;'sap nuevo'!$V$1,"cargar",IF(C433="","cargar","pagado"))</f>
        <v>cargar</v>
      </c>
      <c r="I433" s="32">
        <f t="shared" si="76"/>
        <v>2025</v>
      </c>
      <c r="J433" s="32">
        <f t="shared" si="77"/>
        <v>6</v>
      </c>
    </row>
    <row r="434" spans="1:10" x14ac:dyDescent="0.25">
      <c r="A434" t="s">
        <v>20</v>
      </c>
      <c r="B434" t="s">
        <v>135</v>
      </c>
      <c r="C434">
        <v>97123474</v>
      </c>
      <c r="D434">
        <v>140</v>
      </c>
      <c r="E434" s="4">
        <v>-19829946.559999999</v>
      </c>
      <c r="F434" t="s">
        <v>62</v>
      </c>
      <c r="G434">
        <v>0</v>
      </c>
      <c r="H434" s="32" t="str">
        <f ca="1">+IF(B434&gt;'sap nuevo'!$V$1,"cargar",IF(C434="","cargar","pagado"))</f>
        <v>cargar</v>
      </c>
      <c r="I434" s="32">
        <f t="shared" si="76"/>
        <v>2025</v>
      </c>
      <c r="J434" s="32">
        <f t="shared" si="77"/>
        <v>6</v>
      </c>
    </row>
    <row r="435" spans="1:10" x14ac:dyDescent="0.25">
      <c r="A435" t="s">
        <v>12</v>
      </c>
      <c r="B435" t="s">
        <v>135</v>
      </c>
      <c r="C435">
        <v>97123601</v>
      </c>
      <c r="D435">
        <v>140</v>
      </c>
      <c r="E435" s="4">
        <v>-10000000</v>
      </c>
      <c r="F435" t="s">
        <v>63</v>
      </c>
      <c r="G435">
        <v>0</v>
      </c>
      <c r="H435" s="32" t="str">
        <f ca="1">+IF(B435&gt;'sap nuevo'!$V$1,"cargar",IF(C435="","cargar","pagado"))</f>
        <v>cargar</v>
      </c>
      <c r="I435" s="32">
        <f t="shared" si="76"/>
        <v>2025</v>
      </c>
      <c r="J435" s="32">
        <f t="shared" si="77"/>
        <v>6</v>
      </c>
    </row>
    <row r="436" spans="1:10" x14ac:dyDescent="0.25">
      <c r="A436" t="s">
        <v>20</v>
      </c>
      <c r="B436" t="s">
        <v>135</v>
      </c>
      <c r="C436">
        <v>97123597</v>
      </c>
      <c r="D436">
        <v>140</v>
      </c>
      <c r="E436" s="4">
        <v>-9021852.0700000003</v>
      </c>
      <c r="F436" t="s">
        <v>62</v>
      </c>
      <c r="G436">
        <v>0</v>
      </c>
      <c r="H436" s="32" t="str">
        <f ca="1">+IF(B436&gt;'sap nuevo'!$V$1,"cargar",IF(C436="","cargar","pagado"))</f>
        <v>cargar</v>
      </c>
      <c r="I436" s="32">
        <f t="shared" si="76"/>
        <v>2025</v>
      </c>
      <c r="J436" s="32">
        <f t="shared" si="77"/>
        <v>6</v>
      </c>
    </row>
    <row r="437" spans="1:10" x14ac:dyDescent="0.25">
      <c r="A437" t="s">
        <v>20</v>
      </c>
      <c r="B437" t="s">
        <v>135</v>
      </c>
      <c r="C437">
        <v>97123600</v>
      </c>
      <c r="D437">
        <v>140</v>
      </c>
      <c r="E437" s="4">
        <v>-7865911.7999999998</v>
      </c>
      <c r="F437" t="s">
        <v>62</v>
      </c>
      <c r="G437">
        <v>0</v>
      </c>
      <c r="H437" s="32" t="str">
        <f ca="1">+IF(B437&gt;'sap nuevo'!$V$1,"cargar",IF(C437="","cargar","pagado"))</f>
        <v>cargar</v>
      </c>
      <c r="I437" s="32">
        <f t="shared" si="76"/>
        <v>2025</v>
      </c>
      <c r="J437" s="32">
        <f t="shared" si="77"/>
        <v>6</v>
      </c>
    </row>
    <row r="438" spans="1:10" x14ac:dyDescent="0.25">
      <c r="A438" t="s">
        <v>20</v>
      </c>
      <c r="B438" t="s">
        <v>135</v>
      </c>
      <c r="C438">
        <v>97123603</v>
      </c>
      <c r="D438">
        <v>140</v>
      </c>
      <c r="E438" s="4">
        <v>-6973986.0899999999</v>
      </c>
      <c r="F438" t="s">
        <v>62</v>
      </c>
      <c r="G438">
        <v>0</v>
      </c>
      <c r="H438" s="32" t="str">
        <f ca="1">+IF(B438&gt;'sap nuevo'!$V$1,"cargar",IF(C438="","cargar","pagado"))</f>
        <v>cargar</v>
      </c>
      <c r="I438" s="32">
        <f t="shared" si="76"/>
        <v>2025</v>
      </c>
      <c r="J438" s="32">
        <f t="shared" si="77"/>
        <v>6</v>
      </c>
    </row>
    <row r="439" spans="1:10" x14ac:dyDescent="0.25">
      <c r="A439" t="s">
        <v>12</v>
      </c>
      <c r="B439" t="s">
        <v>135</v>
      </c>
      <c r="C439">
        <v>97123598</v>
      </c>
      <c r="D439">
        <v>140</v>
      </c>
      <c r="E439" s="4">
        <v>-5672933.2999999998</v>
      </c>
      <c r="F439" t="s">
        <v>63</v>
      </c>
      <c r="G439">
        <v>0</v>
      </c>
      <c r="H439" s="32" t="str">
        <f ca="1">+IF(B439&gt;'sap nuevo'!$V$1,"cargar",IF(C439="","cargar","pagado"))</f>
        <v>cargar</v>
      </c>
      <c r="I439" s="32">
        <f t="shared" si="76"/>
        <v>2025</v>
      </c>
      <c r="J439" s="32">
        <f t="shared" si="77"/>
        <v>6</v>
      </c>
    </row>
    <row r="440" spans="1:10" x14ac:dyDescent="0.25">
      <c r="A440" t="s">
        <v>12</v>
      </c>
      <c r="B440" t="s">
        <v>135</v>
      </c>
      <c r="C440">
        <v>97123599</v>
      </c>
      <c r="D440">
        <v>140</v>
      </c>
      <c r="E440" s="4">
        <v>-3651009.18</v>
      </c>
      <c r="F440" t="s">
        <v>63</v>
      </c>
      <c r="G440">
        <v>0</v>
      </c>
      <c r="H440" s="32" t="str">
        <f ca="1">+IF(B440&gt;'sap nuevo'!$V$1,"cargar",IF(C440="","cargar","pagado"))</f>
        <v>cargar</v>
      </c>
      <c r="I440" s="32">
        <f t="shared" si="76"/>
        <v>2025</v>
      </c>
      <c r="J440" s="32">
        <f t="shared" si="77"/>
        <v>6</v>
      </c>
    </row>
    <row r="441" spans="1:10" x14ac:dyDescent="0.25">
      <c r="A441" t="s">
        <v>20</v>
      </c>
      <c r="B441" t="s">
        <v>135</v>
      </c>
      <c r="C441">
        <v>94231552</v>
      </c>
      <c r="D441">
        <v>52</v>
      </c>
      <c r="E441" s="4">
        <v>-300000</v>
      </c>
      <c r="F441" t="s">
        <v>19</v>
      </c>
      <c r="G441">
        <v>2</v>
      </c>
      <c r="H441" s="32" t="str">
        <f ca="1">+IF(B441&gt;'sap nuevo'!$V$1,"cargar",IF(C441="","cargar","pagado"))</f>
        <v>cargar</v>
      </c>
      <c r="I441" s="32">
        <f t="shared" si="76"/>
        <v>2025</v>
      </c>
      <c r="J441" s="32">
        <f t="shared" si="77"/>
        <v>6</v>
      </c>
    </row>
    <row r="442" spans="1:10" x14ac:dyDescent="0.25">
      <c r="A442" t="s">
        <v>12</v>
      </c>
      <c r="B442" t="s">
        <v>136</v>
      </c>
      <c r="C442">
        <v>97123602</v>
      </c>
      <c r="D442">
        <v>140</v>
      </c>
      <c r="E442" s="4">
        <v>-5095550</v>
      </c>
      <c r="F442" t="s">
        <v>63</v>
      </c>
      <c r="G442">
        <v>0</v>
      </c>
      <c r="H442" s="32" t="str">
        <f ca="1">+IF(B442&gt;'sap nuevo'!$V$1,"cargar",IF(C442="","cargar","pagado"))</f>
        <v>cargar</v>
      </c>
      <c r="I442" s="32">
        <f t="shared" si="76"/>
        <v>2025</v>
      </c>
      <c r="J442" s="32">
        <f t="shared" si="77"/>
        <v>6</v>
      </c>
    </row>
    <row r="443" spans="1:10" x14ac:dyDescent="0.25">
      <c r="A443" t="s">
        <v>20</v>
      </c>
      <c r="B443" t="s">
        <v>486</v>
      </c>
      <c r="C443">
        <v>97123605</v>
      </c>
      <c r="D443">
        <v>140</v>
      </c>
      <c r="E443" s="4">
        <v>-25000000</v>
      </c>
      <c r="F443" t="s">
        <v>62</v>
      </c>
      <c r="G443">
        <v>0</v>
      </c>
      <c r="H443" s="32" t="str">
        <f ca="1">+IF(B443&gt;'sap nuevo'!$V$1,"cargar",IF(C443="","cargar","pagado"))</f>
        <v>cargar</v>
      </c>
      <c r="I443" s="32">
        <f t="shared" si="76"/>
        <v>2025</v>
      </c>
      <c r="J443" s="32">
        <f t="shared" si="77"/>
        <v>6</v>
      </c>
    </row>
    <row r="444" spans="1:10" x14ac:dyDescent="0.25">
      <c r="A444" t="s">
        <v>12</v>
      </c>
      <c r="B444" t="s">
        <v>486</v>
      </c>
      <c r="C444">
        <v>97123550</v>
      </c>
      <c r="D444">
        <v>140</v>
      </c>
      <c r="E444" s="4">
        <v>-13612550</v>
      </c>
      <c r="F444" t="s">
        <v>63</v>
      </c>
      <c r="G444">
        <v>0</v>
      </c>
      <c r="H444" s="32" t="str">
        <f ca="1">+IF(B444&gt;'sap nuevo'!$V$1,"cargar",IF(C444="","cargar","pagado"))</f>
        <v>cargar</v>
      </c>
      <c r="I444" s="32">
        <f t="shared" si="76"/>
        <v>2025</v>
      </c>
      <c r="J444" s="32">
        <f t="shared" si="77"/>
        <v>6</v>
      </c>
    </row>
    <row r="445" spans="1:10" x14ac:dyDescent="0.25">
      <c r="A445" t="s">
        <v>12</v>
      </c>
      <c r="B445" t="s">
        <v>486</v>
      </c>
      <c r="C445">
        <v>97123609</v>
      </c>
      <c r="D445">
        <v>140</v>
      </c>
      <c r="E445" s="4">
        <v>-9496520.3100000005</v>
      </c>
      <c r="F445" t="s">
        <v>63</v>
      </c>
      <c r="G445">
        <v>0</v>
      </c>
      <c r="H445" s="32" t="str">
        <f ca="1">+IF(B445&gt;'sap nuevo'!$V$1,"cargar",IF(C445="","cargar","pagado"))</f>
        <v>cargar</v>
      </c>
      <c r="I445" s="32">
        <f t="shared" si="76"/>
        <v>2025</v>
      </c>
      <c r="J445" s="32">
        <f t="shared" si="77"/>
        <v>6</v>
      </c>
    </row>
    <row r="446" spans="1:10" x14ac:dyDescent="0.25">
      <c r="A446" t="s">
        <v>20</v>
      </c>
      <c r="B446" t="s">
        <v>486</v>
      </c>
      <c r="C446">
        <v>97123604</v>
      </c>
      <c r="D446">
        <v>140</v>
      </c>
      <c r="E446" s="4">
        <v>-6693676.7800000003</v>
      </c>
      <c r="F446" t="s">
        <v>62</v>
      </c>
      <c r="G446">
        <v>0</v>
      </c>
      <c r="H446" s="32" t="str">
        <f ca="1">+IF(B446&gt;'sap nuevo'!$V$1,"cargar",IF(C446="","cargar","pagado"))</f>
        <v>cargar</v>
      </c>
      <c r="I446" s="32">
        <f t="shared" si="76"/>
        <v>2025</v>
      </c>
      <c r="J446" s="32">
        <f t="shared" si="77"/>
        <v>6</v>
      </c>
    </row>
    <row r="447" spans="1:10" x14ac:dyDescent="0.25">
      <c r="A447" t="s">
        <v>20</v>
      </c>
      <c r="B447" t="s">
        <v>486</v>
      </c>
      <c r="C447">
        <v>97123613</v>
      </c>
      <c r="D447">
        <v>140</v>
      </c>
      <c r="E447" s="4">
        <v>-5257227.2300000004</v>
      </c>
      <c r="F447" t="s">
        <v>62</v>
      </c>
      <c r="G447">
        <v>0</v>
      </c>
      <c r="H447" s="32" t="str">
        <f ca="1">+IF(B447&gt;'sap nuevo'!$V$1,"cargar",IF(C447="","cargar","pagado"))</f>
        <v>cargar</v>
      </c>
      <c r="I447" s="32">
        <f t="shared" si="76"/>
        <v>2025</v>
      </c>
      <c r="J447" s="32">
        <f t="shared" si="77"/>
        <v>6</v>
      </c>
    </row>
    <row r="448" spans="1:10" x14ac:dyDescent="0.25">
      <c r="A448" t="s">
        <v>20</v>
      </c>
      <c r="B448" t="s">
        <v>486</v>
      </c>
      <c r="C448">
        <v>97123615</v>
      </c>
      <c r="D448">
        <v>140</v>
      </c>
      <c r="E448" s="4">
        <v>-4287243.5999999996</v>
      </c>
      <c r="F448" t="s">
        <v>62</v>
      </c>
      <c r="G448">
        <v>0</v>
      </c>
      <c r="H448" s="32" t="str">
        <f ca="1">+IF(B448&gt;'sap nuevo'!$V$1,"cargar",IF(C448="","cargar","pagado"))</f>
        <v>cargar</v>
      </c>
      <c r="I448" s="32">
        <f t="shared" si="76"/>
        <v>2025</v>
      </c>
      <c r="J448" s="32">
        <f t="shared" si="77"/>
        <v>6</v>
      </c>
    </row>
    <row r="449" spans="1:10" x14ac:dyDescent="0.25">
      <c r="A449" t="s">
        <v>20</v>
      </c>
      <c r="B449" t="s">
        <v>486</v>
      </c>
      <c r="C449">
        <v>97123611</v>
      </c>
      <c r="D449">
        <v>140</v>
      </c>
      <c r="E449" s="4">
        <v>-3928252.45</v>
      </c>
      <c r="F449" t="s">
        <v>62</v>
      </c>
      <c r="G449">
        <v>0</v>
      </c>
      <c r="H449" s="32" t="str">
        <f ca="1">+IF(B449&gt;'sap nuevo'!$V$1,"cargar",IF(C449="","cargar","pagado"))</f>
        <v>cargar</v>
      </c>
      <c r="I449" s="32">
        <f t="shared" si="76"/>
        <v>2025</v>
      </c>
      <c r="J449" s="32">
        <f t="shared" si="77"/>
        <v>6</v>
      </c>
    </row>
    <row r="450" spans="1:10" x14ac:dyDescent="0.25">
      <c r="A450" t="s">
        <v>20</v>
      </c>
      <c r="B450" t="s">
        <v>486</v>
      </c>
      <c r="C450">
        <v>97123614</v>
      </c>
      <c r="D450">
        <v>140</v>
      </c>
      <c r="E450" s="4">
        <v>-3833259.1</v>
      </c>
      <c r="F450" t="s">
        <v>62</v>
      </c>
      <c r="G450">
        <v>0</v>
      </c>
      <c r="H450" s="32" t="str">
        <f ca="1">+IF(B450&gt;'sap nuevo'!$V$1,"cargar",IF(C450="","cargar","pagado"))</f>
        <v>cargar</v>
      </c>
      <c r="I450" s="32">
        <f t="shared" si="76"/>
        <v>2025</v>
      </c>
      <c r="J450" s="32">
        <f t="shared" si="77"/>
        <v>6</v>
      </c>
    </row>
    <row r="451" spans="1:10" x14ac:dyDescent="0.25">
      <c r="A451" t="s">
        <v>20</v>
      </c>
      <c r="B451" t="s">
        <v>486</v>
      </c>
      <c r="C451">
        <v>97123612</v>
      </c>
      <c r="D451">
        <v>140</v>
      </c>
      <c r="E451" s="4">
        <v>-2374540.14</v>
      </c>
      <c r="F451" t="s">
        <v>62</v>
      </c>
      <c r="G451">
        <v>0</v>
      </c>
      <c r="H451" s="32" t="str">
        <f ca="1">+IF(B451&gt;'sap nuevo'!$V$1,"cargar",IF(C451="","cargar","pagado"))</f>
        <v>cargar</v>
      </c>
      <c r="I451" s="32">
        <f t="shared" si="76"/>
        <v>2025</v>
      </c>
      <c r="J451" s="32">
        <f t="shared" si="77"/>
        <v>6</v>
      </c>
    </row>
    <row r="452" spans="1:10" x14ac:dyDescent="0.25">
      <c r="A452" t="s">
        <v>487</v>
      </c>
      <c r="B452" t="s">
        <v>137</v>
      </c>
      <c r="C452">
        <v>94231553</v>
      </c>
      <c r="D452">
        <v>9999</v>
      </c>
      <c r="E452" s="4">
        <v>-376343.4</v>
      </c>
      <c r="F452" t="s">
        <v>488</v>
      </c>
      <c r="G452">
        <v>4000</v>
      </c>
      <c r="H452" s="32" t="str">
        <f ca="1">+IF(B452&gt;'sap nuevo'!$V$1,"cargar",IF(C452="","cargar","pagado"))</f>
        <v>cargar</v>
      </c>
      <c r="I452" s="32">
        <f t="shared" si="76"/>
        <v>2025</v>
      </c>
      <c r="J452" s="32">
        <f t="shared" si="77"/>
        <v>6</v>
      </c>
    </row>
    <row r="453" spans="1:10" x14ac:dyDescent="0.25">
      <c r="A453" t="s">
        <v>487</v>
      </c>
      <c r="B453" t="s">
        <v>489</v>
      </c>
      <c r="C453">
        <v>94231549</v>
      </c>
      <c r="D453">
        <v>9999</v>
      </c>
      <c r="E453" s="4">
        <v>-2000000</v>
      </c>
      <c r="F453" t="s">
        <v>490</v>
      </c>
      <c r="G453">
        <v>4000</v>
      </c>
      <c r="H453" s="32" t="str">
        <f ca="1">+IF(B453&gt;'sap nuevo'!$V$1,"cargar",IF(C453="","cargar","pagado"))</f>
        <v>cargar</v>
      </c>
      <c r="I453" s="32">
        <f t="shared" si="76"/>
        <v>2025</v>
      </c>
      <c r="J453" s="32">
        <f t="shared" si="77"/>
        <v>6</v>
      </c>
    </row>
    <row r="454" spans="1:10" x14ac:dyDescent="0.25">
      <c r="A454" t="s">
        <v>20</v>
      </c>
      <c r="B454" t="s">
        <v>137</v>
      </c>
      <c r="C454">
        <v>97123606</v>
      </c>
      <c r="D454">
        <v>140</v>
      </c>
      <c r="E454" s="4">
        <v>-24575664.460000001</v>
      </c>
      <c r="F454" t="s">
        <v>62</v>
      </c>
      <c r="G454">
        <v>0</v>
      </c>
      <c r="H454" s="32" t="str">
        <f ca="1">+IF(B454&gt;'sap nuevo'!$V$1,"cargar",IF(C454="","cargar","pagado"))</f>
        <v>cargar</v>
      </c>
      <c r="I454" s="32">
        <f t="shared" si="76"/>
        <v>2025</v>
      </c>
      <c r="J454" s="32">
        <f t="shared" si="77"/>
        <v>6</v>
      </c>
    </row>
    <row r="455" spans="1:10" x14ac:dyDescent="0.25">
      <c r="A455" t="s">
        <v>20</v>
      </c>
      <c r="B455" t="s">
        <v>489</v>
      </c>
      <c r="C455">
        <v>97123618</v>
      </c>
      <c r="D455">
        <v>140</v>
      </c>
      <c r="E455" s="4">
        <v>-11145836.800000001</v>
      </c>
      <c r="F455" t="s">
        <v>62</v>
      </c>
      <c r="G455">
        <v>0</v>
      </c>
      <c r="H455" s="32" t="str">
        <f ca="1">+IF(B455&gt;'sap nuevo'!$V$1,"cargar",IF(C455="","cargar","pagado"))</f>
        <v>cargar</v>
      </c>
      <c r="I455" s="32">
        <f t="shared" si="76"/>
        <v>2025</v>
      </c>
      <c r="J455" s="32">
        <f t="shared" si="77"/>
        <v>6</v>
      </c>
    </row>
    <row r="456" spans="1:10" x14ac:dyDescent="0.25">
      <c r="A456" t="s">
        <v>12</v>
      </c>
      <c r="B456" t="s">
        <v>489</v>
      </c>
      <c r="C456">
        <v>97123617</v>
      </c>
      <c r="D456">
        <v>140</v>
      </c>
      <c r="E456" s="4">
        <v>-8993594.9000000004</v>
      </c>
      <c r="F456" t="s">
        <v>63</v>
      </c>
      <c r="G456">
        <v>0</v>
      </c>
      <c r="H456" s="32" t="str">
        <f ca="1">+IF(B456&gt;'sap nuevo'!$V$1,"cargar",IF(C456="","cargar","pagado"))</f>
        <v>cargar</v>
      </c>
      <c r="I456" s="32">
        <f t="shared" si="76"/>
        <v>2025</v>
      </c>
      <c r="J456" s="32">
        <f t="shared" si="77"/>
        <v>6</v>
      </c>
    </row>
    <row r="457" spans="1:10" x14ac:dyDescent="0.25">
      <c r="A457" t="s">
        <v>12</v>
      </c>
      <c r="B457" t="s">
        <v>491</v>
      </c>
      <c r="C457">
        <v>97123620</v>
      </c>
      <c r="D457">
        <v>140</v>
      </c>
      <c r="E457" s="4">
        <v>-12829097.619999999</v>
      </c>
      <c r="F457" t="s">
        <v>63</v>
      </c>
      <c r="G457">
        <v>0</v>
      </c>
      <c r="H457" s="32" t="str">
        <f ca="1">+IF(B457&gt;'sap nuevo'!$V$1,"cargar",IF(C457="","cargar","pagado"))</f>
        <v>cargar</v>
      </c>
      <c r="I457" s="32">
        <f t="shared" si="76"/>
        <v>2025</v>
      </c>
      <c r="J457" s="32">
        <f t="shared" si="77"/>
        <v>6</v>
      </c>
    </row>
    <row r="458" spans="1:10" x14ac:dyDescent="0.25">
      <c r="A458" t="s">
        <v>12</v>
      </c>
      <c r="B458" t="s">
        <v>491</v>
      </c>
      <c r="C458">
        <v>97123626</v>
      </c>
      <c r="D458">
        <v>140</v>
      </c>
      <c r="E458" s="4">
        <v>-8000000</v>
      </c>
      <c r="F458" t="s">
        <v>63</v>
      </c>
      <c r="G458">
        <v>0</v>
      </c>
      <c r="H458" s="32" t="str">
        <f ca="1">+IF(B458&gt;'sap nuevo'!$V$1,"cargar",IF(C458="","cargar","pagado"))</f>
        <v>cargar</v>
      </c>
      <c r="I458" s="32">
        <f t="shared" si="76"/>
        <v>2025</v>
      </c>
      <c r="J458" s="32">
        <f t="shared" si="77"/>
        <v>6</v>
      </c>
    </row>
    <row r="459" spans="1:10" x14ac:dyDescent="0.25">
      <c r="A459" t="s">
        <v>12</v>
      </c>
      <c r="B459" t="s">
        <v>491</v>
      </c>
      <c r="C459">
        <v>97123627</v>
      </c>
      <c r="D459">
        <v>140</v>
      </c>
      <c r="E459" s="4">
        <v>-8000000</v>
      </c>
      <c r="F459" t="s">
        <v>63</v>
      </c>
      <c r="G459">
        <v>0</v>
      </c>
      <c r="H459" s="32" t="str">
        <f ca="1">+IF(B459&gt;'sap nuevo'!$V$1,"cargar",IF(C459="","cargar","pagado"))</f>
        <v>cargar</v>
      </c>
      <c r="I459" s="32">
        <f t="shared" ref="I459:I483" si="78">+YEAR(B459)</f>
        <v>2025</v>
      </c>
      <c r="J459" s="32">
        <f t="shared" ref="J459:J483" si="79">+MONTH(B459)</f>
        <v>6</v>
      </c>
    </row>
    <row r="460" spans="1:10" x14ac:dyDescent="0.25">
      <c r="A460" t="s">
        <v>20</v>
      </c>
      <c r="B460" t="s">
        <v>491</v>
      </c>
      <c r="C460">
        <v>97123624</v>
      </c>
      <c r="D460">
        <v>140</v>
      </c>
      <c r="E460" s="4">
        <v>-5939823.7999999998</v>
      </c>
      <c r="F460" t="s">
        <v>62</v>
      </c>
      <c r="G460">
        <v>0</v>
      </c>
      <c r="H460" s="32" t="str">
        <f ca="1">+IF(B460&gt;'sap nuevo'!$V$1,"cargar",IF(C460="","cargar","pagado"))</f>
        <v>cargar</v>
      </c>
      <c r="I460" s="32">
        <f t="shared" si="78"/>
        <v>2025</v>
      </c>
      <c r="J460" s="32">
        <f t="shared" si="79"/>
        <v>6</v>
      </c>
    </row>
    <row r="461" spans="1:10" x14ac:dyDescent="0.25">
      <c r="A461" t="s">
        <v>12</v>
      </c>
      <c r="B461" t="s">
        <v>491</v>
      </c>
      <c r="C461">
        <v>97123621</v>
      </c>
      <c r="D461">
        <v>140</v>
      </c>
      <c r="E461" s="4">
        <v>-5180962.74</v>
      </c>
      <c r="F461" t="s">
        <v>63</v>
      </c>
      <c r="G461">
        <v>0</v>
      </c>
      <c r="H461" s="32" t="str">
        <f ca="1">+IF(B461&gt;'sap nuevo'!$V$1,"cargar",IF(C461="","cargar","pagado"))</f>
        <v>cargar</v>
      </c>
      <c r="I461" s="32">
        <f t="shared" si="78"/>
        <v>2025</v>
      </c>
      <c r="J461" s="32">
        <f t="shared" si="79"/>
        <v>6</v>
      </c>
    </row>
    <row r="462" spans="1:10" x14ac:dyDescent="0.25">
      <c r="A462" t="s">
        <v>487</v>
      </c>
      <c r="B462" t="s">
        <v>139</v>
      </c>
      <c r="C462">
        <v>94231556</v>
      </c>
      <c r="D462">
        <v>9999</v>
      </c>
      <c r="E462" s="4">
        <v>-500000</v>
      </c>
      <c r="F462" t="s">
        <v>492</v>
      </c>
      <c r="G462">
        <v>4000</v>
      </c>
      <c r="H462" s="32" t="str">
        <f ca="1">+IF(B462&gt;'sap nuevo'!$V$1,"cargar",IF(C462="","cargar","pagado"))</f>
        <v>cargar</v>
      </c>
      <c r="I462" s="32">
        <f t="shared" si="78"/>
        <v>2025</v>
      </c>
      <c r="J462" s="32">
        <f t="shared" si="79"/>
        <v>6</v>
      </c>
    </row>
    <row r="463" spans="1:10" x14ac:dyDescent="0.25">
      <c r="A463" t="s">
        <v>487</v>
      </c>
      <c r="B463" t="s">
        <v>139</v>
      </c>
      <c r="C463">
        <v>94231557</v>
      </c>
      <c r="D463">
        <v>9999</v>
      </c>
      <c r="E463" s="4">
        <v>-500000</v>
      </c>
      <c r="F463" t="s">
        <v>493</v>
      </c>
      <c r="G463">
        <v>4000</v>
      </c>
      <c r="H463" s="32" t="str">
        <f ca="1">+IF(B463&gt;'sap nuevo'!$V$1,"cargar",IF(C463="","cargar","pagado"))</f>
        <v>cargar</v>
      </c>
      <c r="I463" s="32">
        <f t="shared" si="78"/>
        <v>2025</v>
      </c>
      <c r="J463" s="32">
        <f t="shared" si="79"/>
        <v>6</v>
      </c>
    </row>
    <row r="464" spans="1:10" x14ac:dyDescent="0.25">
      <c r="A464" t="s">
        <v>487</v>
      </c>
      <c r="B464" t="s">
        <v>140</v>
      </c>
      <c r="C464">
        <v>94231555</v>
      </c>
      <c r="D464">
        <v>9999</v>
      </c>
      <c r="E464" s="4">
        <v>-500000</v>
      </c>
      <c r="F464" t="s">
        <v>494</v>
      </c>
      <c r="G464">
        <v>4000</v>
      </c>
      <c r="H464" s="32" t="str">
        <f ca="1">+IF(B464&gt;'sap nuevo'!$V$1,"cargar",IF(C464="","cargar","pagado"))</f>
        <v>cargar</v>
      </c>
      <c r="I464" s="32">
        <f t="shared" si="78"/>
        <v>2025</v>
      </c>
      <c r="J464" s="32">
        <f t="shared" si="79"/>
        <v>7</v>
      </c>
    </row>
    <row r="465" spans="1:10" x14ac:dyDescent="0.25">
      <c r="A465" t="s">
        <v>20</v>
      </c>
      <c r="B465" t="s">
        <v>139</v>
      </c>
      <c r="C465">
        <v>97123616</v>
      </c>
      <c r="D465">
        <v>140</v>
      </c>
      <c r="E465" s="4">
        <v>-7822851.8799999999</v>
      </c>
      <c r="F465" t="s">
        <v>62</v>
      </c>
      <c r="G465">
        <v>0</v>
      </c>
      <c r="H465" s="32" t="str">
        <f ca="1">+IF(B465&gt;'sap nuevo'!$V$1,"cargar",IF(C465="","cargar","pagado"))</f>
        <v>cargar</v>
      </c>
      <c r="I465" s="32">
        <f t="shared" si="78"/>
        <v>2025</v>
      </c>
      <c r="J465" s="32">
        <f t="shared" si="79"/>
        <v>6</v>
      </c>
    </row>
    <row r="466" spans="1:10" x14ac:dyDescent="0.25">
      <c r="A466" t="s">
        <v>20</v>
      </c>
      <c r="B466" t="s">
        <v>140</v>
      </c>
      <c r="C466">
        <v>97123632</v>
      </c>
      <c r="D466">
        <v>140</v>
      </c>
      <c r="E466" s="4">
        <v>-20000000</v>
      </c>
      <c r="F466" t="s">
        <v>62</v>
      </c>
      <c r="G466">
        <v>0</v>
      </c>
      <c r="H466" s="32" t="str">
        <f ca="1">+IF(B466&gt;'sap nuevo'!$V$1,"cargar",IF(C466="","cargar","pagado"))</f>
        <v>cargar</v>
      </c>
      <c r="I466" s="32">
        <f t="shared" si="78"/>
        <v>2025</v>
      </c>
      <c r="J466" s="32">
        <f t="shared" si="79"/>
        <v>7</v>
      </c>
    </row>
    <row r="467" spans="1:10" x14ac:dyDescent="0.25">
      <c r="A467" t="s">
        <v>12</v>
      </c>
      <c r="B467" t="s">
        <v>140</v>
      </c>
      <c r="C467">
        <v>97123631</v>
      </c>
      <c r="D467">
        <v>140</v>
      </c>
      <c r="E467" s="4">
        <v>-13724424.23</v>
      </c>
      <c r="F467" t="s">
        <v>63</v>
      </c>
      <c r="G467">
        <v>0</v>
      </c>
      <c r="H467" s="32" t="str">
        <f ca="1">+IF(B467&gt;'sap nuevo'!$V$1,"cargar",IF(C467="","cargar","pagado"))</f>
        <v>cargar</v>
      </c>
      <c r="I467" s="32">
        <f t="shared" si="78"/>
        <v>2025</v>
      </c>
      <c r="J467" s="32">
        <f t="shared" si="79"/>
        <v>7</v>
      </c>
    </row>
    <row r="468" spans="1:10" x14ac:dyDescent="0.25">
      <c r="A468" t="s">
        <v>20</v>
      </c>
      <c r="B468" t="s">
        <v>140</v>
      </c>
      <c r="C468">
        <v>97123637</v>
      </c>
      <c r="D468">
        <v>140</v>
      </c>
      <c r="E468" s="4">
        <v>-10632112.869999999</v>
      </c>
      <c r="F468" t="s">
        <v>62</v>
      </c>
      <c r="G468">
        <v>0</v>
      </c>
      <c r="H468" s="32" t="str">
        <f ca="1">+IF(B468&gt;'sap nuevo'!$V$1,"cargar",IF(C468="","cargar","pagado"))</f>
        <v>cargar</v>
      </c>
      <c r="I468" s="32">
        <f t="shared" si="78"/>
        <v>2025</v>
      </c>
      <c r="J468" s="32">
        <f t="shared" si="79"/>
        <v>7</v>
      </c>
    </row>
    <row r="469" spans="1:10" x14ac:dyDescent="0.25">
      <c r="A469" t="s">
        <v>12</v>
      </c>
      <c r="B469" t="s">
        <v>140</v>
      </c>
      <c r="C469">
        <v>97123630</v>
      </c>
      <c r="D469">
        <v>140</v>
      </c>
      <c r="E469" s="4">
        <v>-7190472.1900000004</v>
      </c>
      <c r="F469" t="s">
        <v>63</v>
      </c>
      <c r="G469">
        <v>0</v>
      </c>
      <c r="H469" s="32" t="str">
        <f ca="1">+IF(B469&gt;'sap nuevo'!$V$1,"cargar",IF(C469="","cargar","pagado"))</f>
        <v>cargar</v>
      </c>
      <c r="I469" s="32">
        <f t="shared" si="78"/>
        <v>2025</v>
      </c>
      <c r="J469" s="32">
        <f t="shared" si="79"/>
        <v>7</v>
      </c>
    </row>
    <row r="470" spans="1:10" x14ac:dyDescent="0.25">
      <c r="A470" t="s">
        <v>20</v>
      </c>
      <c r="B470" t="s">
        <v>140</v>
      </c>
      <c r="C470">
        <v>97123634</v>
      </c>
      <c r="D470">
        <v>140</v>
      </c>
      <c r="E470" s="4">
        <v>-5559576.6200000001</v>
      </c>
      <c r="F470" t="s">
        <v>62</v>
      </c>
      <c r="G470">
        <v>0</v>
      </c>
      <c r="H470" s="32" t="str">
        <f ca="1">+IF(B470&gt;'sap nuevo'!$V$1,"cargar",IF(C470="","cargar","pagado"))</f>
        <v>cargar</v>
      </c>
      <c r="I470" s="32">
        <f t="shared" si="78"/>
        <v>2025</v>
      </c>
      <c r="J470" s="32">
        <f t="shared" si="79"/>
        <v>7</v>
      </c>
    </row>
    <row r="471" spans="1:10" x14ac:dyDescent="0.25">
      <c r="A471" t="s">
        <v>12</v>
      </c>
      <c r="B471" t="s">
        <v>140</v>
      </c>
      <c r="C471">
        <v>97123619</v>
      </c>
      <c r="D471">
        <v>140</v>
      </c>
      <c r="E471" s="4">
        <v>-4814492.37</v>
      </c>
      <c r="F471" t="s">
        <v>63</v>
      </c>
      <c r="G471">
        <v>0</v>
      </c>
      <c r="H471" s="32" t="str">
        <f ca="1">+IF(B471&gt;'sap nuevo'!$V$1,"cargar",IF(C471="","cargar","pagado"))</f>
        <v>cargar</v>
      </c>
      <c r="I471" s="32">
        <f t="shared" si="78"/>
        <v>2025</v>
      </c>
      <c r="J471" s="32">
        <f t="shared" si="79"/>
        <v>7</v>
      </c>
    </row>
    <row r="472" spans="1:10" x14ac:dyDescent="0.25">
      <c r="A472" t="s">
        <v>20</v>
      </c>
      <c r="B472" t="s">
        <v>495</v>
      </c>
      <c r="C472">
        <v>97123633</v>
      </c>
      <c r="D472">
        <v>140</v>
      </c>
      <c r="E472" s="4">
        <v>-17457675.149999999</v>
      </c>
      <c r="F472" t="s">
        <v>62</v>
      </c>
      <c r="G472">
        <v>0</v>
      </c>
      <c r="H472" s="32" t="str">
        <f ca="1">+IF(B472&gt;'sap nuevo'!$V$1,"cargar",IF(C472="","cargar","pagado"))</f>
        <v>cargar</v>
      </c>
      <c r="I472" s="32">
        <f t="shared" si="78"/>
        <v>2025</v>
      </c>
      <c r="J472" s="32">
        <f t="shared" si="79"/>
        <v>7</v>
      </c>
    </row>
    <row r="473" spans="1:10" x14ac:dyDescent="0.25">
      <c r="A473" t="s">
        <v>12</v>
      </c>
      <c r="B473" t="s">
        <v>141</v>
      </c>
      <c r="C473">
        <v>97123628</v>
      </c>
      <c r="D473">
        <v>140</v>
      </c>
      <c r="E473" s="4">
        <v>-7041816.9000000004</v>
      </c>
      <c r="F473" t="s">
        <v>63</v>
      </c>
      <c r="G473">
        <v>0</v>
      </c>
      <c r="H473" s="32" t="str">
        <f ca="1">+IF(B473&gt;'sap nuevo'!$V$1,"cargar",IF(C473="","cargar","pagado"))</f>
        <v>cargar</v>
      </c>
      <c r="I473" s="32">
        <f t="shared" si="78"/>
        <v>2025</v>
      </c>
      <c r="J473" s="32">
        <f t="shared" si="79"/>
        <v>7</v>
      </c>
    </row>
    <row r="474" spans="1:10" x14ac:dyDescent="0.25">
      <c r="A474" t="s">
        <v>20</v>
      </c>
      <c r="B474" t="s">
        <v>142</v>
      </c>
      <c r="C474">
        <v>97123665</v>
      </c>
      <c r="D474">
        <v>140</v>
      </c>
      <c r="E474" s="4">
        <v>-26059801.82</v>
      </c>
      <c r="F474" t="s">
        <v>62</v>
      </c>
      <c r="G474">
        <v>0</v>
      </c>
      <c r="H474" s="32" t="str">
        <f ca="1">+IF(B474&gt;'sap nuevo'!$V$1,"cargar",IF(C474="","cargar","pagado"))</f>
        <v>cargar</v>
      </c>
      <c r="I474" s="32">
        <f t="shared" si="78"/>
        <v>2025</v>
      </c>
      <c r="J474" s="32">
        <f t="shared" si="79"/>
        <v>7</v>
      </c>
    </row>
    <row r="475" spans="1:10" x14ac:dyDescent="0.25">
      <c r="A475" t="s">
        <v>20</v>
      </c>
      <c r="B475" t="s">
        <v>142</v>
      </c>
      <c r="C475">
        <v>97123650</v>
      </c>
      <c r="D475">
        <v>140</v>
      </c>
      <c r="E475" s="4">
        <v>-12000000</v>
      </c>
      <c r="F475" t="s">
        <v>62</v>
      </c>
      <c r="G475">
        <v>0</v>
      </c>
      <c r="H475" s="32" t="str">
        <f ca="1">+IF(B475&gt;'sap nuevo'!$V$1,"cargar",IF(C475="","cargar","pagado"))</f>
        <v>cargar</v>
      </c>
      <c r="I475" s="32">
        <f t="shared" si="78"/>
        <v>2025</v>
      </c>
      <c r="J475" s="32">
        <f t="shared" si="79"/>
        <v>7</v>
      </c>
    </row>
    <row r="476" spans="1:10" x14ac:dyDescent="0.25">
      <c r="A476" t="s">
        <v>20</v>
      </c>
      <c r="B476" t="s">
        <v>142</v>
      </c>
      <c r="C476">
        <v>97123639</v>
      </c>
      <c r="D476">
        <v>140</v>
      </c>
      <c r="E476" s="4">
        <v>-10000000</v>
      </c>
      <c r="F476" t="s">
        <v>62</v>
      </c>
      <c r="G476">
        <v>0</v>
      </c>
      <c r="H476" s="32" t="str">
        <f ca="1">+IF(B476&gt;'sap nuevo'!$V$1,"cargar",IF(C476="","cargar","pagado"))</f>
        <v>cargar</v>
      </c>
      <c r="I476" s="32">
        <f t="shared" si="78"/>
        <v>2025</v>
      </c>
      <c r="J476" s="32">
        <f t="shared" si="79"/>
        <v>7</v>
      </c>
    </row>
    <row r="477" spans="1:10" x14ac:dyDescent="0.25">
      <c r="A477" t="s">
        <v>20</v>
      </c>
      <c r="B477" t="s">
        <v>142</v>
      </c>
      <c r="C477">
        <v>97123653</v>
      </c>
      <c r="D477">
        <v>140</v>
      </c>
      <c r="E477" s="4">
        <v>-10000000</v>
      </c>
      <c r="F477" t="s">
        <v>62</v>
      </c>
      <c r="G477">
        <v>0</v>
      </c>
      <c r="H477" s="32" t="str">
        <f ca="1">+IF(B477&gt;'sap nuevo'!$V$1,"cargar",IF(C477="","cargar","pagado"))</f>
        <v>cargar</v>
      </c>
      <c r="I477" s="32">
        <f t="shared" si="78"/>
        <v>2025</v>
      </c>
      <c r="J477" s="32">
        <f t="shared" si="79"/>
        <v>7</v>
      </c>
    </row>
    <row r="478" spans="1:10" x14ac:dyDescent="0.25">
      <c r="A478" t="s">
        <v>20</v>
      </c>
      <c r="B478" t="s">
        <v>142</v>
      </c>
      <c r="C478">
        <v>97123658</v>
      </c>
      <c r="D478">
        <v>140</v>
      </c>
      <c r="E478" s="4">
        <v>-10000000</v>
      </c>
      <c r="F478" t="s">
        <v>62</v>
      </c>
      <c r="G478">
        <v>0</v>
      </c>
      <c r="H478" s="32" t="str">
        <f ca="1">+IF(B478&gt;'sap nuevo'!$V$1,"cargar",IF(C478="","cargar","pagado"))</f>
        <v>cargar</v>
      </c>
      <c r="I478" s="32">
        <f t="shared" si="78"/>
        <v>2025</v>
      </c>
      <c r="J478" s="32">
        <f t="shared" si="79"/>
        <v>7</v>
      </c>
    </row>
    <row r="479" spans="1:10" x14ac:dyDescent="0.25">
      <c r="A479" t="s">
        <v>20</v>
      </c>
      <c r="B479" t="s">
        <v>142</v>
      </c>
      <c r="C479">
        <v>97123645</v>
      </c>
      <c r="D479">
        <v>140</v>
      </c>
      <c r="E479" s="4">
        <v>-9000000</v>
      </c>
      <c r="F479" t="s">
        <v>62</v>
      </c>
      <c r="G479">
        <v>0</v>
      </c>
      <c r="H479" s="32" t="str">
        <f ca="1">+IF(B479&gt;'sap nuevo'!$V$1,"cargar",IF(C479="","cargar","pagado"))</f>
        <v>cargar</v>
      </c>
      <c r="I479" s="32">
        <f t="shared" si="78"/>
        <v>2025</v>
      </c>
      <c r="J479" s="32">
        <f t="shared" si="79"/>
        <v>7</v>
      </c>
    </row>
    <row r="480" spans="1:10" x14ac:dyDescent="0.25">
      <c r="A480" t="s">
        <v>12</v>
      </c>
      <c r="B480" t="s">
        <v>142</v>
      </c>
      <c r="C480">
        <v>97123643</v>
      </c>
      <c r="D480">
        <v>140</v>
      </c>
      <c r="E480" s="4">
        <v>-8565013.9000000004</v>
      </c>
      <c r="F480" t="s">
        <v>63</v>
      </c>
      <c r="G480">
        <v>0</v>
      </c>
      <c r="H480" s="32" t="str">
        <f ca="1">+IF(B480&gt;'sap nuevo'!$V$1,"cargar",IF(C480="","cargar","pagado"))</f>
        <v>cargar</v>
      </c>
      <c r="I480" s="32">
        <f t="shared" si="78"/>
        <v>2025</v>
      </c>
      <c r="J480" s="32">
        <f t="shared" si="79"/>
        <v>7</v>
      </c>
    </row>
    <row r="481" spans="1:10" x14ac:dyDescent="0.25">
      <c r="A481" t="s">
        <v>12</v>
      </c>
      <c r="B481" t="s">
        <v>142</v>
      </c>
      <c r="C481">
        <v>97123656</v>
      </c>
      <c r="D481">
        <v>140</v>
      </c>
      <c r="E481" s="4">
        <v>-8000000</v>
      </c>
      <c r="F481" t="s">
        <v>63</v>
      </c>
      <c r="G481">
        <v>0</v>
      </c>
      <c r="H481" s="32" t="str">
        <f ca="1">+IF(B481&gt;'sap nuevo'!$V$1,"cargar",IF(C481="","cargar","pagado"))</f>
        <v>cargar</v>
      </c>
      <c r="I481" s="32">
        <f t="shared" si="78"/>
        <v>2025</v>
      </c>
      <c r="J481" s="32">
        <f t="shared" si="79"/>
        <v>7</v>
      </c>
    </row>
    <row r="482" spans="1:10" x14ac:dyDescent="0.25">
      <c r="A482" t="s">
        <v>20</v>
      </c>
      <c r="B482" t="s">
        <v>142</v>
      </c>
      <c r="C482">
        <v>97123642</v>
      </c>
      <c r="D482">
        <v>140</v>
      </c>
      <c r="E482" s="4">
        <v>-7551342.5999999996</v>
      </c>
      <c r="F482" t="s">
        <v>62</v>
      </c>
      <c r="G482">
        <v>0</v>
      </c>
      <c r="H482" s="32" t="str">
        <f ca="1">+IF(B482&gt;'sap nuevo'!$V$1,"cargar",IF(C482="","cargar","pagado"))</f>
        <v>cargar</v>
      </c>
      <c r="I482" s="32">
        <f t="shared" si="78"/>
        <v>2025</v>
      </c>
      <c r="J482" s="32">
        <f t="shared" si="79"/>
        <v>7</v>
      </c>
    </row>
    <row r="483" spans="1:10" x14ac:dyDescent="0.25">
      <c r="A483" t="s">
        <v>20</v>
      </c>
      <c r="B483" t="s">
        <v>142</v>
      </c>
      <c r="C483">
        <v>97123660</v>
      </c>
      <c r="D483">
        <v>140</v>
      </c>
      <c r="E483" s="4">
        <v>-6887405.2800000003</v>
      </c>
      <c r="F483" t="s">
        <v>62</v>
      </c>
      <c r="G483">
        <v>0</v>
      </c>
      <c r="H483" s="32" t="str">
        <f ca="1">+IF(B483&gt;'sap nuevo'!$V$1,"cargar",IF(C483="","cargar","pagado"))</f>
        <v>cargar</v>
      </c>
      <c r="I483" s="32">
        <f t="shared" si="78"/>
        <v>2025</v>
      </c>
      <c r="J483" s="32">
        <f t="shared" si="79"/>
        <v>7</v>
      </c>
    </row>
    <row r="484" spans="1:10" x14ac:dyDescent="0.25">
      <c r="A484" t="s">
        <v>12</v>
      </c>
      <c r="B484" t="s">
        <v>142</v>
      </c>
      <c r="C484">
        <v>97123649</v>
      </c>
      <c r="D484">
        <v>140</v>
      </c>
      <c r="E484" s="4">
        <v>-5519368.6399999997</v>
      </c>
      <c r="F484" t="s">
        <v>63</v>
      </c>
      <c r="G484">
        <v>0</v>
      </c>
      <c r="H484" s="32" t="str">
        <f ca="1">+IF(B484&gt;'sap nuevo'!$V$1,"cargar",IF(C484="","cargar","pagado"))</f>
        <v>cargar</v>
      </c>
      <c r="I484" s="32">
        <f t="shared" ref="I484:I505" si="80">+YEAR(B484)</f>
        <v>2025</v>
      </c>
      <c r="J484" s="32">
        <f t="shared" ref="J484:J505" si="81">+MONTH(B484)</f>
        <v>7</v>
      </c>
    </row>
    <row r="485" spans="1:10" x14ac:dyDescent="0.25">
      <c r="A485" t="s">
        <v>12</v>
      </c>
      <c r="B485" t="s">
        <v>142</v>
      </c>
      <c r="C485">
        <v>97123655</v>
      </c>
      <c r="D485">
        <v>140</v>
      </c>
      <c r="E485" s="4">
        <v>-3820656.17</v>
      </c>
      <c r="F485" t="s">
        <v>63</v>
      </c>
      <c r="G485">
        <v>0</v>
      </c>
      <c r="H485" s="32" t="str">
        <f ca="1">+IF(B485&gt;'sap nuevo'!$V$1,"cargar",IF(C485="","cargar","pagado"))</f>
        <v>cargar</v>
      </c>
      <c r="I485" s="32">
        <f t="shared" si="80"/>
        <v>2025</v>
      </c>
      <c r="J485" s="32">
        <f t="shared" si="81"/>
        <v>7</v>
      </c>
    </row>
    <row r="486" spans="1:10" x14ac:dyDescent="0.25">
      <c r="A486" t="s">
        <v>20</v>
      </c>
      <c r="B486" t="s">
        <v>142</v>
      </c>
      <c r="C486">
        <v>97123638</v>
      </c>
      <c r="D486">
        <v>140</v>
      </c>
      <c r="E486" s="4">
        <v>-2915331.01</v>
      </c>
      <c r="F486" t="s">
        <v>62</v>
      </c>
      <c r="G486">
        <v>0</v>
      </c>
      <c r="H486" s="32" t="str">
        <f ca="1">+IF(B486&gt;'sap nuevo'!$V$1,"cargar",IF(C486="","cargar","pagado"))</f>
        <v>cargar</v>
      </c>
      <c r="I486" s="32">
        <f t="shared" si="80"/>
        <v>2025</v>
      </c>
      <c r="J486" s="32">
        <f t="shared" si="81"/>
        <v>7</v>
      </c>
    </row>
    <row r="487" spans="1:10" x14ac:dyDescent="0.25">
      <c r="A487" t="s">
        <v>20</v>
      </c>
      <c r="B487" t="s">
        <v>496</v>
      </c>
      <c r="C487">
        <v>97123635</v>
      </c>
      <c r="D487">
        <v>140</v>
      </c>
      <c r="E487" s="4">
        <v>-20000000</v>
      </c>
      <c r="F487" t="s">
        <v>62</v>
      </c>
      <c r="G487">
        <v>0</v>
      </c>
      <c r="H487" s="32" t="str">
        <f ca="1">+IF(B487&gt;'sap nuevo'!$V$1,"cargar",IF(C487="","cargar","pagado"))</f>
        <v>cargar</v>
      </c>
      <c r="I487" s="32">
        <f t="shared" si="80"/>
        <v>2025</v>
      </c>
      <c r="J487" s="32">
        <f t="shared" si="81"/>
        <v>7</v>
      </c>
    </row>
    <row r="488" spans="1:10" x14ac:dyDescent="0.25">
      <c r="A488" t="s">
        <v>20</v>
      </c>
      <c r="B488" t="s">
        <v>496</v>
      </c>
      <c r="C488">
        <v>97123652</v>
      </c>
      <c r="D488">
        <v>140</v>
      </c>
      <c r="E488" s="4">
        <v>-14438937.970000001</v>
      </c>
      <c r="F488" t="s">
        <v>62</v>
      </c>
      <c r="G488">
        <v>0</v>
      </c>
      <c r="H488" s="32" t="str">
        <f ca="1">+IF(B488&gt;'sap nuevo'!$V$1,"cargar",IF(C488="","cargar","pagado"))</f>
        <v>cargar</v>
      </c>
      <c r="I488" s="32">
        <f t="shared" si="80"/>
        <v>2025</v>
      </c>
      <c r="J488" s="32">
        <f t="shared" si="81"/>
        <v>7</v>
      </c>
    </row>
    <row r="489" spans="1:10" x14ac:dyDescent="0.25">
      <c r="A489" t="s">
        <v>20</v>
      </c>
      <c r="B489" t="s">
        <v>496</v>
      </c>
      <c r="C489">
        <v>97123663</v>
      </c>
      <c r="D489">
        <v>140</v>
      </c>
      <c r="E489" s="4">
        <v>-14000000</v>
      </c>
      <c r="F489" t="s">
        <v>62</v>
      </c>
      <c r="G489">
        <v>0</v>
      </c>
      <c r="H489" s="32" t="str">
        <f ca="1">+IF(B489&gt;'sap nuevo'!$V$1,"cargar",IF(C489="","cargar","pagado"))</f>
        <v>cargar</v>
      </c>
      <c r="I489" s="32">
        <f t="shared" si="80"/>
        <v>2025</v>
      </c>
      <c r="J489" s="32">
        <f t="shared" si="81"/>
        <v>7</v>
      </c>
    </row>
    <row r="490" spans="1:10" x14ac:dyDescent="0.25">
      <c r="A490" t="s">
        <v>20</v>
      </c>
      <c r="B490" t="s">
        <v>496</v>
      </c>
      <c r="C490">
        <v>97123664</v>
      </c>
      <c r="D490">
        <v>140</v>
      </c>
      <c r="E490" s="4">
        <v>-13942842.789999999</v>
      </c>
      <c r="F490" t="s">
        <v>62</v>
      </c>
      <c r="G490">
        <v>0</v>
      </c>
      <c r="H490" s="32" t="str">
        <f ca="1">+IF(B490&gt;'sap nuevo'!$V$1,"cargar",IF(C490="","cargar","pagado"))</f>
        <v>cargar</v>
      </c>
      <c r="I490" s="32">
        <f t="shared" si="80"/>
        <v>2025</v>
      </c>
      <c r="J490" s="32">
        <f t="shared" si="81"/>
        <v>7</v>
      </c>
    </row>
    <row r="491" spans="1:10" x14ac:dyDescent="0.25">
      <c r="A491" t="s">
        <v>12</v>
      </c>
      <c r="B491" t="s">
        <v>496</v>
      </c>
      <c r="C491">
        <v>97123641</v>
      </c>
      <c r="D491">
        <v>140</v>
      </c>
      <c r="E491" s="4">
        <v>-12120815.51</v>
      </c>
      <c r="F491" t="s">
        <v>63</v>
      </c>
      <c r="G491">
        <v>0</v>
      </c>
      <c r="H491" s="32" t="str">
        <f ca="1">+IF(B491&gt;'sap nuevo'!$V$1,"cargar",IF(C491="","cargar","pagado"))</f>
        <v>cargar</v>
      </c>
      <c r="I491" s="32">
        <f t="shared" si="80"/>
        <v>2025</v>
      </c>
      <c r="J491" s="32">
        <f t="shared" si="81"/>
        <v>7</v>
      </c>
    </row>
    <row r="492" spans="1:10" x14ac:dyDescent="0.25">
      <c r="A492" t="s">
        <v>20</v>
      </c>
      <c r="B492" t="s">
        <v>496</v>
      </c>
      <c r="C492">
        <v>97123662</v>
      </c>
      <c r="D492">
        <v>140</v>
      </c>
      <c r="E492" s="4">
        <v>-11938647.01</v>
      </c>
      <c r="F492" t="s">
        <v>62</v>
      </c>
      <c r="G492">
        <v>0</v>
      </c>
      <c r="H492" s="32" t="str">
        <f ca="1">+IF(B492&gt;'sap nuevo'!$V$1,"cargar",IF(C492="","cargar","pagado"))</f>
        <v>cargar</v>
      </c>
      <c r="I492" s="32">
        <f t="shared" si="80"/>
        <v>2025</v>
      </c>
      <c r="J492" s="32">
        <f t="shared" si="81"/>
        <v>7</v>
      </c>
    </row>
    <row r="493" spans="1:10" x14ac:dyDescent="0.25">
      <c r="A493" t="s">
        <v>20</v>
      </c>
      <c r="B493" t="s">
        <v>496</v>
      </c>
      <c r="C493">
        <v>97123651</v>
      </c>
      <c r="D493">
        <v>140</v>
      </c>
      <c r="E493" s="4">
        <v>-11818996.720000001</v>
      </c>
      <c r="F493" t="s">
        <v>62</v>
      </c>
      <c r="G493">
        <v>0</v>
      </c>
      <c r="H493" s="32" t="str">
        <f ca="1">+IF(B493&gt;'sap nuevo'!$V$1,"cargar",IF(C493="","cargar","pagado"))</f>
        <v>cargar</v>
      </c>
      <c r="I493" s="32">
        <f t="shared" si="80"/>
        <v>2025</v>
      </c>
      <c r="J493" s="32">
        <f t="shared" si="81"/>
        <v>7</v>
      </c>
    </row>
    <row r="494" spans="1:10" x14ac:dyDescent="0.25">
      <c r="A494" t="s">
        <v>20</v>
      </c>
      <c r="B494" t="s">
        <v>496</v>
      </c>
      <c r="C494">
        <v>97123659</v>
      </c>
      <c r="D494">
        <v>140</v>
      </c>
      <c r="E494" s="4">
        <v>-11100726.050000001</v>
      </c>
      <c r="F494" t="s">
        <v>62</v>
      </c>
      <c r="G494">
        <v>0</v>
      </c>
      <c r="H494" s="32" t="str">
        <f ca="1">+IF(B494&gt;'sap nuevo'!$V$1,"cargar",IF(C494="","cargar","pagado"))</f>
        <v>cargar</v>
      </c>
      <c r="I494" s="32">
        <f t="shared" si="80"/>
        <v>2025</v>
      </c>
      <c r="J494" s="32">
        <f t="shared" si="81"/>
        <v>7</v>
      </c>
    </row>
    <row r="495" spans="1:10" x14ac:dyDescent="0.25">
      <c r="A495" t="s">
        <v>20</v>
      </c>
      <c r="B495" t="s">
        <v>496</v>
      </c>
      <c r="C495">
        <v>97123654</v>
      </c>
      <c r="D495">
        <v>140</v>
      </c>
      <c r="E495" s="4">
        <v>-11004621.82</v>
      </c>
      <c r="F495" t="s">
        <v>62</v>
      </c>
      <c r="G495">
        <v>0</v>
      </c>
      <c r="H495" s="32" t="str">
        <f ca="1">+IF(B495&gt;'sap nuevo'!$V$1,"cargar",IF(C495="","cargar","pagado"))</f>
        <v>cargar</v>
      </c>
      <c r="I495" s="32">
        <f t="shared" si="80"/>
        <v>2025</v>
      </c>
      <c r="J495" s="32">
        <f t="shared" si="81"/>
        <v>7</v>
      </c>
    </row>
    <row r="496" spans="1:10" x14ac:dyDescent="0.25">
      <c r="A496" t="s">
        <v>20</v>
      </c>
      <c r="B496" t="s">
        <v>496</v>
      </c>
      <c r="C496">
        <v>97123646</v>
      </c>
      <c r="D496">
        <v>140</v>
      </c>
      <c r="E496" s="4">
        <v>-8891883.4499999993</v>
      </c>
      <c r="F496" t="s">
        <v>62</v>
      </c>
      <c r="G496">
        <v>0</v>
      </c>
      <c r="H496" s="32" t="str">
        <f ca="1">+IF(B496&gt;'sap nuevo'!$V$1,"cargar",IF(C496="","cargar","pagado"))</f>
        <v>cargar</v>
      </c>
      <c r="I496" s="32">
        <f t="shared" si="80"/>
        <v>2025</v>
      </c>
      <c r="J496" s="32">
        <f t="shared" si="81"/>
        <v>7</v>
      </c>
    </row>
    <row r="497" spans="1:10" x14ac:dyDescent="0.25">
      <c r="A497" t="s">
        <v>12</v>
      </c>
      <c r="B497" t="s">
        <v>496</v>
      </c>
      <c r="C497">
        <v>97123657</v>
      </c>
      <c r="D497">
        <v>140</v>
      </c>
      <c r="E497" s="4">
        <v>-8485167.9199999999</v>
      </c>
      <c r="F497" t="s">
        <v>63</v>
      </c>
      <c r="G497">
        <v>0</v>
      </c>
      <c r="H497" s="32" t="str">
        <f ca="1">+IF(B497&gt;'sap nuevo'!$V$1,"cargar",IF(C497="","cargar","pagado"))</f>
        <v>cargar</v>
      </c>
      <c r="I497" s="32">
        <f t="shared" si="80"/>
        <v>2025</v>
      </c>
      <c r="J497" s="32">
        <f t="shared" si="81"/>
        <v>7</v>
      </c>
    </row>
    <row r="498" spans="1:10" x14ac:dyDescent="0.25">
      <c r="A498" t="s">
        <v>20</v>
      </c>
      <c r="B498" t="s">
        <v>496</v>
      </c>
      <c r="C498">
        <v>97123610</v>
      </c>
      <c r="D498">
        <v>140</v>
      </c>
      <c r="E498" s="4">
        <v>-7606970.3899999997</v>
      </c>
      <c r="F498" t="s">
        <v>62</v>
      </c>
      <c r="G498">
        <v>0</v>
      </c>
      <c r="H498" s="32" t="str">
        <f ca="1">+IF(B498&gt;'sap nuevo'!$V$1,"cargar",IF(C498="","cargar","pagado"))</f>
        <v>cargar</v>
      </c>
      <c r="I498" s="32">
        <f t="shared" si="80"/>
        <v>2025</v>
      </c>
      <c r="J498" s="32">
        <f t="shared" si="81"/>
        <v>7</v>
      </c>
    </row>
    <row r="499" spans="1:10" x14ac:dyDescent="0.25">
      <c r="A499" t="s">
        <v>20</v>
      </c>
      <c r="B499" t="s">
        <v>144</v>
      </c>
      <c r="C499">
        <v>97123636</v>
      </c>
      <c r="D499">
        <v>140</v>
      </c>
      <c r="E499" s="4">
        <v>-21178447.57</v>
      </c>
      <c r="F499" t="s">
        <v>62</v>
      </c>
      <c r="G499">
        <v>0</v>
      </c>
      <c r="H499" s="32" t="str">
        <f ca="1">+IF(B499&gt;'sap nuevo'!$V$1,"cargar",IF(C499="","cargar","pagado"))</f>
        <v>cargar</v>
      </c>
      <c r="I499" s="32">
        <f t="shared" si="80"/>
        <v>2025</v>
      </c>
      <c r="J499" s="32">
        <f t="shared" si="81"/>
        <v>7</v>
      </c>
    </row>
    <row r="500" spans="1:10" x14ac:dyDescent="0.25">
      <c r="A500" t="s">
        <v>20</v>
      </c>
      <c r="B500" t="s">
        <v>144</v>
      </c>
      <c r="C500">
        <v>97123661</v>
      </c>
      <c r="D500">
        <v>140</v>
      </c>
      <c r="E500" s="4">
        <v>-10000000</v>
      </c>
      <c r="F500" t="s">
        <v>62</v>
      </c>
      <c r="G500">
        <v>0</v>
      </c>
      <c r="H500" s="32" t="str">
        <f ca="1">+IF(B500&gt;'sap nuevo'!$V$1,"cargar",IF(C500="","cargar","pagado"))</f>
        <v>cargar</v>
      </c>
      <c r="I500" s="32">
        <f t="shared" si="80"/>
        <v>2025</v>
      </c>
      <c r="J500" s="32">
        <f t="shared" si="81"/>
        <v>7</v>
      </c>
    </row>
    <row r="501" spans="1:10" x14ac:dyDescent="0.25">
      <c r="A501" t="s">
        <v>20</v>
      </c>
      <c r="B501" t="s">
        <v>144</v>
      </c>
      <c r="C501">
        <v>97123625</v>
      </c>
      <c r="D501">
        <v>140</v>
      </c>
      <c r="E501" s="4">
        <v>-6796200.9199999999</v>
      </c>
      <c r="F501" t="s">
        <v>62</v>
      </c>
      <c r="G501">
        <v>0</v>
      </c>
      <c r="H501" s="32" t="str">
        <f ca="1">+IF(B501&gt;'sap nuevo'!$V$1,"cargar",IF(C501="","cargar","pagado"))</f>
        <v>cargar</v>
      </c>
      <c r="I501" s="32">
        <f t="shared" si="80"/>
        <v>2025</v>
      </c>
      <c r="J501" s="32">
        <f t="shared" si="81"/>
        <v>7</v>
      </c>
    </row>
    <row r="502" spans="1:10" x14ac:dyDescent="0.25">
      <c r="A502" t="s">
        <v>20</v>
      </c>
      <c r="B502" t="s">
        <v>143</v>
      </c>
      <c r="C502">
        <v>97123640</v>
      </c>
      <c r="D502">
        <v>140</v>
      </c>
      <c r="E502" s="4">
        <v>-9996863.8100000005</v>
      </c>
      <c r="F502" t="s">
        <v>62</v>
      </c>
      <c r="G502">
        <v>0</v>
      </c>
      <c r="H502" s="32" t="str">
        <f ca="1">+IF(B502&gt;'sap nuevo'!$V$1,"cargar",IF(C502="","cargar","pagado"))</f>
        <v>cargar</v>
      </c>
      <c r="I502" s="32">
        <f t="shared" si="80"/>
        <v>2025</v>
      </c>
      <c r="J502" s="32">
        <f t="shared" si="81"/>
        <v>7</v>
      </c>
    </row>
    <row r="503" spans="1:10" x14ac:dyDescent="0.25">
      <c r="A503" t="s">
        <v>20</v>
      </c>
      <c r="B503" t="s">
        <v>143</v>
      </c>
      <c r="C503">
        <v>97123648</v>
      </c>
      <c r="D503">
        <v>140</v>
      </c>
      <c r="E503" s="4">
        <v>-5914278.4000000004</v>
      </c>
      <c r="F503" t="s">
        <v>62</v>
      </c>
      <c r="G503">
        <v>0</v>
      </c>
      <c r="H503" s="32" t="str">
        <f ca="1">+IF(B503&gt;'sap nuevo'!$V$1,"cargar",IF(C503="","cargar","pagado"))</f>
        <v>cargar</v>
      </c>
      <c r="I503" s="32">
        <f t="shared" si="80"/>
        <v>2025</v>
      </c>
      <c r="J503" s="32">
        <f t="shared" si="81"/>
        <v>7</v>
      </c>
    </row>
    <row r="504" spans="1:10" x14ac:dyDescent="0.25">
      <c r="A504" t="s">
        <v>20</v>
      </c>
      <c r="B504" t="s">
        <v>143</v>
      </c>
      <c r="C504">
        <v>97123647</v>
      </c>
      <c r="D504">
        <v>140</v>
      </c>
      <c r="E504" s="4">
        <v>-5000000</v>
      </c>
      <c r="F504" t="s">
        <v>62</v>
      </c>
      <c r="G504">
        <v>0</v>
      </c>
      <c r="H504" s="32" t="str">
        <f ca="1">+IF(B504&gt;'sap nuevo'!$V$1,"cargar",IF(C504="","cargar","pagado"))</f>
        <v>cargar</v>
      </c>
      <c r="I504" s="32">
        <f t="shared" si="80"/>
        <v>2025</v>
      </c>
      <c r="J504" s="32">
        <f t="shared" si="81"/>
        <v>7</v>
      </c>
    </row>
    <row r="505" spans="1:10" x14ac:dyDescent="0.25">
      <c r="A505" t="s">
        <v>12</v>
      </c>
      <c r="B505" t="s">
        <v>143</v>
      </c>
      <c r="C505">
        <v>97123644</v>
      </c>
      <c r="D505">
        <v>140</v>
      </c>
      <c r="E505" s="4">
        <v>-1769343.4</v>
      </c>
      <c r="F505" t="s">
        <v>63</v>
      </c>
      <c r="G505">
        <v>0</v>
      </c>
      <c r="H505" s="32" t="str">
        <f ca="1">+IF(B505&gt;'sap nuevo'!$V$1,"cargar",IF(C505="","cargar","pagado"))</f>
        <v>cargar</v>
      </c>
      <c r="I505" s="32">
        <f t="shared" si="80"/>
        <v>2025</v>
      </c>
      <c r="J505" s="32">
        <f t="shared" si="81"/>
        <v>7</v>
      </c>
    </row>
    <row r="506" spans="1:10" x14ac:dyDescent="0.25">
      <c r="A506" t="s">
        <v>487</v>
      </c>
      <c r="B506" t="s">
        <v>143</v>
      </c>
      <c r="C506">
        <v>94231558</v>
      </c>
      <c r="D506">
        <v>9999</v>
      </c>
      <c r="E506" s="4">
        <v>-500000</v>
      </c>
      <c r="F506" t="s">
        <v>497</v>
      </c>
      <c r="G506">
        <v>4000</v>
      </c>
      <c r="H506" s="32" t="str">
        <f ca="1">+IF(B506&gt;'sap nuevo'!$V$1,"cargar",IF(C506="","cargar","pagado"))</f>
        <v>cargar</v>
      </c>
      <c r="I506" s="32">
        <f t="shared" ref="I506:I528" si="82">+YEAR(B506)</f>
        <v>2025</v>
      </c>
      <c r="J506" s="32">
        <f t="shared" ref="J506:J528" si="83">+MONTH(B506)</f>
        <v>7</v>
      </c>
    </row>
    <row r="507" spans="1:10" x14ac:dyDescent="0.25">
      <c r="A507" t="s">
        <v>20</v>
      </c>
      <c r="B507" t="s">
        <v>145</v>
      </c>
      <c r="C507">
        <v>97123670</v>
      </c>
      <c r="D507">
        <v>140</v>
      </c>
      <c r="E507" s="4">
        <v>-7172756.8700000001</v>
      </c>
      <c r="F507" t="s">
        <v>62</v>
      </c>
      <c r="G507">
        <v>0</v>
      </c>
      <c r="H507" s="32" t="str">
        <f ca="1">+IF(B507&gt;'sap nuevo'!$V$1,"cargar",IF(C507="","cargar","pagado"))</f>
        <v>cargar</v>
      </c>
      <c r="I507" s="32">
        <f t="shared" si="82"/>
        <v>2025</v>
      </c>
      <c r="J507" s="32">
        <f t="shared" si="83"/>
        <v>7</v>
      </c>
    </row>
    <row r="508" spans="1:10" x14ac:dyDescent="0.25">
      <c r="A508" t="s">
        <v>20</v>
      </c>
      <c r="B508" t="s">
        <v>145</v>
      </c>
      <c r="C508">
        <v>97123668</v>
      </c>
      <c r="D508">
        <v>140</v>
      </c>
      <c r="E508" s="4">
        <v>-6789197.2300000004</v>
      </c>
      <c r="F508" t="s">
        <v>62</v>
      </c>
      <c r="G508">
        <v>0</v>
      </c>
      <c r="H508" s="32" t="str">
        <f ca="1">+IF(B508&gt;'sap nuevo'!$V$1,"cargar",IF(C508="","cargar","pagado"))</f>
        <v>cargar</v>
      </c>
      <c r="I508" s="32">
        <f t="shared" si="82"/>
        <v>2025</v>
      </c>
      <c r="J508" s="32">
        <f t="shared" si="83"/>
        <v>7</v>
      </c>
    </row>
    <row r="509" spans="1:10" x14ac:dyDescent="0.25">
      <c r="A509" t="s">
        <v>20</v>
      </c>
      <c r="B509" t="s">
        <v>145</v>
      </c>
      <c r="C509">
        <v>97123666</v>
      </c>
      <c r="D509">
        <v>140</v>
      </c>
      <c r="E509" s="4">
        <v>-357280.18</v>
      </c>
      <c r="F509" t="s">
        <v>62</v>
      </c>
      <c r="G509">
        <v>0</v>
      </c>
      <c r="H509" s="32" t="str">
        <f ca="1">+IF(B509&gt;'sap nuevo'!$V$1,"cargar",IF(C509="","cargar","pagado"))</f>
        <v>cargar</v>
      </c>
      <c r="I509" s="32">
        <f t="shared" si="82"/>
        <v>2025</v>
      </c>
      <c r="J509" s="32">
        <f t="shared" si="83"/>
        <v>7</v>
      </c>
    </row>
    <row r="510" spans="1:10" x14ac:dyDescent="0.25">
      <c r="A510" t="s">
        <v>20</v>
      </c>
      <c r="B510" t="s">
        <v>146</v>
      </c>
      <c r="C510">
        <v>97123622</v>
      </c>
      <c r="D510">
        <v>140</v>
      </c>
      <c r="E510" s="4">
        <v>-20000000</v>
      </c>
      <c r="F510" t="s">
        <v>62</v>
      </c>
      <c r="G510">
        <v>0</v>
      </c>
      <c r="H510" s="32" t="str">
        <f ca="1">+IF(B510&gt;'sap nuevo'!$V$1,"cargar",IF(C510="","cargar","pagado"))</f>
        <v>cargar</v>
      </c>
      <c r="I510" s="32">
        <f t="shared" si="82"/>
        <v>2025</v>
      </c>
      <c r="J510" s="32">
        <f t="shared" si="83"/>
        <v>7</v>
      </c>
    </row>
    <row r="511" spans="1:10" x14ac:dyDescent="0.25">
      <c r="A511" t="s">
        <v>20</v>
      </c>
      <c r="B511" t="s">
        <v>146</v>
      </c>
      <c r="C511">
        <v>97123672</v>
      </c>
      <c r="D511">
        <v>140</v>
      </c>
      <c r="E511" s="4">
        <v>-17231257.559999999</v>
      </c>
      <c r="F511" t="s">
        <v>62</v>
      </c>
      <c r="G511">
        <v>0</v>
      </c>
      <c r="H511" s="32" t="str">
        <f ca="1">+IF(B511&gt;'sap nuevo'!$V$1,"cargar",IF(C511="","cargar","pagado"))</f>
        <v>cargar</v>
      </c>
      <c r="I511" s="32">
        <f t="shared" si="82"/>
        <v>2025</v>
      </c>
      <c r="J511" s="32">
        <f t="shared" si="83"/>
        <v>7</v>
      </c>
    </row>
    <row r="512" spans="1:10" x14ac:dyDescent="0.25">
      <c r="A512" t="s">
        <v>20</v>
      </c>
      <c r="B512" t="s">
        <v>146</v>
      </c>
      <c r="C512">
        <v>97123629</v>
      </c>
      <c r="D512">
        <v>140</v>
      </c>
      <c r="E512" s="4">
        <v>-11824089.029999999</v>
      </c>
      <c r="F512" t="s">
        <v>62</v>
      </c>
      <c r="G512">
        <v>0</v>
      </c>
      <c r="H512" s="32" t="str">
        <f ca="1">+IF(B512&gt;'sap nuevo'!$V$1,"cargar",IF(C512="","cargar","pagado"))</f>
        <v>cargar</v>
      </c>
      <c r="I512" s="32">
        <f t="shared" si="82"/>
        <v>2025</v>
      </c>
      <c r="J512" s="32">
        <f t="shared" si="83"/>
        <v>7</v>
      </c>
    </row>
    <row r="513" spans="1:10" x14ac:dyDescent="0.25">
      <c r="A513" t="s">
        <v>12</v>
      </c>
      <c r="B513" t="s">
        <v>147</v>
      </c>
      <c r="C513">
        <v>97123677</v>
      </c>
      <c r="D513">
        <v>140</v>
      </c>
      <c r="E513" s="4">
        <v>-30000000</v>
      </c>
      <c r="F513" t="s">
        <v>63</v>
      </c>
      <c r="G513">
        <v>0</v>
      </c>
      <c r="H513" s="32" t="str">
        <f ca="1">+IF(B513&gt;'sap nuevo'!$V$1,"cargar",IF(C513="","cargar","pagado"))</f>
        <v>cargar</v>
      </c>
      <c r="I513" s="32">
        <f t="shared" si="82"/>
        <v>2025</v>
      </c>
      <c r="J513" s="32">
        <f t="shared" si="83"/>
        <v>7</v>
      </c>
    </row>
    <row r="514" spans="1:10" x14ac:dyDescent="0.25">
      <c r="A514" t="s">
        <v>20</v>
      </c>
      <c r="B514" t="s">
        <v>147</v>
      </c>
      <c r="C514">
        <v>12452655</v>
      </c>
      <c r="D514">
        <v>140</v>
      </c>
      <c r="E514" s="4">
        <v>-19199000</v>
      </c>
      <c r="F514" t="s">
        <v>62</v>
      </c>
      <c r="G514">
        <v>0</v>
      </c>
      <c r="H514" s="32" t="str">
        <f ca="1">+IF(B514&gt;'sap nuevo'!$V$1,"cargar",IF(C514="","cargar","pagado"))</f>
        <v>cargar</v>
      </c>
      <c r="I514" s="32">
        <f t="shared" si="82"/>
        <v>2025</v>
      </c>
      <c r="J514" s="32">
        <f t="shared" si="83"/>
        <v>7</v>
      </c>
    </row>
    <row r="515" spans="1:10" x14ac:dyDescent="0.25">
      <c r="A515" t="s">
        <v>12</v>
      </c>
      <c r="B515" t="s">
        <v>147</v>
      </c>
      <c r="C515">
        <v>97123675</v>
      </c>
      <c r="D515">
        <v>140</v>
      </c>
      <c r="E515" s="4">
        <v>-15000000</v>
      </c>
      <c r="F515" t="s">
        <v>63</v>
      </c>
      <c r="G515">
        <v>0</v>
      </c>
      <c r="H515" s="32" t="str">
        <f ca="1">+IF(B515&gt;'sap nuevo'!$V$1,"cargar",IF(C515="","cargar","pagado"))</f>
        <v>cargar</v>
      </c>
      <c r="I515" s="32">
        <f t="shared" si="82"/>
        <v>2025</v>
      </c>
      <c r="J515" s="32">
        <f t="shared" si="83"/>
        <v>7</v>
      </c>
    </row>
    <row r="516" spans="1:10" x14ac:dyDescent="0.25">
      <c r="A516" t="s">
        <v>20</v>
      </c>
      <c r="B516" t="s">
        <v>147</v>
      </c>
      <c r="C516">
        <v>97123685</v>
      </c>
      <c r="D516">
        <v>140</v>
      </c>
      <c r="E516" s="4">
        <v>-11749044.039999999</v>
      </c>
      <c r="F516" t="s">
        <v>62</v>
      </c>
      <c r="G516">
        <v>0</v>
      </c>
      <c r="H516" s="32" t="str">
        <f ca="1">+IF(B516&gt;'sap nuevo'!$V$1,"cargar",IF(C516="","cargar","pagado"))</f>
        <v>cargar</v>
      </c>
      <c r="I516" s="32">
        <f t="shared" si="82"/>
        <v>2025</v>
      </c>
      <c r="J516" s="32">
        <f t="shared" si="83"/>
        <v>7</v>
      </c>
    </row>
    <row r="517" spans="1:10" x14ac:dyDescent="0.25">
      <c r="A517" t="s">
        <v>12</v>
      </c>
      <c r="B517" t="s">
        <v>147</v>
      </c>
      <c r="C517">
        <v>97123686</v>
      </c>
      <c r="D517">
        <v>140</v>
      </c>
      <c r="E517" s="4">
        <v>-5505277.5</v>
      </c>
      <c r="F517" t="s">
        <v>63</v>
      </c>
      <c r="G517">
        <v>0</v>
      </c>
      <c r="H517" s="32" t="str">
        <f ca="1">+IF(B517&gt;'sap nuevo'!$V$1,"cargar",IF(C517="","cargar","pagado"))</f>
        <v>cargar</v>
      </c>
      <c r="I517" s="32">
        <f t="shared" si="82"/>
        <v>2025</v>
      </c>
      <c r="J517" s="32">
        <f t="shared" si="83"/>
        <v>7</v>
      </c>
    </row>
    <row r="518" spans="1:10" x14ac:dyDescent="0.25">
      <c r="A518" t="s">
        <v>20</v>
      </c>
      <c r="B518" t="s">
        <v>147</v>
      </c>
      <c r="C518">
        <v>97123679</v>
      </c>
      <c r="D518">
        <v>140</v>
      </c>
      <c r="E518" s="4">
        <v>-4922462.93</v>
      </c>
      <c r="F518" t="s">
        <v>62</v>
      </c>
      <c r="G518">
        <v>0</v>
      </c>
      <c r="H518" s="32" t="str">
        <f ca="1">+IF(B518&gt;'sap nuevo'!$V$1,"cargar",IF(C518="","cargar","pagado"))</f>
        <v>cargar</v>
      </c>
      <c r="I518" s="32">
        <f t="shared" si="82"/>
        <v>2025</v>
      </c>
      <c r="J518" s="32">
        <f t="shared" si="83"/>
        <v>7</v>
      </c>
    </row>
    <row r="519" spans="1:10" x14ac:dyDescent="0.25">
      <c r="A519" t="s">
        <v>20</v>
      </c>
      <c r="B519" t="s">
        <v>147</v>
      </c>
      <c r="C519">
        <v>97123671</v>
      </c>
      <c r="D519">
        <v>140</v>
      </c>
      <c r="E519" s="4">
        <v>-4321108.0199999996</v>
      </c>
      <c r="F519" t="s">
        <v>62</v>
      </c>
      <c r="G519">
        <v>0</v>
      </c>
      <c r="H519" s="32" t="str">
        <f ca="1">+IF(B519&gt;'sap nuevo'!$V$1,"cargar",IF(C519="","cargar","pagado"))</f>
        <v>cargar</v>
      </c>
      <c r="I519" s="32">
        <f t="shared" si="82"/>
        <v>2025</v>
      </c>
      <c r="J519" s="32">
        <f t="shared" si="83"/>
        <v>7</v>
      </c>
    </row>
    <row r="520" spans="1:10" x14ac:dyDescent="0.25">
      <c r="A520" t="s">
        <v>12</v>
      </c>
      <c r="B520" t="s">
        <v>147</v>
      </c>
      <c r="C520">
        <v>97123684</v>
      </c>
      <c r="D520">
        <v>140</v>
      </c>
      <c r="E520" s="4">
        <v>-3913230.15</v>
      </c>
      <c r="F520" t="s">
        <v>63</v>
      </c>
      <c r="G520">
        <v>0</v>
      </c>
      <c r="H520" s="32" t="str">
        <f ca="1">+IF(B520&gt;'sap nuevo'!$V$1,"cargar",IF(C520="","cargar","pagado"))</f>
        <v>cargar</v>
      </c>
      <c r="I520" s="32">
        <f t="shared" si="82"/>
        <v>2025</v>
      </c>
      <c r="J520" s="32">
        <f t="shared" si="83"/>
        <v>7</v>
      </c>
    </row>
    <row r="521" spans="1:10" x14ac:dyDescent="0.25">
      <c r="A521" t="s">
        <v>12</v>
      </c>
      <c r="B521" t="s">
        <v>147</v>
      </c>
      <c r="C521">
        <v>97123687</v>
      </c>
      <c r="D521">
        <v>140</v>
      </c>
      <c r="E521" s="4">
        <v>-3109007.99</v>
      </c>
      <c r="F521" t="s">
        <v>63</v>
      </c>
      <c r="G521">
        <v>0</v>
      </c>
      <c r="H521" s="32" t="str">
        <f ca="1">+IF(B521&gt;'sap nuevo'!$V$1,"cargar",IF(C521="","cargar","pagado"))</f>
        <v>cargar</v>
      </c>
      <c r="I521" s="32">
        <f t="shared" si="82"/>
        <v>2025</v>
      </c>
      <c r="J521" s="32">
        <f t="shared" si="83"/>
        <v>7</v>
      </c>
    </row>
    <row r="522" spans="1:10" x14ac:dyDescent="0.25">
      <c r="A522" t="s">
        <v>12</v>
      </c>
      <c r="B522" t="s">
        <v>148</v>
      </c>
      <c r="C522">
        <v>97123678</v>
      </c>
      <c r="D522">
        <v>140</v>
      </c>
      <c r="E522" s="4">
        <v>-27062480.219999999</v>
      </c>
      <c r="F522" t="s">
        <v>63</v>
      </c>
      <c r="G522">
        <v>0</v>
      </c>
      <c r="H522" s="32" t="str">
        <f ca="1">+IF(B522&gt;'sap nuevo'!$V$1,"cargar",IF(C522="","cargar","pagado"))</f>
        <v>cargar</v>
      </c>
      <c r="I522" s="32">
        <f t="shared" si="82"/>
        <v>2025</v>
      </c>
      <c r="J522" s="32">
        <f t="shared" si="83"/>
        <v>7</v>
      </c>
    </row>
    <row r="523" spans="1:10" x14ac:dyDescent="0.25">
      <c r="A523" t="s">
        <v>20</v>
      </c>
      <c r="B523" t="s">
        <v>148</v>
      </c>
      <c r="C523">
        <v>97123623</v>
      </c>
      <c r="D523">
        <v>140</v>
      </c>
      <c r="E523" s="4">
        <v>-21192190.829999998</v>
      </c>
      <c r="F523" t="s">
        <v>62</v>
      </c>
      <c r="G523">
        <v>0</v>
      </c>
      <c r="H523" s="32" t="str">
        <f ca="1">+IF(B523&gt;'sap nuevo'!$V$1,"cargar",IF(C523="","cargar","pagado"))</f>
        <v>cargar</v>
      </c>
      <c r="I523" s="32">
        <f t="shared" si="82"/>
        <v>2025</v>
      </c>
      <c r="J523" s="32">
        <f t="shared" si="83"/>
        <v>7</v>
      </c>
    </row>
    <row r="524" spans="1:10" x14ac:dyDescent="0.25">
      <c r="A524" t="s">
        <v>12</v>
      </c>
      <c r="B524" t="s">
        <v>148</v>
      </c>
      <c r="C524">
        <v>97123676</v>
      </c>
      <c r="D524">
        <v>140</v>
      </c>
      <c r="E524" s="4">
        <v>-16686869.109999999</v>
      </c>
      <c r="F524" t="s">
        <v>63</v>
      </c>
      <c r="G524">
        <v>0</v>
      </c>
      <c r="H524" s="32" t="str">
        <f ca="1">+IF(B524&gt;'sap nuevo'!$V$1,"cargar",IF(C524="","cargar","pagado"))</f>
        <v>cargar</v>
      </c>
      <c r="I524" s="32">
        <f t="shared" si="82"/>
        <v>2025</v>
      </c>
      <c r="J524" s="32">
        <f t="shared" si="83"/>
        <v>7</v>
      </c>
    </row>
    <row r="525" spans="1:10" x14ac:dyDescent="0.25">
      <c r="A525" t="s">
        <v>20</v>
      </c>
      <c r="B525" t="s">
        <v>148</v>
      </c>
      <c r="C525">
        <v>97123673</v>
      </c>
      <c r="D525">
        <v>140</v>
      </c>
      <c r="E525" s="4">
        <v>-13000000</v>
      </c>
      <c r="F525" t="s">
        <v>62</v>
      </c>
      <c r="G525">
        <v>0</v>
      </c>
      <c r="H525" s="32" t="str">
        <f ca="1">+IF(B525&gt;'sap nuevo'!$V$1,"cargar",IF(C525="","cargar","pagado"))</f>
        <v>cargar</v>
      </c>
      <c r="I525" s="32">
        <f t="shared" si="82"/>
        <v>2025</v>
      </c>
      <c r="J525" s="32">
        <f t="shared" si="83"/>
        <v>7</v>
      </c>
    </row>
    <row r="526" spans="1:10" x14ac:dyDescent="0.25">
      <c r="A526" t="s">
        <v>12</v>
      </c>
      <c r="B526" t="s">
        <v>149</v>
      </c>
      <c r="C526">
        <v>97123695</v>
      </c>
      <c r="D526">
        <v>140</v>
      </c>
      <c r="E526" s="4">
        <v>-11160093</v>
      </c>
      <c r="F526" t="s">
        <v>63</v>
      </c>
      <c r="G526">
        <v>0</v>
      </c>
      <c r="H526" s="32" t="str">
        <f ca="1">+IF(B526&gt;'sap nuevo'!$V$1,"cargar",IF(C526="","cargar","pagado"))</f>
        <v>cargar</v>
      </c>
      <c r="I526" s="32">
        <f t="shared" si="82"/>
        <v>2025</v>
      </c>
      <c r="J526" s="32">
        <f t="shared" si="83"/>
        <v>7</v>
      </c>
    </row>
    <row r="527" spans="1:10" x14ac:dyDescent="0.25">
      <c r="A527" t="s">
        <v>20</v>
      </c>
      <c r="B527" t="s">
        <v>149</v>
      </c>
      <c r="C527">
        <v>97123690</v>
      </c>
      <c r="D527">
        <v>140</v>
      </c>
      <c r="E527" s="4">
        <v>-10184573.710000001</v>
      </c>
      <c r="F527" t="s">
        <v>62</v>
      </c>
      <c r="G527">
        <v>0</v>
      </c>
      <c r="H527" s="32" t="str">
        <f ca="1">+IF(B527&gt;'sap nuevo'!$V$1,"cargar",IF(C527="","cargar","pagado"))</f>
        <v>cargar</v>
      </c>
      <c r="I527" s="32">
        <f t="shared" si="82"/>
        <v>2025</v>
      </c>
      <c r="J527" s="32">
        <f t="shared" si="83"/>
        <v>7</v>
      </c>
    </row>
    <row r="528" spans="1:10" x14ac:dyDescent="0.25">
      <c r="A528" t="s">
        <v>20</v>
      </c>
      <c r="B528" t="s">
        <v>149</v>
      </c>
      <c r="C528">
        <v>97123689</v>
      </c>
      <c r="D528">
        <v>140</v>
      </c>
      <c r="E528" s="4">
        <v>-6411894.8600000003</v>
      </c>
      <c r="F528" t="s">
        <v>62</v>
      </c>
      <c r="G528">
        <v>0</v>
      </c>
      <c r="H528" s="32" t="str">
        <f ca="1">+IF(B528&gt;'sap nuevo'!$V$1,"cargar",IF(C528="","cargar","pagado"))</f>
        <v>cargar</v>
      </c>
      <c r="I528" s="32">
        <f t="shared" si="82"/>
        <v>2025</v>
      </c>
      <c r="J528" s="32">
        <f t="shared" si="83"/>
        <v>7</v>
      </c>
    </row>
    <row r="529" spans="1:10" x14ac:dyDescent="0.25">
      <c r="A529" t="s">
        <v>12</v>
      </c>
      <c r="B529" t="s">
        <v>149</v>
      </c>
      <c r="C529">
        <v>97123692</v>
      </c>
      <c r="D529">
        <v>140</v>
      </c>
      <c r="E529" s="4">
        <v>-6000000</v>
      </c>
      <c r="F529" t="s">
        <v>63</v>
      </c>
      <c r="G529">
        <v>0</v>
      </c>
      <c r="H529" s="32" t="str">
        <f ca="1">+IF(B529&gt;'sap nuevo'!$V$1,"cargar",IF(C529="","cargar","pagado"))</f>
        <v>cargar</v>
      </c>
      <c r="I529" s="32">
        <f t="shared" ref="I529:I546" si="84">+YEAR(B529)</f>
        <v>2025</v>
      </c>
      <c r="J529" s="32">
        <f t="shared" ref="J529:J546" si="85">+MONTH(B529)</f>
        <v>7</v>
      </c>
    </row>
    <row r="530" spans="1:10" x14ac:dyDescent="0.25">
      <c r="A530" t="s">
        <v>20</v>
      </c>
      <c r="B530" t="s">
        <v>149</v>
      </c>
      <c r="C530">
        <v>97123688</v>
      </c>
      <c r="D530">
        <v>140</v>
      </c>
      <c r="E530" s="4">
        <v>-4250225.53</v>
      </c>
      <c r="F530" t="s">
        <v>62</v>
      </c>
      <c r="G530">
        <v>0</v>
      </c>
      <c r="H530" s="32" t="str">
        <f ca="1">+IF(B530&gt;'sap nuevo'!$V$1,"cargar",IF(C530="","cargar","pagado"))</f>
        <v>cargar</v>
      </c>
      <c r="I530" s="32">
        <f t="shared" si="84"/>
        <v>2025</v>
      </c>
      <c r="J530" s="32">
        <f t="shared" si="85"/>
        <v>7</v>
      </c>
    </row>
    <row r="531" spans="1:10" x14ac:dyDescent="0.25">
      <c r="A531" t="s">
        <v>20</v>
      </c>
      <c r="B531" t="s">
        <v>150</v>
      </c>
      <c r="C531">
        <v>97123681</v>
      </c>
      <c r="D531">
        <v>140</v>
      </c>
      <c r="E531" s="4">
        <v>-15826982.65</v>
      </c>
      <c r="F531" t="s">
        <v>62</v>
      </c>
      <c r="G531">
        <v>0</v>
      </c>
      <c r="H531" s="32" t="str">
        <f ca="1">+IF(B531&gt;'sap nuevo'!$V$1,"cargar",IF(C531="","cargar","pagado"))</f>
        <v>cargar</v>
      </c>
      <c r="I531" s="32">
        <f t="shared" si="84"/>
        <v>2025</v>
      </c>
      <c r="J531" s="32">
        <f t="shared" si="85"/>
        <v>7</v>
      </c>
    </row>
    <row r="532" spans="1:10" x14ac:dyDescent="0.25">
      <c r="A532" t="s">
        <v>20</v>
      </c>
      <c r="B532" t="s">
        <v>151</v>
      </c>
      <c r="C532">
        <v>97123680</v>
      </c>
      <c r="D532">
        <v>140</v>
      </c>
      <c r="E532" s="4">
        <v>-18000000</v>
      </c>
      <c r="F532" t="s">
        <v>62</v>
      </c>
      <c r="G532">
        <v>0</v>
      </c>
      <c r="H532" s="32" t="str">
        <f ca="1">+IF(B532&gt;'sap nuevo'!$V$1,"cargar",IF(C532="","cargar","pagado"))</f>
        <v>cargar</v>
      </c>
      <c r="I532" s="32">
        <f t="shared" si="84"/>
        <v>2025</v>
      </c>
      <c r="J532" s="32">
        <f t="shared" si="85"/>
        <v>7</v>
      </c>
    </row>
    <row r="533" spans="1:10" x14ac:dyDescent="0.25">
      <c r="A533" t="s">
        <v>20</v>
      </c>
      <c r="B533" t="s">
        <v>151</v>
      </c>
      <c r="C533">
        <v>97123674</v>
      </c>
      <c r="D533">
        <v>140</v>
      </c>
      <c r="E533" s="4">
        <v>-13088899.279999999</v>
      </c>
      <c r="F533" t="s">
        <v>62</v>
      </c>
      <c r="G533">
        <v>0</v>
      </c>
      <c r="H533" s="32" t="str">
        <f ca="1">+IF(B533&gt;'sap nuevo'!$V$1,"cargar",IF(C533="","cargar","pagado"))</f>
        <v>cargar</v>
      </c>
      <c r="I533" s="32">
        <f t="shared" si="84"/>
        <v>2025</v>
      </c>
      <c r="J533" s="32">
        <f t="shared" si="85"/>
        <v>7</v>
      </c>
    </row>
    <row r="534" spans="1:10" x14ac:dyDescent="0.25">
      <c r="A534" t="s">
        <v>20</v>
      </c>
      <c r="B534" t="s">
        <v>498</v>
      </c>
      <c r="C534">
        <v>97123691</v>
      </c>
      <c r="D534">
        <v>140</v>
      </c>
      <c r="E534" s="4">
        <v>-6784045.9500000002</v>
      </c>
      <c r="F534" t="s">
        <v>62</v>
      </c>
      <c r="G534">
        <v>0</v>
      </c>
      <c r="H534" s="32" t="str">
        <f ca="1">+IF(B534&gt;'sap nuevo'!$V$1,"cargar",IF(C534="","cargar","pagado"))</f>
        <v>cargar</v>
      </c>
      <c r="I534" s="32">
        <f t="shared" si="84"/>
        <v>2025</v>
      </c>
      <c r="J534" s="32">
        <f t="shared" si="85"/>
        <v>7</v>
      </c>
    </row>
    <row r="535" spans="1:10" x14ac:dyDescent="0.25">
      <c r="A535" t="s">
        <v>12</v>
      </c>
      <c r="B535" t="s">
        <v>499</v>
      </c>
      <c r="C535">
        <v>97123693</v>
      </c>
      <c r="D535">
        <v>140</v>
      </c>
      <c r="E535" s="4">
        <v>-5880166.0999999996</v>
      </c>
      <c r="F535" t="s">
        <v>63</v>
      </c>
      <c r="G535">
        <v>0</v>
      </c>
      <c r="H535" s="32" t="str">
        <f ca="1">+IF(B535&gt;'sap nuevo'!$V$1,"cargar",IF(C535="","cargar","pagado"))</f>
        <v>cargar</v>
      </c>
      <c r="I535" s="32">
        <f t="shared" si="84"/>
        <v>2025</v>
      </c>
      <c r="J535" s="32">
        <f t="shared" si="85"/>
        <v>7</v>
      </c>
    </row>
    <row r="536" spans="1:10" x14ac:dyDescent="0.25">
      <c r="A536" t="s">
        <v>20</v>
      </c>
      <c r="B536" t="s">
        <v>499</v>
      </c>
      <c r="C536">
        <v>97123669</v>
      </c>
      <c r="D536">
        <v>140</v>
      </c>
      <c r="E536" s="4">
        <v>-1054529.3600000001</v>
      </c>
      <c r="F536" t="s">
        <v>62</v>
      </c>
      <c r="G536">
        <v>0</v>
      </c>
      <c r="H536" s="32" t="str">
        <f ca="1">+IF(B536&gt;'sap nuevo'!$V$1,"cargar",IF(C536="","cargar","pagado"))</f>
        <v>cargar</v>
      </c>
      <c r="I536" s="32">
        <f t="shared" si="84"/>
        <v>2025</v>
      </c>
      <c r="J536" s="32">
        <f t="shared" si="85"/>
        <v>7</v>
      </c>
    </row>
    <row r="537" spans="1:10" x14ac:dyDescent="0.25">
      <c r="A537" t="s">
        <v>20</v>
      </c>
      <c r="B537" t="s">
        <v>153</v>
      </c>
      <c r="C537">
        <v>97123683</v>
      </c>
      <c r="D537">
        <v>140</v>
      </c>
      <c r="E537" s="4">
        <v>-11746300.390000001</v>
      </c>
      <c r="F537" t="s">
        <v>62</v>
      </c>
      <c r="G537">
        <v>0</v>
      </c>
      <c r="H537" s="32" t="str">
        <f ca="1">+IF(B537&gt;'sap nuevo'!$V$1,"cargar",IF(C537="","cargar","pagado"))</f>
        <v>cargar</v>
      </c>
      <c r="I537" s="32">
        <f t="shared" si="84"/>
        <v>2025</v>
      </c>
      <c r="J537" s="32">
        <f t="shared" si="85"/>
        <v>7</v>
      </c>
    </row>
    <row r="538" spans="1:10" x14ac:dyDescent="0.25">
      <c r="A538" t="s">
        <v>487</v>
      </c>
      <c r="B538" t="s">
        <v>154</v>
      </c>
      <c r="C538">
        <v>3111698</v>
      </c>
      <c r="D538">
        <v>9999</v>
      </c>
      <c r="E538" s="4">
        <v>-210014046.72</v>
      </c>
      <c r="F538" t="s">
        <v>500</v>
      </c>
      <c r="G538">
        <v>1385</v>
      </c>
      <c r="H538" s="32" t="str">
        <f ca="1">+IF(B538&gt;'sap nuevo'!$V$1,"cargar",IF(C538="","cargar","pagado"))</f>
        <v>cargar</v>
      </c>
      <c r="I538" s="32">
        <f t="shared" si="84"/>
        <v>2025</v>
      </c>
      <c r="J538" s="32">
        <f t="shared" si="85"/>
        <v>7</v>
      </c>
    </row>
    <row r="539" spans="1:10" x14ac:dyDescent="0.25">
      <c r="A539" t="s">
        <v>20</v>
      </c>
      <c r="B539" t="s">
        <v>155</v>
      </c>
      <c r="C539">
        <v>97123682</v>
      </c>
      <c r="D539">
        <v>140</v>
      </c>
      <c r="E539" s="4">
        <v>-15000000</v>
      </c>
      <c r="F539" t="s">
        <v>62</v>
      </c>
      <c r="G539">
        <v>0</v>
      </c>
      <c r="H539" s="32" t="str">
        <f ca="1">+IF(B539&gt;'sap nuevo'!$V$1,"cargar",IF(C539="","cargar","pagado"))</f>
        <v>cargar</v>
      </c>
      <c r="I539" s="32">
        <f t="shared" si="84"/>
        <v>2025</v>
      </c>
      <c r="J539" s="32">
        <f t="shared" si="85"/>
        <v>7</v>
      </c>
    </row>
    <row r="540" spans="1:10" x14ac:dyDescent="0.25">
      <c r="A540" t="s">
        <v>20</v>
      </c>
      <c r="B540" s="3">
        <v>45870</v>
      </c>
      <c r="C540">
        <v>97123667</v>
      </c>
      <c r="D540">
        <v>140</v>
      </c>
      <c r="E540" s="4">
        <v>-1749284.96</v>
      </c>
      <c r="F540" t="s">
        <v>62</v>
      </c>
      <c r="G540">
        <v>0</v>
      </c>
      <c r="H540" s="32" t="str">
        <f ca="1">+IF(B540&gt;'sap nuevo'!$V$1,"cargar",IF(C540="","cargar","pagado"))</f>
        <v>pagado</v>
      </c>
      <c r="I540" s="32">
        <f t="shared" si="84"/>
        <v>2025</v>
      </c>
      <c r="J540" s="32">
        <f t="shared" si="85"/>
        <v>8</v>
      </c>
    </row>
    <row r="541" spans="1:10" x14ac:dyDescent="0.25">
      <c r="A541" t="s">
        <v>20</v>
      </c>
      <c r="B541" t="s">
        <v>156</v>
      </c>
      <c r="C541">
        <v>97123718</v>
      </c>
      <c r="D541">
        <v>140</v>
      </c>
      <c r="E541" s="4">
        <v>-25000000</v>
      </c>
      <c r="F541" t="s">
        <v>62</v>
      </c>
      <c r="G541">
        <v>0</v>
      </c>
      <c r="H541" s="32" t="str">
        <f ca="1">+IF(B541&gt;'sap nuevo'!$V$1,"cargar",IF(C541="","cargar","pagado"))</f>
        <v>cargar</v>
      </c>
      <c r="I541" s="32">
        <f t="shared" si="84"/>
        <v>2025</v>
      </c>
      <c r="J541" s="32">
        <f t="shared" si="85"/>
        <v>8</v>
      </c>
    </row>
    <row r="542" spans="1:10" x14ac:dyDescent="0.25">
      <c r="A542" t="s">
        <v>12</v>
      </c>
      <c r="B542" t="s">
        <v>156</v>
      </c>
      <c r="C542">
        <v>97123704</v>
      </c>
      <c r="D542">
        <v>140</v>
      </c>
      <c r="E542" s="4">
        <v>-10501823.5</v>
      </c>
      <c r="F542" t="s">
        <v>63</v>
      </c>
      <c r="G542">
        <v>0</v>
      </c>
      <c r="H542" s="32" t="str">
        <f ca="1">+IF(B542&gt;'sap nuevo'!$V$1,"cargar",IF(C542="","cargar","pagado"))</f>
        <v>cargar</v>
      </c>
      <c r="I542" s="32">
        <f t="shared" si="84"/>
        <v>2025</v>
      </c>
      <c r="J542" s="32">
        <f t="shared" si="85"/>
        <v>8</v>
      </c>
    </row>
    <row r="543" spans="1:10" x14ac:dyDescent="0.25">
      <c r="A543" t="s">
        <v>20</v>
      </c>
      <c r="B543" t="s">
        <v>156</v>
      </c>
      <c r="C543">
        <v>97123703</v>
      </c>
      <c r="D543">
        <v>140</v>
      </c>
      <c r="E543" s="4">
        <v>-9829943.5999999996</v>
      </c>
      <c r="F543" t="s">
        <v>62</v>
      </c>
      <c r="G543">
        <v>0</v>
      </c>
      <c r="H543" s="32" t="str">
        <f ca="1">+IF(B543&gt;'sap nuevo'!$V$1,"cargar",IF(C543="","cargar","pagado"))</f>
        <v>cargar</v>
      </c>
      <c r="I543" s="32">
        <f t="shared" si="84"/>
        <v>2025</v>
      </c>
      <c r="J543" s="32">
        <f t="shared" si="85"/>
        <v>8</v>
      </c>
    </row>
    <row r="544" spans="1:10" x14ac:dyDescent="0.25">
      <c r="A544" t="s">
        <v>20</v>
      </c>
      <c r="B544" t="s">
        <v>156</v>
      </c>
      <c r="C544">
        <v>97123697</v>
      </c>
      <c r="D544">
        <v>140</v>
      </c>
      <c r="E544" s="4">
        <v>-8506626.5199999996</v>
      </c>
      <c r="F544" t="s">
        <v>62</v>
      </c>
      <c r="G544">
        <v>0</v>
      </c>
      <c r="H544" s="32" t="str">
        <f ca="1">+IF(B544&gt;'sap nuevo'!$V$1,"cargar",IF(C544="","cargar","pagado"))</f>
        <v>cargar</v>
      </c>
      <c r="I544" s="32">
        <f t="shared" si="84"/>
        <v>2025</v>
      </c>
      <c r="J544" s="32">
        <f t="shared" si="85"/>
        <v>8</v>
      </c>
    </row>
    <row r="545" spans="1:10" x14ac:dyDescent="0.25">
      <c r="A545" t="s">
        <v>20</v>
      </c>
      <c r="B545" t="s">
        <v>156</v>
      </c>
      <c r="C545">
        <v>97123705</v>
      </c>
      <c r="D545">
        <v>140</v>
      </c>
      <c r="E545" s="4">
        <v>-8318980.5999999996</v>
      </c>
      <c r="F545" t="s">
        <v>62</v>
      </c>
      <c r="G545">
        <v>0</v>
      </c>
      <c r="H545" s="32" t="str">
        <f ca="1">+IF(B545&gt;'sap nuevo'!$V$1,"cargar",IF(C545="","cargar","pagado"))</f>
        <v>cargar</v>
      </c>
      <c r="I545" s="32">
        <f t="shared" si="84"/>
        <v>2025</v>
      </c>
      <c r="J545" s="32">
        <f t="shared" si="85"/>
        <v>8</v>
      </c>
    </row>
    <row r="546" spans="1:10" x14ac:dyDescent="0.25">
      <c r="A546" t="s">
        <v>20</v>
      </c>
      <c r="B546" t="s">
        <v>156</v>
      </c>
      <c r="C546">
        <v>97123696</v>
      </c>
      <c r="D546">
        <v>140</v>
      </c>
      <c r="E546" s="4">
        <v>-8242094.2599999998</v>
      </c>
      <c r="F546" t="s">
        <v>62</v>
      </c>
      <c r="G546">
        <v>0</v>
      </c>
      <c r="H546" s="32" t="str">
        <f ca="1">+IF(B546&gt;'sap nuevo'!$V$1,"cargar",IF(C546="","cargar","pagado"))</f>
        <v>cargar</v>
      </c>
      <c r="I546" s="32">
        <f t="shared" si="84"/>
        <v>2025</v>
      </c>
      <c r="J546" s="32">
        <f t="shared" si="85"/>
        <v>8</v>
      </c>
    </row>
    <row r="547" spans="1:10" x14ac:dyDescent="0.25">
      <c r="A547" t="s">
        <v>20</v>
      </c>
      <c r="B547" t="s">
        <v>156</v>
      </c>
      <c r="C547">
        <v>97123701</v>
      </c>
      <c r="D547">
        <v>140</v>
      </c>
      <c r="E547" s="4">
        <v>-6884097.5999999996</v>
      </c>
      <c r="F547" t="s">
        <v>62</v>
      </c>
      <c r="G547">
        <v>0</v>
      </c>
      <c r="H547" s="32" t="str">
        <f ca="1">+IF(B547&gt;'sap nuevo'!$V$1,"cargar",IF(C547="","cargar","pagado"))</f>
        <v>cargar</v>
      </c>
      <c r="I547" s="32">
        <f t="shared" ref="I547" si="86">+YEAR(B547)</f>
        <v>2025</v>
      </c>
      <c r="J547" s="32">
        <f t="shared" ref="J547" si="87">+MONTH(B547)</f>
        <v>8</v>
      </c>
    </row>
    <row r="548" spans="1:10" x14ac:dyDescent="0.25">
      <c r="A548" t="s">
        <v>20</v>
      </c>
      <c r="B548" t="s">
        <v>156</v>
      </c>
      <c r="C548">
        <v>97123699</v>
      </c>
      <c r="D548">
        <v>140</v>
      </c>
      <c r="E548" s="4">
        <v>-4970121.51</v>
      </c>
      <c r="F548" t="s">
        <v>62</v>
      </c>
      <c r="G548">
        <v>0</v>
      </c>
      <c r="H548" s="32" t="str">
        <f ca="1">+IF(B548&gt;'sap nuevo'!$V$1,"cargar",IF(C548="","cargar","pagado"))</f>
        <v>cargar</v>
      </c>
      <c r="I548" s="32">
        <f t="shared" ref="I548:I549" si="88">+YEAR(B548)</f>
        <v>2025</v>
      </c>
      <c r="J548" s="32">
        <f t="shared" ref="J548:J549" si="89">+MONTH(B548)</f>
        <v>8</v>
      </c>
    </row>
    <row r="549" spans="1:10" x14ac:dyDescent="0.25">
      <c r="A549" t="s">
        <v>20</v>
      </c>
      <c r="B549" t="s">
        <v>156</v>
      </c>
      <c r="C549">
        <v>97123698</v>
      </c>
      <c r="D549">
        <v>140</v>
      </c>
      <c r="E549" s="4">
        <v>-4803570.42</v>
      </c>
      <c r="F549" t="s">
        <v>62</v>
      </c>
      <c r="G549">
        <v>0</v>
      </c>
      <c r="H549" s="32" t="str">
        <f ca="1">+IF(B549&gt;'sap nuevo'!$V$1,"cargar",IF(C549="","cargar","pagado"))</f>
        <v>cargar</v>
      </c>
      <c r="I549" s="32">
        <f t="shared" si="88"/>
        <v>2025</v>
      </c>
      <c r="J549" s="32">
        <f t="shared" si="89"/>
        <v>8</v>
      </c>
    </row>
    <row r="550" spans="1:10" x14ac:dyDescent="0.25">
      <c r="A550" t="s">
        <v>12</v>
      </c>
      <c r="B550" t="s">
        <v>156</v>
      </c>
      <c r="C550">
        <v>97123700</v>
      </c>
      <c r="D550">
        <v>140</v>
      </c>
      <c r="E550" s="4">
        <v>-3402292.44</v>
      </c>
      <c r="F550" t="s">
        <v>63</v>
      </c>
      <c r="G550">
        <v>0</v>
      </c>
      <c r="H550" s="32" t="str">
        <f ca="1">+IF(B550&gt;'sap nuevo'!$V$1,"cargar",IF(C550="","cargar","pagado"))</f>
        <v>cargar</v>
      </c>
      <c r="I550" s="32">
        <f t="shared" ref="I550:I563" si="90">+YEAR(B550)</f>
        <v>2025</v>
      </c>
      <c r="J550" s="32">
        <f t="shared" ref="J550:J563" si="91">+MONTH(B550)</f>
        <v>8</v>
      </c>
    </row>
    <row r="551" spans="1:10" x14ac:dyDescent="0.25">
      <c r="A551" t="s">
        <v>20</v>
      </c>
      <c r="B551" t="s">
        <v>156</v>
      </c>
      <c r="C551">
        <v>97123706</v>
      </c>
      <c r="D551">
        <v>140</v>
      </c>
      <c r="E551" s="4">
        <v>-1112544</v>
      </c>
      <c r="F551" t="s">
        <v>62</v>
      </c>
      <c r="G551">
        <v>0</v>
      </c>
      <c r="H551" s="32" t="str">
        <f ca="1">+IF(B551&gt;'sap nuevo'!$V$1,"cargar",IF(C551="","cargar","pagado"))</f>
        <v>cargar</v>
      </c>
      <c r="I551" s="32">
        <f t="shared" si="90"/>
        <v>2025</v>
      </c>
      <c r="J551" s="32">
        <f t="shared" si="91"/>
        <v>8</v>
      </c>
    </row>
    <row r="552" spans="1:10" x14ac:dyDescent="0.25">
      <c r="A552" t="s">
        <v>20</v>
      </c>
      <c r="B552" t="s">
        <v>157</v>
      </c>
      <c r="C552">
        <v>97123719</v>
      </c>
      <c r="D552">
        <v>140</v>
      </c>
      <c r="E552" s="4">
        <v>-26103957.030000001</v>
      </c>
      <c r="F552" t="s">
        <v>62</v>
      </c>
      <c r="G552">
        <v>0</v>
      </c>
      <c r="H552" s="32" t="str">
        <f ca="1">+IF(B552&gt;'sap nuevo'!$V$1,"cargar",IF(C552="","cargar","pagado"))</f>
        <v>cargar</v>
      </c>
      <c r="I552" s="32">
        <f t="shared" si="90"/>
        <v>2025</v>
      </c>
      <c r="J552" s="32">
        <f t="shared" si="91"/>
        <v>8</v>
      </c>
    </row>
    <row r="553" spans="1:10" x14ac:dyDescent="0.25">
      <c r="A553" t="s">
        <v>12</v>
      </c>
      <c r="B553" t="s">
        <v>157</v>
      </c>
      <c r="C553">
        <v>97123717</v>
      </c>
      <c r="D553">
        <v>140</v>
      </c>
      <c r="E553" s="4">
        <v>-26065644</v>
      </c>
      <c r="F553" t="s">
        <v>63</v>
      </c>
      <c r="G553">
        <v>0</v>
      </c>
      <c r="H553" s="32" t="str">
        <f ca="1">+IF(B553&gt;'sap nuevo'!$V$1,"cargar",IF(C553="","cargar","pagado"))</f>
        <v>cargar</v>
      </c>
      <c r="I553" s="32">
        <f t="shared" si="90"/>
        <v>2025</v>
      </c>
      <c r="J553" s="32">
        <f t="shared" si="91"/>
        <v>8</v>
      </c>
    </row>
    <row r="554" spans="1:10" x14ac:dyDescent="0.25">
      <c r="A554" t="s">
        <v>20</v>
      </c>
      <c r="B554" t="s">
        <v>157</v>
      </c>
      <c r="C554">
        <v>97123712</v>
      </c>
      <c r="D554">
        <v>140</v>
      </c>
      <c r="E554" s="4">
        <v>-17991278.920000002</v>
      </c>
      <c r="F554" t="s">
        <v>62</v>
      </c>
      <c r="G554">
        <v>0</v>
      </c>
      <c r="H554" s="32" t="str">
        <f ca="1">+IF(B554&gt;'sap nuevo'!$V$1,"cargar",IF(C554="","cargar","pagado"))</f>
        <v>cargar</v>
      </c>
      <c r="I554" s="32">
        <f t="shared" si="90"/>
        <v>2025</v>
      </c>
      <c r="J554" s="32">
        <f t="shared" si="91"/>
        <v>8</v>
      </c>
    </row>
    <row r="555" spans="1:10" x14ac:dyDescent="0.25">
      <c r="A555" t="s">
        <v>12</v>
      </c>
      <c r="B555" t="s">
        <v>157</v>
      </c>
      <c r="C555">
        <v>97123708</v>
      </c>
      <c r="D555">
        <v>140</v>
      </c>
      <c r="E555" s="4">
        <v>-12700600.84</v>
      </c>
      <c r="F555" t="s">
        <v>63</v>
      </c>
      <c r="G555">
        <v>0</v>
      </c>
      <c r="H555" s="32" t="str">
        <f ca="1">+IF(B555&gt;'sap nuevo'!$V$1,"cargar",IF(C555="","cargar","pagado"))</f>
        <v>cargar</v>
      </c>
      <c r="I555" s="32">
        <f t="shared" si="90"/>
        <v>2025</v>
      </c>
      <c r="J555" s="32">
        <f t="shared" si="91"/>
        <v>8</v>
      </c>
    </row>
    <row r="556" spans="1:10" x14ac:dyDescent="0.25">
      <c r="A556" t="s">
        <v>20</v>
      </c>
      <c r="B556" t="s">
        <v>157</v>
      </c>
      <c r="C556">
        <v>97123710</v>
      </c>
      <c r="D556">
        <v>140</v>
      </c>
      <c r="E556" s="4">
        <v>-12252177.49</v>
      </c>
      <c r="F556" t="s">
        <v>62</v>
      </c>
      <c r="G556">
        <v>0</v>
      </c>
      <c r="H556" s="32" t="str">
        <f ca="1">+IF(B556&gt;'sap nuevo'!$V$1,"cargar",IF(C556="","cargar","pagado"))</f>
        <v>cargar</v>
      </c>
      <c r="I556" s="32">
        <f t="shared" si="90"/>
        <v>2025</v>
      </c>
      <c r="J556" s="32">
        <f t="shared" si="91"/>
        <v>8</v>
      </c>
    </row>
    <row r="557" spans="1:10" x14ac:dyDescent="0.25">
      <c r="A557" t="s">
        <v>20</v>
      </c>
      <c r="B557" t="s">
        <v>157</v>
      </c>
      <c r="C557">
        <v>97123713</v>
      </c>
      <c r="D557">
        <v>140</v>
      </c>
      <c r="E557" s="4">
        <v>-11788512.98</v>
      </c>
      <c r="F557" t="s">
        <v>62</v>
      </c>
      <c r="G557">
        <v>0</v>
      </c>
      <c r="H557" s="32" t="str">
        <f ca="1">+IF(B557&gt;'sap nuevo'!$V$1,"cargar",IF(C557="","cargar","pagado"))</f>
        <v>cargar</v>
      </c>
      <c r="I557" s="32">
        <f t="shared" si="90"/>
        <v>2025</v>
      </c>
      <c r="J557" s="32">
        <f t="shared" si="91"/>
        <v>8</v>
      </c>
    </row>
    <row r="558" spans="1:10" x14ac:dyDescent="0.25">
      <c r="A558" t="s">
        <v>20</v>
      </c>
      <c r="B558" t="s">
        <v>157</v>
      </c>
      <c r="C558">
        <v>97123714</v>
      </c>
      <c r="D558">
        <v>140</v>
      </c>
      <c r="E558" s="4">
        <v>-11770724.58</v>
      </c>
      <c r="F558" t="s">
        <v>62</v>
      </c>
      <c r="G558">
        <v>0</v>
      </c>
      <c r="H558" s="32" t="str">
        <f ca="1">+IF(B558&gt;'sap nuevo'!$V$1,"cargar",IF(C558="","cargar","pagado"))</f>
        <v>cargar</v>
      </c>
      <c r="I558" s="32">
        <f t="shared" si="90"/>
        <v>2025</v>
      </c>
      <c r="J558" s="32">
        <f t="shared" si="91"/>
        <v>8</v>
      </c>
    </row>
    <row r="559" spans="1:10" x14ac:dyDescent="0.25">
      <c r="A559" t="s">
        <v>12</v>
      </c>
      <c r="B559" t="s">
        <v>157</v>
      </c>
      <c r="C559">
        <v>97123709</v>
      </c>
      <c r="D559">
        <v>140</v>
      </c>
      <c r="E559" s="4">
        <v>-11385065.310000001</v>
      </c>
      <c r="F559" t="s">
        <v>63</v>
      </c>
      <c r="G559">
        <v>0</v>
      </c>
      <c r="H559" s="32" t="str">
        <f ca="1">+IF(B559&gt;'sap nuevo'!$V$1,"cargar",IF(C559="","cargar","pagado"))</f>
        <v>cargar</v>
      </c>
      <c r="I559" s="32">
        <f t="shared" si="90"/>
        <v>2025</v>
      </c>
      <c r="J559" s="32">
        <f t="shared" si="91"/>
        <v>8</v>
      </c>
    </row>
    <row r="560" spans="1:10" x14ac:dyDescent="0.25">
      <c r="A560" t="s">
        <v>20</v>
      </c>
      <c r="B560" t="s">
        <v>157</v>
      </c>
      <c r="C560">
        <v>97123707</v>
      </c>
      <c r="D560">
        <v>140</v>
      </c>
      <c r="E560" s="4">
        <v>-9387580</v>
      </c>
      <c r="F560" t="s">
        <v>62</v>
      </c>
      <c r="G560">
        <v>0</v>
      </c>
      <c r="H560" s="32" t="str">
        <f ca="1">+IF(B560&gt;'sap nuevo'!$V$1,"cargar",IF(C560="","cargar","pagado"))</f>
        <v>cargar</v>
      </c>
      <c r="I560" s="32">
        <f t="shared" si="90"/>
        <v>2025</v>
      </c>
      <c r="J560" s="32">
        <f t="shared" si="91"/>
        <v>8</v>
      </c>
    </row>
    <row r="561" spans="1:10" x14ac:dyDescent="0.25">
      <c r="A561" t="s">
        <v>20</v>
      </c>
      <c r="B561" t="s">
        <v>158</v>
      </c>
      <c r="C561">
        <v>97123715</v>
      </c>
      <c r="D561">
        <v>140</v>
      </c>
      <c r="E561" s="4">
        <v>-16164153.4</v>
      </c>
      <c r="F561" t="s">
        <v>62</v>
      </c>
      <c r="G561">
        <v>0</v>
      </c>
      <c r="H561" s="32" t="str">
        <f ca="1">+IF(B561&gt;'sap nuevo'!$V$1,"cargar",IF(C561="","cargar","pagado"))</f>
        <v>cargar</v>
      </c>
      <c r="I561" s="32">
        <f t="shared" si="90"/>
        <v>2025</v>
      </c>
      <c r="J561" s="32">
        <f t="shared" si="91"/>
        <v>8</v>
      </c>
    </row>
    <row r="562" spans="1:10" x14ac:dyDescent="0.25">
      <c r="A562" t="s">
        <v>20</v>
      </c>
      <c r="B562" t="s">
        <v>158</v>
      </c>
      <c r="C562">
        <v>97123711</v>
      </c>
      <c r="D562">
        <v>140</v>
      </c>
      <c r="E562" s="4">
        <v>-13417977.24</v>
      </c>
      <c r="F562" t="s">
        <v>62</v>
      </c>
      <c r="G562">
        <v>0</v>
      </c>
      <c r="H562" s="32" t="str">
        <f ca="1">+IF(B562&gt;'sap nuevo'!$V$1,"cargar",IF(C562="","cargar","pagado"))</f>
        <v>cargar</v>
      </c>
      <c r="I562" s="32">
        <f t="shared" si="90"/>
        <v>2025</v>
      </c>
      <c r="J562" s="32">
        <f t="shared" si="91"/>
        <v>8</v>
      </c>
    </row>
    <row r="563" spans="1:10" x14ac:dyDescent="0.25">
      <c r="A563" t="s">
        <v>20</v>
      </c>
      <c r="B563" t="s">
        <v>319</v>
      </c>
      <c r="C563">
        <v>97123716</v>
      </c>
      <c r="D563">
        <v>140</v>
      </c>
      <c r="E563" s="4">
        <v>-19830874.280000001</v>
      </c>
      <c r="F563" t="s">
        <v>62</v>
      </c>
      <c r="G563">
        <v>0</v>
      </c>
      <c r="H563" s="32" t="str">
        <f ca="1">+IF(B563&gt;'sap nuevo'!$V$1,"cargar",IF(C563="","cargar","pagado"))</f>
        <v>cargar</v>
      </c>
      <c r="I563" s="32">
        <f t="shared" si="90"/>
        <v>2025</v>
      </c>
      <c r="J563" s="32">
        <f t="shared" si="91"/>
        <v>8</v>
      </c>
    </row>
    <row r="564" spans="1:10" x14ac:dyDescent="0.25">
      <c r="A564" t="s">
        <v>20</v>
      </c>
      <c r="B564" t="s">
        <v>501</v>
      </c>
      <c r="C564">
        <v>97123720</v>
      </c>
      <c r="D564">
        <v>140</v>
      </c>
      <c r="E564" s="4">
        <v>-1384844.74</v>
      </c>
      <c r="F564" t="s">
        <v>62</v>
      </c>
      <c r="G564">
        <v>0</v>
      </c>
      <c r="H564" s="32" t="str">
        <f ca="1">+IF(B564&gt;'sap nuevo'!$V$1,"cargar",IF(C564="","cargar","pagado"))</f>
        <v>cargar</v>
      </c>
      <c r="I564" s="32">
        <f t="shared" ref="I564:I586" si="92">+YEAR(B564)</f>
        <v>2025</v>
      </c>
      <c r="J564" s="32">
        <f t="shared" ref="J564:J586" si="93">+MONTH(B564)</f>
        <v>8</v>
      </c>
    </row>
    <row r="565" spans="1:10" x14ac:dyDescent="0.25">
      <c r="A565" t="s">
        <v>12</v>
      </c>
      <c r="B565" t="s">
        <v>159</v>
      </c>
      <c r="C565">
        <v>97121392</v>
      </c>
      <c r="D565">
        <v>140</v>
      </c>
      <c r="E565" s="4">
        <v>-42242070</v>
      </c>
      <c r="F565" t="s">
        <v>63</v>
      </c>
      <c r="G565">
        <v>0</v>
      </c>
      <c r="H565" s="32" t="str">
        <f ca="1">+IF(B565&gt;'sap nuevo'!$V$1,"cargar",IF(C565="","cargar","pagado"))</f>
        <v>cargar</v>
      </c>
      <c r="I565" s="32">
        <f t="shared" si="92"/>
        <v>2025</v>
      </c>
      <c r="J565" s="32">
        <f t="shared" si="93"/>
        <v>8</v>
      </c>
    </row>
    <row r="566" spans="1:10" x14ac:dyDescent="0.25">
      <c r="A566" t="s">
        <v>12</v>
      </c>
      <c r="B566" t="s">
        <v>159</v>
      </c>
      <c r="C566">
        <v>97123726</v>
      </c>
      <c r="D566">
        <v>140</v>
      </c>
      <c r="E566" s="4">
        <v>-20000000</v>
      </c>
      <c r="F566" t="s">
        <v>63</v>
      </c>
      <c r="G566">
        <v>0</v>
      </c>
      <c r="H566" s="32" t="str">
        <f ca="1">+IF(B566&gt;'sap nuevo'!$V$1,"cargar",IF(C566="","cargar","pagado"))</f>
        <v>cargar</v>
      </c>
      <c r="I566" s="32">
        <f t="shared" si="92"/>
        <v>2025</v>
      </c>
      <c r="J566" s="32">
        <f t="shared" si="93"/>
        <v>8</v>
      </c>
    </row>
    <row r="567" spans="1:10" x14ac:dyDescent="0.25">
      <c r="A567" t="s">
        <v>20</v>
      </c>
      <c r="B567" t="s">
        <v>159</v>
      </c>
      <c r="C567">
        <v>97123735</v>
      </c>
      <c r="D567">
        <v>140</v>
      </c>
      <c r="E567" s="4">
        <v>-20000000</v>
      </c>
      <c r="F567" t="s">
        <v>62</v>
      </c>
      <c r="G567">
        <v>0</v>
      </c>
      <c r="H567" s="32" t="str">
        <f ca="1">+IF(B567&gt;'sap nuevo'!$V$1,"cargar",IF(C567="","cargar","pagado"))</f>
        <v>cargar</v>
      </c>
      <c r="I567" s="32">
        <f t="shared" si="92"/>
        <v>2025</v>
      </c>
      <c r="J567" s="32">
        <f t="shared" si="93"/>
        <v>8</v>
      </c>
    </row>
    <row r="568" spans="1:10" x14ac:dyDescent="0.25">
      <c r="A568" t="s">
        <v>20</v>
      </c>
      <c r="B568" t="s">
        <v>159</v>
      </c>
      <c r="C568">
        <v>97123737</v>
      </c>
      <c r="D568">
        <v>140</v>
      </c>
      <c r="E568" s="4">
        <v>-14951104.9</v>
      </c>
      <c r="F568" t="s">
        <v>62</v>
      </c>
      <c r="G568">
        <v>0</v>
      </c>
      <c r="H568" s="32" t="str">
        <f ca="1">+IF(B568&gt;'sap nuevo'!$V$1,"cargar",IF(C568="","cargar","pagado"))</f>
        <v>cargar</v>
      </c>
      <c r="I568" s="32">
        <f t="shared" si="92"/>
        <v>2025</v>
      </c>
      <c r="J568" s="32">
        <f t="shared" si="93"/>
        <v>8</v>
      </c>
    </row>
    <row r="569" spans="1:10" x14ac:dyDescent="0.25">
      <c r="A569" t="s">
        <v>20</v>
      </c>
      <c r="B569" t="s">
        <v>159</v>
      </c>
      <c r="C569">
        <v>97123725</v>
      </c>
      <c r="D569">
        <v>140</v>
      </c>
      <c r="E569" s="4">
        <v>-13912949.449999999</v>
      </c>
      <c r="F569" t="s">
        <v>62</v>
      </c>
      <c r="G569">
        <v>0</v>
      </c>
      <c r="H569" s="32" t="str">
        <f ca="1">+IF(B569&gt;'sap nuevo'!$V$1,"cargar",IF(C569="","cargar","pagado"))</f>
        <v>cargar</v>
      </c>
      <c r="I569" s="32">
        <f t="shared" si="92"/>
        <v>2025</v>
      </c>
      <c r="J569" s="32">
        <f t="shared" si="93"/>
        <v>8</v>
      </c>
    </row>
    <row r="570" spans="1:10" x14ac:dyDescent="0.25">
      <c r="A570" t="s">
        <v>20</v>
      </c>
      <c r="B570" t="s">
        <v>159</v>
      </c>
      <c r="C570">
        <v>97123744</v>
      </c>
      <c r="D570">
        <v>140</v>
      </c>
      <c r="E570" s="4">
        <v>-12624451.779999999</v>
      </c>
      <c r="F570" t="s">
        <v>62</v>
      </c>
      <c r="G570">
        <v>0</v>
      </c>
      <c r="H570" s="32" t="str">
        <f ca="1">+IF(B570&gt;'sap nuevo'!$V$1,"cargar",IF(C570="","cargar","pagado"))</f>
        <v>cargar</v>
      </c>
      <c r="I570" s="32">
        <f t="shared" si="92"/>
        <v>2025</v>
      </c>
      <c r="J570" s="32">
        <f t="shared" si="93"/>
        <v>8</v>
      </c>
    </row>
    <row r="571" spans="1:10" x14ac:dyDescent="0.25">
      <c r="A571" t="s">
        <v>20</v>
      </c>
      <c r="B571" t="s">
        <v>159</v>
      </c>
      <c r="C571">
        <v>97123738</v>
      </c>
      <c r="D571">
        <v>140</v>
      </c>
      <c r="E571" s="4">
        <v>-12543082.6</v>
      </c>
      <c r="F571" t="s">
        <v>62</v>
      </c>
      <c r="G571">
        <v>0</v>
      </c>
      <c r="H571" s="32" t="str">
        <f ca="1">+IF(B571&gt;'sap nuevo'!$V$1,"cargar",IF(C571="","cargar","pagado"))</f>
        <v>cargar</v>
      </c>
      <c r="I571" s="32">
        <f t="shared" si="92"/>
        <v>2025</v>
      </c>
      <c r="J571" s="32">
        <f t="shared" si="93"/>
        <v>8</v>
      </c>
    </row>
    <row r="572" spans="1:10" x14ac:dyDescent="0.25">
      <c r="A572" t="s">
        <v>20</v>
      </c>
      <c r="B572" t="s">
        <v>159</v>
      </c>
      <c r="C572">
        <v>97123730</v>
      </c>
      <c r="D572">
        <v>140</v>
      </c>
      <c r="E572" s="4">
        <v>-10333116.41</v>
      </c>
      <c r="F572" t="s">
        <v>62</v>
      </c>
      <c r="G572">
        <v>0</v>
      </c>
      <c r="H572" s="32" t="str">
        <f ca="1">+IF(B572&gt;'sap nuevo'!$V$1,"cargar",IF(C572="","cargar","pagado"))</f>
        <v>cargar</v>
      </c>
      <c r="I572" s="32">
        <f t="shared" si="92"/>
        <v>2025</v>
      </c>
      <c r="J572" s="32">
        <f t="shared" si="93"/>
        <v>8</v>
      </c>
    </row>
    <row r="573" spans="1:10" x14ac:dyDescent="0.25">
      <c r="A573" t="s">
        <v>20</v>
      </c>
      <c r="B573" t="s">
        <v>159</v>
      </c>
      <c r="C573">
        <v>97123728</v>
      </c>
      <c r="D573">
        <v>140</v>
      </c>
      <c r="E573" s="4">
        <v>-10000000</v>
      </c>
      <c r="F573" t="s">
        <v>62</v>
      </c>
      <c r="G573">
        <v>0</v>
      </c>
      <c r="H573" s="32" t="str">
        <f ca="1">+IF(B573&gt;'sap nuevo'!$V$1,"cargar",IF(C573="","cargar","pagado"))</f>
        <v>cargar</v>
      </c>
      <c r="I573" s="32">
        <f t="shared" si="92"/>
        <v>2025</v>
      </c>
      <c r="J573" s="32">
        <f t="shared" si="93"/>
        <v>8</v>
      </c>
    </row>
    <row r="574" spans="1:10" x14ac:dyDescent="0.25">
      <c r="A574" t="s">
        <v>12</v>
      </c>
      <c r="B574" t="s">
        <v>159</v>
      </c>
      <c r="C574">
        <v>97123731</v>
      </c>
      <c r="D574">
        <v>140</v>
      </c>
      <c r="E574" s="4">
        <v>-10000000</v>
      </c>
      <c r="F574" t="s">
        <v>63</v>
      </c>
      <c r="G574">
        <v>0</v>
      </c>
      <c r="H574" s="32" t="str">
        <f ca="1">+IF(B574&gt;'sap nuevo'!$V$1,"cargar",IF(C574="","cargar","pagado"))</f>
        <v>cargar</v>
      </c>
      <c r="I574" s="32">
        <f t="shared" si="92"/>
        <v>2025</v>
      </c>
      <c r="J574" s="32">
        <f t="shared" si="93"/>
        <v>8</v>
      </c>
    </row>
    <row r="575" spans="1:10" x14ac:dyDescent="0.25">
      <c r="A575" t="s">
        <v>12</v>
      </c>
      <c r="B575" t="s">
        <v>159</v>
      </c>
      <c r="C575">
        <v>97123739</v>
      </c>
      <c r="D575">
        <v>140</v>
      </c>
      <c r="E575" s="4">
        <v>-8718590.7699999996</v>
      </c>
      <c r="F575" t="s">
        <v>63</v>
      </c>
      <c r="G575">
        <v>0</v>
      </c>
      <c r="H575" s="32" t="str">
        <f ca="1">+IF(B575&gt;'sap nuevo'!$V$1,"cargar",IF(C575="","cargar","pagado"))</f>
        <v>cargar</v>
      </c>
      <c r="I575" s="32">
        <f t="shared" si="92"/>
        <v>2025</v>
      </c>
      <c r="J575" s="32">
        <f t="shared" si="93"/>
        <v>8</v>
      </c>
    </row>
    <row r="576" spans="1:10" x14ac:dyDescent="0.25">
      <c r="A576" t="s">
        <v>20</v>
      </c>
      <c r="B576" t="s">
        <v>159</v>
      </c>
      <c r="C576">
        <v>97123742</v>
      </c>
      <c r="D576">
        <v>140</v>
      </c>
      <c r="E576" s="4">
        <v>-7161955.1500000004</v>
      </c>
      <c r="F576" t="s">
        <v>62</v>
      </c>
      <c r="G576">
        <v>0</v>
      </c>
      <c r="H576" s="32" t="str">
        <f ca="1">+IF(B576&gt;'sap nuevo'!$V$1,"cargar",IF(C576="","cargar","pagado"))</f>
        <v>cargar</v>
      </c>
      <c r="I576" s="32">
        <f t="shared" si="92"/>
        <v>2025</v>
      </c>
      <c r="J576" s="32">
        <f t="shared" si="93"/>
        <v>8</v>
      </c>
    </row>
    <row r="577" spans="1:10" x14ac:dyDescent="0.25">
      <c r="A577" t="s">
        <v>20</v>
      </c>
      <c r="B577" t="s">
        <v>159</v>
      </c>
      <c r="C577">
        <v>97123743</v>
      </c>
      <c r="D577">
        <v>140</v>
      </c>
      <c r="E577" s="4">
        <v>-5967264.0999999996</v>
      </c>
      <c r="F577" t="s">
        <v>62</v>
      </c>
      <c r="G577">
        <v>0</v>
      </c>
      <c r="H577" s="32" t="str">
        <f ca="1">+IF(B577&gt;'sap nuevo'!$V$1,"cargar",IF(C577="","cargar","pagado"))</f>
        <v>cargar</v>
      </c>
      <c r="I577" s="32">
        <f t="shared" si="92"/>
        <v>2025</v>
      </c>
      <c r="J577" s="32">
        <f t="shared" si="93"/>
        <v>8</v>
      </c>
    </row>
    <row r="578" spans="1:10" x14ac:dyDescent="0.25">
      <c r="A578" t="s">
        <v>12</v>
      </c>
      <c r="B578" t="s">
        <v>159</v>
      </c>
      <c r="C578">
        <v>97123722</v>
      </c>
      <c r="D578">
        <v>140</v>
      </c>
      <c r="E578" s="4">
        <v>-4231185.1500000004</v>
      </c>
      <c r="F578" t="s">
        <v>63</v>
      </c>
      <c r="G578">
        <v>0</v>
      </c>
      <c r="H578" s="32" t="str">
        <f ca="1">+IF(B578&gt;'sap nuevo'!$V$1,"cargar",IF(C578="","cargar","pagado"))</f>
        <v>cargar</v>
      </c>
      <c r="I578" s="32">
        <f t="shared" si="92"/>
        <v>2025</v>
      </c>
      <c r="J578" s="32">
        <f t="shared" si="93"/>
        <v>8</v>
      </c>
    </row>
    <row r="579" spans="1:10" x14ac:dyDescent="0.25">
      <c r="A579" t="s">
        <v>20</v>
      </c>
      <c r="B579" t="s">
        <v>159</v>
      </c>
      <c r="C579">
        <v>97123740</v>
      </c>
      <c r="D579">
        <v>140</v>
      </c>
      <c r="E579" s="4">
        <v>-3162384.97</v>
      </c>
      <c r="F579" t="s">
        <v>62</v>
      </c>
      <c r="G579">
        <v>0</v>
      </c>
      <c r="H579" s="32" t="str">
        <f ca="1">+IF(B579&gt;'sap nuevo'!$V$1,"cargar",IF(C579="","cargar","pagado"))</f>
        <v>cargar</v>
      </c>
      <c r="I579" s="32">
        <f t="shared" si="92"/>
        <v>2025</v>
      </c>
      <c r="J579" s="32">
        <f t="shared" si="93"/>
        <v>8</v>
      </c>
    </row>
    <row r="580" spans="1:10" x14ac:dyDescent="0.25">
      <c r="A580" t="s">
        <v>20</v>
      </c>
      <c r="B580" t="s">
        <v>159</v>
      </c>
      <c r="C580">
        <v>97123721</v>
      </c>
      <c r="D580">
        <v>140</v>
      </c>
      <c r="E580" s="4">
        <v>-3155226.27</v>
      </c>
      <c r="F580" t="s">
        <v>62</v>
      </c>
      <c r="G580">
        <v>0</v>
      </c>
      <c r="H580" s="32" t="str">
        <f ca="1">+IF(B580&gt;'sap nuevo'!$V$1,"cargar",IF(C580="","cargar","pagado"))</f>
        <v>cargar</v>
      </c>
      <c r="I580" s="32">
        <f t="shared" si="92"/>
        <v>2025</v>
      </c>
      <c r="J580" s="32">
        <f t="shared" si="93"/>
        <v>8</v>
      </c>
    </row>
    <row r="581" spans="1:10" x14ac:dyDescent="0.25">
      <c r="A581" t="s">
        <v>20</v>
      </c>
      <c r="B581" t="s">
        <v>159</v>
      </c>
      <c r="C581">
        <v>97123741</v>
      </c>
      <c r="D581">
        <v>140</v>
      </c>
      <c r="E581" s="4">
        <v>-3134290.72</v>
      </c>
      <c r="F581" t="s">
        <v>62</v>
      </c>
      <c r="G581">
        <v>0</v>
      </c>
      <c r="H581" s="32" t="str">
        <f ca="1">+IF(B581&gt;'sap nuevo'!$V$1,"cargar",IF(C581="","cargar","pagado"))</f>
        <v>cargar</v>
      </c>
      <c r="I581" s="32">
        <f t="shared" si="92"/>
        <v>2025</v>
      </c>
      <c r="J581" s="32">
        <f t="shared" si="93"/>
        <v>8</v>
      </c>
    </row>
    <row r="582" spans="1:10" x14ac:dyDescent="0.25">
      <c r="A582" t="s">
        <v>12</v>
      </c>
      <c r="B582" t="s">
        <v>160</v>
      </c>
      <c r="C582">
        <v>97123727</v>
      </c>
      <c r="D582">
        <v>140</v>
      </c>
      <c r="E582" s="4">
        <v>-16755093.4</v>
      </c>
      <c r="F582" t="s">
        <v>63</v>
      </c>
      <c r="G582">
        <v>0</v>
      </c>
      <c r="H582" s="32" t="str">
        <f ca="1">+IF(B582&gt;'sap nuevo'!$V$1,"cargar",IF(C582="","cargar","pagado"))</f>
        <v>cargar</v>
      </c>
      <c r="I582" s="32">
        <f t="shared" si="92"/>
        <v>2025</v>
      </c>
      <c r="J582" s="32">
        <f t="shared" si="93"/>
        <v>8</v>
      </c>
    </row>
    <row r="583" spans="1:10" x14ac:dyDescent="0.25">
      <c r="A583" t="s">
        <v>20</v>
      </c>
      <c r="B583" t="s">
        <v>160</v>
      </c>
      <c r="C583">
        <v>97123736</v>
      </c>
      <c r="D583">
        <v>140</v>
      </c>
      <c r="E583" s="4">
        <v>-13050449.43</v>
      </c>
      <c r="F583" t="s">
        <v>62</v>
      </c>
      <c r="G583">
        <v>0</v>
      </c>
      <c r="H583" s="32" t="str">
        <f ca="1">+IF(B583&gt;'sap nuevo'!$V$1,"cargar",IF(C583="","cargar","pagado"))</f>
        <v>cargar</v>
      </c>
      <c r="I583" s="32">
        <f t="shared" si="92"/>
        <v>2025</v>
      </c>
      <c r="J583" s="32">
        <f t="shared" si="93"/>
        <v>8</v>
      </c>
    </row>
    <row r="584" spans="1:10" x14ac:dyDescent="0.25">
      <c r="A584" t="s">
        <v>20</v>
      </c>
      <c r="B584" t="s">
        <v>160</v>
      </c>
      <c r="C584">
        <v>97123729</v>
      </c>
      <c r="D584">
        <v>140</v>
      </c>
      <c r="E584" s="4">
        <v>-10846843</v>
      </c>
      <c r="F584" t="s">
        <v>62</v>
      </c>
      <c r="G584">
        <v>0</v>
      </c>
      <c r="H584" s="32" t="str">
        <f ca="1">+IF(B584&gt;'sap nuevo'!$V$1,"cargar",IF(C584="","cargar","pagado"))</f>
        <v>cargar</v>
      </c>
      <c r="I584" s="32">
        <f t="shared" si="92"/>
        <v>2025</v>
      </c>
      <c r="J584" s="32">
        <f t="shared" si="93"/>
        <v>8</v>
      </c>
    </row>
    <row r="585" spans="1:10" x14ac:dyDescent="0.25">
      <c r="A585" t="s">
        <v>20</v>
      </c>
      <c r="B585" t="s">
        <v>160</v>
      </c>
      <c r="C585">
        <v>97123724</v>
      </c>
      <c r="D585">
        <v>140</v>
      </c>
      <c r="E585" s="4">
        <v>-9877000</v>
      </c>
      <c r="F585" t="s">
        <v>62</v>
      </c>
      <c r="G585">
        <v>0</v>
      </c>
      <c r="H585" s="32" t="str">
        <f ca="1">+IF(B585&gt;'sap nuevo'!$V$1,"cargar",IF(C585="","cargar","pagado"))</f>
        <v>cargar</v>
      </c>
      <c r="I585" s="32">
        <f t="shared" si="92"/>
        <v>2025</v>
      </c>
      <c r="J585" s="32">
        <f t="shared" si="93"/>
        <v>8</v>
      </c>
    </row>
    <row r="586" spans="1:10" x14ac:dyDescent="0.25">
      <c r="A586" t="s">
        <v>20</v>
      </c>
      <c r="B586" t="s">
        <v>160</v>
      </c>
      <c r="C586">
        <v>97123694</v>
      </c>
      <c r="D586">
        <v>140</v>
      </c>
      <c r="E586" s="4">
        <v>-7299857.4800000004</v>
      </c>
      <c r="F586" t="s">
        <v>62</v>
      </c>
      <c r="G586">
        <v>0</v>
      </c>
      <c r="H586" s="32" t="str">
        <f ca="1">+IF(B586&gt;'sap nuevo'!$V$1,"cargar",IF(C586="","cargar","pagado"))</f>
        <v>cargar</v>
      </c>
      <c r="I586" s="32">
        <f t="shared" si="92"/>
        <v>2025</v>
      </c>
      <c r="J586" s="32">
        <f t="shared" si="93"/>
        <v>8</v>
      </c>
    </row>
    <row r="587" spans="1:10" x14ac:dyDescent="0.25">
      <c r="A587" t="s">
        <v>12</v>
      </c>
      <c r="B587" t="s">
        <v>160</v>
      </c>
      <c r="C587">
        <v>97123732</v>
      </c>
      <c r="D587">
        <v>140</v>
      </c>
      <c r="E587" s="4">
        <v>-5749284.8200000003</v>
      </c>
      <c r="F587" t="s">
        <v>63</v>
      </c>
      <c r="G587">
        <v>0</v>
      </c>
      <c r="H587" s="32" t="str">
        <f ca="1">+IF(B587&gt;'sap nuevo'!$V$1,"cargar",IF(C587="","cargar","pagado"))</f>
        <v>cargar</v>
      </c>
      <c r="I587" s="32">
        <f t="shared" ref="I587:I596" si="94">+YEAR(B587)</f>
        <v>2025</v>
      </c>
      <c r="J587" s="32">
        <f t="shared" ref="J587:J596" si="95">+MONTH(B587)</f>
        <v>8</v>
      </c>
    </row>
    <row r="588" spans="1:10" x14ac:dyDescent="0.25">
      <c r="A588" t="s">
        <v>20</v>
      </c>
      <c r="B588" t="s">
        <v>161</v>
      </c>
      <c r="C588">
        <v>97123733</v>
      </c>
      <c r="D588">
        <v>140</v>
      </c>
      <c r="E588" s="4">
        <v>-20000000</v>
      </c>
      <c r="F588" t="s">
        <v>62</v>
      </c>
      <c r="G588">
        <v>0</v>
      </c>
      <c r="H588" s="32" t="str">
        <f ca="1">+IF(B588&gt;'sap nuevo'!$V$1,"cargar",IF(C588="","cargar","pagado"))</f>
        <v>cargar</v>
      </c>
      <c r="I588" s="32">
        <f t="shared" si="94"/>
        <v>2025</v>
      </c>
      <c r="J588" s="32">
        <f t="shared" si="95"/>
        <v>8</v>
      </c>
    </row>
    <row r="589" spans="1:10" x14ac:dyDescent="0.25">
      <c r="A589" t="s">
        <v>20</v>
      </c>
      <c r="B589" t="s">
        <v>161</v>
      </c>
      <c r="C589">
        <v>97123723</v>
      </c>
      <c r="D589">
        <v>140</v>
      </c>
      <c r="E589" s="4">
        <v>-16882817.82</v>
      </c>
      <c r="F589" t="s">
        <v>62</v>
      </c>
      <c r="G589">
        <v>0</v>
      </c>
      <c r="H589" s="32" t="str">
        <f ca="1">+IF(B589&gt;'sap nuevo'!$V$1,"cargar",IF(C589="","cargar","pagado"))</f>
        <v>cargar</v>
      </c>
      <c r="I589" s="32">
        <f t="shared" si="94"/>
        <v>2025</v>
      </c>
      <c r="J589" s="32">
        <f t="shared" si="95"/>
        <v>8</v>
      </c>
    </row>
    <row r="590" spans="1:10" x14ac:dyDescent="0.25">
      <c r="A590" t="s">
        <v>20</v>
      </c>
      <c r="B590" t="s">
        <v>162</v>
      </c>
      <c r="C590">
        <v>97123734</v>
      </c>
      <c r="D590">
        <v>140</v>
      </c>
      <c r="E590" s="4">
        <v>-14839987.42</v>
      </c>
      <c r="F590" t="s">
        <v>62</v>
      </c>
      <c r="G590">
        <v>0</v>
      </c>
      <c r="H590" s="32" t="str">
        <f ca="1">+IF(B590&gt;'sap nuevo'!$V$1,"cargar",IF(C590="","cargar","pagado"))</f>
        <v>cargar</v>
      </c>
      <c r="I590" s="32">
        <f t="shared" si="94"/>
        <v>2025</v>
      </c>
      <c r="J590" s="32">
        <f t="shared" si="95"/>
        <v>8</v>
      </c>
    </row>
    <row r="591" spans="1:10" x14ac:dyDescent="0.25">
      <c r="A591" t="s">
        <v>20</v>
      </c>
      <c r="B591" t="s">
        <v>320</v>
      </c>
      <c r="C591">
        <v>97123746</v>
      </c>
      <c r="D591">
        <v>140</v>
      </c>
      <c r="E591" s="4">
        <v>-8307421.4000000004</v>
      </c>
      <c r="F591" t="s">
        <v>62</v>
      </c>
      <c r="G591">
        <v>0</v>
      </c>
      <c r="H591" s="32" t="str">
        <f ca="1">+IF(B591&gt;'sap nuevo'!$V$1,"cargar",IF(C591="","cargar","pagado"))</f>
        <v>cargar</v>
      </c>
      <c r="I591" s="32">
        <f t="shared" si="94"/>
        <v>2025</v>
      </c>
      <c r="J591" s="32">
        <f t="shared" si="95"/>
        <v>8</v>
      </c>
    </row>
    <row r="592" spans="1:10" x14ac:dyDescent="0.25">
      <c r="A592" t="s">
        <v>20</v>
      </c>
      <c r="B592" t="s">
        <v>163</v>
      </c>
      <c r="C592">
        <v>97123747</v>
      </c>
      <c r="D592">
        <v>140</v>
      </c>
      <c r="E592" s="4">
        <v>-23055528.399999999</v>
      </c>
      <c r="F592" t="s">
        <v>62</v>
      </c>
      <c r="G592">
        <v>0</v>
      </c>
      <c r="H592" s="32" t="str">
        <f ca="1">+IF(B592&gt;'sap nuevo'!$V$1,"cargar",IF(C592="","cargar","pagado"))</f>
        <v>cargar</v>
      </c>
      <c r="I592" s="32">
        <f t="shared" si="94"/>
        <v>2025</v>
      </c>
      <c r="J592" s="32">
        <f t="shared" si="95"/>
        <v>8</v>
      </c>
    </row>
    <row r="593" spans="1:10" x14ac:dyDescent="0.25">
      <c r="A593" t="s">
        <v>20</v>
      </c>
      <c r="B593" t="s">
        <v>164</v>
      </c>
      <c r="C593">
        <v>97123745</v>
      </c>
      <c r="D593">
        <v>140</v>
      </c>
      <c r="E593" s="4">
        <v>-639115.56999999995</v>
      </c>
      <c r="F593" t="s">
        <v>62</v>
      </c>
      <c r="G593">
        <v>0</v>
      </c>
      <c r="H593" s="32" t="str">
        <f ca="1">+IF(B593&gt;'sap nuevo'!$V$1,"cargar",IF(C593="","cargar","pagado"))</f>
        <v>cargar</v>
      </c>
      <c r="I593" s="32">
        <f t="shared" si="94"/>
        <v>2025</v>
      </c>
      <c r="J593" s="32">
        <f t="shared" si="95"/>
        <v>8</v>
      </c>
    </row>
    <row r="594" spans="1:10" x14ac:dyDescent="0.25">
      <c r="A594" t="s">
        <v>20</v>
      </c>
      <c r="B594" t="s">
        <v>165</v>
      </c>
      <c r="C594">
        <v>97123762</v>
      </c>
      <c r="D594">
        <v>140</v>
      </c>
      <c r="E594" s="4">
        <v>-19182308.780000001</v>
      </c>
      <c r="F594" t="s">
        <v>62</v>
      </c>
      <c r="G594">
        <v>0</v>
      </c>
      <c r="H594" s="32" t="str">
        <f ca="1">+IF(B594&gt;'sap nuevo'!$V$1,"cargar",IF(C594="","cargar","pagado"))</f>
        <v>cargar</v>
      </c>
      <c r="I594" s="32">
        <f t="shared" si="94"/>
        <v>2025</v>
      </c>
      <c r="J594" s="32">
        <f t="shared" si="95"/>
        <v>8</v>
      </c>
    </row>
    <row r="595" spans="1:10" x14ac:dyDescent="0.25">
      <c r="A595" t="s">
        <v>12</v>
      </c>
      <c r="B595" t="s">
        <v>165</v>
      </c>
      <c r="C595">
        <v>97123759</v>
      </c>
      <c r="D595">
        <v>140</v>
      </c>
      <c r="E595" s="4">
        <v>-8990948.1500000004</v>
      </c>
      <c r="F595" t="s">
        <v>63</v>
      </c>
      <c r="G595">
        <v>0</v>
      </c>
      <c r="H595" s="32" t="str">
        <f ca="1">+IF(B595&gt;'sap nuevo'!$V$1,"cargar",IF(C595="","cargar","pagado"))</f>
        <v>cargar</v>
      </c>
      <c r="I595" s="32">
        <f t="shared" si="94"/>
        <v>2025</v>
      </c>
      <c r="J595" s="32">
        <f t="shared" si="95"/>
        <v>8</v>
      </c>
    </row>
    <row r="596" spans="1:10" x14ac:dyDescent="0.25">
      <c r="A596" t="s">
        <v>20</v>
      </c>
      <c r="B596" t="s">
        <v>165</v>
      </c>
      <c r="C596">
        <v>97123760</v>
      </c>
      <c r="D596">
        <v>140</v>
      </c>
      <c r="E596" s="4">
        <v>-7000000</v>
      </c>
      <c r="F596" t="s">
        <v>62</v>
      </c>
      <c r="G596">
        <v>0</v>
      </c>
      <c r="H596" s="32" t="str">
        <f ca="1">+IF(B596&gt;'sap nuevo'!$V$1,"cargar",IF(C596="","cargar","pagado"))</f>
        <v>cargar</v>
      </c>
      <c r="I596" s="32">
        <f t="shared" si="94"/>
        <v>2025</v>
      </c>
      <c r="J596" s="32">
        <f t="shared" si="95"/>
        <v>8</v>
      </c>
    </row>
    <row r="597" spans="1:10" x14ac:dyDescent="0.25">
      <c r="A597" t="s">
        <v>20</v>
      </c>
      <c r="B597" t="s">
        <v>165</v>
      </c>
      <c r="C597">
        <v>97123757</v>
      </c>
      <c r="D597">
        <v>140</v>
      </c>
      <c r="E597" s="4">
        <v>-6488249</v>
      </c>
      <c r="F597" t="s">
        <v>62</v>
      </c>
      <c r="G597">
        <v>0</v>
      </c>
      <c r="H597" s="32" t="str">
        <f ca="1">+IF(B597&gt;'sap nuevo'!$V$1,"cargar",IF(C597="","cargar","pagado"))</f>
        <v>cargar</v>
      </c>
      <c r="I597" s="32">
        <f t="shared" ref="I597:I636" si="96">+YEAR(B597)</f>
        <v>2025</v>
      </c>
      <c r="J597" s="32">
        <f t="shared" ref="J597:J636" si="97">+MONTH(B597)</f>
        <v>8</v>
      </c>
    </row>
    <row r="598" spans="1:10" x14ac:dyDescent="0.25">
      <c r="A598" t="s">
        <v>12</v>
      </c>
      <c r="B598" t="s">
        <v>165</v>
      </c>
      <c r="C598">
        <v>97123756</v>
      </c>
      <c r="D598">
        <v>140</v>
      </c>
      <c r="E598" s="4">
        <v>-5077040.5</v>
      </c>
      <c r="F598" t="s">
        <v>63</v>
      </c>
      <c r="G598">
        <v>0</v>
      </c>
      <c r="H598" s="32" t="str">
        <f ca="1">+IF(B598&gt;'sap nuevo'!$V$1,"cargar",IF(C598="","cargar","pagado"))</f>
        <v>cargar</v>
      </c>
      <c r="I598" s="32">
        <f t="shared" si="96"/>
        <v>2025</v>
      </c>
      <c r="J598" s="32">
        <f t="shared" si="97"/>
        <v>8</v>
      </c>
    </row>
    <row r="599" spans="1:10" x14ac:dyDescent="0.25">
      <c r="A599" t="s">
        <v>20</v>
      </c>
      <c r="B599" t="s">
        <v>165</v>
      </c>
      <c r="C599">
        <v>97123702</v>
      </c>
      <c r="D599">
        <v>140</v>
      </c>
      <c r="E599" s="4">
        <v>-1595040.73</v>
      </c>
      <c r="F599" t="s">
        <v>62</v>
      </c>
      <c r="G599">
        <v>0</v>
      </c>
      <c r="H599" s="32" t="str">
        <f ca="1">+IF(B599&gt;'sap nuevo'!$V$1,"cargar",IF(C599="","cargar","pagado"))</f>
        <v>cargar</v>
      </c>
      <c r="I599" s="32">
        <f t="shared" si="96"/>
        <v>2025</v>
      </c>
      <c r="J599" s="32">
        <f t="shared" si="97"/>
        <v>8</v>
      </c>
    </row>
    <row r="600" spans="1:10" x14ac:dyDescent="0.25">
      <c r="A600" t="s">
        <v>20</v>
      </c>
      <c r="B600" t="s">
        <v>166</v>
      </c>
      <c r="C600">
        <v>97123748</v>
      </c>
      <c r="D600">
        <v>140</v>
      </c>
      <c r="E600" s="4">
        <v>-26400016.699999999</v>
      </c>
      <c r="F600" t="s">
        <v>62</v>
      </c>
      <c r="G600">
        <v>0</v>
      </c>
      <c r="H600" s="32" t="str">
        <f ca="1">+IF(B600&gt;'sap nuevo'!$V$1,"cargar",IF(C600="","cargar","pagado"))</f>
        <v>cargar</v>
      </c>
      <c r="I600" s="32">
        <f t="shared" si="96"/>
        <v>2025</v>
      </c>
      <c r="J600" s="32">
        <f t="shared" si="97"/>
        <v>9</v>
      </c>
    </row>
    <row r="601" spans="1:10" x14ac:dyDescent="0.25">
      <c r="A601" t="s">
        <v>12</v>
      </c>
      <c r="B601" t="s">
        <v>166</v>
      </c>
      <c r="C601">
        <v>97123754</v>
      </c>
      <c r="D601">
        <v>140</v>
      </c>
      <c r="E601" s="4">
        <v>-10227333.5</v>
      </c>
      <c r="F601" t="s">
        <v>63</v>
      </c>
      <c r="G601">
        <v>0</v>
      </c>
      <c r="H601" s="32" t="str">
        <f ca="1">+IF(B601&gt;'sap nuevo'!$V$1,"cargar",IF(C601="","cargar","pagado"))</f>
        <v>cargar</v>
      </c>
      <c r="I601" s="32">
        <f t="shared" si="96"/>
        <v>2025</v>
      </c>
      <c r="J601" s="32">
        <f t="shared" si="97"/>
        <v>9</v>
      </c>
    </row>
    <row r="602" spans="1:10" x14ac:dyDescent="0.25">
      <c r="A602" t="s">
        <v>20</v>
      </c>
      <c r="B602" t="s">
        <v>166</v>
      </c>
      <c r="C602">
        <v>97123752</v>
      </c>
      <c r="D602">
        <v>140</v>
      </c>
      <c r="E602" s="4">
        <v>-10179240.5</v>
      </c>
      <c r="F602" t="s">
        <v>62</v>
      </c>
      <c r="G602">
        <v>0</v>
      </c>
      <c r="H602" s="32" t="str">
        <f ca="1">+IF(B602&gt;'sap nuevo'!$V$1,"cargar",IF(C602="","cargar","pagado"))</f>
        <v>cargar</v>
      </c>
      <c r="I602" s="32">
        <f t="shared" si="96"/>
        <v>2025</v>
      </c>
      <c r="J602" s="32">
        <f t="shared" si="97"/>
        <v>9</v>
      </c>
    </row>
    <row r="603" spans="1:10" x14ac:dyDescent="0.25">
      <c r="A603" t="s">
        <v>12</v>
      </c>
      <c r="B603" t="s">
        <v>166</v>
      </c>
      <c r="C603">
        <v>97123753</v>
      </c>
      <c r="D603">
        <v>140</v>
      </c>
      <c r="E603" s="4">
        <v>-10000000</v>
      </c>
      <c r="F603" t="s">
        <v>63</v>
      </c>
      <c r="G603">
        <v>0</v>
      </c>
      <c r="H603" s="32" t="str">
        <f ca="1">+IF(B603&gt;'sap nuevo'!$V$1,"cargar",IF(C603="","cargar","pagado"))</f>
        <v>cargar</v>
      </c>
      <c r="I603" s="32">
        <f t="shared" si="96"/>
        <v>2025</v>
      </c>
      <c r="J603" s="32">
        <f t="shared" si="97"/>
        <v>9</v>
      </c>
    </row>
    <row r="604" spans="1:10" x14ac:dyDescent="0.25">
      <c r="A604" t="s">
        <v>12</v>
      </c>
      <c r="B604" t="s">
        <v>166</v>
      </c>
      <c r="C604">
        <v>97123765</v>
      </c>
      <c r="D604">
        <v>140</v>
      </c>
      <c r="E604" s="4">
        <v>-10000000</v>
      </c>
      <c r="F604" t="s">
        <v>63</v>
      </c>
      <c r="G604">
        <v>0</v>
      </c>
      <c r="H604" s="32" t="str">
        <f ca="1">+IF(B604&gt;'sap nuevo'!$V$1,"cargar",IF(C604="","cargar","pagado"))</f>
        <v>cargar</v>
      </c>
      <c r="I604" s="32">
        <f t="shared" si="96"/>
        <v>2025</v>
      </c>
      <c r="J604" s="32">
        <f t="shared" si="97"/>
        <v>9</v>
      </c>
    </row>
    <row r="605" spans="1:10" x14ac:dyDescent="0.25">
      <c r="A605" t="s">
        <v>20</v>
      </c>
      <c r="B605" t="s">
        <v>166</v>
      </c>
      <c r="C605">
        <v>97123770</v>
      </c>
      <c r="D605">
        <v>140</v>
      </c>
      <c r="E605" s="4">
        <v>-8149532.3700000001</v>
      </c>
      <c r="F605" t="s">
        <v>62</v>
      </c>
      <c r="G605">
        <v>0</v>
      </c>
      <c r="H605" s="32" t="str">
        <f ca="1">+IF(B605&gt;'sap nuevo'!$V$1,"cargar",IF(C605="","cargar","pagado"))</f>
        <v>cargar</v>
      </c>
      <c r="I605" s="32">
        <f t="shared" si="96"/>
        <v>2025</v>
      </c>
      <c r="J605" s="32">
        <f t="shared" si="97"/>
        <v>9</v>
      </c>
    </row>
    <row r="606" spans="1:10" x14ac:dyDescent="0.25">
      <c r="A606" t="s">
        <v>20</v>
      </c>
      <c r="B606" t="s">
        <v>166</v>
      </c>
      <c r="C606">
        <v>97123774</v>
      </c>
      <c r="D606">
        <v>140</v>
      </c>
      <c r="E606" s="4">
        <v>-8000000</v>
      </c>
      <c r="F606" t="s">
        <v>62</v>
      </c>
      <c r="G606">
        <v>0</v>
      </c>
      <c r="H606" s="32" t="str">
        <f ca="1">+IF(B606&gt;'sap nuevo'!$V$1,"cargar",IF(C606="","cargar","pagado"))</f>
        <v>cargar</v>
      </c>
      <c r="I606" s="32">
        <f t="shared" si="96"/>
        <v>2025</v>
      </c>
      <c r="J606" s="32">
        <f t="shared" si="97"/>
        <v>9</v>
      </c>
    </row>
    <row r="607" spans="1:10" x14ac:dyDescent="0.25">
      <c r="A607" t="s">
        <v>20</v>
      </c>
      <c r="B607" t="s">
        <v>166</v>
      </c>
      <c r="C607">
        <v>97123771</v>
      </c>
      <c r="D607">
        <v>140</v>
      </c>
      <c r="E607" s="4">
        <v>-7714014.5899999999</v>
      </c>
      <c r="F607" t="s">
        <v>62</v>
      </c>
      <c r="G607">
        <v>0</v>
      </c>
      <c r="H607" s="32" t="str">
        <f ca="1">+IF(B607&gt;'sap nuevo'!$V$1,"cargar",IF(C607="","cargar","pagado"))</f>
        <v>cargar</v>
      </c>
      <c r="I607" s="32">
        <f t="shared" si="96"/>
        <v>2025</v>
      </c>
      <c r="J607" s="32">
        <f t="shared" si="97"/>
        <v>9</v>
      </c>
    </row>
    <row r="608" spans="1:10" x14ac:dyDescent="0.25">
      <c r="A608" t="s">
        <v>20</v>
      </c>
      <c r="B608" t="s">
        <v>166</v>
      </c>
      <c r="C608">
        <v>97123761</v>
      </c>
      <c r="D608">
        <v>140</v>
      </c>
      <c r="E608" s="4">
        <v>-7369480</v>
      </c>
      <c r="F608" t="s">
        <v>62</v>
      </c>
      <c r="G608">
        <v>0</v>
      </c>
      <c r="H608" s="32" t="str">
        <f ca="1">+IF(B608&gt;'sap nuevo'!$V$1,"cargar",IF(C608="","cargar","pagado"))</f>
        <v>cargar</v>
      </c>
      <c r="I608" s="32">
        <f t="shared" si="96"/>
        <v>2025</v>
      </c>
      <c r="J608" s="32">
        <f t="shared" si="97"/>
        <v>9</v>
      </c>
    </row>
    <row r="609" spans="1:10" x14ac:dyDescent="0.25">
      <c r="A609" t="s">
        <v>12</v>
      </c>
      <c r="B609" t="s">
        <v>166</v>
      </c>
      <c r="C609">
        <v>97123767</v>
      </c>
      <c r="D609">
        <v>140</v>
      </c>
      <c r="E609" s="4">
        <v>-6692757.1799999997</v>
      </c>
      <c r="F609" t="s">
        <v>63</v>
      </c>
      <c r="G609">
        <v>0</v>
      </c>
      <c r="H609" s="32" t="str">
        <f ca="1">+IF(B609&gt;'sap nuevo'!$V$1,"cargar",IF(C609="","cargar","pagado"))</f>
        <v>cargar</v>
      </c>
      <c r="I609" s="32">
        <f t="shared" si="96"/>
        <v>2025</v>
      </c>
      <c r="J609" s="32">
        <f t="shared" si="97"/>
        <v>9</v>
      </c>
    </row>
    <row r="610" spans="1:10" x14ac:dyDescent="0.25">
      <c r="A610" t="s">
        <v>12</v>
      </c>
      <c r="B610" t="s">
        <v>166</v>
      </c>
      <c r="C610">
        <v>97123768</v>
      </c>
      <c r="D610">
        <v>140</v>
      </c>
      <c r="E610" s="4">
        <v>-5089778.87</v>
      </c>
      <c r="F610" t="s">
        <v>63</v>
      </c>
      <c r="G610">
        <v>0</v>
      </c>
      <c r="H610" s="32" t="str">
        <f ca="1">+IF(B610&gt;'sap nuevo'!$V$1,"cargar",IF(C610="","cargar","pagado"))</f>
        <v>cargar</v>
      </c>
      <c r="I610" s="32">
        <f t="shared" si="96"/>
        <v>2025</v>
      </c>
      <c r="J610" s="32">
        <f t="shared" si="97"/>
        <v>9</v>
      </c>
    </row>
    <row r="611" spans="1:10" x14ac:dyDescent="0.25">
      <c r="A611" t="s">
        <v>20</v>
      </c>
      <c r="B611" t="s">
        <v>166</v>
      </c>
      <c r="C611">
        <v>97123751</v>
      </c>
      <c r="D611">
        <v>140</v>
      </c>
      <c r="E611" s="4">
        <v>-4228895.4000000004</v>
      </c>
      <c r="F611" t="s">
        <v>62</v>
      </c>
      <c r="G611">
        <v>0</v>
      </c>
      <c r="H611" s="32" t="str">
        <f ca="1">+IF(B611&gt;'sap nuevo'!$V$1,"cargar",IF(C611="","cargar","pagado"))</f>
        <v>cargar</v>
      </c>
      <c r="I611" s="32">
        <f t="shared" si="96"/>
        <v>2025</v>
      </c>
      <c r="J611" s="32">
        <f t="shared" si="97"/>
        <v>9</v>
      </c>
    </row>
    <row r="612" spans="1:10" x14ac:dyDescent="0.25">
      <c r="A612" t="s">
        <v>20</v>
      </c>
      <c r="B612" t="s">
        <v>166</v>
      </c>
      <c r="C612">
        <v>97123776</v>
      </c>
      <c r="D612">
        <v>140</v>
      </c>
      <c r="E612" s="4">
        <v>-3681508.21</v>
      </c>
      <c r="F612" t="s">
        <v>62</v>
      </c>
      <c r="G612">
        <v>0</v>
      </c>
      <c r="H612" s="32" t="str">
        <f ca="1">+IF(B612&gt;'sap nuevo'!$V$1,"cargar",IF(C612="","cargar","pagado"))</f>
        <v>cargar</v>
      </c>
      <c r="I612" s="32">
        <f t="shared" si="96"/>
        <v>2025</v>
      </c>
      <c r="J612" s="32">
        <f t="shared" si="97"/>
        <v>9</v>
      </c>
    </row>
    <row r="613" spans="1:10" x14ac:dyDescent="0.25">
      <c r="A613" t="s">
        <v>20</v>
      </c>
      <c r="B613" t="s">
        <v>166</v>
      </c>
      <c r="C613">
        <v>97123769</v>
      </c>
      <c r="D613">
        <v>140</v>
      </c>
      <c r="E613" s="4">
        <v>-3451556.16</v>
      </c>
      <c r="F613" t="s">
        <v>62</v>
      </c>
      <c r="G613">
        <v>0</v>
      </c>
      <c r="H613" s="32" t="str">
        <f ca="1">+IF(B613&gt;'sap nuevo'!$V$1,"cargar",IF(C613="","cargar","pagado"))</f>
        <v>cargar</v>
      </c>
      <c r="I613" s="32">
        <f t="shared" si="96"/>
        <v>2025</v>
      </c>
      <c r="J613" s="32">
        <f t="shared" si="97"/>
        <v>9</v>
      </c>
    </row>
    <row r="614" spans="1:10" x14ac:dyDescent="0.25">
      <c r="A614" t="s">
        <v>20</v>
      </c>
      <c r="B614" t="s">
        <v>167</v>
      </c>
      <c r="C614">
        <v>97123755</v>
      </c>
      <c r="D614">
        <v>140</v>
      </c>
      <c r="E614" s="4">
        <v>-9704032.1999999993</v>
      </c>
      <c r="F614" t="s">
        <v>62</v>
      </c>
      <c r="G614">
        <v>0</v>
      </c>
      <c r="H614" s="32" t="str">
        <f ca="1">+IF(B614&gt;'sap nuevo'!$V$1,"cargar",IF(C614="","cargar","pagado"))</f>
        <v>cargar</v>
      </c>
      <c r="I614" s="32">
        <f t="shared" si="96"/>
        <v>2025</v>
      </c>
      <c r="J614" s="32">
        <f t="shared" si="97"/>
        <v>9</v>
      </c>
    </row>
    <row r="615" spans="1:10" x14ac:dyDescent="0.25">
      <c r="A615" t="s">
        <v>20</v>
      </c>
      <c r="B615" t="s">
        <v>167</v>
      </c>
      <c r="C615">
        <v>97123766</v>
      </c>
      <c r="D615">
        <v>140</v>
      </c>
      <c r="E615" s="4">
        <v>-8445918.4499999993</v>
      </c>
      <c r="F615" t="s">
        <v>62</v>
      </c>
      <c r="G615">
        <v>0</v>
      </c>
      <c r="H615" s="32" t="str">
        <f ca="1">+IF(B615&gt;'sap nuevo'!$V$1,"cargar",IF(C615="","cargar","pagado"))</f>
        <v>cargar</v>
      </c>
      <c r="I615" s="32">
        <f t="shared" si="96"/>
        <v>2025</v>
      </c>
      <c r="J615" s="32">
        <f t="shared" si="97"/>
        <v>9</v>
      </c>
    </row>
    <row r="616" spans="1:10" x14ac:dyDescent="0.25">
      <c r="A616" t="s">
        <v>20</v>
      </c>
      <c r="B616" t="s">
        <v>167</v>
      </c>
      <c r="C616">
        <v>97123775</v>
      </c>
      <c r="D616">
        <v>140</v>
      </c>
      <c r="E616" s="4">
        <v>-7346163.8499999996</v>
      </c>
      <c r="F616" t="s">
        <v>62</v>
      </c>
      <c r="G616">
        <v>0</v>
      </c>
      <c r="H616" s="32" t="str">
        <f ca="1">+IF(B616&gt;'sap nuevo'!$V$1,"cargar",IF(C616="","cargar","pagado"))</f>
        <v>cargar</v>
      </c>
      <c r="I616" s="32">
        <f t="shared" si="96"/>
        <v>2025</v>
      </c>
      <c r="J616" s="32">
        <f t="shared" si="97"/>
        <v>9</v>
      </c>
    </row>
    <row r="617" spans="1:10" x14ac:dyDescent="0.25">
      <c r="A617" t="s">
        <v>20</v>
      </c>
      <c r="B617" t="s">
        <v>167</v>
      </c>
      <c r="C617">
        <v>97123764</v>
      </c>
      <c r="D617">
        <v>140</v>
      </c>
      <c r="E617" s="4">
        <v>-663404.86</v>
      </c>
      <c r="F617" t="s">
        <v>62</v>
      </c>
      <c r="G617">
        <v>0</v>
      </c>
      <c r="H617" s="32" t="str">
        <f ca="1">+IF(B617&gt;'sap nuevo'!$V$1,"cargar",IF(C617="","cargar","pagado"))</f>
        <v>cargar</v>
      </c>
      <c r="I617" s="32">
        <f t="shared" si="96"/>
        <v>2025</v>
      </c>
      <c r="J617" s="32">
        <f t="shared" si="97"/>
        <v>9</v>
      </c>
    </row>
    <row r="618" spans="1:10" x14ac:dyDescent="0.25">
      <c r="A618" t="s">
        <v>20</v>
      </c>
      <c r="B618" t="s">
        <v>502</v>
      </c>
      <c r="C618">
        <v>97123772</v>
      </c>
      <c r="D618">
        <v>140</v>
      </c>
      <c r="E618" s="4">
        <v>-3704696.71</v>
      </c>
      <c r="F618" t="s">
        <v>62</v>
      </c>
      <c r="G618">
        <v>0</v>
      </c>
      <c r="H618" s="32" t="str">
        <f ca="1">+IF(B618&gt;'sap nuevo'!$V$1,"cargar",IF(C618="","cargar","pagado"))</f>
        <v>cargar</v>
      </c>
      <c r="I618" s="32">
        <f t="shared" si="96"/>
        <v>2025</v>
      </c>
      <c r="J618" s="32">
        <f t="shared" si="97"/>
        <v>9</v>
      </c>
    </row>
    <row r="619" spans="1:10" x14ac:dyDescent="0.25">
      <c r="A619" t="s">
        <v>12</v>
      </c>
      <c r="B619" t="s">
        <v>168</v>
      </c>
      <c r="C619">
        <v>97123758</v>
      </c>
      <c r="D619">
        <v>140</v>
      </c>
      <c r="E619" s="4">
        <v>-7727813.4000000004</v>
      </c>
      <c r="F619" t="s">
        <v>63</v>
      </c>
      <c r="G619">
        <v>0</v>
      </c>
      <c r="H619" s="32" t="str">
        <f ca="1">+IF(B619&gt;'sap nuevo'!$V$1,"cargar",IF(C619="","cargar","pagado"))</f>
        <v>cargar</v>
      </c>
      <c r="I619" s="32">
        <f t="shared" si="96"/>
        <v>2025</v>
      </c>
      <c r="J619" s="32">
        <f t="shared" si="97"/>
        <v>9</v>
      </c>
    </row>
    <row r="620" spans="1:10" x14ac:dyDescent="0.25">
      <c r="A620" t="s">
        <v>12</v>
      </c>
      <c r="B620" t="s">
        <v>168</v>
      </c>
      <c r="C620">
        <v>97123783</v>
      </c>
      <c r="D620">
        <v>140</v>
      </c>
      <c r="E620" s="4">
        <v>-6548925.3300000001</v>
      </c>
      <c r="F620" t="s">
        <v>63</v>
      </c>
      <c r="G620">
        <v>0</v>
      </c>
      <c r="H620" s="32" t="str">
        <f ca="1">+IF(B620&gt;'sap nuevo'!$V$1,"cargar",IF(C620="","cargar","pagado"))</f>
        <v>cargar</v>
      </c>
      <c r="I620" s="32">
        <f t="shared" si="96"/>
        <v>2025</v>
      </c>
      <c r="J620" s="32">
        <f t="shared" si="97"/>
        <v>9</v>
      </c>
    </row>
    <row r="621" spans="1:10" x14ac:dyDescent="0.25">
      <c r="A621" t="s">
        <v>12</v>
      </c>
      <c r="B621" t="s">
        <v>169</v>
      </c>
      <c r="C621">
        <v>97123787</v>
      </c>
      <c r="D621">
        <v>140</v>
      </c>
      <c r="E621" s="4">
        <v>-13077940.449999999</v>
      </c>
      <c r="F621" t="s">
        <v>63</v>
      </c>
      <c r="G621">
        <v>0</v>
      </c>
      <c r="H621" s="32" t="str">
        <f ca="1">+IF(B621&gt;'sap nuevo'!$V$1,"cargar",IF(C621="","cargar","pagado"))</f>
        <v>cargar</v>
      </c>
      <c r="I621" s="32">
        <f t="shared" si="96"/>
        <v>2025</v>
      </c>
      <c r="J621" s="32">
        <f t="shared" si="97"/>
        <v>9</v>
      </c>
    </row>
    <row r="622" spans="1:10" x14ac:dyDescent="0.25">
      <c r="A622" t="s">
        <v>12</v>
      </c>
      <c r="B622" t="s">
        <v>169</v>
      </c>
      <c r="C622">
        <v>97123784</v>
      </c>
      <c r="D622">
        <v>140</v>
      </c>
      <c r="E622" s="4">
        <v>-10251293.4</v>
      </c>
      <c r="F622" t="s">
        <v>63</v>
      </c>
      <c r="G622">
        <v>0</v>
      </c>
      <c r="H622" s="32" t="str">
        <f ca="1">+IF(B622&gt;'sap nuevo'!$V$1,"cargar",IF(C622="","cargar","pagado"))</f>
        <v>cargar</v>
      </c>
      <c r="I622" s="32">
        <f t="shared" si="96"/>
        <v>2025</v>
      </c>
      <c r="J622" s="32">
        <f t="shared" si="97"/>
        <v>9</v>
      </c>
    </row>
    <row r="623" spans="1:10" x14ac:dyDescent="0.25">
      <c r="A623" t="s">
        <v>12</v>
      </c>
      <c r="B623" t="s">
        <v>169</v>
      </c>
      <c r="C623">
        <v>97123785</v>
      </c>
      <c r="D623">
        <v>140</v>
      </c>
      <c r="E623" s="4">
        <v>-10184590.890000001</v>
      </c>
      <c r="F623" t="s">
        <v>63</v>
      </c>
      <c r="G623">
        <v>0</v>
      </c>
      <c r="H623" s="32" t="str">
        <f ca="1">+IF(B623&gt;'sap nuevo'!$V$1,"cargar",IF(C623="","cargar","pagado"))</f>
        <v>cargar</v>
      </c>
      <c r="I623" s="32">
        <f t="shared" si="96"/>
        <v>2025</v>
      </c>
      <c r="J623" s="32">
        <f t="shared" si="97"/>
        <v>9</v>
      </c>
    </row>
    <row r="624" spans="1:10" x14ac:dyDescent="0.25">
      <c r="A624" t="s">
        <v>20</v>
      </c>
      <c r="B624" t="s">
        <v>169</v>
      </c>
      <c r="C624">
        <v>97123781</v>
      </c>
      <c r="D624">
        <v>140</v>
      </c>
      <c r="E624" s="4">
        <v>-10059837.68</v>
      </c>
      <c r="F624" t="s">
        <v>62</v>
      </c>
      <c r="G624">
        <v>0</v>
      </c>
      <c r="H624" s="32" t="str">
        <f ca="1">+IF(B624&gt;'sap nuevo'!$V$1,"cargar",IF(C624="","cargar","pagado"))</f>
        <v>cargar</v>
      </c>
      <c r="I624" s="32">
        <f t="shared" si="96"/>
        <v>2025</v>
      </c>
      <c r="J624" s="32">
        <f t="shared" si="97"/>
        <v>9</v>
      </c>
    </row>
    <row r="625" spans="1:10" x14ac:dyDescent="0.25">
      <c r="A625" t="s">
        <v>20</v>
      </c>
      <c r="B625" t="s">
        <v>169</v>
      </c>
      <c r="C625">
        <v>97123786</v>
      </c>
      <c r="D625">
        <v>140</v>
      </c>
      <c r="E625" s="4">
        <v>-5690184.7300000004</v>
      </c>
      <c r="F625" t="s">
        <v>62</v>
      </c>
      <c r="G625">
        <v>0</v>
      </c>
      <c r="H625" s="32" t="str">
        <f ca="1">+IF(B625&gt;'sap nuevo'!$V$1,"cargar",IF(C625="","cargar","pagado"))</f>
        <v>cargar</v>
      </c>
      <c r="I625" s="32">
        <f t="shared" si="96"/>
        <v>2025</v>
      </c>
      <c r="J625" s="32">
        <f t="shared" si="97"/>
        <v>9</v>
      </c>
    </row>
    <row r="626" spans="1:10" x14ac:dyDescent="0.25">
      <c r="A626" t="s">
        <v>20</v>
      </c>
      <c r="B626" t="s">
        <v>169</v>
      </c>
      <c r="C626">
        <v>97123780</v>
      </c>
      <c r="D626">
        <v>140</v>
      </c>
      <c r="E626" s="4">
        <v>-3425596.96</v>
      </c>
      <c r="F626" t="s">
        <v>62</v>
      </c>
      <c r="G626">
        <v>0</v>
      </c>
      <c r="H626" s="32" t="str">
        <f ca="1">+IF(B626&gt;'sap nuevo'!$V$1,"cargar",IF(C626="","cargar","pagado"))</f>
        <v>cargar</v>
      </c>
      <c r="I626" s="32">
        <f t="shared" si="96"/>
        <v>2025</v>
      </c>
      <c r="J626" s="32">
        <f t="shared" si="97"/>
        <v>9</v>
      </c>
    </row>
    <row r="627" spans="1:10" x14ac:dyDescent="0.25">
      <c r="A627" t="s">
        <v>20</v>
      </c>
      <c r="B627" t="s">
        <v>170</v>
      </c>
      <c r="C627">
        <v>97123782</v>
      </c>
      <c r="D627">
        <v>140</v>
      </c>
      <c r="E627" s="4">
        <v>-6643251.2000000002</v>
      </c>
      <c r="F627" t="s">
        <v>62</v>
      </c>
      <c r="G627">
        <v>0</v>
      </c>
      <c r="H627" s="32" t="str">
        <f ca="1">+IF(B627&gt;'sap nuevo'!$V$1,"cargar",IF(C627="","cargar","pagado"))</f>
        <v>cargar</v>
      </c>
      <c r="I627" s="32">
        <f t="shared" si="96"/>
        <v>2025</v>
      </c>
      <c r="J627" s="32">
        <f t="shared" si="97"/>
        <v>9</v>
      </c>
    </row>
    <row r="628" spans="1:10" x14ac:dyDescent="0.25">
      <c r="A628" t="s">
        <v>20</v>
      </c>
      <c r="B628" t="s">
        <v>170</v>
      </c>
      <c r="C628">
        <v>97123763</v>
      </c>
      <c r="D628">
        <v>140</v>
      </c>
      <c r="E628" s="4">
        <v>-4682956.72</v>
      </c>
      <c r="F628" t="s">
        <v>62</v>
      </c>
      <c r="G628">
        <v>0</v>
      </c>
      <c r="H628" s="32" t="str">
        <f ca="1">+IF(B628&gt;'sap nuevo'!$V$1,"cargar",IF(C628="","cargar","pagado"))</f>
        <v>cargar</v>
      </c>
      <c r="I628" s="32">
        <f t="shared" si="96"/>
        <v>2025</v>
      </c>
      <c r="J628" s="32">
        <f t="shared" si="97"/>
        <v>9</v>
      </c>
    </row>
    <row r="629" spans="1:10" x14ac:dyDescent="0.25">
      <c r="A629" t="s">
        <v>12</v>
      </c>
      <c r="B629" t="s">
        <v>503</v>
      </c>
      <c r="C629">
        <v>97123788</v>
      </c>
      <c r="D629">
        <v>140</v>
      </c>
      <c r="E629" s="4">
        <v>-22108198.100000001</v>
      </c>
      <c r="F629" t="s">
        <v>63</v>
      </c>
      <c r="G629">
        <v>0</v>
      </c>
      <c r="H629" s="32" t="str">
        <f ca="1">+IF(B629&gt;'sap nuevo'!$V$1,"cargar",IF(C629="","cargar","pagado"))</f>
        <v>cargar</v>
      </c>
      <c r="I629" s="32">
        <f t="shared" si="96"/>
        <v>2025</v>
      </c>
      <c r="J629" s="32">
        <f t="shared" si="97"/>
        <v>9</v>
      </c>
    </row>
    <row r="630" spans="1:10" x14ac:dyDescent="0.25">
      <c r="A630" t="s">
        <v>20</v>
      </c>
      <c r="B630" t="s">
        <v>503</v>
      </c>
      <c r="C630">
        <v>97123789</v>
      </c>
      <c r="D630">
        <v>140</v>
      </c>
      <c r="E630" s="4">
        <v>-17019039.010000002</v>
      </c>
      <c r="F630" t="s">
        <v>62</v>
      </c>
      <c r="G630">
        <v>0</v>
      </c>
      <c r="H630" s="32" t="str">
        <f ca="1">+IF(B630&gt;'sap nuevo'!$V$1,"cargar",IF(C630="","cargar","pagado"))</f>
        <v>cargar</v>
      </c>
      <c r="I630" s="32">
        <f t="shared" si="96"/>
        <v>2025</v>
      </c>
      <c r="J630" s="32">
        <f t="shared" si="97"/>
        <v>9</v>
      </c>
    </row>
    <row r="631" spans="1:10" x14ac:dyDescent="0.25">
      <c r="A631" t="s">
        <v>20</v>
      </c>
      <c r="B631" t="s">
        <v>503</v>
      </c>
      <c r="C631">
        <v>97123778</v>
      </c>
      <c r="D631">
        <v>140</v>
      </c>
      <c r="E631" s="4">
        <v>-6161944.6900000004</v>
      </c>
      <c r="F631" t="s">
        <v>62</v>
      </c>
      <c r="G631">
        <v>0</v>
      </c>
      <c r="H631" s="32" t="str">
        <f ca="1">+IF(B631&gt;'sap nuevo'!$V$1,"cargar",IF(C631="","cargar","pagado"))</f>
        <v>cargar</v>
      </c>
      <c r="I631" s="32">
        <f t="shared" si="96"/>
        <v>2025</v>
      </c>
      <c r="J631" s="32">
        <f t="shared" si="97"/>
        <v>9</v>
      </c>
    </row>
    <row r="632" spans="1:10" x14ac:dyDescent="0.25">
      <c r="A632" t="s">
        <v>20</v>
      </c>
      <c r="B632" t="s">
        <v>503</v>
      </c>
      <c r="C632">
        <v>97123777</v>
      </c>
      <c r="D632">
        <v>140</v>
      </c>
      <c r="E632" s="4">
        <v>-6000000</v>
      </c>
      <c r="F632" t="s">
        <v>62</v>
      </c>
      <c r="G632">
        <v>0</v>
      </c>
      <c r="H632" s="32" t="str">
        <f ca="1">+IF(B632&gt;'sap nuevo'!$V$1,"cargar",IF(C632="","cargar","pagado"))</f>
        <v>cargar</v>
      </c>
      <c r="I632" s="32">
        <f t="shared" si="96"/>
        <v>2025</v>
      </c>
      <c r="J632" s="32">
        <f t="shared" si="97"/>
        <v>9</v>
      </c>
    </row>
    <row r="633" spans="1:10" x14ac:dyDescent="0.25">
      <c r="A633" t="s">
        <v>12</v>
      </c>
      <c r="B633" t="s">
        <v>171</v>
      </c>
      <c r="C633">
        <v>97123797</v>
      </c>
      <c r="D633">
        <v>140</v>
      </c>
      <c r="E633" s="4">
        <v>-15544704.49</v>
      </c>
      <c r="F633" t="s">
        <v>63</v>
      </c>
      <c r="G633">
        <v>0</v>
      </c>
      <c r="H633" s="32" t="str">
        <f ca="1">+IF(B633&gt;'sap nuevo'!$V$1,"cargar",IF(C633="","cargar","pagado"))</f>
        <v>cargar</v>
      </c>
      <c r="I633" s="32">
        <f t="shared" si="96"/>
        <v>2025</v>
      </c>
      <c r="J633" s="32">
        <f t="shared" si="97"/>
        <v>9</v>
      </c>
    </row>
    <row r="634" spans="1:10" x14ac:dyDescent="0.25">
      <c r="A634" t="s">
        <v>12</v>
      </c>
      <c r="B634" t="s">
        <v>171</v>
      </c>
      <c r="C634">
        <v>97123793</v>
      </c>
      <c r="D634">
        <v>140</v>
      </c>
      <c r="E634" s="4">
        <v>-15000000</v>
      </c>
      <c r="F634" t="s">
        <v>63</v>
      </c>
      <c r="G634">
        <v>0</v>
      </c>
      <c r="H634" s="32" t="str">
        <f ca="1">+IF(B634&gt;'sap nuevo'!$V$1,"cargar",IF(C634="","cargar","pagado"))</f>
        <v>cargar</v>
      </c>
      <c r="I634" s="32">
        <f t="shared" si="96"/>
        <v>2025</v>
      </c>
      <c r="J634" s="32">
        <f t="shared" si="97"/>
        <v>9</v>
      </c>
    </row>
    <row r="635" spans="1:10" x14ac:dyDescent="0.25">
      <c r="A635" t="s">
        <v>12</v>
      </c>
      <c r="B635" t="s">
        <v>171</v>
      </c>
      <c r="C635">
        <v>97123795</v>
      </c>
      <c r="D635">
        <v>140</v>
      </c>
      <c r="E635" s="4">
        <v>-8829882.0700000003</v>
      </c>
      <c r="F635" t="s">
        <v>63</v>
      </c>
      <c r="G635">
        <v>0</v>
      </c>
      <c r="H635" s="32" t="str">
        <f ca="1">+IF(B635&gt;'sap nuevo'!$V$1,"cargar",IF(C635="","cargar","pagado"))</f>
        <v>cargar</v>
      </c>
      <c r="I635" s="32">
        <f t="shared" si="96"/>
        <v>2025</v>
      </c>
      <c r="J635" s="32">
        <f t="shared" si="97"/>
        <v>9</v>
      </c>
    </row>
    <row r="636" spans="1:10" x14ac:dyDescent="0.25">
      <c r="A636" t="s">
        <v>12</v>
      </c>
      <c r="B636" t="s">
        <v>171</v>
      </c>
      <c r="C636">
        <v>97123792</v>
      </c>
      <c r="D636">
        <v>140</v>
      </c>
      <c r="E636" s="4">
        <v>-6477491.4800000004</v>
      </c>
      <c r="F636" t="s">
        <v>63</v>
      </c>
      <c r="G636">
        <v>0</v>
      </c>
      <c r="H636" s="32" t="str">
        <f ca="1">+IF(B636&gt;'sap nuevo'!$V$1,"cargar",IF(C636="","cargar","pagado"))</f>
        <v>cargar</v>
      </c>
      <c r="I636" s="32">
        <f t="shared" si="96"/>
        <v>2025</v>
      </c>
      <c r="J636" s="32">
        <f t="shared" si="97"/>
        <v>9</v>
      </c>
    </row>
    <row r="637" spans="1:10" x14ac:dyDescent="0.25">
      <c r="A637" t="s">
        <v>12</v>
      </c>
      <c r="B637" t="s">
        <v>171</v>
      </c>
      <c r="C637">
        <v>97123790</v>
      </c>
      <c r="D637">
        <v>140</v>
      </c>
      <c r="E637" s="4">
        <v>-6127663.4800000004</v>
      </c>
      <c r="F637" t="s">
        <v>63</v>
      </c>
      <c r="G637">
        <v>0</v>
      </c>
      <c r="H637" s="32" t="str">
        <f ca="1">+IF(B637&gt;'sap nuevo'!$V$1,"cargar",IF(C637="","cargar","pagado"))</f>
        <v>cargar</v>
      </c>
      <c r="I637" s="32">
        <f t="shared" ref="I637:I659" si="98">+YEAR(B637)</f>
        <v>2025</v>
      </c>
      <c r="J637" s="32">
        <f t="shared" ref="J637:J659" si="99">+MONTH(B637)</f>
        <v>9</v>
      </c>
    </row>
    <row r="638" spans="1:10" x14ac:dyDescent="0.25">
      <c r="A638" t="s">
        <v>20</v>
      </c>
      <c r="B638" t="s">
        <v>171</v>
      </c>
      <c r="C638">
        <v>97123773</v>
      </c>
      <c r="D638">
        <v>140</v>
      </c>
      <c r="E638" s="4">
        <v>-5854299.6600000001</v>
      </c>
      <c r="F638" t="s">
        <v>62</v>
      </c>
      <c r="G638">
        <v>0</v>
      </c>
      <c r="H638" s="32" t="str">
        <f ca="1">+IF(B638&gt;'sap nuevo'!$V$1,"cargar",IF(C638="","cargar","pagado"))</f>
        <v>cargar</v>
      </c>
      <c r="I638" s="32">
        <f t="shared" si="98"/>
        <v>2025</v>
      </c>
      <c r="J638" s="32">
        <f t="shared" si="99"/>
        <v>9</v>
      </c>
    </row>
    <row r="639" spans="1:10" x14ac:dyDescent="0.25">
      <c r="A639" t="s">
        <v>12</v>
      </c>
      <c r="B639" t="s">
        <v>504</v>
      </c>
      <c r="C639">
        <v>97123794</v>
      </c>
      <c r="D639">
        <v>140</v>
      </c>
      <c r="E639" s="4">
        <v>-15094979.35</v>
      </c>
      <c r="F639" t="s">
        <v>63</v>
      </c>
      <c r="G639">
        <v>0</v>
      </c>
      <c r="H639" s="32" t="str">
        <f ca="1">+IF(B639&gt;'sap nuevo'!$V$1,"cargar",IF(C639="","cargar","pagado"))</f>
        <v>cargar</v>
      </c>
      <c r="I639" s="32">
        <f t="shared" si="98"/>
        <v>2025</v>
      </c>
      <c r="J639" s="32">
        <f t="shared" si="99"/>
        <v>9</v>
      </c>
    </row>
    <row r="640" spans="1:10" x14ac:dyDescent="0.25">
      <c r="A640" t="s">
        <v>12</v>
      </c>
      <c r="B640" t="s">
        <v>505</v>
      </c>
      <c r="C640">
        <v>97121393</v>
      </c>
      <c r="D640">
        <v>140</v>
      </c>
      <c r="E640" s="4">
        <v>-49166150</v>
      </c>
      <c r="F640" t="s">
        <v>63</v>
      </c>
      <c r="G640">
        <v>0</v>
      </c>
      <c r="H640" s="32" t="str">
        <f ca="1">+IF(B640&gt;'sap nuevo'!$V$1,"cargar",IF(C640="","cargar","pagado"))</f>
        <v>cargar</v>
      </c>
      <c r="I640" s="32">
        <f t="shared" si="98"/>
        <v>2025</v>
      </c>
      <c r="J640" s="32">
        <f t="shared" si="99"/>
        <v>9</v>
      </c>
    </row>
    <row r="641" spans="1:10" x14ac:dyDescent="0.25">
      <c r="A641" t="s">
        <v>20</v>
      </c>
      <c r="B641" t="s">
        <v>505</v>
      </c>
      <c r="C641">
        <v>97123749</v>
      </c>
      <c r="D641">
        <v>140</v>
      </c>
      <c r="E641" s="4">
        <v>-29841120.579999998</v>
      </c>
      <c r="F641" t="s">
        <v>62</v>
      </c>
      <c r="G641">
        <v>0</v>
      </c>
      <c r="H641" s="32" t="str">
        <f ca="1">+IF(B641&gt;'sap nuevo'!$V$1,"cargar",IF(C641="","cargar","pagado"))</f>
        <v>cargar</v>
      </c>
      <c r="I641" s="32">
        <f t="shared" si="98"/>
        <v>2025</v>
      </c>
      <c r="J641" s="32">
        <f t="shared" si="99"/>
        <v>9</v>
      </c>
    </row>
    <row r="642" spans="1:10" x14ac:dyDescent="0.25">
      <c r="A642" t="s">
        <v>12</v>
      </c>
      <c r="B642" t="s">
        <v>172</v>
      </c>
      <c r="C642">
        <v>97123798</v>
      </c>
      <c r="D642">
        <v>140</v>
      </c>
      <c r="E642" s="4">
        <v>-711054.54</v>
      </c>
      <c r="F642" t="s">
        <v>63</v>
      </c>
      <c r="G642">
        <v>0</v>
      </c>
      <c r="H642" s="32" t="str">
        <f ca="1">+IF(B642&gt;'sap nuevo'!$V$1,"cargar",IF(C642="","cargar","pagado"))</f>
        <v>cargar</v>
      </c>
      <c r="I642" s="32">
        <f t="shared" si="98"/>
        <v>2025</v>
      </c>
      <c r="J642" s="32">
        <f t="shared" si="99"/>
        <v>9</v>
      </c>
    </row>
    <row r="643" spans="1:10" x14ac:dyDescent="0.25">
      <c r="A643" t="s">
        <v>20</v>
      </c>
      <c r="B643" t="s">
        <v>173</v>
      </c>
      <c r="C643">
        <v>97123750</v>
      </c>
      <c r="D643">
        <v>140</v>
      </c>
      <c r="E643" s="4">
        <v>-6248880</v>
      </c>
      <c r="F643" t="s">
        <v>62</v>
      </c>
      <c r="G643">
        <v>0</v>
      </c>
      <c r="H643" s="32" t="str">
        <f ca="1">+IF(B643&gt;'sap nuevo'!$V$1,"cargar",IF(C643="","cargar","pagado"))</f>
        <v>cargar</v>
      </c>
      <c r="I643" s="32">
        <f t="shared" si="98"/>
        <v>2025</v>
      </c>
      <c r="J643" s="32">
        <f t="shared" si="99"/>
        <v>9</v>
      </c>
    </row>
    <row r="644" spans="1:10" x14ac:dyDescent="0.25">
      <c r="A644" t="s">
        <v>20</v>
      </c>
      <c r="B644" t="s">
        <v>174</v>
      </c>
      <c r="C644">
        <v>97123818</v>
      </c>
      <c r="D644">
        <v>140</v>
      </c>
      <c r="E644" s="4">
        <v>-25000000</v>
      </c>
      <c r="F644" t="s">
        <v>62</v>
      </c>
      <c r="G644">
        <v>0</v>
      </c>
      <c r="H644" s="32" t="str">
        <f ca="1">+IF(B644&gt;'sap nuevo'!$V$1,"cargar",IF(C644="","cargar","pagado"))</f>
        <v>cargar</v>
      </c>
      <c r="I644" s="32">
        <f t="shared" si="98"/>
        <v>2025</v>
      </c>
      <c r="J644" s="32">
        <f t="shared" si="99"/>
        <v>9</v>
      </c>
    </row>
    <row r="645" spans="1:10" x14ac:dyDescent="0.25">
      <c r="A645" t="s">
        <v>20</v>
      </c>
      <c r="B645" t="s">
        <v>174</v>
      </c>
      <c r="C645">
        <v>97123812</v>
      </c>
      <c r="D645">
        <v>140</v>
      </c>
      <c r="E645" s="4">
        <v>-20000000</v>
      </c>
      <c r="F645" t="s">
        <v>62</v>
      </c>
      <c r="G645">
        <v>0</v>
      </c>
      <c r="H645" s="32" t="str">
        <f ca="1">+IF(B645&gt;'sap nuevo'!$V$1,"cargar",IF(C645="","cargar","pagado"))</f>
        <v>cargar</v>
      </c>
      <c r="I645" s="32">
        <f t="shared" si="98"/>
        <v>2025</v>
      </c>
      <c r="J645" s="32">
        <f t="shared" si="99"/>
        <v>9</v>
      </c>
    </row>
    <row r="646" spans="1:10" x14ac:dyDescent="0.25">
      <c r="A646" t="s">
        <v>20</v>
      </c>
      <c r="B646" t="s">
        <v>174</v>
      </c>
      <c r="C646">
        <v>97123813</v>
      </c>
      <c r="D646">
        <v>140</v>
      </c>
      <c r="E646" s="4">
        <v>-15157314.5</v>
      </c>
      <c r="F646" t="s">
        <v>62</v>
      </c>
      <c r="G646">
        <v>0</v>
      </c>
      <c r="H646" s="32" t="str">
        <f ca="1">+IF(B646&gt;'sap nuevo'!$V$1,"cargar",IF(C646="","cargar","pagado"))</f>
        <v>cargar</v>
      </c>
      <c r="I646" s="32">
        <f t="shared" si="98"/>
        <v>2025</v>
      </c>
      <c r="J646" s="32">
        <f t="shared" si="99"/>
        <v>9</v>
      </c>
    </row>
    <row r="647" spans="1:10" x14ac:dyDescent="0.25">
      <c r="A647" t="s">
        <v>20</v>
      </c>
      <c r="B647" t="s">
        <v>174</v>
      </c>
      <c r="C647">
        <v>97123815</v>
      </c>
      <c r="D647">
        <v>140</v>
      </c>
      <c r="E647" s="4">
        <v>-12442844.939999999</v>
      </c>
      <c r="F647" t="s">
        <v>62</v>
      </c>
      <c r="G647">
        <v>0</v>
      </c>
      <c r="H647" s="32" t="str">
        <f ca="1">+IF(B647&gt;'sap nuevo'!$V$1,"cargar",IF(C647="","cargar","pagado"))</f>
        <v>cargar</v>
      </c>
      <c r="I647" s="32">
        <f t="shared" si="98"/>
        <v>2025</v>
      </c>
      <c r="J647" s="32">
        <f t="shared" si="99"/>
        <v>9</v>
      </c>
    </row>
    <row r="648" spans="1:10" x14ac:dyDescent="0.25">
      <c r="A648" t="s">
        <v>20</v>
      </c>
      <c r="B648" t="s">
        <v>174</v>
      </c>
      <c r="C648">
        <v>97123802</v>
      </c>
      <c r="D648">
        <v>140</v>
      </c>
      <c r="E648" s="4">
        <v>-10704157.6</v>
      </c>
      <c r="F648" t="s">
        <v>62</v>
      </c>
      <c r="G648">
        <v>0</v>
      </c>
      <c r="H648" s="32" t="str">
        <f ca="1">+IF(B648&gt;'sap nuevo'!$V$1,"cargar",IF(C648="","cargar","pagado"))</f>
        <v>cargar</v>
      </c>
      <c r="I648" s="32">
        <f t="shared" si="98"/>
        <v>2025</v>
      </c>
      <c r="J648" s="32">
        <f t="shared" si="99"/>
        <v>9</v>
      </c>
    </row>
    <row r="649" spans="1:10" x14ac:dyDescent="0.25">
      <c r="A649" t="s">
        <v>20</v>
      </c>
      <c r="B649" t="s">
        <v>174</v>
      </c>
      <c r="C649">
        <v>97123801</v>
      </c>
      <c r="D649">
        <v>140</v>
      </c>
      <c r="E649" s="4">
        <v>-10000000</v>
      </c>
      <c r="F649" t="s">
        <v>62</v>
      </c>
      <c r="G649">
        <v>0</v>
      </c>
      <c r="H649" s="32" t="str">
        <f ca="1">+IF(B649&gt;'sap nuevo'!$V$1,"cargar",IF(C649="","cargar","pagado"))</f>
        <v>cargar</v>
      </c>
      <c r="I649" s="32">
        <f t="shared" si="98"/>
        <v>2025</v>
      </c>
      <c r="J649" s="32">
        <f t="shared" si="99"/>
        <v>9</v>
      </c>
    </row>
    <row r="650" spans="1:10" x14ac:dyDescent="0.25">
      <c r="A650" t="s">
        <v>20</v>
      </c>
      <c r="B650" t="s">
        <v>174</v>
      </c>
      <c r="C650">
        <v>97123805</v>
      </c>
      <c r="D650">
        <v>140</v>
      </c>
      <c r="E650" s="4">
        <v>-10000000</v>
      </c>
      <c r="F650" t="s">
        <v>62</v>
      </c>
      <c r="G650">
        <v>0</v>
      </c>
      <c r="H650" s="32" t="str">
        <f ca="1">+IF(B650&gt;'sap nuevo'!$V$1,"cargar",IF(C650="","cargar","pagado"))</f>
        <v>cargar</v>
      </c>
      <c r="I650" s="32">
        <f t="shared" si="98"/>
        <v>2025</v>
      </c>
      <c r="J650" s="32">
        <f t="shared" si="99"/>
        <v>9</v>
      </c>
    </row>
    <row r="651" spans="1:10" x14ac:dyDescent="0.25">
      <c r="A651" t="s">
        <v>20</v>
      </c>
      <c r="B651" t="s">
        <v>174</v>
      </c>
      <c r="C651">
        <v>97123807</v>
      </c>
      <c r="D651">
        <v>140</v>
      </c>
      <c r="E651" s="4">
        <v>-10000000</v>
      </c>
      <c r="F651" t="s">
        <v>62</v>
      </c>
      <c r="G651">
        <v>0</v>
      </c>
      <c r="H651" s="32" t="str">
        <f ca="1">+IF(B651&gt;'sap nuevo'!$V$1,"cargar",IF(C651="","cargar","pagado"))</f>
        <v>cargar</v>
      </c>
      <c r="I651" s="32">
        <f t="shared" si="98"/>
        <v>2025</v>
      </c>
      <c r="J651" s="32">
        <f t="shared" si="99"/>
        <v>9</v>
      </c>
    </row>
    <row r="652" spans="1:10" x14ac:dyDescent="0.25">
      <c r="A652" t="s">
        <v>20</v>
      </c>
      <c r="B652" t="s">
        <v>174</v>
      </c>
      <c r="C652">
        <v>97123811</v>
      </c>
      <c r="D652">
        <v>140</v>
      </c>
      <c r="E652" s="4">
        <v>-7994938.0300000003</v>
      </c>
      <c r="F652" t="s">
        <v>62</v>
      </c>
      <c r="G652">
        <v>0</v>
      </c>
      <c r="H652" s="32" t="str">
        <f ca="1">+IF(B652&gt;'sap nuevo'!$V$1,"cargar",IF(C652="","cargar","pagado"))</f>
        <v>cargar</v>
      </c>
      <c r="I652" s="32">
        <f t="shared" si="98"/>
        <v>2025</v>
      </c>
      <c r="J652" s="32">
        <f t="shared" si="99"/>
        <v>9</v>
      </c>
    </row>
    <row r="653" spans="1:10" x14ac:dyDescent="0.25">
      <c r="A653" t="s">
        <v>20</v>
      </c>
      <c r="B653" t="s">
        <v>174</v>
      </c>
      <c r="C653">
        <v>97123810</v>
      </c>
      <c r="D653">
        <v>140</v>
      </c>
      <c r="E653" s="4">
        <v>-7186478.5300000003</v>
      </c>
      <c r="F653" t="s">
        <v>62</v>
      </c>
      <c r="G653">
        <v>0</v>
      </c>
      <c r="H653" s="32" t="str">
        <f ca="1">+IF(B653&gt;'sap nuevo'!$V$1,"cargar",IF(C653="","cargar","pagado"))</f>
        <v>cargar</v>
      </c>
      <c r="I653" s="32">
        <f t="shared" si="98"/>
        <v>2025</v>
      </c>
      <c r="J653" s="32">
        <f t="shared" si="99"/>
        <v>9</v>
      </c>
    </row>
    <row r="654" spans="1:10" x14ac:dyDescent="0.25">
      <c r="A654" t="s">
        <v>20</v>
      </c>
      <c r="B654" t="s">
        <v>174</v>
      </c>
      <c r="C654">
        <v>97123809</v>
      </c>
      <c r="D654">
        <v>140</v>
      </c>
      <c r="E654" s="4">
        <v>-7015449.8300000001</v>
      </c>
      <c r="F654" t="s">
        <v>62</v>
      </c>
      <c r="G654">
        <v>0</v>
      </c>
      <c r="H654" s="32" t="str">
        <f ca="1">+IF(B654&gt;'sap nuevo'!$V$1,"cargar",IF(C654="","cargar","pagado"))</f>
        <v>cargar</v>
      </c>
      <c r="I654" s="32">
        <f t="shared" si="98"/>
        <v>2025</v>
      </c>
      <c r="J654" s="32">
        <f t="shared" si="99"/>
        <v>9</v>
      </c>
    </row>
    <row r="655" spans="1:10" x14ac:dyDescent="0.25">
      <c r="A655" t="s">
        <v>20</v>
      </c>
      <c r="B655" t="s">
        <v>174</v>
      </c>
      <c r="C655">
        <v>97123808</v>
      </c>
      <c r="D655">
        <v>140</v>
      </c>
      <c r="E655" s="4">
        <v>-6759356.6399999997</v>
      </c>
      <c r="F655" t="s">
        <v>62</v>
      </c>
      <c r="G655">
        <v>0</v>
      </c>
      <c r="H655" s="32" t="str">
        <f ca="1">+IF(B655&gt;'sap nuevo'!$V$1,"cargar",IF(C655="","cargar","pagado"))</f>
        <v>cargar</v>
      </c>
      <c r="I655" s="32">
        <f t="shared" si="98"/>
        <v>2025</v>
      </c>
      <c r="J655" s="32">
        <f t="shared" si="99"/>
        <v>9</v>
      </c>
    </row>
    <row r="656" spans="1:10" x14ac:dyDescent="0.25">
      <c r="A656" t="s">
        <v>12</v>
      </c>
      <c r="B656" t="s">
        <v>174</v>
      </c>
      <c r="C656">
        <v>97123803</v>
      </c>
      <c r="D656">
        <v>140</v>
      </c>
      <c r="E656" s="4">
        <v>-6172031.25</v>
      </c>
      <c r="F656" t="s">
        <v>63</v>
      </c>
      <c r="G656">
        <v>0</v>
      </c>
      <c r="H656" s="32" t="str">
        <f ca="1">+IF(B656&gt;'sap nuevo'!$V$1,"cargar",IF(C656="","cargar","pagado"))</f>
        <v>cargar</v>
      </c>
      <c r="I656" s="32">
        <f t="shared" si="98"/>
        <v>2025</v>
      </c>
      <c r="J656" s="32">
        <f t="shared" si="99"/>
        <v>9</v>
      </c>
    </row>
    <row r="657" spans="1:10" x14ac:dyDescent="0.25">
      <c r="A657" t="s">
        <v>20</v>
      </c>
      <c r="B657" t="s">
        <v>174</v>
      </c>
      <c r="C657">
        <v>97123804</v>
      </c>
      <c r="D657">
        <v>140</v>
      </c>
      <c r="E657" s="4">
        <v>-4405509.5999999996</v>
      </c>
      <c r="F657" t="s">
        <v>62</v>
      </c>
      <c r="G657">
        <v>0</v>
      </c>
      <c r="H657" s="32" t="str">
        <f ca="1">+IF(B657&gt;'sap nuevo'!$V$1,"cargar",IF(C657="","cargar","pagado"))</f>
        <v>cargar</v>
      </c>
      <c r="I657" s="32">
        <f t="shared" si="98"/>
        <v>2025</v>
      </c>
      <c r="J657" s="32">
        <f t="shared" si="99"/>
        <v>9</v>
      </c>
    </row>
    <row r="658" spans="1:10" x14ac:dyDescent="0.25">
      <c r="A658" t="s">
        <v>20</v>
      </c>
      <c r="B658" t="s">
        <v>175</v>
      </c>
      <c r="C658">
        <v>97123817</v>
      </c>
      <c r="D658">
        <v>140</v>
      </c>
      <c r="E658" s="4">
        <v>-30126240.390000001</v>
      </c>
      <c r="F658" t="s">
        <v>62</v>
      </c>
      <c r="G658">
        <v>0</v>
      </c>
      <c r="H658" s="32" t="str">
        <f ca="1">+IF(B658&gt;'sap nuevo'!$V$1,"cargar",IF(C658="","cargar","pagado"))</f>
        <v>cargar</v>
      </c>
      <c r="I658" s="32">
        <f t="shared" si="98"/>
        <v>2025</v>
      </c>
      <c r="J658" s="32">
        <f t="shared" si="99"/>
        <v>9</v>
      </c>
    </row>
    <row r="659" spans="1:10" x14ac:dyDescent="0.25">
      <c r="A659" t="s">
        <v>20</v>
      </c>
      <c r="B659" t="s">
        <v>175</v>
      </c>
      <c r="C659">
        <v>97123816</v>
      </c>
      <c r="D659">
        <v>140</v>
      </c>
      <c r="E659" s="4">
        <v>-30000000</v>
      </c>
      <c r="F659" t="s">
        <v>62</v>
      </c>
      <c r="G659">
        <v>0</v>
      </c>
      <c r="H659" s="32" t="str">
        <f ca="1">+IF(B659&gt;'sap nuevo'!$V$1,"cargar",IF(C659="","cargar","pagado"))</f>
        <v>cargar</v>
      </c>
      <c r="I659" s="32">
        <f t="shared" si="98"/>
        <v>2025</v>
      </c>
      <c r="J659" s="32">
        <f t="shared" si="99"/>
        <v>9</v>
      </c>
    </row>
    <row r="660" spans="1:10" x14ac:dyDescent="0.25">
      <c r="A660" t="s">
        <v>20</v>
      </c>
      <c r="B660" t="s">
        <v>175</v>
      </c>
      <c r="C660">
        <v>97123819</v>
      </c>
      <c r="D660">
        <v>140</v>
      </c>
      <c r="E660" s="4">
        <v>-28607991.440000001</v>
      </c>
      <c r="F660" t="s">
        <v>62</v>
      </c>
      <c r="G660">
        <v>0</v>
      </c>
      <c r="H660" s="32" t="str">
        <f ca="1">+IF(B660&gt;'sap nuevo'!$V$1,"cargar",IF(C660="","cargar","pagado"))</f>
        <v>cargar</v>
      </c>
      <c r="I660" s="32">
        <f t="shared" ref="I660:I723" si="100">+YEAR(B660)</f>
        <v>2025</v>
      </c>
      <c r="J660" s="32">
        <f t="shared" ref="J660:J723" si="101">+MONTH(B660)</f>
        <v>9</v>
      </c>
    </row>
    <row r="661" spans="1:10" x14ac:dyDescent="0.25">
      <c r="A661" t="s">
        <v>20</v>
      </c>
      <c r="B661" t="s">
        <v>175</v>
      </c>
      <c r="C661">
        <v>97123814</v>
      </c>
      <c r="D661">
        <v>140</v>
      </c>
      <c r="E661" s="4">
        <v>-16532771.57</v>
      </c>
      <c r="F661" t="s">
        <v>62</v>
      </c>
      <c r="G661">
        <v>0</v>
      </c>
      <c r="H661" s="32" t="str">
        <f ca="1">+IF(B661&gt;'sap nuevo'!$V$1,"cargar",IF(C661="","cargar","pagado"))</f>
        <v>cargar</v>
      </c>
      <c r="I661" s="32">
        <f t="shared" si="100"/>
        <v>2025</v>
      </c>
      <c r="J661" s="32">
        <f t="shared" si="101"/>
        <v>9</v>
      </c>
    </row>
    <row r="662" spans="1:10" x14ac:dyDescent="0.25">
      <c r="A662" t="s">
        <v>20</v>
      </c>
      <c r="B662" t="s">
        <v>175</v>
      </c>
      <c r="C662">
        <v>97123806</v>
      </c>
      <c r="D662">
        <v>140</v>
      </c>
      <c r="E662" s="4">
        <v>-11156149.09</v>
      </c>
      <c r="F662" t="s">
        <v>62</v>
      </c>
      <c r="G662">
        <v>0</v>
      </c>
      <c r="H662" s="32" t="str">
        <f ca="1">+IF(B662&gt;'sap nuevo'!$V$1,"cargar",IF(C662="","cargar","pagado"))</f>
        <v>cargar</v>
      </c>
      <c r="I662" s="32">
        <f t="shared" si="100"/>
        <v>2025</v>
      </c>
      <c r="J662" s="32">
        <f t="shared" si="101"/>
        <v>9</v>
      </c>
    </row>
    <row r="663" spans="1:10" x14ac:dyDescent="0.25">
      <c r="A663" t="s">
        <v>12</v>
      </c>
      <c r="B663" t="s">
        <v>175</v>
      </c>
      <c r="C663">
        <v>97123791</v>
      </c>
      <c r="D663">
        <v>140</v>
      </c>
      <c r="E663" s="4">
        <v>-4160581.71</v>
      </c>
      <c r="F663" t="s">
        <v>63</v>
      </c>
      <c r="G663">
        <v>0</v>
      </c>
      <c r="H663" s="32" t="str">
        <f ca="1">+IF(B663&gt;'sap nuevo'!$V$1,"cargar",IF(C663="","cargar","pagado"))</f>
        <v>cargar</v>
      </c>
      <c r="I663" s="32">
        <f t="shared" si="100"/>
        <v>2025</v>
      </c>
      <c r="J663" s="32">
        <f t="shared" si="101"/>
        <v>9</v>
      </c>
    </row>
    <row r="664" spans="1:10" x14ac:dyDescent="0.25">
      <c r="A664" t="s">
        <v>12</v>
      </c>
      <c r="B664" t="s">
        <v>176</v>
      </c>
      <c r="C664">
        <v>97123828</v>
      </c>
      <c r="D664">
        <v>140</v>
      </c>
      <c r="E664" s="4">
        <v>-23192768.780000001</v>
      </c>
      <c r="F664" t="s">
        <v>63</v>
      </c>
      <c r="G664">
        <v>0</v>
      </c>
      <c r="H664" s="32" t="str">
        <f ca="1">+IF(B664&gt;'sap nuevo'!$V$1,"cargar",IF(C664="","cargar","pagado"))</f>
        <v>cargar</v>
      </c>
      <c r="I664" s="32">
        <f t="shared" si="100"/>
        <v>2025</v>
      </c>
      <c r="J664" s="32">
        <f t="shared" si="101"/>
        <v>9</v>
      </c>
    </row>
    <row r="665" spans="1:10" x14ac:dyDescent="0.25">
      <c r="A665" t="s">
        <v>20</v>
      </c>
      <c r="B665" t="s">
        <v>176</v>
      </c>
      <c r="C665">
        <v>97123825</v>
      </c>
      <c r="D665">
        <v>140</v>
      </c>
      <c r="E665" s="4">
        <v>-13511780.1</v>
      </c>
      <c r="F665" t="s">
        <v>62</v>
      </c>
      <c r="G665">
        <v>0</v>
      </c>
      <c r="H665" s="32" t="str">
        <f ca="1">+IF(B665&gt;'sap nuevo'!$V$1,"cargar",IF(C665="","cargar","pagado"))</f>
        <v>cargar</v>
      </c>
      <c r="I665" s="32">
        <f t="shared" si="100"/>
        <v>2025</v>
      </c>
      <c r="J665" s="32">
        <f t="shared" si="101"/>
        <v>9</v>
      </c>
    </row>
    <row r="666" spans="1:10" x14ac:dyDescent="0.25">
      <c r="A666" t="s">
        <v>12</v>
      </c>
      <c r="B666" t="s">
        <v>176</v>
      </c>
      <c r="C666">
        <v>97123822</v>
      </c>
      <c r="D666">
        <v>140</v>
      </c>
      <c r="E666" s="4">
        <v>-11000000</v>
      </c>
      <c r="F666" t="s">
        <v>63</v>
      </c>
      <c r="G666">
        <v>0</v>
      </c>
      <c r="H666" s="32" t="str">
        <f ca="1">+IF(B666&gt;'sap nuevo'!$V$1,"cargar",IF(C666="","cargar","pagado"))</f>
        <v>cargar</v>
      </c>
      <c r="I666" s="32">
        <f t="shared" si="100"/>
        <v>2025</v>
      </c>
      <c r="J666" s="32">
        <f t="shared" si="101"/>
        <v>9</v>
      </c>
    </row>
    <row r="667" spans="1:10" x14ac:dyDescent="0.25">
      <c r="A667" t="s">
        <v>20</v>
      </c>
      <c r="B667" t="s">
        <v>176</v>
      </c>
      <c r="C667">
        <v>97123827</v>
      </c>
      <c r="D667">
        <v>140</v>
      </c>
      <c r="E667" s="4">
        <v>-9531186.1799999997</v>
      </c>
      <c r="F667" t="s">
        <v>62</v>
      </c>
      <c r="G667">
        <v>0</v>
      </c>
      <c r="H667" s="32" t="str">
        <f ca="1">+IF(B667&gt;'sap nuevo'!$V$1,"cargar",IF(C667="","cargar","pagado"))</f>
        <v>cargar</v>
      </c>
      <c r="I667" s="32">
        <f t="shared" si="100"/>
        <v>2025</v>
      </c>
      <c r="J667" s="32">
        <f t="shared" si="101"/>
        <v>9</v>
      </c>
    </row>
    <row r="668" spans="1:10" x14ac:dyDescent="0.25">
      <c r="A668" t="s">
        <v>20</v>
      </c>
      <c r="B668" t="s">
        <v>176</v>
      </c>
      <c r="C668">
        <v>97123830</v>
      </c>
      <c r="D668">
        <v>140</v>
      </c>
      <c r="E668" s="4">
        <v>-8895626.3399999999</v>
      </c>
      <c r="F668" t="s">
        <v>62</v>
      </c>
      <c r="G668">
        <v>0</v>
      </c>
      <c r="H668" s="32" t="str">
        <f ca="1">+IF(B668&gt;'sap nuevo'!$V$1,"cargar",IF(C668="","cargar","pagado"))</f>
        <v>cargar</v>
      </c>
      <c r="I668" s="32">
        <f t="shared" si="100"/>
        <v>2025</v>
      </c>
      <c r="J668" s="32">
        <f t="shared" si="101"/>
        <v>9</v>
      </c>
    </row>
    <row r="669" spans="1:10" x14ac:dyDescent="0.25">
      <c r="A669" t="s">
        <v>20</v>
      </c>
      <c r="B669" t="s">
        <v>176</v>
      </c>
      <c r="C669">
        <v>97123833</v>
      </c>
      <c r="D669">
        <v>140</v>
      </c>
      <c r="E669" s="4">
        <v>-8525266.1999999993</v>
      </c>
      <c r="F669" t="s">
        <v>62</v>
      </c>
      <c r="G669">
        <v>0</v>
      </c>
      <c r="H669" s="32" t="str">
        <f ca="1">+IF(B669&gt;'sap nuevo'!$V$1,"cargar",IF(C669="","cargar","pagado"))</f>
        <v>cargar</v>
      </c>
      <c r="I669" s="32">
        <f t="shared" si="100"/>
        <v>2025</v>
      </c>
      <c r="J669" s="32">
        <f t="shared" si="101"/>
        <v>9</v>
      </c>
    </row>
    <row r="670" spans="1:10" x14ac:dyDescent="0.25">
      <c r="A670" t="s">
        <v>20</v>
      </c>
      <c r="B670" t="s">
        <v>176</v>
      </c>
      <c r="C670">
        <v>97123842</v>
      </c>
      <c r="D670">
        <v>140</v>
      </c>
      <c r="E670" s="4">
        <v>-8302860.71</v>
      </c>
      <c r="F670" t="s">
        <v>62</v>
      </c>
      <c r="G670">
        <v>0</v>
      </c>
      <c r="H670" s="32" t="str">
        <f ca="1">+IF(B670&gt;'sap nuevo'!$V$1,"cargar",IF(C670="","cargar","pagado"))</f>
        <v>cargar</v>
      </c>
      <c r="I670" s="32">
        <f t="shared" si="100"/>
        <v>2025</v>
      </c>
      <c r="J670" s="32">
        <f t="shared" si="101"/>
        <v>9</v>
      </c>
    </row>
    <row r="671" spans="1:10" x14ac:dyDescent="0.25">
      <c r="A671" t="s">
        <v>20</v>
      </c>
      <c r="B671" t="s">
        <v>176</v>
      </c>
      <c r="C671">
        <v>97123824</v>
      </c>
      <c r="D671">
        <v>140</v>
      </c>
      <c r="E671" s="4">
        <v>-7606584</v>
      </c>
      <c r="F671" t="s">
        <v>62</v>
      </c>
      <c r="G671">
        <v>0</v>
      </c>
      <c r="H671" s="32" t="str">
        <f ca="1">+IF(B671&gt;'sap nuevo'!$V$1,"cargar",IF(C671="","cargar","pagado"))</f>
        <v>cargar</v>
      </c>
      <c r="I671" s="32">
        <f t="shared" si="100"/>
        <v>2025</v>
      </c>
      <c r="J671" s="32">
        <f t="shared" si="101"/>
        <v>9</v>
      </c>
    </row>
    <row r="672" spans="1:10" x14ac:dyDescent="0.25">
      <c r="A672" t="s">
        <v>20</v>
      </c>
      <c r="B672" t="s">
        <v>176</v>
      </c>
      <c r="C672">
        <v>97123849</v>
      </c>
      <c r="D672">
        <v>140</v>
      </c>
      <c r="E672" s="4">
        <v>-7477506.9000000004</v>
      </c>
      <c r="F672" t="s">
        <v>62</v>
      </c>
      <c r="G672">
        <v>0</v>
      </c>
      <c r="H672" s="32" t="str">
        <f ca="1">+IF(B672&gt;'sap nuevo'!$V$1,"cargar",IF(C672="","cargar","pagado"))</f>
        <v>cargar</v>
      </c>
      <c r="I672" s="32">
        <f t="shared" si="100"/>
        <v>2025</v>
      </c>
      <c r="J672" s="32">
        <f t="shared" si="101"/>
        <v>9</v>
      </c>
    </row>
    <row r="673" spans="1:10" x14ac:dyDescent="0.25">
      <c r="A673" t="s">
        <v>20</v>
      </c>
      <c r="B673" t="s">
        <v>176</v>
      </c>
      <c r="C673">
        <v>97123838</v>
      </c>
      <c r="D673">
        <v>140</v>
      </c>
      <c r="E673" s="4">
        <v>-7283390.4000000004</v>
      </c>
      <c r="F673" t="s">
        <v>62</v>
      </c>
      <c r="G673">
        <v>0</v>
      </c>
      <c r="H673" s="32" t="str">
        <f ca="1">+IF(B673&gt;'sap nuevo'!$V$1,"cargar",IF(C673="","cargar","pagado"))</f>
        <v>cargar</v>
      </c>
      <c r="I673" s="32">
        <f t="shared" si="100"/>
        <v>2025</v>
      </c>
      <c r="J673" s="32">
        <f t="shared" si="101"/>
        <v>9</v>
      </c>
    </row>
    <row r="674" spans="1:10" x14ac:dyDescent="0.25">
      <c r="A674" t="s">
        <v>20</v>
      </c>
      <c r="B674" t="s">
        <v>176</v>
      </c>
      <c r="C674">
        <v>97123826</v>
      </c>
      <c r="D674">
        <v>140</v>
      </c>
      <c r="E674" s="4">
        <v>-6641067.7999999998</v>
      </c>
      <c r="F674" t="s">
        <v>62</v>
      </c>
      <c r="G674">
        <v>0</v>
      </c>
      <c r="H674" s="32" t="str">
        <f ca="1">+IF(B674&gt;'sap nuevo'!$V$1,"cargar",IF(C674="","cargar","pagado"))</f>
        <v>cargar</v>
      </c>
      <c r="I674" s="32">
        <f t="shared" si="100"/>
        <v>2025</v>
      </c>
      <c r="J674" s="32">
        <f t="shared" si="101"/>
        <v>9</v>
      </c>
    </row>
    <row r="675" spans="1:10" x14ac:dyDescent="0.25">
      <c r="A675" t="s">
        <v>20</v>
      </c>
      <c r="B675" t="s">
        <v>176</v>
      </c>
      <c r="C675">
        <v>97123821</v>
      </c>
      <c r="D675">
        <v>140</v>
      </c>
      <c r="E675" s="4">
        <v>-5851343.4000000004</v>
      </c>
      <c r="F675" t="s">
        <v>62</v>
      </c>
      <c r="G675">
        <v>0</v>
      </c>
      <c r="H675" s="32" t="str">
        <f ca="1">+IF(B675&gt;'sap nuevo'!$V$1,"cargar",IF(C675="","cargar","pagado"))</f>
        <v>cargar</v>
      </c>
      <c r="I675" s="32">
        <f t="shared" si="100"/>
        <v>2025</v>
      </c>
      <c r="J675" s="32">
        <f t="shared" si="101"/>
        <v>9</v>
      </c>
    </row>
    <row r="676" spans="1:10" x14ac:dyDescent="0.25">
      <c r="A676" t="s">
        <v>12</v>
      </c>
      <c r="B676" t="s">
        <v>176</v>
      </c>
      <c r="C676">
        <v>97123829</v>
      </c>
      <c r="D676">
        <v>140</v>
      </c>
      <c r="E676" s="4">
        <v>-5325635.8600000003</v>
      </c>
      <c r="F676" t="s">
        <v>63</v>
      </c>
      <c r="G676">
        <v>0</v>
      </c>
      <c r="H676" s="32" t="str">
        <f ca="1">+IF(B676&gt;'sap nuevo'!$V$1,"cargar",IF(C676="","cargar","pagado"))</f>
        <v>cargar</v>
      </c>
      <c r="I676" s="32">
        <f t="shared" si="100"/>
        <v>2025</v>
      </c>
      <c r="J676" s="32">
        <f t="shared" si="101"/>
        <v>9</v>
      </c>
    </row>
    <row r="677" spans="1:10" x14ac:dyDescent="0.25">
      <c r="A677" t="s">
        <v>20</v>
      </c>
      <c r="B677" t="s">
        <v>176</v>
      </c>
      <c r="C677">
        <v>97123823</v>
      </c>
      <c r="D677">
        <v>140</v>
      </c>
      <c r="E677" s="4">
        <v>-5228245.2300000004</v>
      </c>
      <c r="F677" t="s">
        <v>62</v>
      </c>
      <c r="G677">
        <v>0</v>
      </c>
      <c r="H677" s="32" t="str">
        <f ca="1">+IF(B677&gt;'sap nuevo'!$V$1,"cargar",IF(C677="","cargar","pagado"))</f>
        <v>cargar</v>
      </c>
      <c r="I677" s="32">
        <f t="shared" si="100"/>
        <v>2025</v>
      </c>
      <c r="J677" s="32">
        <f t="shared" si="101"/>
        <v>9</v>
      </c>
    </row>
    <row r="678" spans="1:10" x14ac:dyDescent="0.25">
      <c r="A678" t="s">
        <v>20</v>
      </c>
      <c r="B678" t="s">
        <v>176</v>
      </c>
      <c r="C678">
        <v>97123848</v>
      </c>
      <c r="D678">
        <v>140</v>
      </c>
      <c r="E678" s="4">
        <v>-3968181.02</v>
      </c>
      <c r="F678" t="s">
        <v>62</v>
      </c>
      <c r="G678">
        <v>0</v>
      </c>
      <c r="H678" s="32" t="str">
        <f ca="1">+IF(B678&gt;'sap nuevo'!$V$1,"cargar",IF(C678="","cargar","pagado"))</f>
        <v>cargar</v>
      </c>
      <c r="I678" s="32">
        <f t="shared" si="100"/>
        <v>2025</v>
      </c>
      <c r="J678" s="32">
        <f t="shared" si="101"/>
        <v>9</v>
      </c>
    </row>
    <row r="679" spans="1:10" x14ac:dyDescent="0.25">
      <c r="A679" t="s">
        <v>20</v>
      </c>
      <c r="B679" t="s">
        <v>176</v>
      </c>
      <c r="C679">
        <v>97123846</v>
      </c>
      <c r="D679">
        <v>140</v>
      </c>
      <c r="E679" s="4">
        <v>-3759369.3</v>
      </c>
      <c r="F679" t="s">
        <v>62</v>
      </c>
      <c r="G679">
        <v>0</v>
      </c>
      <c r="H679" s="32" t="str">
        <f ca="1">+IF(B679&gt;'sap nuevo'!$V$1,"cargar",IF(C679="","cargar","pagado"))</f>
        <v>cargar</v>
      </c>
      <c r="I679" s="32">
        <f t="shared" si="100"/>
        <v>2025</v>
      </c>
      <c r="J679" s="32">
        <f t="shared" si="101"/>
        <v>9</v>
      </c>
    </row>
    <row r="680" spans="1:10" x14ac:dyDescent="0.25">
      <c r="A680" t="s">
        <v>12</v>
      </c>
      <c r="B680" t="s">
        <v>176</v>
      </c>
      <c r="C680">
        <v>97123847</v>
      </c>
      <c r="D680">
        <v>140</v>
      </c>
      <c r="E680" s="4">
        <v>-3748248.52</v>
      </c>
      <c r="F680" t="s">
        <v>63</v>
      </c>
      <c r="G680">
        <v>0</v>
      </c>
      <c r="H680" s="32" t="str">
        <f ca="1">+IF(B680&gt;'sap nuevo'!$V$1,"cargar",IF(C680="","cargar","pagado"))</f>
        <v>cargar</v>
      </c>
      <c r="I680" s="32">
        <f t="shared" si="100"/>
        <v>2025</v>
      </c>
      <c r="J680" s="32">
        <f t="shared" si="101"/>
        <v>9</v>
      </c>
    </row>
    <row r="681" spans="1:10" x14ac:dyDescent="0.25">
      <c r="A681" t="s">
        <v>20</v>
      </c>
      <c r="B681" t="s">
        <v>176</v>
      </c>
      <c r="C681">
        <v>97123839</v>
      </c>
      <c r="D681">
        <v>140</v>
      </c>
      <c r="E681" s="4">
        <v>-3562049.92</v>
      </c>
      <c r="F681" t="s">
        <v>62</v>
      </c>
      <c r="G681">
        <v>0</v>
      </c>
      <c r="H681" s="32" t="str">
        <f ca="1">+IF(B681&gt;'sap nuevo'!$V$1,"cargar",IF(C681="","cargar","pagado"))</f>
        <v>cargar</v>
      </c>
      <c r="I681" s="32">
        <f t="shared" si="100"/>
        <v>2025</v>
      </c>
      <c r="J681" s="32">
        <f t="shared" si="101"/>
        <v>9</v>
      </c>
    </row>
    <row r="682" spans="1:10" x14ac:dyDescent="0.25">
      <c r="A682" t="s">
        <v>12</v>
      </c>
      <c r="B682" t="s">
        <v>176</v>
      </c>
      <c r="C682">
        <v>97123832</v>
      </c>
      <c r="D682">
        <v>140</v>
      </c>
      <c r="E682" s="4">
        <v>-3467036.5</v>
      </c>
      <c r="F682" t="s">
        <v>63</v>
      </c>
      <c r="G682">
        <v>0</v>
      </c>
      <c r="H682" s="32" t="str">
        <f ca="1">+IF(B682&gt;'sap nuevo'!$V$1,"cargar",IF(C682="","cargar","pagado"))</f>
        <v>cargar</v>
      </c>
      <c r="I682" s="32">
        <f t="shared" si="100"/>
        <v>2025</v>
      </c>
      <c r="J682" s="32">
        <f t="shared" si="101"/>
        <v>9</v>
      </c>
    </row>
    <row r="683" spans="1:10" x14ac:dyDescent="0.25">
      <c r="A683" t="s">
        <v>20</v>
      </c>
      <c r="B683" t="s">
        <v>176</v>
      </c>
      <c r="C683">
        <v>97123837</v>
      </c>
      <c r="D683">
        <v>140</v>
      </c>
      <c r="E683" s="4">
        <v>-3417060.81</v>
      </c>
      <c r="F683" t="s">
        <v>62</v>
      </c>
      <c r="G683">
        <v>0</v>
      </c>
      <c r="H683" s="32" t="str">
        <f ca="1">+IF(B683&gt;'sap nuevo'!$V$1,"cargar",IF(C683="","cargar","pagado"))</f>
        <v>cargar</v>
      </c>
      <c r="I683" s="32">
        <f t="shared" si="100"/>
        <v>2025</v>
      </c>
      <c r="J683" s="32">
        <f t="shared" si="101"/>
        <v>9</v>
      </c>
    </row>
    <row r="684" spans="1:10" x14ac:dyDescent="0.25">
      <c r="A684" t="s">
        <v>12</v>
      </c>
      <c r="B684" t="s">
        <v>176</v>
      </c>
      <c r="C684">
        <v>97123834</v>
      </c>
      <c r="D684">
        <v>140</v>
      </c>
      <c r="E684" s="4">
        <v>-2263272.7799999998</v>
      </c>
      <c r="F684" t="s">
        <v>63</v>
      </c>
      <c r="G684">
        <v>0</v>
      </c>
      <c r="H684" s="32" t="str">
        <f ca="1">+IF(B684&gt;'sap nuevo'!$V$1,"cargar",IF(C684="","cargar","pagado"))</f>
        <v>cargar</v>
      </c>
      <c r="I684" s="32">
        <f t="shared" si="100"/>
        <v>2025</v>
      </c>
      <c r="J684" s="32">
        <f t="shared" si="101"/>
        <v>9</v>
      </c>
    </row>
    <row r="685" spans="1:10" x14ac:dyDescent="0.25">
      <c r="A685" t="s">
        <v>12</v>
      </c>
      <c r="B685" t="s">
        <v>177</v>
      </c>
      <c r="C685">
        <v>97123835</v>
      </c>
      <c r="D685">
        <v>140</v>
      </c>
      <c r="E685" s="4">
        <v>-15000000</v>
      </c>
      <c r="F685" t="s">
        <v>63</v>
      </c>
      <c r="G685">
        <v>0</v>
      </c>
      <c r="H685" s="32" t="str">
        <f ca="1">+IF(B685&gt;'sap nuevo'!$V$1,"cargar",IF(C685="","cargar","pagado"))</f>
        <v>cargar</v>
      </c>
      <c r="I685" s="32">
        <f t="shared" si="100"/>
        <v>2025</v>
      </c>
      <c r="J685" s="32">
        <f t="shared" si="101"/>
        <v>9</v>
      </c>
    </row>
    <row r="686" spans="1:10" x14ac:dyDescent="0.25">
      <c r="A686" t="s">
        <v>12</v>
      </c>
      <c r="B686" t="s">
        <v>177</v>
      </c>
      <c r="C686">
        <v>97123836</v>
      </c>
      <c r="D686">
        <v>140</v>
      </c>
      <c r="E686" s="4">
        <v>-14659530.25</v>
      </c>
      <c r="F686" t="s">
        <v>63</v>
      </c>
      <c r="G686">
        <v>0</v>
      </c>
      <c r="H686" s="32" t="str">
        <f ca="1">+IF(B686&gt;'sap nuevo'!$V$1,"cargar",IF(C686="","cargar","pagado"))</f>
        <v>cargar</v>
      </c>
      <c r="I686" s="32">
        <f t="shared" si="100"/>
        <v>2025</v>
      </c>
      <c r="J686" s="32">
        <f t="shared" si="101"/>
        <v>9</v>
      </c>
    </row>
    <row r="687" spans="1:10" x14ac:dyDescent="0.25">
      <c r="A687" t="s">
        <v>20</v>
      </c>
      <c r="B687" t="s">
        <v>177</v>
      </c>
      <c r="C687">
        <v>97123840</v>
      </c>
      <c r="D687">
        <v>140</v>
      </c>
      <c r="E687" s="4">
        <v>-13000000</v>
      </c>
      <c r="F687" t="s">
        <v>62</v>
      </c>
      <c r="G687">
        <v>0</v>
      </c>
      <c r="H687" s="32" t="str">
        <f ca="1">+IF(B687&gt;'sap nuevo'!$V$1,"cargar",IF(C687="","cargar","pagado"))</f>
        <v>cargar</v>
      </c>
      <c r="I687" s="32">
        <f t="shared" si="100"/>
        <v>2025</v>
      </c>
      <c r="J687" s="32">
        <f t="shared" si="101"/>
        <v>9</v>
      </c>
    </row>
    <row r="688" spans="1:10" x14ac:dyDescent="0.25">
      <c r="A688" t="s">
        <v>12</v>
      </c>
      <c r="B688" t="s">
        <v>177</v>
      </c>
      <c r="C688">
        <v>97123831</v>
      </c>
      <c r="D688">
        <v>140</v>
      </c>
      <c r="E688" s="4">
        <v>-7862534.2800000003</v>
      </c>
      <c r="F688" t="s">
        <v>63</v>
      </c>
      <c r="G688">
        <v>0</v>
      </c>
      <c r="H688" s="32" t="str">
        <f ca="1">+IF(B688&gt;'sap nuevo'!$V$1,"cargar",IF(C688="","cargar","pagado"))</f>
        <v>cargar</v>
      </c>
      <c r="I688" s="32">
        <f t="shared" si="100"/>
        <v>2025</v>
      </c>
      <c r="J688" s="32">
        <f t="shared" si="101"/>
        <v>9</v>
      </c>
    </row>
    <row r="689" spans="1:10" x14ac:dyDescent="0.25">
      <c r="A689" t="s">
        <v>20</v>
      </c>
      <c r="B689" t="s">
        <v>178</v>
      </c>
      <c r="C689">
        <v>97123820</v>
      </c>
      <c r="D689">
        <v>140</v>
      </c>
      <c r="E689" s="4">
        <v>-6129508.2599999998</v>
      </c>
      <c r="F689" t="s">
        <v>62</v>
      </c>
      <c r="G689">
        <v>0</v>
      </c>
      <c r="H689" s="32" t="str">
        <f ca="1">+IF(B689&gt;'sap nuevo'!$V$1,"cargar",IF(C689="","cargar","pagado"))</f>
        <v>cargar</v>
      </c>
      <c r="I689" s="32">
        <f t="shared" si="100"/>
        <v>2025</v>
      </c>
      <c r="J689" s="32">
        <f t="shared" si="101"/>
        <v>10</v>
      </c>
    </row>
    <row r="690" spans="1:10" x14ac:dyDescent="0.25">
      <c r="A690" t="s">
        <v>20</v>
      </c>
      <c r="B690" t="s">
        <v>180</v>
      </c>
      <c r="C690">
        <v>97123841</v>
      </c>
      <c r="D690">
        <v>140</v>
      </c>
      <c r="E690" s="4">
        <v>-10014781.220000001</v>
      </c>
      <c r="F690" t="s">
        <v>62</v>
      </c>
      <c r="G690">
        <v>0</v>
      </c>
      <c r="H690" s="32" t="str">
        <f ca="1">+IF(B690&gt;'sap nuevo'!$V$1,"cargar",IF(C690="","cargar","pagado"))</f>
        <v>cargar</v>
      </c>
      <c r="I690" s="32">
        <f t="shared" si="100"/>
        <v>2025</v>
      </c>
      <c r="J690" s="32">
        <f t="shared" si="101"/>
        <v>10</v>
      </c>
    </row>
    <row r="691" spans="1:10" x14ac:dyDescent="0.25">
      <c r="A691" t="s">
        <v>20</v>
      </c>
      <c r="B691" t="s">
        <v>180</v>
      </c>
      <c r="C691">
        <v>97123854</v>
      </c>
      <c r="D691">
        <v>140</v>
      </c>
      <c r="E691" s="4">
        <v>-9878343.4000000004</v>
      </c>
      <c r="F691" t="s">
        <v>62</v>
      </c>
      <c r="G691">
        <v>0</v>
      </c>
      <c r="H691" s="32" t="str">
        <f ca="1">+IF(B691&gt;'sap nuevo'!$V$1,"cargar",IF(C691="","cargar","pagado"))</f>
        <v>cargar</v>
      </c>
      <c r="I691" s="32">
        <f t="shared" si="100"/>
        <v>2025</v>
      </c>
      <c r="J691" s="32">
        <f t="shared" si="101"/>
        <v>10</v>
      </c>
    </row>
    <row r="692" spans="1:10" x14ac:dyDescent="0.25">
      <c r="A692" t="s">
        <v>20</v>
      </c>
      <c r="B692" t="s">
        <v>180</v>
      </c>
      <c r="C692">
        <v>97123853</v>
      </c>
      <c r="D692">
        <v>140</v>
      </c>
      <c r="E692" s="4">
        <v>-9472784.8399999999</v>
      </c>
      <c r="F692" t="s">
        <v>62</v>
      </c>
      <c r="G692">
        <v>0</v>
      </c>
      <c r="H692" s="32" t="str">
        <f ca="1">+IF(B692&gt;'sap nuevo'!$V$1,"cargar",IF(C692="","cargar","pagado"))</f>
        <v>cargar</v>
      </c>
      <c r="I692" s="32">
        <f t="shared" si="100"/>
        <v>2025</v>
      </c>
      <c r="J692" s="32">
        <f t="shared" si="101"/>
        <v>10</v>
      </c>
    </row>
    <row r="693" spans="1:10" x14ac:dyDescent="0.25">
      <c r="A693" t="s">
        <v>20</v>
      </c>
      <c r="B693" t="s">
        <v>180</v>
      </c>
      <c r="C693">
        <v>97123850</v>
      </c>
      <c r="D693">
        <v>140</v>
      </c>
      <c r="E693" s="4">
        <v>-8382124.0199999996</v>
      </c>
      <c r="F693" t="s">
        <v>62</v>
      </c>
      <c r="G693">
        <v>0</v>
      </c>
      <c r="H693" s="32" t="str">
        <f ca="1">+IF(B693&gt;'sap nuevo'!$V$1,"cargar",IF(C693="","cargar","pagado"))</f>
        <v>cargar</v>
      </c>
      <c r="I693" s="32">
        <f t="shared" si="100"/>
        <v>2025</v>
      </c>
      <c r="J693" s="32">
        <f t="shared" si="101"/>
        <v>10</v>
      </c>
    </row>
    <row r="694" spans="1:10" x14ac:dyDescent="0.25">
      <c r="A694" t="s">
        <v>20</v>
      </c>
      <c r="B694" t="s">
        <v>180</v>
      </c>
      <c r="C694">
        <v>97123852</v>
      </c>
      <c r="D694">
        <v>140</v>
      </c>
      <c r="E694" s="4">
        <v>-5216965.05</v>
      </c>
      <c r="F694" t="s">
        <v>62</v>
      </c>
      <c r="G694">
        <v>0</v>
      </c>
      <c r="H694" s="32" t="str">
        <f ca="1">+IF(B694&gt;'sap nuevo'!$V$1,"cargar",IF(C694="","cargar","pagado"))</f>
        <v>cargar</v>
      </c>
      <c r="I694" s="32">
        <f t="shared" si="100"/>
        <v>2025</v>
      </c>
      <c r="J694" s="32">
        <f t="shared" si="101"/>
        <v>10</v>
      </c>
    </row>
    <row r="695" spans="1:10" x14ac:dyDescent="0.25">
      <c r="A695" t="s">
        <v>20</v>
      </c>
      <c r="B695" t="s">
        <v>180</v>
      </c>
      <c r="C695">
        <v>97123845</v>
      </c>
      <c r="D695">
        <v>140</v>
      </c>
      <c r="E695" s="4">
        <v>-5132174.7300000004</v>
      </c>
      <c r="F695" t="s">
        <v>62</v>
      </c>
      <c r="G695">
        <v>0</v>
      </c>
      <c r="H695" s="32" t="str">
        <f ca="1">+IF(B695&gt;'sap nuevo'!$V$1,"cargar",IF(C695="","cargar","pagado"))</f>
        <v>cargar</v>
      </c>
      <c r="I695" s="32">
        <f t="shared" si="100"/>
        <v>2025</v>
      </c>
      <c r="J695" s="32">
        <f t="shared" si="101"/>
        <v>10</v>
      </c>
    </row>
    <row r="696" spans="1:10" x14ac:dyDescent="0.25">
      <c r="A696" t="s">
        <v>12</v>
      </c>
      <c r="B696" t="s">
        <v>180</v>
      </c>
      <c r="C696">
        <v>97123851</v>
      </c>
      <c r="D696">
        <v>140</v>
      </c>
      <c r="E696" s="4">
        <v>-4594030.68</v>
      </c>
      <c r="F696" t="s">
        <v>63</v>
      </c>
      <c r="G696">
        <v>0</v>
      </c>
      <c r="H696" s="32" t="str">
        <f ca="1">+IF(B696&gt;'sap nuevo'!$V$1,"cargar",IF(C696="","cargar","pagado"))</f>
        <v>cargar</v>
      </c>
      <c r="I696" s="32">
        <f t="shared" si="100"/>
        <v>2025</v>
      </c>
      <c r="J696" s="32">
        <f t="shared" si="101"/>
        <v>10</v>
      </c>
    </row>
    <row r="697" spans="1:10" x14ac:dyDescent="0.25">
      <c r="A697" t="s">
        <v>20</v>
      </c>
      <c r="B697" t="s">
        <v>181</v>
      </c>
      <c r="C697">
        <v>97123844</v>
      </c>
      <c r="D697">
        <v>140</v>
      </c>
      <c r="E697" s="4">
        <v>-17206381.899999999</v>
      </c>
      <c r="F697" t="s">
        <v>62</v>
      </c>
      <c r="G697">
        <v>0</v>
      </c>
      <c r="H697" s="32" t="str">
        <f ca="1">+IF(B697&gt;'sap nuevo'!$V$1,"cargar",IF(C697="","cargar","pagado"))</f>
        <v>cargar</v>
      </c>
      <c r="I697" s="32">
        <f t="shared" si="100"/>
        <v>2025</v>
      </c>
      <c r="J697" s="32">
        <f t="shared" si="101"/>
        <v>10</v>
      </c>
    </row>
    <row r="698" spans="1:10" x14ac:dyDescent="0.25">
      <c r="A698" t="s">
        <v>20</v>
      </c>
      <c r="B698" t="s">
        <v>181</v>
      </c>
      <c r="C698">
        <v>97123855</v>
      </c>
      <c r="D698">
        <v>140</v>
      </c>
      <c r="E698" s="4">
        <v>-4800085.4800000004</v>
      </c>
      <c r="F698" t="s">
        <v>62</v>
      </c>
      <c r="G698">
        <v>0</v>
      </c>
      <c r="H698" s="32" t="str">
        <f ca="1">+IF(B698&gt;'sap nuevo'!$V$1,"cargar",IF(C698="","cargar","pagado"))</f>
        <v>cargar</v>
      </c>
      <c r="I698" s="32">
        <f t="shared" si="100"/>
        <v>2025</v>
      </c>
      <c r="J698" s="32">
        <f t="shared" si="101"/>
        <v>10</v>
      </c>
    </row>
    <row r="699" spans="1:10" x14ac:dyDescent="0.25">
      <c r="A699" t="s">
        <v>20</v>
      </c>
      <c r="B699" t="s">
        <v>181</v>
      </c>
      <c r="C699">
        <v>97123857</v>
      </c>
      <c r="D699">
        <v>140</v>
      </c>
      <c r="E699" s="4">
        <v>-4469189.8</v>
      </c>
      <c r="F699" t="s">
        <v>62</v>
      </c>
      <c r="G699">
        <v>0</v>
      </c>
      <c r="H699" s="32" t="str">
        <f ca="1">+IF(B699&gt;'sap nuevo'!$V$1,"cargar",IF(C699="","cargar","pagado"))</f>
        <v>cargar</v>
      </c>
      <c r="I699" s="32">
        <f t="shared" si="100"/>
        <v>2025</v>
      </c>
      <c r="J699" s="32">
        <f t="shared" si="101"/>
        <v>10</v>
      </c>
    </row>
    <row r="700" spans="1:10" x14ac:dyDescent="0.25">
      <c r="A700" t="s">
        <v>20</v>
      </c>
      <c r="B700" t="s">
        <v>181</v>
      </c>
      <c r="C700">
        <v>97123856</v>
      </c>
      <c r="D700">
        <v>140</v>
      </c>
      <c r="E700" s="4">
        <v>-2849769.42</v>
      </c>
      <c r="F700" t="s">
        <v>62</v>
      </c>
      <c r="G700">
        <v>0</v>
      </c>
      <c r="H700" s="32" t="str">
        <f ca="1">+IF(B700&gt;'sap nuevo'!$V$1,"cargar",IF(C700="","cargar","pagado"))</f>
        <v>cargar</v>
      </c>
      <c r="I700" s="32">
        <f t="shared" si="100"/>
        <v>2025</v>
      </c>
      <c r="J700" s="32">
        <f t="shared" si="101"/>
        <v>10</v>
      </c>
    </row>
    <row r="701" spans="1:10" x14ac:dyDescent="0.25">
      <c r="A701" t="s">
        <v>20</v>
      </c>
      <c r="B701" t="s">
        <v>181</v>
      </c>
      <c r="C701">
        <v>97123860</v>
      </c>
      <c r="D701">
        <v>140</v>
      </c>
      <c r="E701" s="4">
        <v>-1603095.06</v>
      </c>
      <c r="F701" t="s">
        <v>62</v>
      </c>
      <c r="G701">
        <v>0</v>
      </c>
      <c r="H701" s="32" t="str">
        <f ca="1">+IF(B701&gt;'sap nuevo'!$V$1,"cargar",IF(C701="","cargar","pagado"))</f>
        <v>cargar</v>
      </c>
      <c r="I701" s="32">
        <f t="shared" si="100"/>
        <v>2025</v>
      </c>
      <c r="J701" s="32">
        <f t="shared" si="101"/>
        <v>10</v>
      </c>
    </row>
    <row r="702" spans="1:10" x14ac:dyDescent="0.25">
      <c r="A702" t="s">
        <v>12</v>
      </c>
      <c r="B702" t="s">
        <v>181</v>
      </c>
      <c r="C702">
        <v>97123861</v>
      </c>
      <c r="D702">
        <v>140</v>
      </c>
      <c r="E702" s="4">
        <v>-107932.1</v>
      </c>
      <c r="F702" t="s">
        <v>63</v>
      </c>
      <c r="G702">
        <v>0</v>
      </c>
      <c r="H702" s="32" t="str">
        <f ca="1">+IF(B702&gt;'sap nuevo'!$V$1,"cargar",IF(C702="","cargar","pagado"))</f>
        <v>cargar</v>
      </c>
      <c r="I702" s="32">
        <f t="shared" si="100"/>
        <v>2025</v>
      </c>
      <c r="J702" s="32">
        <f t="shared" si="101"/>
        <v>10</v>
      </c>
    </row>
    <row r="703" spans="1:10" x14ac:dyDescent="0.25">
      <c r="A703" t="s">
        <v>20</v>
      </c>
      <c r="B703" t="s">
        <v>506</v>
      </c>
      <c r="C703">
        <v>97123843</v>
      </c>
      <c r="D703">
        <v>140</v>
      </c>
      <c r="E703" s="4">
        <v>-20000000</v>
      </c>
      <c r="F703" t="s">
        <v>62</v>
      </c>
      <c r="G703">
        <v>0</v>
      </c>
      <c r="H703" s="32" t="str">
        <f ca="1">+IF(B703&gt;'sap nuevo'!$V$1,"cargar",IF(C703="","cargar","pagado"))</f>
        <v>cargar</v>
      </c>
      <c r="I703" s="32">
        <f t="shared" si="100"/>
        <v>2025</v>
      </c>
      <c r="J703" s="32">
        <f t="shared" si="101"/>
        <v>10</v>
      </c>
    </row>
    <row r="704" spans="1:10" x14ac:dyDescent="0.25">
      <c r="A704" t="s">
        <v>20</v>
      </c>
      <c r="B704" t="s">
        <v>507</v>
      </c>
      <c r="C704">
        <v>97123868</v>
      </c>
      <c r="D704">
        <v>140</v>
      </c>
      <c r="E704" s="4">
        <v>-13048670</v>
      </c>
      <c r="F704" t="s">
        <v>62</v>
      </c>
      <c r="G704">
        <v>0</v>
      </c>
      <c r="H704" s="32" t="str">
        <f ca="1">+IF(B704&gt;'sap nuevo'!$V$1,"cargar",IF(C704="","cargar","pagado"))</f>
        <v>cargar</v>
      </c>
      <c r="I704" s="32">
        <f t="shared" si="100"/>
        <v>2025</v>
      </c>
      <c r="J704" s="32">
        <f t="shared" si="101"/>
        <v>10</v>
      </c>
    </row>
    <row r="705" spans="1:10" x14ac:dyDescent="0.25">
      <c r="A705" t="s">
        <v>12</v>
      </c>
      <c r="B705" t="s">
        <v>507</v>
      </c>
      <c r="C705">
        <v>97123871</v>
      </c>
      <c r="D705">
        <v>140</v>
      </c>
      <c r="E705" s="4">
        <v>-10000000</v>
      </c>
      <c r="F705" t="s">
        <v>63</v>
      </c>
      <c r="G705">
        <v>0</v>
      </c>
      <c r="H705" s="32" t="str">
        <f ca="1">+IF(B705&gt;'sap nuevo'!$V$1,"cargar",IF(C705="","cargar","pagado"))</f>
        <v>cargar</v>
      </c>
      <c r="I705" s="32">
        <f t="shared" si="100"/>
        <v>2025</v>
      </c>
      <c r="J705" s="32">
        <f t="shared" si="101"/>
        <v>10</v>
      </c>
    </row>
    <row r="706" spans="1:10" x14ac:dyDescent="0.25">
      <c r="A706" t="s">
        <v>20</v>
      </c>
      <c r="B706" t="s">
        <v>507</v>
      </c>
      <c r="C706">
        <v>97123874</v>
      </c>
      <c r="D706">
        <v>140</v>
      </c>
      <c r="E706" s="4">
        <v>-7217461.2000000002</v>
      </c>
      <c r="F706" t="s">
        <v>62</v>
      </c>
      <c r="G706">
        <v>0</v>
      </c>
      <c r="H706" s="32" t="str">
        <f ca="1">+IF(B706&gt;'sap nuevo'!$V$1,"cargar",IF(C706="","cargar","pagado"))</f>
        <v>cargar</v>
      </c>
      <c r="I706" s="32">
        <f t="shared" si="100"/>
        <v>2025</v>
      </c>
      <c r="J706" s="32">
        <f t="shared" si="101"/>
        <v>10</v>
      </c>
    </row>
    <row r="707" spans="1:10" x14ac:dyDescent="0.25">
      <c r="A707" t="s">
        <v>12</v>
      </c>
      <c r="B707" t="s">
        <v>507</v>
      </c>
      <c r="C707">
        <v>97121394</v>
      </c>
      <c r="D707">
        <v>140</v>
      </c>
      <c r="E707" s="4">
        <v>-5426024.8600000003</v>
      </c>
      <c r="F707" t="s">
        <v>63</v>
      </c>
      <c r="G707">
        <v>0</v>
      </c>
      <c r="H707" s="32" t="str">
        <f ca="1">+IF(B707&gt;'sap nuevo'!$V$1,"cargar",IF(C707="","cargar","pagado"))</f>
        <v>cargar</v>
      </c>
      <c r="I707" s="32">
        <f t="shared" si="100"/>
        <v>2025</v>
      </c>
      <c r="J707" s="32">
        <f t="shared" si="101"/>
        <v>10</v>
      </c>
    </row>
    <row r="708" spans="1:10" x14ac:dyDescent="0.25">
      <c r="A708" t="s">
        <v>12</v>
      </c>
      <c r="B708" t="s">
        <v>507</v>
      </c>
      <c r="C708">
        <v>97123875</v>
      </c>
      <c r="D708">
        <v>140</v>
      </c>
      <c r="E708" s="4">
        <v>-3740282.51</v>
      </c>
      <c r="F708" t="s">
        <v>63</v>
      </c>
      <c r="G708">
        <v>0</v>
      </c>
      <c r="H708" s="32" t="str">
        <f ca="1">+IF(B708&gt;'sap nuevo'!$V$1,"cargar",IF(C708="","cargar","pagado"))</f>
        <v>cargar</v>
      </c>
      <c r="I708" s="32">
        <f t="shared" si="100"/>
        <v>2025</v>
      </c>
      <c r="J708" s="32">
        <f t="shared" si="101"/>
        <v>10</v>
      </c>
    </row>
    <row r="709" spans="1:10" x14ac:dyDescent="0.25">
      <c r="A709" t="s">
        <v>12</v>
      </c>
      <c r="B709" t="s">
        <v>507</v>
      </c>
      <c r="C709">
        <v>97123864</v>
      </c>
      <c r="D709">
        <v>140</v>
      </c>
      <c r="E709" s="4">
        <v>-3000000</v>
      </c>
      <c r="F709" t="s">
        <v>63</v>
      </c>
      <c r="G709">
        <v>0</v>
      </c>
      <c r="H709" s="32" t="str">
        <f ca="1">+IF(B709&gt;'sap nuevo'!$V$1,"cargar",IF(C709="","cargar","pagado"))</f>
        <v>cargar</v>
      </c>
      <c r="I709" s="32">
        <f t="shared" si="100"/>
        <v>2025</v>
      </c>
      <c r="J709" s="32">
        <f t="shared" si="101"/>
        <v>10</v>
      </c>
    </row>
    <row r="710" spans="1:10" x14ac:dyDescent="0.25">
      <c r="A710" t="s">
        <v>20</v>
      </c>
      <c r="B710" t="s">
        <v>507</v>
      </c>
      <c r="C710">
        <v>97123865</v>
      </c>
      <c r="D710">
        <v>140</v>
      </c>
      <c r="E710" s="4">
        <v>-3000000</v>
      </c>
      <c r="F710" t="s">
        <v>62</v>
      </c>
      <c r="G710">
        <v>0</v>
      </c>
      <c r="H710" s="32" t="str">
        <f ca="1">+IF(B710&gt;'sap nuevo'!$V$1,"cargar",IF(C710="","cargar","pagado"))</f>
        <v>cargar</v>
      </c>
      <c r="I710" s="32">
        <f t="shared" si="100"/>
        <v>2025</v>
      </c>
      <c r="J710" s="32">
        <f t="shared" si="101"/>
        <v>10</v>
      </c>
    </row>
    <row r="711" spans="1:10" x14ac:dyDescent="0.25">
      <c r="A711" t="s">
        <v>20</v>
      </c>
      <c r="B711" t="s">
        <v>507</v>
      </c>
      <c r="C711">
        <v>97123858</v>
      </c>
      <c r="D711">
        <v>140</v>
      </c>
      <c r="E711" s="4">
        <v>-2011253.4</v>
      </c>
      <c r="F711" t="s">
        <v>62</v>
      </c>
      <c r="G711">
        <v>0</v>
      </c>
      <c r="H711" s="32" t="str">
        <f ca="1">+IF(B711&gt;'sap nuevo'!$V$1,"cargar",IF(C711="","cargar","pagado"))</f>
        <v>cargar</v>
      </c>
      <c r="I711" s="32">
        <f t="shared" si="100"/>
        <v>2025</v>
      </c>
      <c r="J711" s="32">
        <f t="shared" si="101"/>
        <v>10</v>
      </c>
    </row>
    <row r="712" spans="1:10" x14ac:dyDescent="0.25">
      <c r="A712" t="s">
        <v>20</v>
      </c>
      <c r="B712" t="s">
        <v>182</v>
      </c>
      <c r="C712">
        <v>97123796</v>
      </c>
      <c r="D712">
        <v>140</v>
      </c>
      <c r="E712" s="4">
        <v>-14974425.539999999</v>
      </c>
      <c r="F712" t="s">
        <v>62</v>
      </c>
      <c r="G712">
        <v>0</v>
      </c>
      <c r="H712" s="32" t="str">
        <f ca="1">+IF(B712&gt;'sap nuevo'!$V$1,"cargar",IF(C712="","cargar","pagado"))</f>
        <v>cargar</v>
      </c>
      <c r="I712" s="32">
        <f t="shared" si="100"/>
        <v>2025</v>
      </c>
      <c r="J712" s="32">
        <f t="shared" si="101"/>
        <v>10</v>
      </c>
    </row>
    <row r="713" spans="1:10" x14ac:dyDescent="0.25">
      <c r="A713" t="s">
        <v>12</v>
      </c>
      <c r="B713" t="s">
        <v>182</v>
      </c>
      <c r="C713">
        <v>97123866</v>
      </c>
      <c r="D713">
        <v>140</v>
      </c>
      <c r="E713" s="4">
        <v>-10703682.9</v>
      </c>
      <c r="F713" t="s">
        <v>63</v>
      </c>
      <c r="G713">
        <v>0</v>
      </c>
      <c r="H713" s="32" t="str">
        <f ca="1">+IF(B713&gt;'sap nuevo'!$V$1,"cargar",IF(C713="","cargar","pagado"))</f>
        <v>cargar</v>
      </c>
      <c r="I713" s="32">
        <f t="shared" si="100"/>
        <v>2025</v>
      </c>
      <c r="J713" s="32">
        <f t="shared" si="101"/>
        <v>10</v>
      </c>
    </row>
    <row r="714" spans="1:10" x14ac:dyDescent="0.25">
      <c r="A714" t="s">
        <v>12</v>
      </c>
      <c r="B714" t="s">
        <v>182</v>
      </c>
      <c r="C714">
        <v>97123872</v>
      </c>
      <c r="D714">
        <v>140</v>
      </c>
      <c r="E714" s="4">
        <v>-10399918.449999999</v>
      </c>
      <c r="F714" t="s">
        <v>63</v>
      </c>
      <c r="G714">
        <v>0</v>
      </c>
      <c r="H714" s="32" t="str">
        <f ca="1">+IF(B714&gt;'sap nuevo'!$V$1,"cargar",IF(C714="","cargar","pagado"))</f>
        <v>cargar</v>
      </c>
      <c r="I714" s="32">
        <f t="shared" si="100"/>
        <v>2025</v>
      </c>
      <c r="J714" s="32">
        <f t="shared" si="101"/>
        <v>10</v>
      </c>
    </row>
    <row r="715" spans="1:10" x14ac:dyDescent="0.25">
      <c r="A715" t="s">
        <v>20</v>
      </c>
      <c r="B715" t="s">
        <v>182</v>
      </c>
      <c r="C715">
        <v>97123873</v>
      </c>
      <c r="D715">
        <v>140</v>
      </c>
      <c r="E715" s="4">
        <v>-5090117.5199999996</v>
      </c>
      <c r="F715" t="s">
        <v>62</v>
      </c>
      <c r="G715">
        <v>0</v>
      </c>
      <c r="H715" s="32" t="str">
        <f ca="1">+IF(B715&gt;'sap nuevo'!$V$1,"cargar",IF(C715="","cargar","pagado"))</f>
        <v>cargar</v>
      </c>
      <c r="I715" s="32">
        <f t="shared" si="100"/>
        <v>2025</v>
      </c>
      <c r="J715" s="32">
        <f t="shared" si="101"/>
        <v>10</v>
      </c>
    </row>
    <row r="716" spans="1:10" x14ac:dyDescent="0.25">
      <c r="A716" t="s">
        <v>12</v>
      </c>
      <c r="B716" t="s">
        <v>182</v>
      </c>
      <c r="C716">
        <v>97123877</v>
      </c>
      <c r="D716">
        <v>140</v>
      </c>
      <c r="E716" s="4">
        <v>-4924607.49</v>
      </c>
      <c r="F716" t="s">
        <v>63</v>
      </c>
      <c r="G716">
        <v>0</v>
      </c>
      <c r="H716" s="32" t="str">
        <f ca="1">+IF(B716&gt;'sap nuevo'!$V$1,"cargar",IF(C716="","cargar","pagado"))</f>
        <v>cargar</v>
      </c>
      <c r="I716" s="32">
        <f t="shared" si="100"/>
        <v>2025</v>
      </c>
      <c r="J716" s="32">
        <f t="shared" si="101"/>
        <v>10</v>
      </c>
    </row>
    <row r="717" spans="1:10" x14ac:dyDescent="0.25">
      <c r="A717" t="s">
        <v>20</v>
      </c>
      <c r="B717" t="s">
        <v>182</v>
      </c>
      <c r="C717">
        <v>97123881</v>
      </c>
      <c r="D717">
        <v>140</v>
      </c>
      <c r="E717" s="4">
        <v>-1947854.05</v>
      </c>
      <c r="F717" t="s">
        <v>62</v>
      </c>
      <c r="G717">
        <v>0</v>
      </c>
      <c r="H717" s="32" t="str">
        <f ca="1">+IF(B717&gt;'sap nuevo'!$V$1,"cargar",IF(C717="","cargar","pagado"))</f>
        <v>cargar</v>
      </c>
      <c r="I717" s="32">
        <f t="shared" si="100"/>
        <v>2025</v>
      </c>
      <c r="J717" s="32">
        <f t="shared" si="101"/>
        <v>10</v>
      </c>
    </row>
    <row r="718" spans="1:10" x14ac:dyDescent="0.25">
      <c r="A718" t="s">
        <v>12</v>
      </c>
      <c r="B718" t="s">
        <v>183</v>
      </c>
      <c r="C718">
        <v>97121395</v>
      </c>
      <c r="D718">
        <v>140</v>
      </c>
      <c r="E718" s="4">
        <v>-38337990</v>
      </c>
      <c r="F718" t="s">
        <v>63</v>
      </c>
      <c r="G718">
        <v>0</v>
      </c>
      <c r="H718" s="32" t="str">
        <f ca="1">+IF(B718&gt;'sap nuevo'!$V$1,"cargar",IF(C718="","cargar","pagado"))</f>
        <v>cargar</v>
      </c>
      <c r="I718" s="32">
        <f t="shared" si="100"/>
        <v>2025</v>
      </c>
      <c r="J718" s="32">
        <f t="shared" si="101"/>
        <v>10</v>
      </c>
    </row>
    <row r="719" spans="1:10" x14ac:dyDescent="0.25">
      <c r="A719" t="s">
        <v>12</v>
      </c>
      <c r="B719" t="s">
        <v>183</v>
      </c>
      <c r="C719">
        <v>97123878</v>
      </c>
      <c r="D719">
        <v>140</v>
      </c>
      <c r="E719" s="4">
        <v>-35440366.340000004</v>
      </c>
      <c r="F719" t="s">
        <v>63</v>
      </c>
      <c r="G719">
        <v>0</v>
      </c>
      <c r="H719" s="32" t="str">
        <f ca="1">+IF(B719&gt;'sap nuevo'!$V$1,"cargar",IF(C719="","cargar","pagado"))</f>
        <v>cargar</v>
      </c>
      <c r="I719" s="32">
        <f t="shared" si="100"/>
        <v>2025</v>
      </c>
      <c r="J719" s="32">
        <f t="shared" si="101"/>
        <v>10</v>
      </c>
    </row>
    <row r="720" spans="1:10" x14ac:dyDescent="0.25">
      <c r="A720" t="s">
        <v>20</v>
      </c>
      <c r="B720" t="s">
        <v>183</v>
      </c>
      <c r="C720">
        <v>97123880</v>
      </c>
      <c r="D720">
        <v>140</v>
      </c>
      <c r="E720" s="4">
        <v>-11619490.92</v>
      </c>
      <c r="F720" t="s">
        <v>62</v>
      </c>
      <c r="G720">
        <v>0</v>
      </c>
      <c r="H720" s="32" t="str">
        <f ca="1">+IF(B720&gt;'sap nuevo'!$V$1,"cargar",IF(C720="","cargar","pagado"))</f>
        <v>cargar</v>
      </c>
      <c r="I720" s="32">
        <f t="shared" si="100"/>
        <v>2025</v>
      </c>
      <c r="J720" s="32">
        <f t="shared" si="101"/>
        <v>10</v>
      </c>
    </row>
    <row r="721" spans="1:10" x14ac:dyDescent="0.25">
      <c r="A721" t="s">
        <v>12</v>
      </c>
      <c r="B721" t="s">
        <v>183</v>
      </c>
      <c r="C721">
        <v>97123867</v>
      </c>
      <c r="D721">
        <v>140</v>
      </c>
      <c r="E721" s="4">
        <v>-8300748.5099999998</v>
      </c>
      <c r="F721" t="s">
        <v>63</v>
      </c>
      <c r="G721">
        <v>0</v>
      </c>
      <c r="H721" s="32" t="str">
        <f ca="1">+IF(B721&gt;'sap nuevo'!$V$1,"cargar",IF(C721="","cargar","pagado"))</f>
        <v>cargar</v>
      </c>
      <c r="I721" s="32">
        <f t="shared" si="100"/>
        <v>2025</v>
      </c>
      <c r="J721" s="32">
        <f t="shared" si="101"/>
        <v>10</v>
      </c>
    </row>
    <row r="722" spans="1:10" x14ac:dyDescent="0.25">
      <c r="A722" t="s">
        <v>20</v>
      </c>
      <c r="B722" t="s">
        <v>183</v>
      </c>
      <c r="C722">
        <v>97123879</v>
      </c>
      <c r="D722">
        <v>140</v>
      </c>
      <c r="E722" s="4">
        <v>-7834782.79</v>
      </c>
      <c r="F722" t="s">
        <v>62</v>
      </c>
      <c r="G722">
        <v>0</v>
      </c>
      <c r="H722" s="32" t="str">
        <f ca="1">+IF(B722&gt;'sap nuevo'!$V$1,"cargar",IF(C722="","cargar","pagado"))</f>
        <v>cargar</v>
      </c>
      <c r="I722" s="32">
        <f t="shared" si="100"/>
        <v>2025</v>
      </c>
      <c r="J722" s="32">
        <f t="shared" si="101"/>
        <v>10</v>
      </c>
    </row>
    <row r="723" spans="1:10" x14ac:dyDescent="0.25">
      <c r="A723" t="s">
        <v>20</v>
      </c>
      <c r="B723" t="s">
        <v>184</v>
      </c>
      <c r="C723">
        <v>97123876</v>
      </c>
      <c r="D723">
        <v>140</v>
      </c>
      <c r="E723" s="4">
        <v>-7731452.1200000001</v>
      </c>
      <c r="F723" t="s">
        <v>62</v>
      </c>
      <c r="G723">
        <v>0</v>
      </c>
      <c r="H723" s="32" t="str">
        <f ca="1">+IF(B723&gt;'sap nuevo'!$V$1,"cargar",IF(C723="","cargar","pagado"))</f>
        <v>cargar</v>
      </c>
      <c r="I723" s="32">
        <f t="shared" si="100"/>
        <v>2025</v>
      </c>
      <c r="J723" s="32">
        <f t="shared" si="101"/>
        <v>10</v>
      </c>
    </row>
    <row r="724" spans="1:10" x14ac:dyDescent="0.25">
      <c r="A724" t="s">
        <v>12</v>
      </c>
      <c r="B724" t="s">
        <v>184</v>
      </c>
      <c r="C724">
        <v>97123884</v>
      </c>
      <c r="D724">
        <v>140</v>
      </c>
      <c r="E724" s="4">
        <v>-6637001.8499999996</v>
      </c>
      <c r="F724" t="s">
        <v>63</v>
      </c>
      <c r="G724">
        <v>0</v>
      </c>
      <c r="H724" s="32" t="str">
        <f ca="1">+IF(B724&gt;'sap nuevo'!$V$1,"cargar",IF(C724="","cargar","pagado"))</f>
        <v>cargar</v>
      </c>
      <c r="I724" s="32">
        <f t="shared" ref="I724:I726" si="102">+YEAR(B724)</f>
        <v>2025</v>
      </c>
      <c r="J724" s="32">
        <f t="shared" ref="J724:J726" si="103">+MONTH(B724)</f>
        <v>10</v>
      </c>
    </row>
    <row r="725" spans="1:10" x14ac:dyDescent="0.25">
      <c r="A725" t="s">
        <v>20</v>
      </c>
      <c r="B725" t="s">
        <v>185</v>
      </c>
      <c r="C725">
        <v>97123882</v>
      </c>
      <c r="D725">
        <v>140</v>
      </c>
      <c r="E725" s="4">
        <v>-6291666</v>
      </c>
      <c r="F725" t="s">
        <v>62</v>
      </c>
      <c r="G725">
        <v>0</v>
      </c>
      <c r="H725" s="32" t="str">
        <f ca="1">+IF(B725&gt;'sap nuevo'!$V$1,"cargar",IF(C725="","cargar","pagado"))</f>
        <v>cargar</v>
      </c>
      <c r="I725" s="32">
        <f t="shared" si="102"/>
        <v>2025</v>
      </c>
      <c r="J725" s="32">
        <f t="shared" si="103"/>
        <v>10</v>
      </c>
    </row>
    <row r="726" spans="1:10" x14ac:dyDescent="0.25">
      <c r="A726" t="s">
        <v>20</v>
      </c>
      <c r="B726" t="s">
        <v>508</v>
      </c>
      <c r="C726">
        <v>97123883</v>
      </c>
      <c r="D726">
        <v>140</v>
      </c>
      <c r="E726" s="4">
        <v>-4084635.32</v>
      </c>
      <c r="F726" t="s">
        <v>62</v>
      </c>
      <c r="G726">
        <v>0</v>
      </c>
      <c r="H726" s="32" t="str">
        <f ca="1">+IF(B726&gt;'sap nuevo'!$V$1,"cargar",IF(C726="","cargar","pagado"))</f>
        <v>cargar</v>
      </c>
      <c r="I726" s="32">
        <f t="shared" si="102"/>
        <v>2025</v>
      </c>
      <c r="J726" s="32">
        <f t="shared" si="103"/>
        <v>10</v>
      </c>
    </row>
    <row r="727" spans="1:10" x14ac:dyDescent="0.25">
      <c r="A727" t="s">
        <v>20</v>
      </c>
      <c r="B727" t="s">
        <v>508</v>
      </c>
      <c r="C727">
        <v>97123859</v>
      </c>
      <c r="D727">
        <v>140</v>
      </c>
      <c r="E727" s="4">
        <v>-2271062.5099999998</v>
      </c>
      <c r="F727" t="s">
        <v>62</v>
      </c>
      <c r="G727">
        <v>0</v>
      </c>
      <c r="H727" s="32" t="str">
        <f ca="1">+IF(B727&gt;'sap nuevo'!$V$1,"cargar",IF(C727="","cargar","pagado"))</f>
        <v>cargar</v>
      </c>
      <c r="I727" s="32">
        <f t="shared" ref="I727:I745" si="104">+YEAR(B727)</f>
        <v>2025</v>
      </c>
      <c r="J727" s="32">
        <f t="shared" ref="J727:J745" si="105">+MONTH(B727)</f>
        <v>10</v>
      </c>
    </row>
    <row r="728" spans="1:10" x14ac:dyDescent="0.25">
      <c r="A728" t="s">
        <v>20</v>
      </c>
      <c r="B728" t="s">
        <v>509</v>
      </c>
      <c r="C728">
        <v>97123799</v>
      </c>
      <c r="D728">
        <v>140</v>
      </c>
      <c r="E728" s="4">
        <v>-10000000</v>
      </c>
      <c r="F728" t="s">
        <v>62</v>
      </c>
      <c r="G728">
        <v>0</v>
      </c>
      <c r="H728" s="32" t="str">
        <f ca="1">+IF(B728&gt;'sap nuevo'!$V$1,"cargar",IF(C728="","cargar","pagado"))</f>
        <v>cargar</v>
      </c>
      <c r="I728" s="32">
        <f t="shared" si="104"/>
        <v>2025</v>
      </c>
      <c r="J728" s="32">
        <f t="shared" si="105"/>
        <v>10</v>
      </c>
    </row>
    <row r="729" spans="1:10" x14ac:dyDescent="0.25">
      <c r="A729" t="s">
        <v>20</v>
      </c>
      <c r="B729" t="s">
        <v>509</v>
      </c>
      <c r="C729">
        <v>97123800</v>
      </c>
      <c r="D729">
        <v>140</v>
      </c>
      <c r="E729" s="4">
        <v>-7679122.0599999996</v>
      </c>
      <c r="F729" t="s">
        <v>62</v>
      </c>
      <c r="G729">
        <v>0</v>
      </c>
      <c r="H729" s="32" t="str">
        <f ca="1">+IF(B729&gt;'sap nuevo'!$V$1,"cargar",IF(C729="","cargar","pagado"))</f>
        <v>cargar</v>
      </c>
      <c r="I729" s="32">
        <f t="shared" si="104"/>
        <v>2025</v>
      </c>
      <c r="J729" s="32">
        <f t="shared" si="105"/>
        <v>10</v>
      </c>
    </row>
    <row r="730" spans="1:10" x14ac:dyDescent="0.25">
      <c r="A730" t="s">
        <v>20</v>
      </c>
      <c r="B730" t="s">
        <v>509</v>
      </c>
      <c r="C730">
        <v>97123885</v>
      </c>
      <c r="D730">
        <v>140</v>
      </c>
      <c r="E730" s="4">
        <v>-5707560.7999999998</v>
      </c>
      <c r="F730" t="s">
        <v>62</v>
      </c>
      <c r="G730">
        <v>0</v>
      </c>
      <c r="H730" s="32" t="str">
        <f ca="1">+IF(B730&gt;'sap nuevo'!$V$1,"cargar",IF(C730="","cargar","pagado"))</f>
        <v>cargar</v>
      </c>
      <c r="I730" s="32">
        <f t="shared" si="104"/>
        <v>2025</v>
      </c>
      <c r="J730" s="32">
        <f t="shared" si="105"/>
        <v>10</v>
      </c>
    </row>
    <row r="731" spans="1:10" x14ac:dyDescent="0.25">
      <c r="A731" t="s">
        <v>20</v>
      </c>
      <c r="B731" t="s">
        <v>509</v>
      </c>
      <c r="C731">
        <v>97123889</v>
      </c>
      <c r="D731">
        <v>140</v>
      </c>
      <c r="E731" s="4">
        <v>-2440915.39</v>
      </c>
      <c r="F731" t="s">
        <v>62</v>
      </c>
      <c r="G731">
        <v>0</v>
      </c>
      <c r="H731" s="32" t="str">
        <f ca="1">+IF(B731&gt;'sap nuevo'!$V$1,"cargar",IF(C731="","cargar","pagado"))</f>
        <v>cargar</v>
      </c>
      <c r="I731" s="32">
        <f t="shared" si="104"/>
        <v>2025</v>
      </c>
      <c r="J731" s="32">
        <f t="shared" si="105"/>
        <v>10</v>
      </c>
    </row>
    <row r="732" spans="1:10" x14ac:dyDescent="0.25">
      <c r="A732" t="s">
        <v>20</v>
      </c>
      <c r="B732" t="s">
        <v>509</v>
      </c>
      <c r="C732">
        <v>97123887</v>
      </c>
      <c r="D732">
        <v>140</v>
      </c>
      <c r="E732" s="4">
        <v>-1821914.78</v>
      </c>
      <c r="F732" t="s">
        <v>62</v>
      </c>
      <c r="G732">
        <v>0</v>
      </c>
      <c r="H732" s="32" t="str">
        <f ca="1">+IF(B732&gt;'sap nuevo'!$V$1,"cargar",IF(C732="","cargar","pagado"))</f>
        <v>cargar</v>
      </c>
      <c r="I732" s="32">
        <f t="shared" si="104"/>
        <v>2025</v>
      </c>
      <c r="J732" s="32">
        <f t="shared" si="105"/>
        <v>10</v>
      </c>
    </row>
    <row r="733" spans="1:10" x14ac:dyDescent="0.25">
      <c r="A733" t="s">
        <v>20</v>
      </c>
      <c r="B733" t="s">
        <v>186</v>
      </c>
      <c r="C733">
        <v>97123886</v>
      </c>
      <c r="D733">
        <v>140</v>
      </c>
      <c r="E733" s="4">
        <v>-11109319.560000001</v>
      </c>
      <c r="F733" t="s">
        <v>62</v>
      </c>
      <c r="G733">
        <v>0</v>
      </c>
      <c r="H733" s="32" t="str">
        <f ca="1">+IF(B733&gt;'sap nuevo'!$V$1,"cargar",IF(C733="","cargar","pagado"))</f>
        <v>cargar</v>
      </c>
      <c r="I733" s="32">
        <f t="shared" si="104"/>
        <v>2025</v>
      </c>
      <c r="J733" s="32">
        <f t="shared" si="105"/>
        <v>10</v>
      </c>
    </row>
    <row r="734" spans="1:10" x14ac:dyDescent="0.25">
      <c r="A734" t="s">
        <v>20</v>
      </c>
      <c r="B734" t="s">
        <v>186</v>
      </c>
      <c r="C734">
        <v>97123888</v>
      </c>
      <c r="D734">
        <v>140</v>
      </c>
      <c r="E734" s="4">
        <v>-3923970.88</v>
      </c>
      <c r="F734" t="s">
        <v>62</v>
      </c>
      <c r="G734">
        <v>0</v>
      </c>
      <c r="H734" s="32" t="str">
        <f ca="1">+IF(B734&gt;'sap nuevo'!$V$1,"cargar",IF(C734="","cargar","pagado"))</f>
        <v>cargar</v>
      </c>
      <c r="I734" s="32">
        <f t="shared" si="104"/>
        <v>2025</v>
      </c>
      <c r="J734" s="32">
        <f t="shared" si="105"/>
        <v>10</v>
      </c>
    </row>
    <row r="735" spans="1:10" x14ac:dyDescent="0.25">
      <c r="A735" t="s">
        <v>20</v>
      </c>
      <c r="B735" t="s">
        <v>187</v>
      </c>
      <c r="C735">
        <v>97123894</v>
      </c>
      <c r="D735">
        <v>140</v>
      </c>
      <c r="E735" s="4">
        <v>-25000000</v>
      </c>
      <c r="F735" t="s">
        <v>62</v>
      </c>
      <c r="G735">
        <v>0</v>
      </c>
      <c r="H735" s="32" t="str">
        <f ca="1">+IF(B735&gt;'sap nuevo'!$V$1,"cargar",IF(C735="","cargar","pagado"))</f>
        <v>cargar</v>
      </c>
      <c r="I735" s="32">
        <f t="shared" si="104"/>
        <v>2025</v>
      </c>
      <c r="J735" s="32">
        <f t="shared" si="105"/>
        <v>10</v>
      </c>
    </row>
    <row r="736" spans="1:10" x14ac:dyDescent="0.25">
      <c r="A736" t="s">
        <v>20</v>
      </c>
      <c r="B736" t="s">
        <v>187</v>
      </c>
      <c r="C736">
        <v>97123893</v>
      </c>
      <c r="D736">
        <v>140</v>
      </c>
      <c r="E736" s="4">
        <v>-13210111.01</v>
      </c>
      <c r="F736" t="s">
        <v>62</v>
      </c>
      <c r="G736">
        <v>0</v>
      </c>
      <c r="H736" s="32" t="str">
        <f ca="1">+IF(B736&gt;'sap nuevo'!$V$1,"cargar",IF(C736="","cargar","pagado"))</f>
        <v>cargar</v>
      </c>
      <c r="I736" s="32">
        <f t="shared" si="104"/>
        <v>2025</v>
      </c>
      <c r="J736" s="32">
        <f t="shared" si="105"/>
        <v>10</v>
      </c>
    </row>
    <row r="737" spans="1:10" x14ac:dyDescent="0.25">
      <c r="A737" t="s">
        <v>12</v>
      </c>
      <c r="B737" t="s">
        <v>187</v>
      </c>
      <c r="C737">
        <v>97123896</v>
      </c>
      <c r="D737">
        <v>140</v>
      </c>
      <c r="E737" s="4">
        <v>-5704320.4000000004</v>
      </c>
      <c r="F737" t="s">
        <v>63</v>
      </c>
      <c r="G737">
        <v>0</v>
      </c>
      <c r="H737" s="32" t="str">
        <f ca="1">+IF(B737&gt;'sap nuevo'!$V$1,"cargar",IF(C737="","cargar","pagado"))</f>
        <v>cargar</v>
      </c>
      <c r="I737" s="32">
        <f t="shared" si="104"/>
        <v>2025</v>
      </c>
      <c r="J737" s="32">
        <f t="shared" si="105"/>
        <v>10</v>
      </c>
    </row>
    <row r="738" spans="1:10" x14ac:dyDescent="0.25">
      <c r="A738" t="s">
        <v>12</v>
      </c>
      <c r="B738" t="s">
        <v>187</v>
      </c>
      <c r="C738">
        <v>97123898</v>
      </c>
      <c r="D738">
        <v>140</v>
      </c>
      <c r="E738" s="4">
        <v>-5343191.45</v>
      </c>
      <c r="F738" t="s">
        <v>63</v>
      </c>
      <c r="G738">
        <v>0</v>
      </c>
      <c r="H738" s="32" t="str">
        <f ca="1">+IF(B738&gt;'sap nuevo'!$V$1,"cargar",IF(C738="","cargar","pagado"))</f>
        <v>cargar</v>
      </c>
      <c r="I738" s="32">
        <f t="shared" si="104"/>
        <v>2025</v>
      </c>
      <c r="J738" s="32">
        <f t="shared" si="105"/>
        <v>10</v>
      </c>
    </row>
    <row r="739" spans="1:10" x14ac:dyDescent="0.25">
      <c r="A739" t="s">
        <v>20</v>
      </c>
      <c r="B739" t="s">
        <v>187</v>
      </c>
      <c r="C739">
        <v>97123890</v>
      </c>
      <c r="D739">
        <v>140</v>
      </c>
      <c r="E739" s="4">
        <v>-4285169.4000000004</v>
      </c>
      <c r="F739" t="s">
        <v>62</v>
      </c>
      <c r="G739">
        <v>0</v>
      </c>
      <c r="H739" s="32" t="str">
        <f ca="1">+IF(B739&gt;'sap nuevo'!$V$1,"cargar",IF(C739="","cargar","pagado"))</f>
        <v>cargar</v>
      </c>
      <c r="I739" s="32">
        <f t="shared" si="104"/>
        <v>2025</v>
      </c>
      <c r="J739" s="32">
        <f t="shared" si="105"/>
        <v>10</v>
      </c>
    </row>
    <row r="740" spans="1:10" x14ac:dyDescent="0.25">
      <c r="A740" t="s">
        <v>12</v>
      </c>
      <c r="B740" t="s">
        <v>187</v>
      </c>
      <c r="C740">
        <v>97123891</v>
      </c>
      <c r="D740">
        <v>140</v>
      </c>
      <c r="E740" s="4">
        <v>-3679393.72</v>
      </c>
      <c r="F740" t="s">
        <v>63</v>
      </c>
      <c r="G740">
        <v>0</v>
      </c>
      <c r="H740" s="32" t="str">
        <f ca="1">+IF(B740&gt;'sap nuevo'!$V$1,"cargar",IF(C740="","cargar","pagado"))</f>
        <v>cargar</v>
      </c>
      <c r="I740" s="32">
        <f t="shared" si="104"/>
        <v>2025</v>
      </c>
      <c r="J740" s="32">
        <f t="shared" si="105"/>
        <v>10</v>
      </c>
    </row>
    <row r="741" spans="1:10" x14ac:dyDescent="0.25">
      <c r="A741" t="s">
        <v>20</v>
      </c>
      <c r="B741" t="s">
        <v>188</v>
      </c>
      <c r="C741">
        <v>97123895</v>
      </c>
      <c r="D741">
        <v>140</v>
      </c>
      <c r="E741" s="4">
        <v>-26433849.640000001</v>
      </c>
      <c r="F741" t="s">
        <v>62</v>
      </c>
      <c r="G741">
        <v>0</v>
      </c>
      <c r="H741" s="32" t="str">
        <f ca="1">+IF(B741&gt;'sap nuevo'!$V$1,"cargar",IF(C741="","cargar","pagado"))</f>
        <v>cargar</v>
      </c>
      <c r="I741" s="32">
        <f t="shared" si="104"/>
        <v>2025</v>
      </c>
      <c r="J741" s="32">
        <f t="shared" si="105"/>
        <v>10</v>
      </c>
    </row>
    <row r="742" spans="1:10" x14ac:dyDescent="0.25">
      <c r="A742" t="s">
        <v>12</v>
      </c>
      <c r="B742" t="s">
        <v>188</v>
      </c>
      <c r="C742">
        <v>97123897</v>
      </c>
      <c r="D742">
        <v>140</v>
      </c>
      <c r="E742" s="4">
        <v>-9938480.6500000004</v>
      </c>
      <c r="F742" t="s">
        <v>63</v>
      </c>
      <c r="G742">
        <v>0</v>
      </c>
      <c r="H742" s="32" t="str">
        <f ca="1">+IF(B742&gt;'sap nuevo'!$V$1,"cargar",IF(C742="","cargar","pagado"))</f>
        <v>cargar</v>
      </c>
      <c r="I742" s="32">
        <f t="shared" si="104"/>
        <v>2025</v>
      </c>
      <c r="J742" s="32">
        <f t="shared" si="105"/>
        <v>10</v>
      </c>
    </row>
    <row r="743" spans="1:10" x14ac:dyDescent="0.25">
      <c r="A743" t="s">
        <v>20</v>
      </c>
      <c r="B743" t="s">
        <v>188</v>
      </c>
      <c r="C743">
        <v>97123900</v>
      </c>
      <c r="D743">
        <v>140</v>
      </c>
      <c r="E743" s="4">
        <v>-8548637.4000000004</v>
      </c>
      <c r="F743" t="s">
        <v>62</v>
      </c>
      <c r="G743">
        <v>0</v>
      </c>
      <c r="H743" s="32" t="str">
        <f ca="1">+IF(B743&gt;'sap nuevo'!$V$1,"cargar",IF(C743="","cargar","pagado"))</f>
        <v>cargar</v>
      </c>
      <c r="I743" s="32">
        <f t="shared" si="104"/>
        <v>2025</v>
      </c>
      <c r="J743" s="32">
        <f t="shared" si="105"/>
        <v>10</v>
      </c>
    </row>
    <row r="744" spans="1:10" x14ac:dyDescent="0.25">
      <c r="A744" t="s">
        <v>12</v>
      </c>
      <c r="B744" t="s">
        <v>189</v>
      </c>
      <c r="C744">
        <v>97123903</v>
      </c>
      <c r="D744">
        <v>140</v>
      </c>
      <c r="E744" s="4">
        <v>-8575220.3300000001</v>
      </c>
      <c r="F744" t="s">
        <v>63</v>
      </c>
      <c r="G744">
        <v>0</v>
      </c>
      <c r="H744" s="32" t="str">
        <f ca="1">+IF(B744&gt;'sap nuevo'!$V$1,"cargar",IF(C744="","cargar","pagado"))</f>
        <v>cargar</v>
      </c>
      <c r="I744" s="32">
        <f t="shared" si="104"/>
        <v>2025</v>
      </c>
      <c r="J744" s="32">
        <f t="shared" si="105"/>
        <v>10</v>
      </c>
    </row>
    <row r="745" spans="1:10" x14ac:dyDescent="0.25">
      <c r="A745" t="s">
        <v>20</v>
      </c>
      <c r="B745" t="s">
        <v>189</v>
      </c>
      <c r="C745">
        <v>97123902</v>
      </c>
      <c r="D745">
        <v>140</v>
      </c>
      <c r="E745" s="4">
        <v>-3985630.18</v>
      </c>
      <c r="F745" t="s">
        <v>62</v>
      </c>
      <c r="G745">
        <v>0</v>
      </c>
      <c r="H745" s="32" t="str">
        <f ca="1">+IF(B745&gt;'sap nuevo'!$V$1,"cargar",IF(C745="","cargar","pagado"))</f>
        <v>cargar</v>
      </c>
      <c r="I745" s="32">
        <f t="shared" si="104"/>
        <v>2025</v>
      </c>
      <c r="J745" s="32">
        <f t="shared" si="105"/>
        <v>10</v>
      </c>
    </row>
    <row r="746" spans="1:10" x14ac:dyDescent="0.25">
      <c r="A746" t="s">
        <v>20</v>
      </c>
      <c r="B746" t="s">
        <v>190</v>
      </c>
      <c r="C746">
        <v>97123899</v>
      </c>
      <c r="D746">
        <v>140</v>
      </c>
      <c r="E746" s="4">
        <v>-9878343.4000000004</v>
      </c>
      <c r="F746" t="s">
        <v>62</v>
      </c>
      <c r="G746">
        <v>0</v>
      </c>
      <c r="H746" s="32" t="str">
        <f ca="1">+IF(B746&gt;'sap nuevo'!$V$1,"cargar",IF(C746="","cargar","pagado"))</f>
        <v>cargar</v>
      </c>
      <c r="I746" s="32">
        <f t="shared" ref="I746:I760" si="106">+YEAR(B746)</f>
        <v>2025</v>
      </c>
      <c r="J746" s="32">
        <f t="shared" ref="J746:J760" si="107">+MONTH(B746)</f>
        <v>10</v>
      </c>
    </row>
    <row r="747" spans="1:10" x14ac:dyDescent="0.25">
      <c r="A747" t="s">
        <v>20</v>
      </c>
      <c r="B747" t="s">
        <v>191</v>
      </c>
      <c r="C747">
        <v>97123904</v>
      </c>
      <c r="D747">
        <v>140</v>
      </c>
      <c r="E747" s="4">
        <v>-23704931.199999999</v>
      </c>
      <c r="F747" t="s">
        <v>62</v>
      </c>
      <c r="G747">
        <v>0</v>
      </c>
      <c r="H747" s="32" t="str">
        <f ca="1">+IF(B747&gt;'sap nuevo'!$V$1,"cargar",IF(C747="","cargar","pagado"))</f>
        <v>cargar</v>
      </c>
      <c r="I747" s="32">
        <f t="shared" si="106"/>
        <v>2025</v>
      </c>
      <c r="J747" s="32">
        <f t="shared" si="107"/>
        <v>10</v>
      </c>
    </row>
    <row r="748" spans="1:10" x14ac:dyDescent="0.25">
      <c r="A748" t="s">
        <v>20</v>
      </c>
      <c r="B748" t="s">
        <v>191</v>
      </c>
      <c r="C748">
        <v>97123892</v>
      </c>
      <c r="D748">
        <v>140</v>
      </c>
      <c r="E748" s="4">
        <v>-11601224.17</v>
      </c>
      <c r="F748" t="s">
        <v>62</v>
      </c>
      <c r="G748">
        <v>0</v>
      </c>
      <c r="H748" s="32" t="str">
        <f ca="1">+IF(B748&gt;'sap nuevo'!$V$1,"cargar",IF(C748="","cargar","pagado"))</f>
        <v>cargar</v>
      </c>
      <c r="I748" s="32">
        <f t="shared" si="106"/>
        <v>2025</v>
      </c>
      <c r="J748" s="32">
        <f t="shared" si="107"/>
        <v>10</v>
      </c>
    </row>
    <row r="749" spans="1:10" x14ac:dyDescent="0.25">
      <c r="A749" t="s">
        <v>20</v>
      </c>
      <c r="B749" t="s">
        <v>191</v>
      </c>
      <c r="C749">
        <v>97123905</v>
      </c>
      <c r="D749">
        <v>140</v>
      </c>
      <c r="E749" s="4">
        <v>-6478426.6399999997</v>
      </c>
      <c r="F749" t="s">
        <v>62</v>
      </c>
      <c r="G749">
        <v>0</v>
      </c>
      <c r="H749" s="32" t="str">
        <f ca="1">+IF(B749&gt;'sap nuevo'!$V$1,"cargar",IF(C749="","cargar","pagado"))</f>
        <v>cargar</v>
      </c>
      <c r="I749" s="32">
        <f t="shared" si="106"/>
        <v>2025</v>
      </c>
      <c r="J749" s="32">
        <f t="shared" si="107"/>
        <v>10</v>
      </c>
    </row>
    <row r="750" spans="1:10" x14ac:dyDescent="0.25">
      <c r="A750" t="s">
        <v>20</v>
      </c>
      <c r="B750" t="s">
        <v>510</v>
      </c>
      <c r="C750">
        <v>97123907</v>
      </c>
      <c r="D750">
        <v>140</v>
      </c>
      <c r="E750" s="4">
        <v>-12130546.34</v>
      </c>
      <c r="F750" t="s">
        <v>62</v>
      </c>
      <c r="G750">
        <v>0</v>
      </c>
      <c r="H750" s="32" t="str">
        <f ca="1">+IF(B750&gt;'sap nuevo'!$V$1,"cargar",IF(C750="","cargar","pagado"))</f>
        <v>cargar</v>
      </c>
      <c r="I750" s="32">
        <f t="shared" si="106"/>
        <v>2025</v>
      </c>
      <c r="J750" s="32">
        <f t="shared" si="107"/>
        <v>10</v>
      </c>
    </row>
    <row r="751" spans="1:10" x14ac:dyDescent="0.25">
      <c r="A751" t="s">
        <v>12</v>
      </c>
      <c r="B751" t="s">
        <v>510</v>
      </c>
      <c r="C751">
        <v>97123906</v>
      </c>
      <c r="D751">
        <v>140</v>
      </c>
      <c r="E751" s="4">
        <v>-6971977.5999999996</v>
      </c>
      <c r="F751" t="s">
        <v>63</v>
      </c>
      <c r="G751">
        <v>0</v>
      </c>
      <c r="H751" s="32" t="str">
        <f ca="1">+IF(B751&gt;'sap nuevo'!$V$1,"cargar",IF(C751="","cargar","pagado"))</f>
        <v>cargar</v>
      </c>
      <c r="I751" s="32">
        <f t="shared" si="106"/>
        <v>2025</v>
      </c>
      <c r="J751" s="32">
        <f t="shared" si="107"/>
        <v>10</v>
      </c>
    </row>
    <row r="752" spans="1:10" x14ac:dyDescent="0.25">
      <c r="A752" t="s">
        <v>20</v>
      </c>
      <c r="B752" t="s">
        <v>192</v>
      </c>
      <c r="C752">
        <v>97123915</v>
      </c>
      <c r="D752">
        <v>140</v>
      </c>
      <c r="E752" s="4">
        <v>-11895147.6</v>
      </c>
      <c r="F752" t="s">
        <v>62</v>
      </c>
      <c r="G752">
        <v>0</v>
      </c>
      <c r="H752" s="32" t="str">
        <f ca="1">+IF(B752&gt;'sap nuevo'!$V$1,"cargar",IF(C752="","cargar","pagado"))</f>
        <v>cargar</v>
      </c>
      <c r="I752" s="32">
        <f t="shared" si="106"/>
        <v>2025</v>
      </c>
      <c r="J752" s="32">
        <f t="shared" si="107"/>
        <v>11</v>
      </c>
    </row>
    <row r="753" spans="1:10" x14ac:dyDescent="0.25">
      <c r="A753" t="s">
        <v>20</v>
      </c>
      <c r="B753" t="s">
        <v>192</v>
      </c>
      <c r="C753">
        <v>97123914</v>
      </c>
      <c r="D753">
        <v>140</v>
      </c>
      <c r="E753" s="4">
        <v>-3704355.3</v>
      </c>
      <c r="F753" t="s">
        <v>62</v>
      </c>
      <c r="G753">
        <v>0</v>
      </c>
      <c r="H753" s="32" t="str">
        <f ca="1">+IF(B753&gt;'sap nuevo'!$V$1,"cargar",IF(C753="","cargar","pagado"))</f>
        <v>cargar</v>
      </c>
      <c r="I753" s="32">
        <f t="shared" si="106"/>
        <v>2025</v>
      </c>
      <c r="J753" s="32">
        <f t="shared" si="107"/>
        <v>11</v>
      </c>
    </row>
    <row r="754" spans="1:10" x14ac:dyDescent="0.25">
      <c r="A754" t="s">
        <v>20</v>
      </c>
      <c r="B754" t="s">
        <v>192</v>
      </c>
      <c r="C754">
        <v>97123912</v>
      </c>
      <c r="D754">
        <v>140</v>
      </c>
      <c r="E754" s="4">
        <v>-2146161.6</v>
      </c>
      <c r="F754" t="s">
        <v>62</v>
      </c>
      <c r="G754">
        <v>0</v>
      </c>
      <c r="H754" s="32" t="str">
        <f ca="1">+IF(B754&gt;'sap nuevo'!$V$1,"cargar",IF(C754="","cargar","pagado"))</f>
        <v>cargar</v>
      </c>
      <c r="I754" s="32">
        <f t="shared" si="106"/>
        <v>2025</v>
      </c>
      <c r="J754" s="32">
        <f t="shared" si="107"/>
        <v>11</v>
      </c>
    </row>
    <row r="755" spans="1:10" x14ac:dyDescent="0.25">
      <c r="A755" t="s">
        <v>20</v>
      </c>
      <c r="B755" t="s">
        <v>192</v>
      </c>
      <c r="C755">
        <v>97123911</v>
      </c>
      <c r="D755">
        <v>140</v>
      </c>
      <c r="E755" s="4">
        <v>-2108359.89</v>
      </c>
      <c r="F755" t="s">
        <v>62</v>
      </c>
      <c r="G755">
        <v>0</v>
      </c>
      <c r="H755" s="32" t="str">
        <f ca="1">+IF(B755&gt;'sap nuevo'!$V$1,"cargar",IF(C755="","cargar","pagado"))</f>
        <v>cargar</v>
      </c>
      <c r="I755" s="32">
        <f t="shared" si="106"/>
        <v>2025</v>
      </c>
      <c r="J755" s="32">
        <f t="shared" si="107"/>
        <v>11</v>
      </c>
    </row>
    <row r="756" spans="1:10" x14ac:dyDescent="0.25">
      <c r="A756" t="s">
        <v>20</v>
      </c>
      <c r="B756" t="s">
        <v>192</v>
      </c>
      <c r="C756">
        <v>97123916</v>
      </c>
      <c r="D756">
        <v>140</v>
      </c>
      <c r="E756" s="4">
        <v>-202741.1</v>
      </c>
      <c r="F756" t="s">
        <v>62</v>
      </c>
      <c r="G756">
        <v>0</v>
      </c>
      <c r="H756" s="32" t="str">
        <f ca="1">+IF(B756&gt;'sap nuevo'!$V$1,"cargar",IF(C756="","cargar","pagado"))</f>
        <v>cargar</v>
      </c>
      <c r="I756" s="32">
        <f t="shared" si="106"/>
        <v>2025</v>
      </c>
      <c r="J756" s="32">
        <f t="shared" si="107"/>
        <v>11</v>
      </c>
    </row>
    <row r="757" spans="1:10" x14ac:dyDescent="0.25">
      <c r="A757" t="s">
        <v>20</v>
      </c>
      <c r="B757" t="s">
        <v>193</v>
      </c>
      <c r="C757">
        <v>97123934</v>
      </c>
      <c r="D757">
        <v>140</v>
      </c>
      <c r="E757" s="4">
        <v>-32248547</v>
      </c>
      <c r="F757" t="s">
        <v>62</v>
      </c>
      <c r="G757">
        <v>0</v>
      </c>
      <c r="H757" s="32" t="str">
        <f ca="1">+IF(B757&gt;'sap nuevo'!$V$1,"cargar",IF(C757="","cargar","pagado"))</f>
        <v>cargar</v>
      </c>
      <c r="I757" s="32">
        <f t="shared" si="106"/>
        <v>2025</v>
      </c>
      <c r="J757" s="32">
        <f t="shared" si="107"/>
        <v>11</v>
      </c>
    </row>
    <row r="758" spans="1:10" x14ac:dyDescent="0.25">
      <c r="A758" t="s">
        <v>12</v>
      </c>
      <c r="B758" t="s">
        <v>193</v>
      </c>
      <c r="C758">
        <v>97123925</v>
      </c>
      <c r="D758">
        <v>140</v>
      </c>
      <c r="E758" s="4">
        <v>-20624208</v>
      </c>
      <c r="F758" t="s">
        <v>63</v>
      </c>
      <c r="G758">
        <v>0</v>
      </c>
      <c r="H758" s="32" t="str">
        <f ca="1">+IF(B758&gt;'sap nuevo'!$V$1,"cargar",IF(C758="","cargar","pagado"))</f>
        <v>cargar</v>
      </c>
      <c r="I758" s="32">
        <f t="shared" si="106"/>
        <v>2025</v>
      </c>
      <c r="J758" s="32">
        <f t="shared" si="107"/>
        <v>11</v>
      </c>
    </row>
    <row r="759" spans="1:10" x14ac:dyDescent="0.25">
      <c r="A759" t="s">
        <v>20</v>
      </c>
      <c r="B759" t="s">
        <v>193</v>
      </c>
      <c r="C759">
        <v>97123919</v>
      </c>
      <c r="D759">
        <v>140</v>
      </c>
      <c r="E759" s="4">
        <v>-17194308.600000001</v>
      </c>
      <c r="F759" t="s">
        <v>62</v>
      </c>
      <c r="G759">
        <v>0</v>
      </c>
      <c r="H759" s="32" t="str">
        <f ca="1">+IF(B759&gt;'sap nuevo'!$V$1,"cargar",IF(C759="","cargar","pagado"))</f>
        <v>cargar</v>
      </c>
      <c r="I759" s="32">
        <f t="shared" si="106"/>
        <v>2025</v>
      </c>
      <c r="J759" s="32">
        <f t="shared" si="107"/>
        <v>11</v>
      </c>
    </row>
    <row r="760" spans="1:10" x14ac:dyDescent="0.25">
      <c r="A760" t="s">
        <v>20</v>
      </c>
      <c r="B760" t="s">
        <v>193</v>
      </c>
      <c r="C760">
        <v>97123913</v>
      </c>
      <c r="D760">
        <v>140</v>
      </c>
      <c r="E760" s="4">
        <v>-14276852.279999999</v>
      </c>
      <c r="F760" t="s">
        <v>62</v>
      </c>
      <c r="G760">
        <v>0</v>
      </c>
      <c r="H760" s="32" t="str">
        <f ca="1">+IF(B760&gt;'sap nuevo'!$V$1,"cargar",IF(C760="","cargar","pagado"))</f>
        <v>cargar</v>
      </c>
      <c r="I760" s="32">
        <f t="shared" si="106"/>
        <v>2025</v>
      </c>
      <c r="J760" s="32">
        <f t="shared" si="107"/>
        <v>11</v>
      </c>
    </row>
    <row r="761" spans="1:10" x14ac:dyDescent="0.25">
      <c r="A761" t="s">
        <v>20</v>
      </c>
      <c r="B761" t="s">
        <v>193</v>
      </c>
      <c r="C761">
        <v>97123933</v>
      </c>
      <c r="D761">
        <v>140</v>
      </c>
      <c r="E761" s="4">
        <v>-12490633.640000001</v>
      </c>
      <c r="F761" t="s">
        <v>62</v>
      </c>
      <c r="G761">
        <v>0</v>
      </c>
      <c r="H761" s="32" t="str">
        <f ca="1">+IF(B761&gt;'sap nuevo'!$V$1,"cargar",IF(C761="","cargar","pagado"))</f>
        <v>cargar</v>
      </c>
      <c r="I761" s="32">
        <f t="shared" ref="I761:I774" si="108">+YEAR(B761)</f>
        <v>2025</v>
      </c>
      <c r="J761" s="32">
        <f t="shared" ref="J761:J774" si="109">+MONTH(B761)</f>
        <v>11</v>
      </c>
    </row>
    <row r="762" spans="1:10" x14ac:dyDescent="0.25">
      <c r="A762" t="s">
        <v>12</v>
      </c>
      <c r="B762" t="s">
        <v>193</v>
      </c>
      <c r="C762">
        <v>97123923</v>
      </c>
      <c r="D762">
        <v>140</v>
      </c>
      <c r="E762" s="4">
        <v>-7953680</v>
      </c>
      <c r="F762" t="s">
        <v>63</v>
      </c>
      <c r="G762">
        <v>0</v>
      </c>
      <c r="H762" s="32" t="str">
        <f ca="1">+IF(B762&gt;'sap nuevo'!$V$1,"cargar",IF(C762="","cargar","pagado"))</f>
        <v>cargar</v>
      </c>
      <c r="I762" s="32">
        <f t="shared" si="108"/>
        <v>2025</v>
      </c>
      <c r="J762" s="32">
        <f t="shared" si="109"/>
        <v>11</v>
      </c>
    </row>
    <row r="763" spans="1:10" x14ac:dyDescent="0.25">
      <c r="A763" t="s">
        <v>20</v>
      </c>
      <c r="B763" t="s">
        <v>193</v>
      </c>
      <c r="C763">
        <v>97123932</v>
      </c>
      <c r="D763">
        <v>140</v>
      </c>
      <c r="E763" s="4">
        <v>-6770820</v>
      </c>
      <c r="F763" t="s">
        <v>62</v>
      </c>
      <c r="G763">
        <v>0</v>
      </c>
      <c r="H763" s="32" t="str">
        <f ca="1">+IF(B763&gt;'sap nuevo'!$V$1,"cargar",IF(C763="","cargar","pagado"))</f>
        <v>cargar</v>
      </c>
      <c r="I763" s="32">
        <f t="shared" si="108"/>
        <v>2025</v>
      </c>
      <c r="J763" s="32">
        <f t="shared" si="109"/>
        <v>11</v>
      </c>
    </row>
    <row r="764" spans="1:10" x14ac:dyDescent="0.25">
      <c r="A764" t="s">
        <v>20</v>
      </c>
      <c r="B764" t="s">
        <v>193</v>
      </c>
      <c r="C764">
        <v>97123924</v>
      </c>
      <c r="D764">
        <v>140</v>
      </c>
      <c r="E764" s="4">
        <v>-4863520.83</v>
      </c>
      <c r="F764" t="s">
        <v>62</v>
      </c>
      <c r="G764">
        <v>0</v>
      </c>
      <c r="H764" s="32" t="str">
        <f ca="1">+IF(B764&gt;'sap nuevo'!$V$1,"cargar",IF(C764="","cargar","pagado"))</f>
        <v>cargar</v>
      </c>
      <c r="I764" s="32">
        <f t="shared" si="108"/>
        <v>2025</v>
      </c>
      <c r="J764" s="32">
        <f t="shared" si="109"/>
        <v>11</v>
      </c>
    </row>
    <row r="765" spans="1:10" x14ac:dyDescent="0.25">
      <c r="A765" t="s">
        <v>20</v>
      </c>
      <c r="B765" t="s">
        <v>193</v>
      </c>
      <c r="C765">
        <v>97123929</v>
      </c>
      <c r="D765">
        <v>140</v>
      </c>
      <c r="E765" s="4">
        <v>-3898170.62</v>
      </c>
      <c r="F765" t="s">
        <v>62</v>
      </c>
      <c r="G765">
        <v>0</v>
      </c>
      <c r="H765" s="32" t="str">
        <f ca="1">+IF(B765&gt;'sap nuevo'!$V$1,"cargar",IF(C765="","cargar","pagado"))</f>
        <v>cargar</v>
      </c>
      <c r="I765" s="32">
        <f t="shared" si="108"/>
        <v>2025</v>
      </c>
      <c r="J765" s="32">
        <f t="shared" si="109"/>
        <v>11</v>
      </c>
    </row>
    <row r="766" spans="1:10" x14ac:dyDescent="0.25">
      <c r="A766" t="s">
        <v>20</v>
      </c>
      <c r="B766" t="s">
        <v>193</v>
      </c>
      <c r="C766">
        <v>97123922</v>
      </c>
      <c r="D766">
        <v>140</v>
      </c>
      <c r="E766" s="4">
        <v>-3491274.95</v>
      </c>
      <c r="F766" t="s">
        <v>62</v>
      </c>
      <c r="G766">
        <v>0</v>
      </c>
      <c r="H766" s="32" t="str">
        <f ca="1">+IF(B766&gt;'sap nuevo'!$V$1,"cargar",IF(C766="","cargar","pagado"))</f>
        <v>cargar</v>
      </c>
      <c r="I766" s="32">
        <f t="shared" si="108"/>
        <v>2025</v>
      </c>
      <c r="J766" s="32">
        <f t="shared" si="109"/>
        <v>11</v>
      </c>
    </row>
    <row r="767" spans="1:10" x14ac:dyDescent="0.25">
      <c r="A767" t="s">
        <v>20</v>
      </c>
      <c r="B767" t="s">
        <v>193</v>
      </c>
      <c r="C767">
        <v>97123901</v>
      </c>
      <c r="D767">
        <v>140</v>
      </c>
      <c r="E767" s="4">
        <v>-3358543.4</v>
      </c>
      <c r="F767" t="s">
        <v>62</v>
      </c>
      <c r="G767">
        <v>0</v>
      </c>
      <c r="H767" s="32" t="str">
        <f ca="1">+IF(B767&gt;'sap nuevo'!$V$1,"cargar",IF(C767="","cargar","pagado"))</f>
        <v>cargar</v>
      </c>
      <c r="I767" s="32">
        <f t="shared" si="108"/>
        <v>2025</v>
      </c>
      <c r="J767" s="32">
        <f t="shared" si="109"/>
        <v>11</v>
      </c>
    </row>
    <row r="768" spans="1:10" x14ac:dyDescent="0.25">
      <c r="A768" t="s">
        <v>20</v>
      </c>
      <c r="B768" t="s">
        <v>193</v>
      </c>
      <c r="C768">
        <v>97123917</v>
      </c>
      <c r="D768">
        <v>140</v>
      </c>
      <c r="E768" s="4">
        <v>-3221123.22</v>
      </c>
      <c r="F768" t="s">
        <v>62</v>
      </c>
      <c r="G768">
        <v>0</v>
      </c>
      <c r="H768" s="32" t="str">
        <f ca="1">+IF(B768&gt;'sap nuevo'!$V$1,"cargar",IF(C768="","cargar","pagado"))</f>
        <v>cargar</v>
      </c>
      <c r="I768" s="32">
        <f t="shared" si="108"/>
        <v>2025</v>
      </c>
      <c r="J768" s="32">
        <f t="shared" si="109"/>
        <v>11</v>
      </c>
    </row>
    <row r="769" spans="1:10" x14ac:dyDescent="0.25">
      <c r="A769" t="s">
        <v>12</v>
      </c>
      <c r="B769" t="s">
        <v>193</v>
      </c>
      <c r="C769">
        <v>97123920</v>
      </c>
      <c r="D769">
        <v>140</v>
      </c>
      <c r="E769" s="4">
        <v>-2403128.15</v>
      </c>
      <c r="F769" t="s">
        <v>63</v>
      </c>
      <c r="G769">
        <v>0</v>
      </c>
      <c r="H769" s="32" t="str">
        <f ca="1">+IF(B769&gt;'sap nuevo'!$V$1,"cargar",IF(C769="","cargar","pagado"))</f>
        <v>cargar</v>
      </c>
      <c r="I769" s="32">
        <f t="shared" si="108"/>
        <v>2025</v>
      </c>
      <c r="J769" s="32">
        <f t="shared" si="109"/>
        <v>11</v>
      </c>
    </row>
    <row r="770" spans="1:10" x14ac:dyDescent="0.25">
      <c r="A770" t="s">
        <v>12</v>
      </c>
      <c r="B770" t="s">
        <v>193</v>
      </c>
      <c r="C770">
        <v>97123910</v>
      </c>
      <c r="D770">
        <v>140</v>
      </c>
      <c r="E770" s="4">
        <v>-2074384.33</v>
      </c>
      <c r="F770" t="s">
        <v>63</v>
      </c>
      <c r="G770">
        <v>0</v>
      </c>
      <c r="H770" s="32" t="str">
        <f ca="1">+IF(B770&gt;'sap nuevo'!$V$1,"cargar",IF(C770="","cargar","pagado"))</f>
        <v>cargar</v>
      </c>
      <c r="I770" s="32">
        <f t="shared" si="108"/>
        <v>2025</v>
      </c>
      <c r="J770" s="32">
        <f t="shared" si="109"/>
        <v>11</v>
      </c>
    </row>
    <row r="771" spans="1:10" x14ac:dyDescent="0.25">
      <c r="A771" t="s">
        <v>20</v>
      </c>
      <c r="B771" t="s">
        <v>193</v>
      </c>
      <c r="C771">
        <v>97123909</v>
      </c>
      <c r="D771">
        <v>140</v>
      </c>
      <c r="E771" s="4">
        <v>-1854890.53</v>
      </c>
      <c r="F771" t="s">
        <v>62</v>
      </c>
      <c r="G771">
        <v>0</v>
      </c>
      <c r="H771" s="32" t="str">
        <f ca="1">+IF(B771&gt;'sap nuevo'!$V$1,"cargar",IF(C771="","cargar","pagado"))</f>
        <v>cargar</v>
      </c>
      <c r="I771" s="32">
        <f t="shared" si="108"/>
        <v>2025</v>
      </c>
      <c r="J771" s="32">
        <f t="shared" si="109"/>
        <v>11</v>
      </c>
    </row>
    <row r="772" spans="1:10" x14ac:dyDescent="0.25">
      <c r="A772" t="s">
        <v>20</v>
      </c>
      <c r="B772" t="s">
        <v>511</v>
      </c>
      <c r="C772">
        <v>97123926</v>
      </c>
      <c r="D772">
        <v>140</v>
      </c>
      <c r="E772" s="4">
        <v>-12906740</v>
      </c>
      <c r="F772" t="s">
        <v>62</v>
      </c>
      <c r="G772">
        <v>0</v>
      </c>
      <c r="H772" s="32" t="str">
        <f ca="1">+IF(B772&gt;'sap nuevo'!$V$1,"cargar",IF(C772="","cargar","pagado"))</f>
        <v>cargar</v>
      </c>
      <c r="I772" s="32">
        <f t="shared" si="108"/>
        <v>2025</v>
      </c>
      <c r="J772" s="32">
        <f t="shared" si="109"/>
        <v>11</v>
      </c>
    </row>
    <row r="773" spans="1:10" x14ac:dyDescent="0.25">
      <c r="A773" t="s">
        <v>20</v>
      </c>
      <c r="B773" t="s">
        <v>511</v>
      </c>
      <c r="C773">
        <v>97123918</v>
      </c>
      <c r="D773">
        <v>140</v>
      </c>
      <c r="E773" s="4">
        <v>-2787518.88</v>
      </c>
      <c r="F773" t="s">
        <v>62</v>
      </c>
      <c r="G773">
        <v>0</v>
      </c>
      <c r="H773" s="32" t="str">
        <f ca="1">+IF(B773&gt;'sap nuevo'!$V$1,"cargar",IF(C773="","cargar","pagado"))</f>
        <v>cargar</v>
      </c>
      <c r="I773" s="32">
        <f t="shared" si="108"/>
        <v>2025</v>
      </c>
      <c r="J773" s="32">
        <f t="shared" si="109"/>
        <v>11</v>
      </c>
    </row>
    <row r="774" spans="1:10" x14ac:dyDescent="0.25">
      <c r="A774" t="s">
        <v>20</v>
      </c>
      <c r="B774" t="s">
        <v>321</v>
      </c>
      <c r="C774">
        <v>97123921</v>
      </c>
      <c r="D774">
        <v>140</v>
      </c>
      <c r="E774" s="4">
        <v>-3242280.28</v>
      </c>
      <c r="F774" t="s">
        <v>62</v>
      </c>
      <c r="G774">
        <v>0</v>
      </c>
      <c r="H774" s="32" t="str">
        <f ca="1">+IF(B774&gt;'sap nuevo'!$V$1,"cargar",IF(C774="","cargar","pagado"))</f>
        <v>cargar</v>
      </c>
      <c r="I774" s="32">
        <f t="shared" si="108"/>
        <v>2025</v>
      </c>
      <c r="J774" s="32">
        <f t="shared" si="109"/>
        <v>11</v>
      </c>
    </row>
    <row r="775" spans="1:10" x14ac:dyDescent="0.25">
      <c r="A775" t="s">
        <v>20</v>
      </c>
      <c r="B775" t="s">
        <v>512</v>
      </c>
      <c r="C775">
        <v>97123869</v>
      </c>
      <c r="D775">
        <v>140</v>
      </c>
      <c r="E775" s="4">
        <v>-20000000</v>
      </c>
      <c r="F775" t="s">
        <v>62</v>
      </c>
      <c r="G775">
        <v>0</v>
      </c>
      <c r="H775" s="32" t="str">
        <f ca="1">+IF(B775&gt;'sap nuevo'!$V$1,"cargar",IF(C775="","cargar","pagado"))</f>
        <v>cargar</v>
      </c>
      <c r="I775" s="32">
        <f t="shared" ref="I775:I818" si="110">+YEAR(B775)</f>
        <v>2025</v>
      </c>
      <c r="J775" s="32">
        <f t="shared" ref="J775:J818" si="111">+MONTH(B775)</f>
        <v>11</v>
      </c>
    </row>
    <row r="776" spans="1:10" x14ac:dyDescent="0.25">
      <c r="A776" t="s">
        <v>12</v>
      </c>
      <c r="B776" t="s">
        <v>512</v>
      </c>
      <c r="C776">
        <v>97123930</v>
      </c>
      <c r="D776">
        <v>140</v>
      </c>
      <c r="E776" s="4">
        <v>-18118532.5</v>
      </c>
      <c r="F776" t="s">
        <v>63</v>
      </c>
      <c r="G776">
        <v>0</v>
      </c>
      <c r="H776" s="32" t="str">
        <f ca="1">+IF(B776&gt;'sap nuevo'!$V$1,"cargar",IF(C776="","cargar","pagado"))</f>
        <v>cargar</v>
      </c>
      <c r="I776" s="32">
        <f t="shared" si="110"/>
        <v>2025</v>
      </c>
      <c r="J776" s="32">
        <f t="shared" si="111"/>
        <v>11</v>
      </c>
    </row>
    <row r="777" spans="1:10" x14ac:dyDescent="0.25">
      <c r="A777" t="s">
        <v>20</v>
      </c>
      <c r="B777" t="s">
        <v>512</v>
      </c>
      <c r="C777">
        <v>97123940</v>
      </c>
      <c r="D777">
        <v>140</v>
      </c>
      <c r="E777" s="4">
        <v>-18109574.82</v>
      </c>
      <c r="F777" t="s">
        <v>62</v>
      </c>
      <c r="G777">
        <v>0</v>
      </c>
      <c r="H777" s="32" t="str">
        <f ca="1">+IF(B777&gt;'sap nuevo'!$V$1,"cargar",IF(C777="","cargar","pagado"))</f>
        <v>cargar</v>
      </c>
      <c r="I777" s="32">
        <f t="shared" si="110"/>
        <v>2025</v>
      </c>
      <c r="J777" s="32">
        <f t="shared" si="111"/>
        <v>11</v>
      </c>
    </row>
    <row r="778" spans="1:10" x14ac:dyDescent="0.25">
      <c r="A778" t="s">
        <v>20</v>
      </c>
      <c r="B778" t="s">
        <v>512</v>
      </c>
      <c r="C778">
        <v>97123941</v>
      </c>
      <c r="D778">
        <v>140</v>
      </c>
      <c r="E778" s="4">
        <v>-14042020.5</v>
      </c>
      <c r="F778" t="s">
        <v>62</v>
      </c>
      <c r="G778">
        <v>0</v>
      </c>
      <c r="H778" s="32" t="str">
        <f ca="1">+IF(B778&gt;'sap nuevo'!$V$1,"cargar",IF(C778="","cargar","pagado"))</f>
        <v>cargar</v>
      </c>
      <c r="I778" s="32">
        <f t="shared" si="110"/>
        <v>2025</v>
      </c>
      <c r="J778" s="32">
        <f t="shared" si="111"/>
        <v>11</v>
      </c>
    </row>
    <row r="779" spans="1:10" x14ac:dyDescent="0.25">
      <c r="A779" t="s">
        <v>20</v>
      </c>
      <c r="B779" t="s">
        <v>512</v>
      </c>
      <c r="C779">
        <v>97123949</v>
      </c>
      <c r="D779">
        <v>140</v>
      </c>
      <c r="E779" s="4">
        <v>-13635050.75</v>
      </c>
      <c r="F779" t="s">
        <v>62</v>
      </c>
      <c r="G779">
        <v>0</v>
      </c>
      <c r="H779" s="32" t="str">
        <f ca="1">+IF(B779&gt;'sap nuevo'!$V$1,"cargar",IF(C779="","cargar","pagado"))</f>
        <v>cargar</v>
      </c>
      <c r="I779" s="32">
        <f t="shared" si="110"/>
        <v>2025</v>
      </c>
      <c r="J779" s="32">
        <f t="shared" si="111"/>
        <v>11</v>
      </c>
    </row>
    <row r="780" spans="1:10" x14ac:dyDescent="0.25">
      <c r="A780" t="s">
        <v>12</v>
      </c>
      <c r="B780" t="s">
        <v>512</v>
      </c>
      <c r="C780">
        <v>97123942</v>
      </c>
      <c r="D780">
        <v>140</v>
      </c>
      <c r="E780" s="4">
        <v>-12768648.060000001</v>
      </c>
      <c r="F780" t="s">
        <v>63</v>
      </c>
      <c r="G780">
        <v>0</v>
      </c>
      <c r="H780" s="32" t="str">
        <f ca="1">+IF(B780&gt;'sap nuevo'!$V$1,"cargar",IF(C780="","cargar","pagado"))</f>
        <v>cargar</v>
      </c>
      <c r="I780" s="32">
        <f t="shared" si="110"/>
        <v>2025</v>
      </c>
      <c r="J780" s="32">
        <f t="shared" si="111"/>
        <v>11</v>
      </c>
    </row>
    <row r="781" spans="1:10" x14ac:dyDescent="0.25">
      <c r="A781" t="s">
        <v>20</v>
      </c>
      <c r="B781" t="s">
        <v>512</v>
      </c>
      <c r="C781">
        <v>97123928</v>
      </c>
      <c r="D781">
        <v>140</v>
      </c>
      <c r="E781" s="4">
        <v>-11435731.02</v>
      </c>
      <c r="F781" t="s">
        <v>62</v>
      </c>
      <c r="G781">
        <v>0</v>
      </c>
      <c r="H781" s="32" t="str">
        <f ca="1">+IF(B781&gt;'sap nuevo'!$V$1,"cargar",IF(C781="","cargar","pagado"))</f>
        <v>cargar</v>
      </c>
      <c r="I781" s="32">
        <f t="shared" si="110"/>
        <v>2025</v>
      </c>
      <c r="J781" s="32">
        <f t="shared" si="111"/>
        <v>11</v>
      </c>
    </row>
    <row r="782" spans="1:10" x14ac:dyDescent="0.25">
      <c r="A782" t="s">
        <v>12</v>
      </c>
      <c r="B782" t="s">
        <v>512</v>
      </c>
      <c r="C782">
        <v>97123936</v>
      </c>
      <c r="D782">
        <v>140</v>
      </c>
      <c r="E782" s="4">
        <v>-6440710</v>
      </c>
      <c r="F782" t="s">
        <v>63</v>
      </c>
      <c r="G782">
        <v>0</v>
      </c>
      <c r="H782" s="32" t="str">
        <f ca="1">+IF(B782&gt;'sap nuevo'!$V$1,"cargar",IF(C782="","cargar","pagado"))</f>
        <v>cargar</v>
      </c>
      <c r="I782" s="32">
        <f t="shared" si="110"/>
        <v>2025</v>
      </c>
      <c r="J782" s="32">
        <f t="shared" si="111"/>
        <v>11</v>
      </c>
    </row>
    <row r="783" spans="1:10" x14ac:dyDescent="0.25">
      <c r="A783" t="s">
        <v>12</v>
      </c>
      <c r="B783" t="s">
        <v>512</v>
      </c>
      <c r="C783">
        <v>97123935</v>
      </c>
      <c r="D783">
        <v>140</v>
      </c>
      <c r="E783" s="4">
        <v>-6138889.1799999997</v>
      </c>
      <c r="F783" t="s">
        <v>63</v>
      </c>
      <c r="G783">
        <v>0</v>
      </c>
      <c r="H783" s="32" t="str">
        <f ca="1">+IF(B783&gt;'sap nuevo'!$V$1,"cargar",IF(C783="","cargar","pagado"))</f>
        <v>cargar</v>
      </c>
      <c r="I783" s="32">
        <f t="shared" si="110"/>
        <v>2025</v>
      </c>
      <c r="J783" s="32">
        <f t="shared" si="111"/>
        <v>11</v>
      </c>
    </row>
    <row r="784" spans="1:10" x14ac:dyDescent="0.25">
      <c r="A784" t="s">
        <v>20</v>
      </c>
      <c r="B784" t="s">
        <v>512</v>
      </c>
      <c r="C784">
        <v>97123939</v>
      </c>
      <c r="D784">
        <v>140</v>
      </c>
      <c r="E784" s="4">
        <v>-5579437.1699999999</v>
      </c>
      <c r="F784" t="s">
        <v>62</v>
      </c>
      <c r="G784">
        <v>0</v>
      </c>
      <c r="H784" s="32" t="str">
        <f ca="1">+IF(B784&gt;'sap nuevo'!$V$1,"cargar",IF(C784="","cargar","pagado"))</f>
        <v>cargar</v>
      </c>
      <c r="I784" s="32">
        <f t="shared" si="110"/>
        <v>2025</v>
      </c>
      <c r="J784" s="32">
        <f t="shared" si="111"/>
        <v>11</v>
      </c>
    </row>
    <row r="785" spans="1:10" x14ac:dyDescent="0.25">
      <c r="A785" t="s">
        <v>12</v>
      </c>
      <c r="B785" t="s">
        <v>512</v>
      </c>
      <c r="C785">
        <v>97123947</v>
      </c>
      <c r="D785">
        <v>140</v>
      </c>
      <c r="E785" s="4">
        <v>-4508127.67</v>
      </c>
      <c r="F785" t="s">
        <v>63</v>
      </c>
      <c r="G785">
        <v>0</v>
      </c>
      <c r="H785" s="32" t="str">
        <f ca="1">+IF(B785&gt;'sap nuevo'!$V$1,"cargar",IF(C785="","cargar","pagado"))</f>
        <v>cargar</v>
      </c>
      <c r="I785" s="32">
        <f t="shared" si="110"/>
        <v>2025</v>
      </c>
      <c r="J785" s="32">
        <f t="shared" si="111"/>
        <v>11</v>
      </c>
    </row>
    <row r="786" spans="1:10" x14ac:dyDescent="0.25">
      <c r="A786" t="s">
        <v>12</v>
      </c>
      <c r="B786" t="s">
        <v>512</v>
      </c>
      <c r="C786">
        <v>97123943</v>
      </c>
      <c r="D786">
        <v>140</v>
      </c>
      <c r="E786" s="4">
        <v>-4398075.9000000004</v>
      </c>
      <c r="F786" t="s">
        <v>63</v>
      </c>
      <c r="G786">
        <v>0</v>
      </c>
      <c r="H786" s="32" t="str">
        <f ca="1">+IF(B786&gt;'sap nuevo'!$V$1,"cargar",IF(C786="","cargar","pagado"))</f>
        <v>cargar</v>
      </c>
      <c r="I786" s="32">
        <f t="shared" si="110"/>
        <v>2025</v>
      </c>
      <c r="J786" s="32">
        <f t="shared" si="111"/>
        <v>11</v>
      </c>
    </row>
    <row r="787" spans="1:10" x14ac:dyDescent="0.25">
      <c r="A787" t="s">
        <v>12</v>
      </c>
      <c r="B787" t="s">
        <v>512</v>
      </c>
      <c r="C787">
        <v>97123938</v>
      </c>
      <c r="D787">
        <v>140</v>
      </c>
      <c r="E787" s="4">
        <v>-4142543.4</v>
      </c>
      <c r="F787" t="s">
        <v>63</v>
      </c>
      <c r="G787">
        <v>0</v>
      </c>
      <c r="H787" s="32" t="str">
        <f ca="1">+IF(B787&gt;'sap nuevo'!$V$1,"cargar",IF(C787="","cargar","pagado"))</f>
        <v>cargar</v>
      </c>
      <c r="I787" s="32">
        <f t="shared" si="110"/>
        <v>2025</v>
      </c>
      <c r="J787" s="32">
        <f t="shared" si="111"/>
        <v>11</v>
      </c>
    </row>
    <row r="788" spans="1:10" x14ac:dyDescent="0.25">
      <c r="A788" t="s">
        <v>20</v>
      </c>
      <c r="B788" t="s">
        <v>512</v>
      </c>
      <c r="C788">
        <v>97123937</v>
      </c>
      <c r="D788">
        <v>140</v>
      </c>
      <c r="E788" s="4">
        <v>-3012310.2</v>
      </c>
      <c r="F788" t="s">
        <v>62</v>
      </c>
      <c r="G788">
        <v>0</v>
      </c>
      <c r="H788" s="32" t="str">
        <f ca="1">+IF(B788&gt;'sap nuevo'!$V$1,"cargar",IF(C788="","cargar","pagado"))</f>
        <v>cargar</v>
      </c>
      <c r="I788" s="32">
        <f t="shared" si="110"/>
        <v>2025</v>
      </c>
      <c r="J788" s="32">
        <f t="shared" si="111"/>
        <v>11</v>
      </c>
    </row>
    <row r="789" spans="1:10" x14ac:dyDescent="0.25">
      <c r="A789" t="s">
        <v>20</v>
      </c>
      <c r="B789" t="s">
        <v>194</v>
      </c>
      <c r="C789">
        <v>97123946</v>
      </c>
      <c r="D789">
        <v>140</v>
      </c>
      <c r="E789" s="4">
        <v>-12943273.84</v>
      </c>
      <c r="F789" t="s">
        <v>62</v>
      </c>
      <c r="G789">
        <v>0</v>
      </c>
      <c r="H789" s="32" t="str">
        <f ca="1">+IF(B789&gt;'sap nuevo'!$V$1,"cargar",IF(C789="","cargar","pagado"))</f>
        <v>cargar</v>
      </c>
      <c r="I789" s="32">
        <f t="shared" si="110"/>
        <v>2025</v>
      </c>
      <c r="J789" s="32">
        <f t="shared" si="111"/>
        <v>11</v>
      </c>
    </row>
    <row r="790" spans="1:10" x14ac:dyDescent="0.25">
      <c r="A790" t="s">
        <v>12</v>
      </c>
      <c r="B790" t="s">
        <v>194</v>
      </c>
      <c r="C790">
        <v>97123944</v>
      </c>
      <c r="D790">
        <v>140</v>
      </c>
      <c r="E790" s="4">
        <v>-5952718.4000000004</v>
      </c>
      <c r="F790" t="s">
        <v>63</v>
      </c>
      <c r="G790">
        <v>0</v>
      </c>
      <c r="H790" s="32" t="str">
        <f ca="1">+IF(B790&gt;'sap nuevo'!$V$1,"cargar",IF(C790="","cargar","pagado"))</f>
        <v>cargar</v>
      </c>
      <c r="I790" s="32">
        <f t="shared" si="110"/>
        <v>2025</v>
      </c>
      <c r="J790" s="32">
        <f t="shared" si="111"/>
        <v>11</v>
      </c>
    </row>
    <row r="791" spans="1:10" x14ac:dyDescent="0.25">
      <c r="A791" t="s">
        <v>20</v>
      </c>
      <c r="B791" t="s">
        <v>195</v>
      </c>
      <c r="C791">
        <v>97123948</v>
      </c>
      <c r="D791">
        <v>140</v>
      </c>
      <c r="E791" s="4">
        <v>-28351980</v>
      </c>
      <c r="F791" t="s">
        <v>62</v>
      </c>
      <c r="G791">
        <v>0</v>
      </c>
      <c r="H791" s="32" t="str">
        <f ca="1">+IF(B791&gt;'sap nuevo'!$V$1,"cargar",IF(C791="","cargar","pagado"))</f>
        <v>cargar</v>
      </c>
      <c r="I791" s="32">
        <f t="shared" si="110"/>
        <v>2025</v>
      </c>
      <c r="J791" s="32">
        <f t="shared" si="111"/>
        <v>11</v>
      </c>
    </row>
    <row r="792" spans="1:10" x14ac:dyDescent="0.25">
      <c r="A792" t="s">
        <v>20</v>
      </c>
      <c r="B792" t="s">
        <v>195</v>
      </c>
      <c r="C792">
        <v>97123870</v>
      </c>
      <c r="D792">
        <v>140</v>
      </c>
      <c r="E792" s="4">
        <v>-17311631.879999999</v>
      </c>
      <c r="F792" t="s">
        <v>62</v>
      </c>
      <c r="G792">
        <v>0</v>
      </c>
      <c r="H792" s="32" t="str">
        <f ca="1">+IF(B792&gt;'sap nuevo'!$V$1,"cargar",IF(C792="","cargar","pagado"))</f>
        <v>cargar</v>
      </c>
      <c r="I792" s="32">
        <f t="shared" si="110"/>
        <v>2025</v>
      </c>
      <c r="J792" s="32">
        <f t="shared" si="111"/>
        <v>11</v>
      </c>
    </row>
    <row r="793" spans="1:10" x14ac:dyDescent="0.25">
      <c r="A793" t="s">
        <v>20</v>
      </c>
      <c r="B793" t="s">
        <v>196</v>
      </c>
      <c r="C793">
        <v>97123927</v>
      </c>
      <c r="D793">
        <v>140</v>
      </c>
      <c r="E793" s="4">
        <v>-11376609.25</v>
      </c>
      <c r="F793" t="s">
        <v>62</v>
      </c>
      <c r="G793">
        <v>0</v>
      </c>
      <c r="H793" s="32" t="str">
        <f ca="1">+IF(B793&gt;'sap nuevo'!$V$1,"cargar",IF(C793="","cargar","pagado"))</f>
        <v>cargar</v>
      </c>
      <c r="I793" s="32">
        <f t="shared" si="110"/>
        <v>2025</v>
      </c>
      <c r="J793" s="32">
        <f t="shared" si="111"/>
        <v>11</v>
      </c>
    </row>
    <row r="794" spans="1:10" x14ac:dyDescent="0.25">
      <c r="A794" t="s">
        <v>20</v>
      </c>
      <c r="B794" t="s">
        <v>513</v>
      </c>
      <c r="C794">
        <v>97123962</v>
      </c>
      <c r="D794">
        <v>140</v>
      </c>
      <c r="E794" s="4">
        <v>-16776532.060000001</v>
      </c>
      <c r="F794" t="s">
        <v>62</v>
      </c>
      <c r="G794">
        <v>0</v>
      </c>
      <c r="H794" s="32" t="str">
        <f ca="1">+IF(B794&gt;'sap nuevo'!$V$1,"cargar",IF(C794="","cargar","pagado"))</f>
        <v>cargar</v>
      </c>
      <c r="I794" s="32">
        <f t="shared" si="110"/>
        <v>2025</v>
      </c>
      <c r="J794" s="32">
        <f t="shared" si="111"/>
        <v>11</v>
      </c>
    </row>
    <row r="795" spans="1:10" x14ac:dyDescent="0.25">
      <c r="A795" t="s">
        <v>20</v>
      </c>
      <c r="B795" t="s">
        <v>513</v>
      </c>
      <c r="C795">
        <v>97123958</v>
      </c>
      <c r="D795">
        <v>140</v>
      </c>
      <c r="E795" s="4">
        <v>-13987396.4</v>
      </c>
      <c r="F795" t="s">
        <v>62</v>
      </c>
      <c r="G795">
        <v>0</v>
      </c>
      <c r="H795" s="32" t="str">
        <f ca="1">+IF(B795&gt;'sap nuevo'!$V$1,"cargar",IF(C795="","cargar","pagado"))</f>
        <v>cargar</v>
      </c>
      <c r="I795" s="32">
        <f t="shared" si="110"/>
        <v>2025</v>
      </c>
      <c r="J795" s="32">
        <f t="shared" si="111"/>
        <v>11</v>
      </c>
    </row>
    <row r="796" spans="1:10" x14ac:dyDescent="0.25">
      <c r="A796" t="s">
        <v>20</v>
      </c>
      <c r="B796" t="s">
        <v>513</v>
      </c>
      <c r="C796">
        <v>97123964</v>
      </c>
      <c r="D796">
        <v>140</v>
      </c>
      <c r="E796" s="4">
        <v>-10912126.85</v>
      </c>
      <c r="F796" t="s">
        <v>62</v>
      </c>
      <c r="G796">
        <v>0</v>
      </c>
      <c r="H796" s="32" t="str">
        <f ca="1">+IF(B796&gt;'sap nuevo'!$V$1,"cargar",IF(C796="","cargar","pagado"))</f>
        <v>cargar</v>
      </c>
      <c r="I796" s="32">
        <f t="shared" si="110"/>
        <v>2025</v>
      </c>
      <c r="J796" s="32">
        <f t="shared" si="111"/>
        <v>11</v>
      </c>
    </row>
    <row r="797" spans="1:10" x14ac:dyDescent="0.25">
      <c r="A797" t="s">
        <v>20</v>
      </c>
      <c r="B797" t="s">
        <v>513</v>
      </c>
      <c r="C797">
        <v>97123959</v>
      </c>
      <c r="D797">
        <v>140</v>
      </c>
      <c r="E797" s="4">
        <v>-6076118.4000000004</v>
      </c>
      <c r="F797" t="s">
        <v>62</v>
      </c>
      <c r="G797">
        <v>0</v>
      </c>
      <c r="H797" s="32" t="str">
        <f ca="1">+IF(B797&gt;'sap nuevo'!$V$1,"cargar",IF(C797="","cargar","pagado"))</f>
        <v>cargar</v>
      </c>
      <c r="I797" s="32">
        <f t="shared" si="110"/>
        <v>2025</v>
      </c>
      <c r="J797" s="32">
        <f t="shared" si="111"/>
        <v>11</v>
      </c>
    </row>
    <row r="798" spans="1:10" x14ac:dyDescent="0.25">
      <c r="A798" t="s">
        <v>12</v>
      </c>
      <c r="B798" t="s">
        <v>513</v>
      </c>
      <c r="C798">
        <v>97123963</v>
      </c>
      <c r="D798">
        <v>140</v>
      </c>
      <c r="E798" s="4">
        <v>-5353324.8600000003</v>
      </c>
      <c r="F798" t="s">
        <v>63</v>
      </c>
      <c r="G798">
        <v>0</v>
      </c>
      <c r="H798" s="32" t="str">
        <f ca="1">+IF(B798&gt;'sap nuevo'!$V$1,"cargar",IF(C798="","cargar","pagado"))</f>
        <v>cargar</v>
      </c>
      <c r="I798" s="32">
        <f t="shared" si="110"/>
        <v>2025</v>
      </c>
      <c r="J798" s="32">
        <f t="shared" si="111"/>
        <v>11</v>
      </c>
    </row>
    <row r="799" spans="1:10" x14ac:dyDescent="0.25">
      <c r="A799" t="s">
        <v>12</v>
      </c>
      <c r="B799" t="s">
        <v>513</v>
      </c>
      <c r="C799">
        <v>97123960</v>
      </c>
      <c r="D799">
        <v>140</v>
      </c>
      <c r="E799" s="4">
        <v>-2000000</v>
      </c>
      <c r="F799" t="s">
        <v>63</v>
      </c>
      <c r="G799">
        <v>0</v>
      </c>
      <c r="H799" s="32" t="str">
        <f ca="1">+IF(B799&gt;'sap nuevo'!$V$1,"cargar",IF(C799="","cargar","pagado"))</f>
        <v>cargar</v>
      </c>
      <c r="I799" s="32">
        <f t="shared" si="110"/>
        <v>2025</v>
      </c>
      <c r="J799" s="32">
        <f t="shared" si="111"/>
        <v>11</v>
      </c>
    </row>
    <row r="800" spans="1:10" x14ac:dyDescent="0.25">
      <c r="A800" t="s">
        <v>20</v>
      </c>
      <c r="B800" t="s">
        <v>198</v>
      </c>
      <c r="C800">
        <v>97123974</v>
      </c>
      <c r="D800">
        <v>140</v>
      </c>
      <c r="E800" s="4">
        <v>-47629991.780000001</v>
      </c>
      <c r="F800" t="s">
        <v>62</v>
      </c>
      <c r="G800">
        <v>0</v>
      </c>
      <c r="H800" s="32" t="str">
        <f ca="1">+IF(B800&gt;'sap nuevo'!$V$1,"cargar",IF(C800="","cargar","pagado"))</f>
        <v>cargar</v>
      </c>
      <c r="I800" s="32">
        <f t="shared" si="110"/>
        <v>2025</v>
      </c>
      <c r="J800" s="32">
        <f t="shared" si="111"/>
        <v>11</v>
      </c>
    </row>
    <row r="801" spans="1:10" x14ac:dyDescent="0.25">
      <c r="A801" t="s">
        <v>20</v>
      </c>
      <c r="B801" t="s">
        <v>198</v>
      </c>
      <c r="C801">
        <v>97123966</v>
      </c>
      <c r="D801">
        <v>140</v>
      </c>
      <c r="E801" s="4">
        <v>-25299587.859999999</v>
      </c>
      <c r="F801" t="s">
        <v>62</v>
      </c>
      <c r="G801">
        <v>0</v>
      </c>
      <c r="H801" s="32" t="str">
        <f ca="1">+IF(B801&gt;'sap nuevo'!$V$1,"cargar",IF(C801="","cargar","pagado"))</f>
        <v>cargar</v>
      </c>
      <c r="I801" s="32">
        <f t="shared" si="110"/>
        <v>2025</v>
      </c>
      <c r="J801" s="32">
        <f t="shared" si="111"/>
        <v>11</v>
      </c>
    </row>
    <row r="802" spans="1:10" x14ac:dyDescent="0.25">
      <c r="A802" t="s">
        <v>12</v>
      </c>
      <c r="B802" t="s">
        <v>198</v>
      </c>
      <c r="C802">
        <v>97123965</v>
      </c>
      <c r="D802">
        <v>140</v>
      </c>
      <c r="E802" s="4">
        <v>-18905446.27</v>
      </c>
      <c r="F802" t="s">
        <v>63</v>
      </c>
      <c r="G802">
        <v>0</v>
      </c>
      <c r="H802" s="32" t="str">
        <f ca="1">+IF(B802&gt;'sap nuevo'!$V$1,"cargar",IF(C802="","cargar","pagado"))</f>
        <v>cargar</v>
      </c>
      <c r="I802" s="32">
        <f t="shared" si="110"/>
        <v>2025</v>
      </c>
      <c r="J802" s="32">
        <f t="shared" si="111"/>
        <v>11</v>
      </c>
    </row>
    <row r="803" spans="1:10" x14ac:dyDescent="0.25">
      <c r="A803" t="s">
        <v>20</v>
      </c>
      <c r="B803" t="s">
        <v>198</v>
      </c>
      <c r="C803">
        <v>12452657</v>
      </c>
      <c r="D803">
        <v>140</v>
      </c>
      <c r="E803" s="4">
        <v>-18283450</v>
      </c>
      <c r="F803" t="s">
        <v>62</v>
      </c>
      <c r="G803">
        <v>0</v>
      </c>
      <c r="H803" s="32" t="str">
        <f ca="1">+IF(B803&gt;'sap nuevo'!$V$1,"cargar",IF(C803="","cargar","pagado"))</f>
        <v>cargar</v>
      </c>
      <c r="I803" s="32">
        <f t="shared" si="110"/>
        <v>2025</v>
      </c>
      <c r="J803" s="32">
        <f t="shared" si="111"/>
        <v>11</v>
      </c>
    </row>
    <row r="804" spans="1:10" x14ac:dyDescent="0.25">
      <c r="A804" t="s">
        <v>20</v>
      </c>
      <c r="B804" t="s">
        <v>198</v>
      </c>
      <c r="C804">
        <v>97123976</v>
      </c>
      <c r="D804">
        <v>140</v>
      </c>
      <c r="E804" s="4">
        <v>-14991343.4</v>
      </c>
      <c r="F804" t="s">
        <v>62</v>
      </c>
      <c r="G804">
        <v>0</v>
      </c>
      <c r="H804" s="32" t="str">
        <f ca="1">+IF(B804&gt;'sap nuevo'!$V$1,"cargar",IF(C804="","cargar","pagado"))</f>
        <v>cargar</v>
      </c>
      <c r="I804" s="32">
        <f t="shared" si="110"/>
        <v>2025</v>
      </c>
      <c r="J804" s="32">
        <f t="shared" si="111"/>
        <v>11</v>
      </c>
    </row>
    <row r="805" spans="1:10" x14ac:dyDescent="0.25">
      <c r="A805" t="s">
        <v>20</v>
      </c>
      <c r="B805" t="s">
        <v>198</v>
      </c>
      <c r="C805">
        <v>97123979</v>
      </c>
      <c r="D805">
        <v>140</v>
      </c>
      <c r="E805" s="4">
        <v>-10405080</v>
      </c>
      <c r="F805" t="s">
        <v>62</v>
      </c>
      <c r="G805">
        <v>0</v>
      </c>
      <c r="H805" s="32" t="str">
        <f ca="1">+IF(B805&gt;'sap nuevo'!$V$1,"cargar",IF(C805="","cargar","pagado"))</f>
        <v>cargar</v>
      </c>
      <c r="I805" s="32">
        <f t="shared" si="110"/>
        <v>2025</v>
      </c>
      <c r="J805" s="32">
        <f t="shared" si="111"/>
        <v>11</v>
      </c>
    </row>
    <row r="806" spans="1:10" x14ac:dyDescent="0.25">
      <c r="A806" t="s">
        <v>20</v>
      </c>
      <c r="B806" t="s">
        <v>198</v>
      </c>
      <c r="C806">
        <v>97123975</v>
      </c>
      <c r="D806">
        <v>140</v>
      </c>
      <c r="E806" s="4">
        <v>-8834612.5299999993</v>
      </c>
      <c r="F806" t="s">
        <v>62</v>
      </c>
      <c r="G806">
        <v>0</v>
      </c>
      <c r="H806" s="32" t="str">
        <f ca="1">+IF(B806&gt;'sap nuevo'!$V$1,"cargar",IF(C806="","cargar","pagado"))</f>
        <v>cargar</v>
      </c>
      <c r="I806" s="32">
        <f t="shared" si="110"/>
        <v>2025</v>
      </c>
      <c r="J806" s="32">
        <f t="shared" si="111"/>
        <v>11</v>
      </c>
    </row>
    <row r="807" spans="1:10" x14ac:dyDescent="0.25">
      <c r="A807" t="s">
        <v>20</v>
      </c>
      <c r="B807" t="s">
        <v>198</v>
      </c>
      <c r="C807">
        <v>97123969</v>
      </c>
      <c r="D807">
        <v>140</v>
      </c>
      <c r="E807" s="4">
        <v>-7714777.0499999998</v>
      </c>
      <c r="F807" t="s">
        <v>62</v>
      </c>
      <c r="G807">
        <v>0</v>
      </c>
      <c r="H807" s="32" t="str">
        <f ca="1">+IF(B807&gt;'sap nuevo'!$V$1,"cargar",IF(C807="","cargar","pagado"))</f>
        <v>cargar</v>
      </c>
      <c r="I807" s="32">
        <f t="shared" si="110"/>
        <v>2025</v>
      </c>
      <c r="J807" s="32">
        <f t="shared" si="111"/>
        <v>11</v>
      </c>
    </row>
    <row r="808" spans="1:10" x14ac:dyDescent="0.25">
      <c r="A808" t="s">
        <v>12</v>
      </c>
      <c r="B808" t="s">
        <v>198</v>
      </c>
      <c r="C808">
        <v>97123970</v>
      </c>
      <c r="D808">
        <v>140</v>
      </c>
      <c r="E808" s="4">
        <v>-3931480</v>
      </c>
      <c r="F808" t="s">
        <v>63</v>
      </c>
      <c r="G808">
        <v>0</v>
      </c>
      <c r="H808" s="32" t="str">
        <f ca="1">+IF(B808&gt;'sap nuevo'!$V$1,"cargar",IF(C808="","cargar","pagado"))</f>
        <v>cargar</v>
      </c>
      <c r="I808" s="32">
        <f t="shared" si="110"/>
        <v>2025</v>
      </c>
      <c r="J808" s="32">
        <f t="shared" si="111"/>
        <v>11</v>
      </c>
    </row>
    <row r="809" spans="1:10" x14ac:dyDescent="0.25">
      <c r="A809" t="s">
        <v>20</v>
      </c>
      <c r="B809" t="s">
        <v>198</v>
      </c>
      <c r="C809">
        <v>97123967</v>
      </c>
      <c r="D809">
        <v>140</v>
      </c>
      <c r="E809" s="4">
        <v>-3347567.92</v>
      </c>
      <c r="F809" t="s">
        <v>62</v>
      </c>
      <c r="G809">
        <v>0</v>
      </c>
      <c r="H809" s="32" t="str">
        <f ca="1">+IF(B809&gt;'sap nuevo'!$V$1,"cargar",IF(C809="","cargar","pagado"))</f>
        <v>cargar</v>
      </c>
      <c r="I809" s="32">
        <f t="shared" si="110"/>
        <v>2025</v>
      </c>
      <c r="J809" s="32">
        <f t="shared" si="111"/>
        <v>11</v>
      </c>
    </row>
    <row r="810" spans="1:10" x14ac:dyDescent="0.25">
      <c r="A810" t="s">
        <v>20</v>
      </c>
      <c r="B810" t="s">
        <v>514</v>
      </c>
      <c r="C810">
        <v>97123945</v>
      </c>
      <c r="D810">
        <v>140</v>
      </c>
      <c r="E810" s="4">
        <v>-14694609.48</v>
      </c>
      <c r="F810" t="s">
        <v>62</v>
      </c>
      <c r="G810">
        <v>0</v>
      </c>
      <c r="H810" s="32" t="str">
        <f ca="1">+IF(B810&gt;'sap nuevo'!$V$1,"cargar",IF(C810="","cargar","pagado"))</f>
        <v>cargar</v>
      </c>
      <c r="I810" s="32">
        <f t="shared" si="110"/>
        <v>2025</v>
      </c>
      <c r="J810" s="32">
        <f t="shared" si="111"/>
        <v>11</v>
      </c>
    </row>
    <row r="811" spans="1:10" x14ac:dyDescent="0.25">
      <c r="A811" t="s">
        <v>20</v>
      </c>
      <c r="B811" t="s">
        <v>515</v>
      </c>
      <c r="C811">
        <v>97123972</v>
      </c>
      <c r="D811">
        <v>140</v>
      </c>
      <c r="E811" s="4">
        <v>-4140678.55</v>
      </c>
      <c r="F811" t="s">
        <v>62</v>
      </c>
      <c r="G811">
        <v>0</v>
      </c>
      <c r="H811" s="32" t="str">
        <f ca="1">+IF(B811&gt;'sap nuevo'!$V$1,"cargar",IF(C811="","cargar","pagado"))</f>
        <v>cargar</v>
      </c>
      <c r="I811" s="32">
        <f t="shared" si="110"/>
        <v>2025</v>
      </c>
      <c r="J811" s="32">
        <f t="shared" si="111"/>
        <v>11</v>
      </c>
    </row>
    <row r="812" spans="1:10" x14ac:dyDescent="0.25">
      <c r="A812" t="s">
        <v>12</v>
      </c>
      <c r="B812" t="s">
        <v>199</v>
      </c>
      <c r="C812">
        <v>97123984</v>
      </c>
      <c r="D812">
        <v>140</v>
      </c>
      <c r="E812" s="4">
        <v>-21475169.710000001</v>
      </c>
      <c r="F812" t="s">
        <v>63</v>
      </c>
      <c r="G812">
        <v>0</v>
      </c>
      <c r="H812" s="32" t="str">
        <f ca="1">+IF(B812&gt;'sap nuevo'!$V$1,"cargar",IF(C812="","cargar","pagado"))</f>
        <v>cargar</v>
      </c>
      <c r="I812" s="32">
        <f t="shared" si="110"/>
        <v>2025</v>
      </c>
      <c r="J812" s="32">
        <f t="shared" si="111"/>
        <v>11</v>
      </c>
    </row>
    <row r="813" spans="1:10" x14ac:dyDescent="0.25">
      <c r="A813" t="s">
        <v>12</v>
      </c>
      <c r="B813" t="s">
        <v>199</v>
      </c>
      <c r="C813">
        <v>97123983</v>
      </c>
      <c r="D813">
        <v>140</v>
      </c>
      <c r="E813" s="4">
        <v>-18628572.899999999</v>
      </c>
      <c r="F813" t="s">
        <v>63</v>
      </c>
      <c r="G813">
        <v>0</v>
      </c>
      <c r="H813" s="32" t="str">
        <f ca="1">+IF(B813&gt;'sap nuevo'!$V$1,"cargar",IF(C813="","cargar","pagado"))</f>
        <v>cargar</v>
      </c>
      <c r="I813" s="32">
        <f t="shared" si="110"/>
        <v>2025</v>
      </c>
      <c r="J813" s="32">
        <f t="shared" si="111"/>
        <v>11</v>
      </c>
    </row>
    <row r="814" spans="1:10" x14ac:dyDescent="0.25">
      <c r="A814" t="s">
        <v>20</v>
      </c>
      <c r="B814" t="s">
        <v>199</v>
      </c>
      <c r="C814">
        <v>97123978</v>
      </c>
      <c r="D814">
        <v>140</v>
      </c>
      <c r="E814" s="4">
        <v>-16703185.800000001</v>
      </c>
      <c r="F814" t="s">
        <v>62</v>
      </c>
      <c r="G814">
        <v>0</v>
      </c>
      <c r="H814" s="32" t="str">
        <f ca="1">+IF(B814&gt;'sap nuevo'!$V$1,"cargar",IF(C814="","cargar","pagado"))</f>
        <v>cargar</v>
      </c>
      <c r="I814" s="32">
        <f t="shared" si="110"/>
        <v>2025</v>
      </c>
      <c r="J814" s="32">
        <f t="shared" si="111"/>
        <v>11</v>
      </c>
    </row>
    <row r="815" spans="1:10" x14ac:dyDescent="0.25">
      <c r="A815" t="s">
        <v>20</v>
      </c>
      <c r="B815" t="s">
        <v>199</v>
      </c>
      <c r="C815">
        <v>97123981</v>
      </c>
      <c r="D815">
        <v>140</v>
      </c>
      <c r="E815" s="4">
        <v>-7707907.79</v>
      </c>
      <c r="F815" t="s">
        <v>62</v>
      </c>
      <c r="G815">
        <v>0</v>
      </c>
      <c r="H815" s="32" t="str">
        <f ca="1">+IF(B815&gt;'sap nuevo'!$V$1,"cargar",IF(C815="","cargar","pagado"))</f>
        <v>cargar</v>
      </c>
      <c r="I815" s="32">
        <f t="shared" si="110"/>
        <v>2025</v>
      </c>
      <c r="J815" s="32">
        <f t="shared" si="111"/>
        <v>11</v>
      </c>
    </row>
    <row r="816" spans="1:10" x14ac:dyDescent="0.25">
      <c r="A816" t="s">
        <v>20</v>
      </c>
      <c r="B816" t="s">
        <v>199</v>
      </c>
      <c r="C816">
        <v>97123908</v>
      </c>
      <c r="D816">
        <v>140</v>
      </c>
      <c r="E816" s="4">
        <v>-5912174.3799999999</v>
      </c>
      <c r="F816" t="s">
        <v>62</v>
      </c>
      <c r="G816">
        <v>0</v>
      </c>
      <c r="H816" s="32" t="str">
        <f ca="1">+IF(B816&gt;'sap nuevo'!$V$1,"cargar",IF(C816="","cargar","pagado"))</f>
        <v>cargar</v>
      </c>
      <c r="I816" s="32">
        <f t="shared" si="110"/>
        <v>2025</v>
      </c>
      <c r="J816" s="32">
        <f t="shared" si="111"/>
        <v>11</v>
      </c>
    </row>
    <row r="817" spans="1:10" x14ac:dyDescent="0.25">
      <c r="A817" t="s">
        <v>20</v>
      </c>
      <c r="B817" t="s">
        <v>199</v>
      </c>
      <c r="C817">
        <v>97123973</v>
      </c>
      <c r="D817">
        <v>140</v>
      </c>
      <c r="E817" s="4">
        <v>-5461881.25</v>
      </c>
      <c r="F817" t="s">
        <v>62</v>
      </c>
      <c r="G817">
        <v>0</v>
      </c>
      <c r="H817" s="32" t="str">
        <f ca="1">+IF(B817&gt;'sap nuevo'!$V$1,"cargar",IF(C817="","cargar","pagado"))</f>
        <v>cargar</v>
      </c>
      <c r="I817" s="32">
        <f t="shared" si="110"/>
        <v>2025</v>
      </c>
      <c r="J817" s="32">
        <f t="shared" si="111"/>
        <v>11</v>
      </c>
    </row>
    <row r="818" spans="1:10" x14ac:dyDescent="0.25">
      <c r="A818" t="s">
        <v>12</v>
      </c>
      <c r="B818" t="s">
        <v>199</v>
      </c>
      <c r="C818">
        <v>97123931</v>
      </c>
      <c r="D818">
        <v>140</v>
      </c>
      <c r="E818" s="4">
        <v>-4926605</v>
      </c>
      <c r="F818" t="s">
        <v>63</v>
      </c>
      <c r="G818">
        <v>0</v>
      </c>
      <c r="H818" s="32" t="str">
        <f ca="1">+IF(B818&gt;'sap nuevo'!$V$1,"cargar",IF(C818="","cargar","pagado"))</f>
        <v>cargar</v>
      </c>
      <c r="I818" s="32">
        <f t="shared" si="110"/>
        <v>2025</v>
      </c>
      <c r="J818" s="32">
        <f t="shared" si="111"/>
        <v>11</v>
      </c>
    </row>
    <row r="819" spans="1:10" x14ac:dyDescent="0.25">
      <c r="A819" t="s">
        <v>20</v>
      </c>
      <c r="B819" t="s">
        <v>199</v>
      </c>
      <c r="C819">
        <v>97123987</v>
      </c>
      <c r="D819">
        <v>140</v>
      </c>
      <c r="E819" s="4">
        <v>-4483627.66</v>
      </c>
      <c r="F819" t="s">
        <v>62</v>
      </c>
      <c r="G819">
        <v>0</v>
      </c>
      <c r="H819" s="32" t="str">
        <f ca="1">+IF(B819&gt;'sap nuevo'!$V$1,"cargar",IF(C819="","cargar","pagado"))</f>
        <v>cargar</v>
      </c>
      <c r="I819" s="32">
        <f t="shared" ref="I819:I844" si="112">+YEAR(B819)</f>
        <v>2025</v>
      </c>
      <c r="J819" s="32">
        <f t="shared" ref="J819:J844" si="113">+MONTH(B819)</f>
        <v>11</v>
      </c>
    </row>
    <row r="820" spans="1:10" x14ac:dyDescent="0.25">
      <c r="A820" t="s">
        <v>20</v>
      </c>
      <c r="B820" t="s">
        <v>199</v>
      </c>
      <c r="C820">
        <v>97123985</v>
      </c>
      <c r="D820">
        <v>140</v>
      </c>
      <c r="E820" s="4">
        <v>-4211197.12</v>
      </c>
      <c r="F820" t="s">
        <v>62</v>
      </c>
      <c r="G820">
        <v>0</v>
      </c>
      <c r="H820" s="32" t="str">
        <f ca="1">+IF(B820&gt;'sap nuevo'!$V$1,"cargar",IF(C820="","cargar","pagado"))</f>
        <v>cargar</v>
      </c>
      <c r="I820" s="32">
        <f t="shared" si="112"/>
        <v>2025</v>
      </c>
      <c r="J820" s="32">
        <f t="shared" si="113"/>
        <v>11</v>
      </c>
    </row>
    <row r="821" spans="1:10" x14ac:dyDescent="0.25">
      <c r="A821" t="s">
        <v>12</v>
      </c>
      <c r="B821" t="s">
        <v>199</v>
      </c>
      <c r="C821">
        <v>97123986</v>
      </c>
      <c r="D821">
        <v>140</v>
      </c>
      <c r="E821" s="4">
        <v>-3825767.92</v>
      </c>
      <c r="F821" t="s">
        <v>63</v>
      </c>
      <c r="G821">
        <v>0</v>
      </c>
      <c r="H821" s="32" t="str">
        <f ca="1">+IF(B821&gt;'sap nuevo'!$V$1,"cargar",IF(C821="","cargar","pagado"))</f>
        <v>cargar</v>
      </c>
      <c r="I821" s="32">
        <f t="shared" si="112"/>
        <v>2025</v>
      </c>
      <c r="J821" s="32">
        <f t="shared" si="113"/>
        <v>11</v>
      </c>
    </row>
    <row r="822" spans="1:10" x14ac:dyDescent="0.25">
      <c r="A822" t="s">
        <v>20</v>
      </c>
      <c r="B822" t="s">
        <v>199</v>
      </c>
      <c r="C822">
        <v>97123982</v>
      </c>
      <c r="D822">
        <v>140</v>
      </c>
      <c r="E822" s="4">
        <v>-3643342.7</v>
      </c>
      <c r="F822" t="s">
        <v>62</v>
      </c>
      <c r="G822">
        <v>0</v>
      </c>
      <c r="H822" s="32" t="str">
        <f ca="1">+IF(B822&gt;'sap nuevo'!$V$1,"cargar",IF(C822="","cargar","pagado"))</f>
        <v>cargar</v>
      </c>
      <c r="I822" s="32">
        <f t="shared" si="112"/>
        <v>2025</v>
      </c>
      <c r="J822" s="32">
        <f t="shared" si="113"/>
        <v>11</v>
      </c>
    </row>
    <row r="823" spans="1:10" x14ac:dyDescent="0.25">
      <c r="A823" t="s">
        <v>20</v>
      </c>
      <c r="B823" t="s">
        <v>199</v>
      </c>
      <c r="C823">
        <v>97123977</v>
      </c>
      <c r="D823">
        <v>140</v>
      </c>
      <c r="E823" s="4">
        <v>-3276830</v>
      </c>
      <c r="F823" t="s">
        <v>62</v>
      </c>
      <c r="G823">
        <v>0</v>
      </c>
      <c r="H823" s="32" t="str">
        <f ca="1">+IF(B823&gt;'sap nuevo'!$V$1,"cargar",IF(C823="","cargar","pagado"))</f>
        <v>cargar</v>
      </c>
      <c r="I823" s="32">
        <f t="shared" si="112"/>
        <v>2025</v>
      </c>
      <c r="J823" s="32">
        <f t="shared" si="113"/>
        <v>11</v>
      </c>
    </row>
    <row r="824" spans="1:10" x14ac:dyDescent="0.25">
      <c r="A824" t="s">
        <v>12</v>
      </c>
      <c r="B824" t="s">
        <v>200</v>
      </c>
      <c r="C824">
        <v>97123991</v>
      </c>
      <c r="D824">
        <v>140</v>
      </c>
      <c r="E824" s="4">
        <v>-14239494.51</v>
      </c>
      <c r="F824" t="s">
        <v>63</v>
      </c>
      <c r="G824">
        <v>0</v>
      </c>
      <c r="H824" s="32" t="str">
        <f ca="1">+IF(B824&gt;'sap nuevo'!$V$1,"cargar",IF(C824="","cargar","pagado"))</f>
        <v>cargar</v>
      </c>
      <c r="I824" s="32">
        <f t="shared" si="112"/>
        <v>2025</v>
      </c>
      <c r="J824" s="32">
        <f t="shared" si="113"/>
        <v>11</v>
      </c>
    </row>
    <row r="825" spans="1:10" x14ac:dyDescent="0.25">
      <c r="A825" t="s">
        <v>20</v>
      </c>
      <c r="B825" t="s">
        <v>200</v>
      </c>
      <c r="C825">
        <v>97123989</v>
      </c>
      <c r="D825">
        <v>140</v>
      </c>
      <c r="E825" s="4">
        <v>-13982823.4</v>
      </c>
      <c r="F825" t="s">
        <v>62</v>
      </c>
      <c r="G825">
        <v>0</v>
      </c>
      <c r="H825" s="32" t="str">
        <f ca="1">+IF(B825&gt;'sap nuevo'!$V$1,"cargar",IF(C825="","cargar","pagado"))</f>
        <v>cargar</v>
      </c>
      <c r="I825" s="32">
        <f t="shared" si="112"/>
        <v>2025</v>
      </c>
      <c r="J825" s="32">
        <f t="shared" si="113"/>
        <v>11</v>
      </c>
    </row>
    <row r="826" spans="1:10" x14ac:dyDescent="0.25">
      <c r="A826" t="s">
        <v>20</v>
      </c>
      <c r="B826" t="s">
        <v>200</v>
      </c>
      <c r="C826">
        <v>97123993</v>
      </c>
      <c r="D826">
        <v>140</v>
      </c>
      <c r="E826" s="4">
        <v>-9877270.2699999996</v>
      </c>
      <c r="F826" t="s">
        <v>62</v>
      </c>
      <c r="G826">
        <v>0</v>
      </c>
      <c r="H826" s="32" t="str">
        <f ca="1">+IF(B826&gt;'sap nuevo'!$V$1,"cargar",IF(C826="","cargar","pagado"))</f>
        <v>cargar</v>
      </c>
      <c r="I826" s="32">
        <f t="shared" si="112"/>
        <v>2025</v>
      </c>
      <c r="J826" s="32">
        <f t="shared" si="113"/>
        <v>11</v>
      </c>
    </row>
    <row r="827" spans="1:10" x14ac:dyDescent="0.25">
      <c r="A827" t="s">
        <v>20</v>
      </c>
      <c r="B827" t="s">
        <v>200</v>
      </c>
      <c r="C827">
        <v>97123995</v>
      </c>
      <c r="D827">
        <v>140</v>
      </c>
      <c r="E827" s="4">
        <v>-7735948.4400000004</v>
      </c>
      <c r="F827" t="s">
        <v>62</v>
      </c>
      <c r="G827">
        <v>0</v>
      </c>
      <c r="H827" s="32" t="str">
        <f ca="1">+IF(B827&gt;'sap nuevo'!$V$1,"cargar",IF(C827="","cargar","pagado"))</f>
        <v>cargar</v>
      </c>
      <c r="I827" s="32">
        <f t="shared" si="112"/>
        <v>2025</v>
      </c>
      <c r="J827" s="32">
        <f t="shared" si="113"/>
        <v>11</v>
      </c>
    </row>
    <row r="828" spans="1:10" x14ac:dyDescent="0.25">
      <c r="A828" t="s">
        <v>20</v>
      </c>
      <c r="B828" t="s">
        <v>200</v>
      </c>
      <c r="C828">
        <v>97123968</v>
      </c>
      <c r="D828">
        <v>140</v>
      </c>
      <c r="E828" s="4">
        <v>-7636861.3600000003</v>
      </c>
      <c r="F828" t="s">
        <v>62</v>
      </c>
      <c r="G828">
        <v>0</v>
      </c>
      <c r="H828" s="32" t="str">
        <f ca="1">+IF(B828&gt;'sap nuevo'!$V$1,"cargar",IF(C828="","cargar","pagado"))</f>
        <v>cargar</v>
      </c>
      <c r="I828" s="32">
        <f t="shared" si="112"/>
        <v>2025</v>
      </c>
      <c r="J828" s="32">
        <f t="shared" si="113"/>
        <v>11</v>
      </c>
    </row>
    <row r="829" spans="1:10" x14ac:dyDescent="0.25">
      <c r="A829" t="s">
        <v>20</v>
      </c>
      <c r="B829" t="s">
        <v>200</v>
      </c>
      <c r="C829">
        <v>97123992</v>
      </c>
      <c r="D829">
        <v>140</v>
      </c>
      <c r="E829" s="4">
        <v>-7120049.6399999997</v>
      </c>
      <c r="F829" t="s">
        <v>62</v>
      </c>
      <c r="G829">
        <v>0</v>
      </c>
      <c r="H829" s="32" t="str">
        <f ca="1">+IF(B829&gt;'sap nuevo'!$V$1,"cargar",IF(C829="","cargar","pagado"))</f>
        <v>cargar</v>
      </c>
      <c r="I829" s="32">
        <f t="shared" si="112"/>
        <v>2025</v>
      </c>
      <c r="J829" s="32">
        <f t="shared" si="113"/>
        <v>11</v>
      </c>
    </row>
    <row r="830" spans="1:10" x14ac:dyDescent="0.25">
      <c r="A830" t="s">
        <v>20</v>
      </c>
      <c r="B830" t="s">
        <v>200</v>
      </c>
      <c r="C830">
        <v>97123988</v>
      </c>
      <c r="D830">
        <v>140</v>
      </c>
      <c r="E830" s="4">
        <v>-4697211.5999999996</v>
      </c>
      <c r="F830" t="s">
        <v>62</v>
      </c>
      <c r="G830">
        <v>0</v>
      </c>
      <c r="H830" s="32" t="str">
        <f ca="1">+IF(B830&gt;'sap nuevo'!$V$1,"cargar",IF(C830="","cargar","pagado"))</f>
        <v>cargar</v>
      </c>
      <c r="I830" s="32">
        <f t="shared" si="112"/>
        <v>2025</v>
      </c>
      <c r="J830" s="32">
        <f t="shared" si="113"/>
        <v>11</v>
      </c>
    </row>
    <row r="831" spans="1:10" x14ac:dyDescent="0.25">
      <c r="A831" t="s">
        <v>20</v>
      </c>
      <c r="B831" t="s">
        <v>200</v>
      </c>
      <c r="C831">
        <v>97123950</v>
      </c>
      <c r="D831">
        <v>140</v>
      </c>
      <c r="E831" s="4">
        <v>-3414618.77</v>
      </c>
      <c r="F831" t="s">
        <v>62</v>
      </c>
      <c r="G831">
        <v>0</v>
      </c>
      <c r="H831" s="32" t="str">
        <f ca="1">+IF(B831&gt;'sap nuevo'!$V$1,"cargar",IF(C831="","cargar","pagado"))</f>
        <v>cargar</v>
      </c>
      <c r="I831" s="32">
        <f t="shared" si="112"/>
        <v>2025</v>
      </c>
      <c r="J831" s="32">
        <f t="shared" si="113"/>
        <v>11</v>
      </c>
    </row>
    <row r="832" spans="1:10" x14ac:dyDescent="0.25">
      <c r="A832" t="s">
        <v>20</v>
      </c>
      <c r="B832" t="s">
        <v>201</v>
      </c>
      <c r="C832">
        <v>97123994</v>
      </c>
      <c r="D832">
        <v>140</v>
      </c>
      <c r="E832" s="4">
        <v>-4755265.5</v>
      </c>
      <c r="F832" t="s">
        <v>62</v>
      </c>
      <c r="G832">
        <v>0</v>
      </c>
      <c r="H832" s="32" t="str">
        <f ca="1">+IF(B832&gt;'sap nuevo'!$V$1,"cargar",IF(C832="","cargar","pagado"))</f>
        <v>cargar</v>
      </c>
      <c r="I832" s="32">
        <f t="shared" si="112"/>
        <v>2025</v>
      </c>
      <c r="J832" s="32">
        <f t="shared" si="113"/>
        <v>11</v>
      </c>
    </row>
    <row r="833" spans="1:10" x14ac:dyDescent="0.25">
      <c r="A833" t="s">
        <v>12</v>
      </c>
      <c r="B833" t="s">
        <v>202</v>
      </c>
      <c r="C833">
        <v>97123999</v>
      </c>
      <c r="D833">
        <v>140</v>
      </c>
      <c r="E833" s="4">
        <v>-1121065.04</v>
      </c>
      <c r="F833" t="s">
        <v>63</v>
      </c>
      <c r="G833">
        <v>0</v>
      </c>
      <c r="H833" s="32" t="str">
        <f ca="1">+IF(B833&gt;'sap nuevo'!$V$1,"cargar",IF(C833="","cargar","pagado"))</f>
        <v>cargar</v>
      </c>
      <c r="I833" s="32">
        <f t="shared" si="112"/>
        <v>2025</v>
      </c>
      <c r="J833" s="32">
        <f t="shared" si="113"/>
        <v>12</v>
      </c>
    </row>
    <row r="834" spans="1:10" x14ac:dyDescent="0.25">
      <c r="A834" t="s">
        <v>20</v>
      </c>
      <c r="B834" t="s">
        <v>202</v>
      </c>
      <c r="C834">
        <v>97124008</v>
      </c>
      <c r="D834">
        <v>140</v>
      </c>
      <c r="E834" s="4">
        <v>-881943.4</v>
      </c>
      <c r="F834" t="s">
        <v>62</v>
      </c>
      <c r="G834">
        <v>0</v>
      </c>
      <c r="H834" s="32" t="str">
        <f ca="1">+IF(B834&gt;'sap nuevo'!$V$1,"cargar",IF(C834="","cargar","pagado"))</f>
        <v>cargar</v>
      </c>
      <c r="I834" s="32">
        <f t="shared" si="112"/>
        <v>2025</v>
      </c>
      <c r="J834" s="32">
        <f t="shared" si="113"/>
        <v>12</v>
      </c>
    </row>
    <row r="835" spans="1:10" x14ac:dyDescent="0.25">
      <c r="A835" t="s">
        <v>20</v>
      </c>
      <c r="B835" t="s">
        <v>202</v>
      </c>
      <c r="C835">
        <v>97124016</v>
      </c>
      <c r="D835">
        <v>140</v>
      </c>
      <c r="E835" s="4">
        <v>-769295.51</v>
      </c>
      <c r="F835" t="s">
        <v>62</v>
      </c>
      <c r="G835">
        <v>0</v>
      </c>
      <c r="H835" s="32" t="str">
        <f ca="1">+IF(B835&gt;'sap nuevo'!$V$1,"cargar",IF(C835="","cargar","pagado"))</f>
        <v>cargar</v>
      </c>
      <c r="I835" s="32">
        <f t="shared" si="112"/>
        <v>2025</v>
      </c>
      <c r="J835" s="32">
        <f t="shared" si="113"/>
        <v>12</v>
      </c>
    </row>
    <row r="836" spans="1:10" x14ac:dyDescent="0.25">
      <c r="A836" t="s">
        <v>20</v>
      </c>
      <c r="B836" t="s">
        <v>202</v>
      </c>
      <c r="C836">
        <v>97124004</v>
      </c>
      <c r="D836">
        <v>140</v>
      </c>
      <c r="E836" s="4">
        <v>-717467.92</v>
      </c>
      <c r="F836" t="s">
        <v>62</v>
      </c>
      <c r="G836">
        <v>0</v>
      </c>
      <c r="H836" s="32" t="str">
        <f ca="1">+IF(B836&gt;'sap nuevo'!$V$1,"cargar",IF(C836="","cargar","pagado"))</f>
        <v>cargar</v>
      </c>
      <c r="I836" s="32">
        <f t="shared" si="112"/>
        <v>2025</v>
      </c>
      <c r="J836" s="32">
        <f t="shared" si="113"/>
        <v>12</v>
      </c>
    </row>
    <row r="837" spans="1:10" x14ac:dyDescent="0.25">
      <c r="A837" t="s">
        <v>12</v>
      </c>
      <c r="B837" t="s">
        <v>202</v>
      </c>
      <c r="C837">
        <v>97124010</v>
      </c>
      <c r="D837">
        <v>140</v>
      </c>
      <c r="E837" s="4">
        <v>-593530</v>
      </c>
      <c r="F837" t="s">
        <v>63</v>
      </c>
      <c r="G837">
        <v>0</v>
      </c>
      <c r="H837" s="32" t="str">
        <f ca="1">+IF(B837&gt;'sap nuevo'!$V$1,"cargar",IF(C837="","cargar","pagado"))</f>
        <v>cargar</v>
      </c>
      <c r="I837" s="32">
        <f t="shared" si="112"/>
        <v>2025</v>
      </c>
      <c r="J837" s="32">
        <f t="shared" si="113"/>
        <v>12</v>
      </c>
    </row>
    <row r="838" spans="1:10" x14ac:dyDescent="0.25">
      <c r="A838" t="s">
        <v>20</v>
      </c>
      <c r="B838" t="s">
        <v>202</v>
      </c>
      <c r="C838">
        <v>97124014</v>
      </c>
      <c r="D838">
        <v>140</v>
      </c>
      <c r="E838" s="4">
        <v>-540498</v>
      </c>
      <c r="F838" t="s">
        <v>62</v>
      </c>
      <c r="G838">
        <v>0</v>
      </c>
      <c r="H838" s="32" t="str">
        <f ca="1">+IF(B838&gt;'sap nuevo'!$V$1,"cargar",IF(C838="","cargar","pagado"))</f>
        <v>cargar</v>
      </c>
      <c r="I838" s="32">
        <f t="shared" si="112"/>
        <v>2025</v>
      </c>
      <c r="J838" s="32">
        <f t="shared" si="113"/>
        <v>12</v>
      </c>
    </row>
    <row r="839" spans="1:10" x14ac:dyDescent="0.25">
      <c r="A839" t="s">
        <v>12</v>
      </c>
      <c r="B839" t="s">
        <v>202</v>
      </c>
      <c r="C839">
        <v>97124007</v>
      </c>
      <c r="D839">
        <v>140</v>
      </c>
      <c r="E839" s="4">
        <v>-345558.28</v>
      </c>
      <c r="F839" t="s">
        <v>63</v>
      </c>
      <c r="G839">
        <v>0</v>
      </c>
      <c r="H839" s="32" t="str">
        <f ca="1">+IF(B839&gt;'sap nuevo'!$V$1,"cargar",IF(C839="","cargar","pagado"))</f>
        <v>cargar</v>
      </c>
      <c r="I839" s="32">
        <f t="shared" si="112"/>
        <v>2025</v>
      </c>
      <c r="J839" s="32">
        <f t="shared" si="113"/>
        <v>12</v>
      </c>
    </row>
    <row r="840" spans="1:10" x14ac:dyDescent="0.25">
      <c r="A840" t="s">
        <v>20</v>
      </c>
      <c r="B840" t="s">
        <v>202</v>
      </c>
      <c r="C840">
        <v>97124018</v>
      </c>
      <c r="D840">
        <v>140</v>
      </c>
      <c r="E840" s="4">
        <v>-213849.98</v>
      </c>
      <c r="F840" t="s">
        <v>62</v>
      </c>
      <c r="G840">
        <v>0</v>
      </c>
      <c r="H840" s="32" t="str">
        <f ca="1">+IF(B840&gt;'sap nuevo'!$V$1,"cargar",IF(C840="","cargar","pagado"))</f>
        <v>cargar</v>
      </c>
      <c r="I840" s="32">
        <f t="shared" si="112"/>
        <v>2025</v>
      </c>
      <c r="J840" s="32">
        <f t="shared" si="113"/>
        <v>12</v>
      </c>
    </row>
    <row r="841" spans="1:10" x14ac:dyDescent="0.25">
      <c r="A841" t="s">
        <v>12</v>
      </c>
      <c r="B841" t="s">
        <v>203</v>
      </c>
      <c r="C841">
        <v>97124030</v>
      </c>
      <c r="D841">
        <v>140</v>
      </c>
      <c r="E841" s="4">
        <v>-49286997.939999998</v>
      </c>
      <c r="F841" t="s">
        <v>63</v>
      </c>
      <c r="G841">
        <v>0</v>
      </c>
      <c r="H841" s="32" t="str">
        <f ca="1">+IF(B841&gt;'sap nuevo'!$V$1,"cargar",IF(C841="","cargar","pagado"))</f>
        <v>cargar</v>
      </c>
      <c r="I841" s="32">
        <f t="shared" si="112"/>
        <v>2025</v>
      </c>
      <c r="J841" s="32">
        <f t="shared" si="113"/>
        <v>12</v>
      </c>
    </row>
    <row r="842" spans="1:10" x14ac:dyDescent="0.25">
      <c r="A842" t="s">
        <v>12</v>
      </c>
      <c r="B842" t="s">
        <v>203</v>
      </c>
      <c r="C842">
        <v>97123996</v>
      </c>
      <c r="D842">
        <v>140</v>
      </c>
      <c r="E842" s="4">
        <v>-43758209.579999998</v>
      </c>
      <c r="F842" t="s">
        <v>63</v>
      </c>
      <c r="G842">
        <v>0</v>
      </c>
      <c r="H842" s="32" t="str">
        <f ca="1">+IF(B842&gt;'sap nuevo'!$V$1,"cargar",IF(C842="","cargar","pagado"))</f>
        <v>cargar</v>
      </c>
      <c r="I842" s="32">
        <f t="shared" si="112"/>
        <v>2025</v>
      </c>
      <c r="J842" s="32">
        <f t="shared" si="113"/>
        <v>12</v>
      </c>
    </row>
    <row r="843" spans="1:10" x14ac:dyDescent="0.25">
      <c r="A843" t="s">
        <v>20</v>
      </c>
      <c r="B843" t="s">
        <v>203</v>
      </c>
      <c r="C843">
        <v>97124001</v>
      </c>
      <c r="D843">
        <v>140</v>
      </c>
      <c r="E843" s="4">
        <v>-29213400.68</v>
      </c>
      <c r="F843" t="s">
        <v>62</v>
      </c>
      <c r="G843">
        <v>0</v>
      </c>
      <c r="H843" s="32" t="str">
        <f ca="1">+IF(B843&gt;'sap nuevo'!$V$1,"cargar",IF(C843="","cargar","pagado"))</f>
        <v>cargar</v>
      </c>
      <c r="I843" s="32">
        <f t="shared" si="112"/>
        <v>2025</v>
      </c>
      <c r="J843" s="32">
        <f t="shared" si="113"/>
        <v>12</v>
      </c>
    </row>
    <row r="844" spans="1:10" x14ac:dyDescent="0.25">
      <c r="A844" t="s">
        <v>20</v>
      </c>
      <c r="B844" t="s">
        <v>203</v>
      </c>
      <c r="C844">
        <v>97124028</v>
      </c>
      <c r="D844">
        <v>140</v>
      </c>
      <c r="E844" s="4">
        <v>-28099555.68</v>
      </c>
      <c r="F844" t="s">
        <v>62</v>
      </c>
      <c r="G844">
        <v>0</v>
      </c>
      <c r="H844" s="32" t="str">
        <f ca="1">+IF(B844&gt;'sap nuevo'!$V$1,"cargar",IF(C844="","cargar","pagado"))</f>
        <v>cargar</v>
      </c>
      <c r="I844" s="32">
        <f t="shared" si="112"/>
        <v>2025</v>
      </c>
      <c r="J844" s="32">
        <f t="shared" si="113"/>
        <v>12</v>
      </c>
    </row>
    <row r="845" spans="1:10" x14ac:dyDescent="0.25">
      <c r="A845" t="s">
        <v>20</v>
      </c>
      <c r="B845" t="s">
        <v>203</v>
      </c>
      <c r="C845">
        <v>97124002</v>
      </c>
      <c r="D845">
        <v>140</v>
      </c>
      <c r="E845" s="4">
        <v>-27731787.399999999</v>
      </c>
      <c r="F845" t="s">
        <v>62</v>
      </c>
      <c r="G845">
        <v>0</v>
      </c>
      <c r="H845" s="32" t="str">
        <f ca="1">+IF(B845&gt;'sap nuevo'!$V$1,"cargar",IF(C845="","cargar","pagado"))</f>
        <v>cargar</v>
      </c>
      <c r="I845" s="32">
        <f t="shared" ref="I845:I857" si="114">+YEAR(B845)</f>
        <v>2025</v>
      </c>
      <c r="J845" s="32">
        <f t="shared" ref="J845:J857" si="115">+MONTH(B845)</f>
        <v>12</v>
      </c>
    </row>
    <row r="846" spans="1:10" x14ac:dyDescent="0.25">
      <c r="A846" t="s">
        <v>12</v>
      </c>
      <c r="B846" t="s">
        <v>203</v>
      </c>
      <c r="C846">
        <v>97124029</v>
      </c>
      <c r="D846">
        <v>140</v>
      </c>
      <c r="E846" s="4">
        <v>-26642915.32</v>
      </c>
      <c r="F846" t="s">
        <v>63</v>
      </c>
      <c r="G846">
        <v>0</v>
      </c>
      <c r="H846" s="32" t="str">
        <f ca="1">+IF(B846&gt;'sap nuevo'!$V$1,"cargar",IF(C846="","cargar","pagado"))</f>
        <v>cargar</v>
      </c>
      <c r="I846" s="32">
        <f t="shared" si="114"/>
        <v>2025</v>
      </c>
      <c r="J846" s="32">
        <f t="shared" si="115"/>
        <v>12</v>
      </c>
    </row>
    <row r="847" spans="1:10" x14ac:dyDescent="0.25">
      <c r="A847" t="s">
        <v>12</v>
      </c>
      <c r="B847" t="s">
        <v>203</v>
      </c>
      <c r="C847">
        <v>97123997</v>
      </c>
      <c r="D847">
        <v>140</v>
      </c>
      <c r="E847" s="4">
        <v>-21437723.399999999</v>
      </c>
      <c r="F847" t="s">
        <v>63</v>
      </c>
      <c r="G847">
        <v>0</v>
      </c>
      <c r="H847" s="32" t="str">
        <f ca="1">+IF(B847&gt;'sap nuevo'!$V$1,"cargar",IF(C847="","cargar","pagado"))</f>
        <v>cargar</v>
      </c>
      <c r="I847" s="32">
        <f t="shared" si="114"/>
        <v>2025</v>
      </c>
      <c r="J847" s="32">
        <f t="shared" si="115"/>
        <v>12</v>
      </c>
    </row>
    <row r="848" spans="1:10" x14ac:dyDescent="0.25">
      <c r="A848" t="s">
        <v>20</v>
      </c>
      <c r="B848" t="s">
        <v>203</v>
      </c>
      <c r="C848">
        <v>97124027</v>
      </c>
      <c r="D848">
        <v>140</v>
      </c>
      <c r="E848" s="4">
        <v>-20121292.77</v>
      </c>
      <c r="F848" t="s">
        <v>62</v>
      </c>
      <c r="G848">
        <v>0</v>
      </c>
      <c r="H848" s="32" t="str">
        <f ca="1">+IF(B848&gt;'sap nuevo'!$V$1,"cargar",IF(C848="","cargar","pagado"))</f>
        <v>cargar</v>
      </c>
      <c r="I848" s="32">
        <f t="shared" si="114"/>
        <v>2025</v>
      </c>
      <c r="J848" s="32">
        <f t="shared" si="115"/>
        <v>12</v>
      </c>
    </row>
    <row r="849" spans="1:10" x14ac:dyDescent="0.25">
      <c r="A849" t="s">
        <v>20</v>
      </c>
      <c r="B849" t="s">
        <v>203</v>
      </c>
      <c r="C849">
        <v>97124026</v>
      </c>
      <c r="D849">
        <v>140</v>
      </c>
      <c r="E849" s="4">
        <v>-15396681.859999999</v>
      </c>
      <c r="F849" t="s">
        <v>62</v>
      </c>
      <c r="G849">
        <v>0</v>
      </c>
      <c r="H849" s="32" t="str">
        <f ca="1">+IF(B849&gt;'sap nuevo'!$V$1,"cargar",IF(C849="","cargar","pagado"))</f>
        <v>cargar</v>
      </c>
      <c r="I849" s="32">
        <f t="shared" si="114"/>
        <v>2025</v>
      </c>
      <c r="J849" s="32">
        <f t="shared" si="115"/>
        <v>12</v>
      </c>
    </row>
    <row r="850" spans="1:10" x14ac:dyDescent="0.25">
      <c r="A850" t="s">
        <v>20</v>
      </c>
      <c r="B850" t="s">
        <v>203</v>
      </c>
      <c r="C850">
        <v>97124032</v>
      </c>
      <c r="D850">
        <v>140</v>
      </c>
      <c r="E850" s="4">
        <v>-14990000</v>
      </c>
      <c r="F850" t="s">
        <v>62</v>
      </c>
      <c r="G850">
        <v>0</v>
      </c>
      <c r="H850" s="32" t="str">
        <f ca="1">+IF(B850&gt;'sap nuevo'!$V$1,"cargar",IF(C850="","cargar","pagado"))</f>
        <v>cargar</v>
      </c>
      <c r="I850" s="32">
        <f t="shared" si="114"/>
        <v>2025</v>
      </c>
      <c r="J850" s="32">
        <f t="shared" si="115"/>
        <v>12</v>
      </c>
    </row>
    <row r="851" spans="1:10" x14ac:dyDescent="0.25">
      <c r="A851" t="s">
        <v>20</v>
      </c>
      <c r="B851" t="s">
        <v>203</v>
      </c>
      <c r="C851">
        <v>97124041</v>
      </c>
      <c r="D851">
        <v>140</v>
      </c>
      <c r="E851" s="4">
        <v>-13919321.5</v>
      </c>
      <c r="F851" t="s">
        <v>62</v>
      </c>
      <c r="G851">
        <v>0</v>
      </c>
      <c r="H851" s="32" t="str">
        <f ca="1">+IF(B851&gt;'sap nuevo'!$V$1,"cargar",IF(C851="","cargar","pagado"))</f>
        <v>cargar</v>
      </c>
      <c r="I851" s="32">
        <f t="shared" si="114"/>
        <v>2025</v>
      </c>
      <c r="J851" s="32">
        <f t="shared" si="115"/>
        <v>12</v>
      </c>
    </row>
    <row r="852" spans="1:10" x14ac:dyDescent="0.25">
      <c r="A852" t="s">
        <v>20</v>
      </c>
      <c r="B852" t="s">
        <v>203</v>
      </c>
      <c r="C852">
        <v>97124025</v>
      </c>
      <c r="D852">
        <v>140</v>
      </c>
      <c r="E852" s="4">
        <v>-13708856</v>
      </c>
      <c r="F852" t="s">
        <v>62</v>
      </c>
      <c r="G852">
        <v>0</v>
      </c>
      <c r="H852" s="32" t="str">
        <f ca="1">+IF(B852&gt;'sap nuevo'!$V$1,"cargar",IF(C852="","cargar","pagado"))</f>
        <v>cargar</v>
      </c>
      <c r="I852" s="32">
        <f t="shared" si="114"/>
        <v>2025</v>
      </c>
      <c r="J852" s="32">
        <f t="shared" si="115"/>
        <v>12</v>
      </c>
    </row>
    <row r="853" spans="1:10" x14ac:dyDescent="0.25">
      <c r="A853" t="s">
        <v>20</v>
      </c>
      <c r="B853" t="s">
        <v>203</v>
      </c>
      <c r="C853">
        <v>97124021</v>
      </c>
      <c r="D853">
        <v>140</v>
      </c>
      <c r="E853" s="4">
        <v>-11899200</v>
      </c>
      <c r="F853" t="s">
        <v>62</v>
      </c>
      <c r="G853">
        <v>0</v>
      </c>
      <c r="H853" s="32" t="str">
        <f ca="1">+IF(B853&gt;'sap nuevo'!$V$1,"cargar",IF(C853="","cargar","pagado"))</f>
        <v>cargar</v>
      </c>
      <c r="I853" s="32">
        <f t="shared" si="114"/>
        <v>2025</v>
      </c>
      <c r="J853" s="32">
        <f t="shared" si="115"/>
        <v>12</v>
      </c>
    </row>
    <row r="854" spans="1:10" x14ac:dyDescent="0.25">
      <c r="A854" t="s">
        <v>20</v>
      </c>
      <c r="B854" t="s">
        <v>203</v>
      </c>
      <c r="C854">
        <v>97124023</v>
      </c>
      <c r="D854">
        <v>140</v>
      </c>
      <c r="E854" s="4">
        <v>-11849782.51</v>
      </c>
      <c r="F854" t="s">
        <v>62</v>
      </c>
      <c r="G854">
        <v>0</v>
      </c>
      <c r="H854" s="32" t="str">
        <f ca="1">+IF(B854&gt;'sap nuevo'!$V$1,"cargar",IF(C854="","cargar","pagado"))</f>
        <v>cargar</v>
      </c>
      <c r="I854" s="32">
        <f t="shared" si="114"/>
        <v>2025</v>
      </c>
      <c r="J854" s="32">
        <f t="shared" si="115"/>
        <v>12</v>
      </c>
    </row>
    <row r="855" spans="1:10" x14ac:dyDescent="0.25">
      <c r="A855" t="s">
        <v>12</v>
      </c>
      <c r="B855" t="s">
        <v>203</v>
      </c>
      <c r="C855">
        <v>97124017</v>
      </c>
      <c r="D855">
        <v>140</v>
      </c>
      <c r="E855" s="4">
        <v>-10081500</v>
      </c>
      <c r="F855" t="s">
        <v>63</v>
      </c>
      <c r="G855">
        <v>0</v>
      </c>
      <c r="H855" s="32" t="str">
        <f ca="1">+IF(B855&gt;'sap nuevo'!$V$1,"cargar",IF(C855="","cargar","pagado"))</f>
        <v>cargar</v>
      </c>
      <c r="I855" s="32">
        <f t="shared" si="114"/>
        <v>2025</v>
      </c>
      <c r="J855" s="32">
        <f t="shared" si="115"/>
        <v>12</v>
      </c>
    </row>
    <row r="856" spans="1:10" x14ac:dyDescent="0.25">
      <c r="A856" t="s">
        <v>20</v>
      </c>
      <c r="B856" t="s">
        <v>203</v>
      </c>
      <c r="C856">
        <v>97124042</v>
      </c>
      <c r="D856">
        <v>140</v>
      </c>
      <c r="E856" s="4">
        <v>-7513475.2000000002</v>
      </c>
      <c r="F856" t="s">
        <v>62</v>
      </c>
      <c r="G856">
        <v>0</v>
      </c>
      <c r="H856" s="32" t="str">
        <f ca="1">+IF(B856&gt;'sap nuevo'!$V$1,"cargar",IF(C856="","cargar","pagado"))</f>
        <v>cargar</v>
      </c>
      <c r="I856" s="32">
        <f t="shared" si="114"/>
        <v>2025</v>
      </c>
      <c r="J856" s="32">
        <f t="shared" si="115"/>
        <v>12</v>
      </c>
    </row>
    <row r="857" spans="1:10" x14ac:dyDescent="0.25">
      <c r="A857" t="s">
        <v>20</v>
      </c>
      <c r="B857" t="s">
        <v>203</v>
      </c>
      <c r="C857">
        <v>97124031</v>
      </c>
      <c r="D857">
        <v>140</v>
      </c>
      <c r="E857" s="4">
        <v>-7240091.5300000003</v>
      </c>
      <c r="F857" t="s">
        <v>62</v>
      </c>
      <c r="G857">
        <v>0</v>
      </c>
      <c r="H857" s="32" t="str">
        <f ca="1">+IF(B857&gt;'sap nuevo'!$V$1,"cargar",IF(C857="","cargar","pagado"))</f>
        <v>cargar</v>
      </c>
      <c r="I857" s="32">
        <f t="shared" si="114"/>
        <v>2025</v>
      </c>
      <c r="J857" s="32">
        <f t="shared" si="115"/>
        <v>12</v>
      </c>
    </row>
    <row r="858" spans="1:10" x14ac:dyDescent="0.25">
      <c r="A858" t="s">
        <v>12</v>
      </c>
      <c r="B858" t="s">
        <v>203</v>
      </c>
      <c r="C858">
        <v>97124035</v>
      </c>
      <c r="D858">
        <v>140</v>
      </c>
      <c r="E858" s="4">
        <v>-7101176.3300000001</v>
      </c>
      <c r="F858" t="s">
        <v>63</v>
      </c>
      <c r="G858">
        <v>0</v>
      </c>
      <c r="H858" s="32" t="str">
        <f ca="1">+IF(B858&gt;'sap nuevo'!$V$1,"cargar",IF(C858="","cargar","pagado"))</f>
        <v>cargar</v>
      </c>
      <c r="I858" s="32">
        <f t="shared" ref="I858:I881" si="116">+YEAR(B858)</f>
        <v>2025</v>
      </c>
      <c r="J858" s="32">
        <f t="shared" ref="J858:J881" si="117">+MONTH(B858)</f>
        <v>12</v>
      </c>
    </row>
    <row r="859" spans="1:10" x14ac:dyDescent="0.25">
      <c r="A859" t="s">
        <v>12</v>
      </c>
      <c r="B859" t="s">
        <v>203</v>
      </c>
      <c r="C859">
        <v>97124033</v>
      </c>
      <c r="D859">
        <v>140</v>
      </c>
      <c r="E859" s="4">
        <v>-6711717.5</v>
      </c>
      <c r="F859" t="s">
        <v>63</v>
      </c>
      <c r="G859">
        <v>0</v>
      </c>
      <c r="H859" s="32" t="str">
        <f ca="1">+IF(B859&gt;'sap nuevo'!$V$1,"cargar",IF(C859="","cargar","pagado"))</f>
        <v>cargar</v>
      </c>
      <c r="I859" s="32">
        <f t="shared" si="116"/>
        <v>2025</v>
      </c>
      <c r="J859" s="32">
        <f t="shared" si="117"/>
        <v>12</v>
      </c>
    </row>
    <row r="860" spans="1:10" x14ac:dyDescent="0.25">
      <c r="A860" t="s">
        <v>20</v>
      </c>
      <c r="B860" t="s">
        <v>203</v>
      </c>
      <c r="C860">
        <v>97124047</v>
      </c>
      <c r="D860">
        <v>140</v>
      </c>
      <c r="E860" s="4">
        <v>-5926607.2300000004</v>
      </c>
      <c r="F860" t="s">
        <v>62</v>
      </c>
      <c r="G860">
        <v>0</v>
      </c>
      <c r="H860" s="32" t="str">
        <f ca="1">+IF(B860&gt;'sap nuevo'!$V$1,"cargar",IF(C860="","cargar","pagado"))</f>
        <v>cargar</v>
      </c>
      <c r="I860" s="32">
        <f t="shared" si="116"/>
        <v>2025</v>
      </c>
      <c r="J860" s="32">
        <f t="shared" si="117"/>
        <v>12</v>
      </c>
    </row>
    <row r="861" spans="1:10" x14ac:dyDescent="0.25">
      <c r="A861" t="s">
        <v>20</v>
      </c>
      <c r="B861" t="s">
        <v>203</v>
      </c>
      <c r="C861">
        <v>97124034</v>
      </c>
      <c r="D861">
        <v>140</v>
      </c>
      <c r="E861" s="4">
        <v>-5582050</v>
      </c>
      <c r="F861" t="s">
        <v>62</v>
      </c>
      <c r="G861">
        <v>0</v>
      </c>
      <c r="H861" s="32" t="str">
        <f ca="1">+IF(B861&gt;'sap nuevo'!$V$1,"cargar",IF(C861="","cargar","pagado"))</f>
        <v>cargar</v>
      </c>
      <c r="I861" s="32">
        <f t="shared" si="116"/>
        <v>2025</v>
      </c>
      <c r="J861" s="32">
        <f t="shared" si="117"/>
        <v>12</v>
      </c>
    </row>
    <row r="862" spans="1:10" x14ac:dyDescent="0.25">
      <c r="A862" t="s">
        <v>12</v>
      </c>
      <c r="B862" t="s">
        <v>203</v>
      </c>
      <c r="C862">
        <v>97124037</v>
      </c>
      <c r="D862">
        <v>140</v>
      </c>
      <c r="E862" s="4">
        <v>-5535371.6699999999</v>
      </c>
      <c r="F862" t="s">
        <v>63</v>
      </c>
      <c r="G862">
        <v>0</v>
      </c>
      <c r="H862" s="32" t="str">
        <f ca="1">+IF(B862&gt;'sap nuevo'!$V$1,"cargar",IF(C862="","cargar","pagado"))</f>
        <v>cargar</v>
      </c>
      <c r="I862" s="32">
        <f t="shared" si="116"/>
        <v>2025</v>
      </c>
      <c r="J862" s="32">
        <f t="shared" si="117"/>
        <v>12</v>
      </c>
    </row>
    <row r="863" spans="1:10" x14ac:dyDescent="0.25">
      <c r="A863" t="s">
        <v>12</v>
      </c>
      <c r="B863" t="s">
        <v>203</v>
      </c>
      <c r="C863">
        <v>97124039</v>
      </c>
      <c r="D863">
        <v>140</v>
      </c>
      <c r="E863" s="4">
        <v>-4987180.42</v>
      </c>
      <c r="F863" t="s">
        <v>63</v>
      </c>
      <c r="G863">
        <v>0</v>
      </c>
      <c r="H863" s="32" t="str">
        <f ca="1">+IF(B863&gt;'sap nuevo'!$V$1,"cargar",IF(C863="","cargar","pagado"))</f>
        <v>cargar</v>
      </c>
      <c r="I863" s="32">
        <f t="shared" si="116"/>
        <v>2025</v>
      </c>
      <c r="J863" s="32">
        <f t="shared" si="117"/>
        <v>12</v>
      </c>
    </row>
    <row r="864" spans="1:10" x14ac:dyDescent="0.25">
      <c r="A864" t="s">
        <v>20</v>
      </c>
      <c r="B864" t="s">
        <v>203</v>
      </c>
      <c r="C864">
        <v>97124022</v>
      </c>
      <c r="D864">
        <v>140</v>
      </c>
      <c r="E864" s="4">
        <v>-4414331.4000000004</v>
      </c>
      <c r="F864" t="s">
        <v>62</v>
      </c>
      <c r="G864">
        <v>0</v>
      </c>
      <c r="H864" s="32" t="str">
        <f ca="1">+IF(B864&gt;'sap nuevo'!$V$1,"cargar",IF(C864="","cargar","pagado"))</f>
        <v>cargar</v>
      </c>
      <c r="I864" s="32">
        <f t="shared" si="116"/>
        <v>2025</v>
      </c>
      <c r="J864" s="32">
        <f t="shared" si="117"/>
        <v>12</v>
      </c>
    </row>
    <row r="865" spans="1:10" x14ac:dyDescent="0.25">
      <c r="A865" t="s">
        <v>12</v>
      </c>
      <c r="B865" t="s">
        <v>203</v>
      </c>
      <c r="C865">
        <v>97124043</v>
      </c>
      <c r="D865">
        <v>140</v>
      </c>
      <c r="E865" s="4">
        <v>-4000985.2</v>
      </c>
      <c r="F865" t="s">
        <v>63</v>
      </c>
      <c r="G865">
        <v>0</v>
      </c>
      <c r="H865" s="32" t="str">
        <f ca="1">+IF(B865&gt;'sap nuevo'!$V$1,"cargar",IF(C865="","cargar","pagado"))</f>
        <v>cargar</v>
      </c>
      <c r="I865" s="32">
        <f t="shared" si="116"/>
        <v>2025</v>
      </c>
      <c r="J865" s="32">
        <f t="shared" si="117"/>
        <v>12</v>
      </c>
    </row>
    <row r="866" spans="1:10" x14ac:dyDescent="0.25">
      <c r="A866" t="s">
        <v>12</v>
      </c>
      <c r="B866" t="s">
        <v>203</v>
      </c>
      <c r="C866">
        <v>97124048</v>
      </c>
      <c r="D866">
        <v>140</v>
      </c>
      <c r="E866" s="4">
        <v>-3708431.34</v>
      </c>
      <c r="F866" t="s">
        <v>63</v>
      </c>
      <c r="G866">
        <v>0</v>
      </c>
      <c r="H866" s="32" t="str">
        <f ca="1">+IF(B866&gt;'sap nuevo'!$V$1,"cargar",IF(C866="","cargar","pagado"))</f>
        <v>cargar</v>
      </c>
      <c r="I866" s="32">
        <f t="shared" si="116"/>
        <v>2025</v>
      </c>
      <c r="J866" s="32">
        <f t="shared" si="117"/>
        <v>12</v>
      </c>
    </row>
    <row r="867" spans="1:10" x14ac:dyDescent="0.25">
      <c r="A867" t="s">
        <v>20</v>
      </c>
      <c r="B867" t="s">
        <v>203</v>
      </c>
      <c r="C867">
        <v>97124045</v>
      </c>
      <c r="D867">
        <v>140</v>
      </c>
      <c r="E867" s="4">
        <v>-3672983.02</v>
      </c>
      <c r="F867" t="s">
        <v>62</v>
      </c>
      <c r="G867">
        <v>0</v>
      </c>
      <c r="H867" s="32" t="str">
        <f ca="1">+IF(B867&gt;'sap nuevo'!$V$1,"cargar",IF(C867="","cargar","pagado"))</f>
        <v>cargar</v>
      </c>
      <c r="I867" s="32">
        <f t="shared" si="116"/>
        <v>2025</v>
      </c>
      <c r="J867" s="32">
        <f t="shared" si="117"/>
        <v>12</v>
      </c>
    </row>
    <row r="868" spans="1:10" x14ac:dyDescent="0.25">
      <c r="A868" t="s">
        <v>12</v>
      </c>
      <c r="B868" t="s">
        <v>203</v>
      </c>
      <c r="C868">
        <v>97124036</v>
      </c>
      <c r="D868">
        <v>140</v>
      </c>
      <c r="E868" s="4">
        <v>-3097373.68</v>
      </c>
      <c r="F868" t="s">
        <v>63</v>
      </c>
      <c r="G868">
        <v>0</v>
      </c>
      <c r="H868" s="32" t="str">
        <f ca="1">+IF(B868&gt;'sap nuevo'!$V$1,"cargar",IF(C868="","cargar","pagado"))</f>
        <v>cargar</v>
      </c>
      <c r="I868" s="32">
        <f t="shared" si="116"/>
        <v>2025</v>
      </c>
      <c r="J868" s="32">
        <f t="shared" si="117"/>
        <v>12</v>
      </c>
    </row>
    <row r="869" spans="1:10" x14ac:dyDescent="0.25">
      <c r="A869" t="s">
        <v>12</v>
      </c>
      <c r="B869" t="s">
        <v>203</v>
      </c>
      <c r="C869">
        <v>97124009</v>
      </c>
      <c r="D869">
        <v>140</v>
      </c>
      <c r="E869" s="4">
        <v>-2577150</v>
      </c>
      <c r="F869" t="s">
        <v>63</v>
      </c>
      <c r="G869">
        <v>0</v>
      </c>
      <c r="H869" s="32" t="str">
        <f ca="1">+IF(B869&gt;'sap nuevo'!$V$1,"cargar",IF(C869="","cargar","pagado"))</f>
        <v>cargar</v>
      </c>
      <c r="I869" s="32">
        <f t="shared" si="116"/>
        <v>2025</v>
      </c>
      <c r="J869" s="32">
        <f t="shared" si="117"/>
        <v>12</v>
      </c>
    </row>
    <row r="870" spans="1:10" x14ac:dyDescent="0.25">
      <c r="A870" t="s">
        <v>20</v>
      </c>
      <c r="B870" t="s">
        <v>203</v>
      </c>
      <c r="C870">
        <v>97124000</v>
      </c>
      <c r="D870">
        <v>140</v>
      </c>
      <c r="E870" s="4">
        <v>-2125298.7999999998</v>
      </c>
      <c r="F870" t="s">
        <v>62</v>
      </c>
      <c r="G870">
        <v>0</v>
      </c>
      <c r="H870" s="32" t="str">
        <f ca="1">+IF(B870&gt;'sap nuevo'!$V$1,"cargar",IF(C870="","cargar","pagado"))</f>
        <v>cargar</v>
      </c>
      <c r="I870" s="32">
        <f t="shared" si="116"/>
        <v>2025</v>
      </c>
      <c r="J870" s="32">
        <f t="shared" si="117"/>
        <v>12</v>
      </c>
    </row>
    <row r="871" spans="1:10" x14ac:dyDescent="0.25">
      <c r="A871" t="s">
        <v>20</v>
      </c>
      <c r="B871" t="s">
        <v>203</v>
      </c>
      <c r="C871">
        <v>97124006</v>
      </c>
      <c r="D871">
        <v>140</v>
      </c>
      <c r="E871" s="4">
        <v>-1733475</v>
      </c>
      <c r="F871" t="s">
        <v>62</v>
      </c>
      <c r="G871">
        <v>0</v>
      </c>
      <c r="H871" s="32" t="str">
        <f ca="1">+IF(B871&gt;'sap nuevo'!$V$1,"cargar",IF(C871="","cargar","pagado"))</f>
        <v>cargar</v>
      </c>
      <c r="I871" s="32">
        <f t="shared" si="116"/>
        <v>2025</v>
      </c>
      <c r="J871" s="32">
        <f t="shared" si="117"/>
        <v>12</v>
      </c>
    </row>
    <row r="872" spans="1:10" x14ac:dyDescent="0.25">
      <c r="A872" t="s">
        <v>20</v>
      </c>
      <c r="B872" t="s">
        <v>203</v>
      </c>
      <c r="C872">
        <v>97124003</v>
      </c>
      <c r="D872">
        <v>140</v>
      </c>
      <c r="E872" s="4">
        <v>-1434767.92</v>
      </c>
      <c r="F872" t="s">
        <v>62</v>
      </c>
      <c r="G872">
        <v>0</v>
      </c>
      <c r="H872" s="32" t="str">
        <f ca="1">+IF(B872&gt;'sap nuevo'!$V$1,"cargar",IF(C872="","cargar","pagado"))</f>
        <v>cargar</v>
      </c>
      <c r="I872" s="32">
        <f t="shared" si="116"/>
        <v>2025</v>
      </c>
      <c r="J872" s="32">
        <f t="shared" si="117"/>
        <v>12</v>
      </c>
    </row>
    <row r="873" spans="1:10" x14ac:dyDescent="0.25">
      <c r="A873" t="s">
        <v>20</v>
      </c>
      <c r="B873" t="s">
        <v>203</v>
      </c>
      <c r="C873">
        <v>97123961</v>
      </c>
      <c r="D873">
        <v>140</v>
      </c>
      <c r="E873" s="4">
        <v>-1136552.8799999999</v>
      </c>
      <c r="F873" t="s">
        <v>62</v>
      </c>
      <c r="G873">
        <v>0</v>
      </c>
      <c r="H873" s="32" t="str">
        <f ca="1">+IF(B873&gt;'sap nuevo'!$V$1,"cargar",IF(C873="","cargar","pagado"))</f>
        <v>cargar</v>
      </c>
      <c r="I873" s="32">
        <f t="shared" si="116"/>
        <v>2025</v>
      </c>
      <c r="J873" s="32">
        <f t="shared" si="117"/>
        <v>12</v>
      </c>
    </row>
    <row r="874" spans="1:10" x14ac:dyDescent="0.25">
      <c r="A874" t="s">
        <v>20</v>
      </c>
      <c r="B874" t="s">
        <v>204</v>
      </c>
      <c r="C874">
        <v>97124040</v>
      </c>
      <c r="D874">
        <v>140</v>
      </c>
      <c r="E874" s="4">
        <v>-40033196.640000001</v>
      </c>
      <c r="F874" t="s">
        <v>62</v>
      </c>
      <c r="G874">
        <v>0</v>
      </c>
      <c r="H874" s="32" t="str">
        <f ca="1">+IF(B874&gt;'sap nuevo'!$V$1,"cargar",IF(C874="","cargar","pagado"))</f>
        <v>cargar</v>
      </c>
      <c r="I874" s="32">
        <f t="shared" si="116"/>
        <v>2025</v>
      </c>
      <c r="J874" s="32">
        <f t="shared" si="117"/>
        <v>12</v>
      </c>
    </row>
    <row r="875" spans="1:10" x14ac:dyDescent="0.25">
      <c r="A875" t="s">
        <v>20</v>
      </c>
      <c r="B875" t="s">
        <v>204</v>
      </c>
      <c r="C875">
        <v>97123990</v>
      </c>
      <c r="D875">
        <v>140</v>
      </c>
      <c r="E875" s="4">
        <v>-16331788.800000001</v>
      </c>
      <c r="F875" t="s">
        <v>62</v>
      </c>
      <c r="G875">
        <v>0</v>
      </c>
      <c r="H875" s="32" t="str">
        <f ca="1">+IF(B875&gt;'sap nuevo'!$V$1,"cargar",IF(C875="","cargar","pagado"))</f>
        <v>cargar</v>
      </c>
      <c r="I875" s="32">
        <f t="shared" si="116"/>
        <v>2025</v>
      </c>
      <c r="J875" s="32">
        <f t="shared" si="117"/>
        <v>12</v>
      </c>
    </row>
    <row r="876" spans="1:10" x14ac:dyDescent="0.25">
      <c r="A876" t="s">
        <v>20</v>
      </c>
      <c r="B876" t="s">
        <v>204</v>
      </c>
      <c r="C876">
        <v>97123998</v>
      </c>
      <c r="D876">
        <v>140</v>
      </c>
      <c r="E876" s="4">
        <v>-2350403.4</v>
      </c>
      <c r="F876" t="s">
        <v>62</v>
      </c>
      <c r="G876">
        <v>0</v>
      </c>
      <c r="H876" s="32" t="str">
        <f ca="1">+IF(B876&gt;'sap nuevo'!$V$1,"cargar",IF(C876="","cargar","pagado"))</f>
        <v>cargar</v>
      </c>
      <c r="I876" s="32">
        <f t="shared" si="116"/>
        <v>2025</v>
      </c>
      <c r="J876" s="32">
        <f t="shared" si="117"/>
        <v>12</v>
      </c>
    </row>
    <row r="877" spans="1:10" x14ac:dyDescent="0.25">
      <c r="A877" t="s">
        <v>12</v>
      </c>
      <c r="B877" t="s">
        <v>204</v>
      </c>
      <c r="C877">
        <v>97124013</v>
      </c>
      <c r="D877">
        <v>140</v>
      </c>
      <c r="E877" s="4">
        <v>-614669.5</v>
      </c>
      <c r="F877" t="s">
        <v>63</v>
      </c>
      <c r="G877">
        <v>0</v>
      </c>
      <c r="H877" s="32" t="str">
        <f ca="1">+IF(B877&gt;'sap nuevo'!$V$1,"cargar",IF(C877="","cargar","pagado"))</f>
        <v>cargar</v>
      </c>
      <c r="I877" s="32">
        <f t="shared" si="116"/>
        <v>2025</v>
      </c>
      <c r="J877" s="32">
        <f t="shared" si="117"/>
        <v>12</v>
      </c>
    </row>
    <row r="878" spans="1:10" x14ac:dyDescent="0.25">
      <c r="A878" t="s">
        <v>12</v>
      </c>
      <c r="B878" t="s">
        <v>204</v>
      </c>
      <c r="C878">
        <v>97124015</v>
      </c>
      <c r="D878">
        <v>140</v>
      </c>
      <c r="E878" s="4">
        <v>-390492.4</v>
      </c>
      <c r="F878" t="s">
        <v>63</v>
      </c>
      <c r="G878">
        <v>0</v>
      </c>
      <c r="H878" s="32" t="str">
        <f ca="1">+IF(B878&gt;'sap nuevo'!$V$1,"cargar",IF(C878="","cargar","pagado"))</f>
        <v>cargar</v>
      </c>
      <c r="I878" s="32">
        <f t="shared" si="116"/>
        <v>2025</v>
      </c>
      <c r="J878" s="32">
        <f t="shared" si="117"/>
        <v>12</v>
      </c>
    </row>
    <row r="879" spans="1:10" x14ac:dyDescent="0.25">
      <c r="A879" t="s">
        <v>20</v>
      </c>
      <c r="B879" t="s">
        <v>322</v>
      </c>
      <c r="C879">
        <v>97124012</v>
      </c>
      <c r="D879">
        <v>140</v>
      </c>
      <c r="E879" s="4">
        <v>-405293.63</v>
      </c>
      <c r="F879" t="s">
        <v>62</v>
      </c>
      <c r="G879">
        <v>0</v>
      </c>
      <c r="H879" s="32" t="str">
        <f ca="1">+IF(B879&gt;'sap nuevo'!$V$1,"cargar",IF(C879="","cargar","pagado"))</f>
        <v>cargar</v>
      </c>
      <c r="I879" s="32">
        <f t="shared" si="116"/>
        <v>2025</v>
      </c>
      <c r="J879" s="32">
        <f t="shared" si="117"/>
        <v>12</v>
      </c>
    </row>
    <row r="880" spans="1:10" x14ac:dyDescent="0.25">
      <c r="A880" t="s">
        <v>20</v>
      </c>
      <c r="B880" t="s">
        <v>205</v>
      </c>
      <c r="C880">
        <v>97124005</v>
      </c>
      <c r="D880">
        <v>140</v>
      </c>
      <c r="E880" s="4">
        <v>-1261176.04</v>
      </c>
      <c r="F880" t="s">
        <v>62</v>
      </c>
      <c r="G880">
        <v>0</v>
      </c>
      <c r="H880" s="32" t="str">
        <f ca="1">+IF(B880&gt;'sap nuevo'!$V$1,"cargar",IF(C880="","cargar","pagado"))</f>
        <v>cargar</v>
      </c>
      <c r="I880" s="32">
        <f t="shared" si="116"/>
        <v>2025</v>
      </c>
      <c r="J880" s="32">
        <f t="shared" si="117"/>
        <v>12</v>
      </c>
    </row>
    <row r="881" spans="1:10" x14ac:dyDescent="0.25">
      <c r="A881" t="s">
        <v>12</v>
      </c>
      <c r="B881" t="s">
        <v>206</v>
      </c>
      <c r="C881">
        <v>97124069</v>
      </c>
      <c r="D881">
        <v>140</v>
      </c>
      <c r="E881" s="4">
        <v>-18979810.989999998</v>
      </c>
      <c r="F881" t="s">
        <v>63</v>
      </c>
      <c r="G881">
        <v>0</v>
      </c>
      <c r="H881" s="32" t="str">
        <f ca="1">+IF(B881&gt;'sap nuevo'!$V$1,"cargar",IF(C881="","cargar","pagado"))</f>
        <v>cargar</v>
      </c>
      <c r="I881" s="32">
        <f t="shared" si="116"/>
        <v>2025</v>
      </c>
      <c r="J881" s="32">
        <f t="shared" si="117"/>
        <v>12</v>
      </c>
    </row>
    <row r="882" spans="1:10" x14ac:dyDescent="0.25">
      <c r="A882" t="s">
        <v>20</v>
      </c>
      <c r="B882" t="s">
        <v>206</v>
      </c>
      <c r="C882">
        <v>97124020</v>
      </c>
      <c r="D882">
        <v>140</v>
      </c>
      <c r="E882" s="4">
        <v>-268152.58</v>
      </c>
      <c r="F882" t="s">
        <v>62</v>
      </c>
      <c r="G882">
        <v>0</v>
      </c>
      <c r="H882" s="32" t="str">
        <f ca="1">+IF(B882&gt;'sap nuevo'!$V$1,"cargar",IF(C882="","cargar","pagado"))</f>
        <v>cargar</v>
      </c>
      <c r="I882" s="32">
        <f t="shared" ref="I882:I894" si="118">+YEAR(B882)</f>
        <v>2025</v>
      </c>
      <c r="J882" s="32">
        <f t="shared" ref="J882:J894" si="119">+MONTH(B882)</f>
        <v>12</v>
      </c>
    </row>
    <row r="883" spans="1:10" x14ac:dyDescent="0.25">
      <c r="A883" t="s">
        <v>20</v>
      </c>
      <c r="B883" t="s">
        <v>516</v>
      </c>
      <c r="C883">
        <v>97124051</v>
      </c>
      <c r="D883">
        <v>140</v>
      </c>
      <c r="E883" s="4">
        <v>-12703203.82</v>
      </c>
      <c r="F883" t="s">
        <v>62</v>
      </c>
      <c r="G883">
        <v>0</v>
      </c>
      <c r="H883" s="32" t="str">
        <f ca="1">+IF(B883&gt;'sap nuevo'!$V$1,"cargar",IF(C883="","cargar","pagado"))</f>
        <v>cargar</v>
      </c>
      <c r="I883" s="32">
        <f t="shared" si="118"/>
        <v>2025</v>
      </c>
      <c r="J883" s="32">
        <f t="shared" si="119"/>
        <v>12</v>
      </c>
    </row>
    <row r="884" spans="1:10" x14ac:dyDescent="0.25">
      <c r="A884" t="s">
        <v>20</v>
      </c>
      <c r="B884" t="s">
        <v>516</v>
      </c>
      <c r="C884">
        <v>97124079</v>
      </c>
      <c r="D884">
        <v>140</v>
      </c>
      <c r="E884" s="4">
        <v>-10615596.67</v>
      </c>
      <c r="F884" t="s">
        <v>62</v>
      </c>
      <c r="G884">
        <v>0</v>
      </c>
      <c r="H884" s="32" t="str">
        <f ca="1">+IF(B884&gt;'sap nuevo'!$V$1,"cargar",IF(C884="","cargar","pagado"))</f>
        <v>cargar</v>
      </c>
      <c r="I884" s="32">
        <f t="shared" si="118"/>
        <v>2025</v>
      </c>
      <c r="J884" s="32">
        <f t="shared" si="119"/>
        <v>12</v>
      </c>
    </row>
    <row r="885" spans="1:10" x14ac:dyDescent="0.25">
      <c r="A885" t="s">
        <v>20</v>
      </c>
      <c r="B885" t="s">
        <v>516</v>
      </c>
      <c r="C885">
        <v>97124066</v>
      </c>
      <c r="D885">
        <v>140</v>
      </c>
      <c r="E885" s="4">
        <v>-6570120.8600000003</v>
      </c>
      <c r="F885" t="s">
        <v>62</v>
      </c>
      <c r="G885">
        <v>0</v>
      </c>
      <c r="H885" s="32" t="str">
        <f ca="1">+IF(B885&gt;'sap nuevo'!$V$1,"cargar",IF(C885="","cargar","pagado"))</f>
        <v>cargar</v>
      </c>
      <c r="I885" s="32">
        <f t="shared" si="118"/>
        <v>2025</v>
      </c>
      <c r="J885" s="32">
        <f t="shared" si="119"/>
        <v>12</v>
      </c>
    </row>
    <row r="886" spans="1:10" x14ac:dyDescent="0.25">
      <c r="A886" t="s">
        <v>20</v>
      </c>
      <c r="B886" t="s">
        <v>516</v>
      </c>
      <c r="C886">
        <v>97124052</v>
      </c>
      <c r="D886">
        <v>140</v>
      </c>
      <c r="E886" s="4">
        <v>-3133343.4</v>
      </c>
      <c r="F886" t="s">
        <v>62</v>
      </c>
      <c r="G886">
        <v>0</v>
      </c>
      <c r="H886" s="32" t="str">
        <f ca="1">+IF(B886&gt;'sap nuevo'!$V$1,"cargar",IF(C886="","cargar","pagado"))</f>
        <v>cargar</v>
      </c>
      <c r="I886" s="32">
        <f t="shared" si="118"/>
        <v>2025</v>
      </c>
      <c r="J886" s="32">
        <f t="shared" si="119"/>
        <v>12</v>
      </c>
    </row>
    <row r="887" spans="1:10" x14ac:dyDescent="0.25">
      <c r="A887" t="s">
        <v>20</v>
      </c>
      <c r="B887" t="s">
        <v>207</v>
      </c>
      <c r="C887">
        <v>97124057</v>
      </c>
      <c r="D887">
        <v>140</v>
      </c>
      <c r="E887" s="4">
        <v>-24755560</v>
      </c>
      <c r="F887" t="s">
        <v>62</v>
      </c>
      <c r="G887">
        <v>0</v>
      </c>
      <c r="H887" s="32" t="str">
        <f ca="1">+IF(B887&gt;'sap nuevo'!$V$1,"cargar",IF(C887="","cargar","pagado"))</f>
        <v>cargar</v>
      </c>
      <c r="I887" s="32">
        <f t="shared" si="118"/>
        <v>2025</v>
      </c>
      <c r="J887" s="32">
        <f t="shared" si="119"/>
        <v>12</v>
      </c>
    </row>
    <row r="888" spans="1:10" x14ac:dyDescent="0.25">
      <c r="A888" t="s">
        <v>20</v>
      </c>
      <c r="B888" t="s">
        <v>207</v>
      </c>
      <c r="C888">
        <v>97124054</v>
      </c>
      <c r="D888">
        <v>140</v>
      </c>
      <c r="E888" s="4">
        <v>-13302377.59</v>
      </c>
      <c r="F888" t="s">
        <v>62</v>
      </c>
      <c r="G888">
        <v>0</v>
      </c>
      <c r="H888" s="32" t="str">
        <f ca="1">+IF(B888&gt;'sap nuevo'!$V$1,"cargar",IF(C888="","cargar","pagado"))</f>
        <v>cargar</v>
      </c>
      <c r="I888" s="32">
        <f t="shared" si="118"/>
        <v>2025</v>
      </c>
      <c r="J888" s="32">
        <f t="shared" si="119"/>
        <v>12</v>
      </c>
    </row>
    <row r="889" spans="1:10" x14ac:dyDescent="0.25">
      <c r="A889" t="s">
        <v>20</v>
      </c>
      <c r="B889" t="s">
        <v>207</v>
      </c>
      <c r="C889">
        <v>97124067</v>
      </c>
      <c r="D889">
        <v>140</v>
      </c>
      <c r="E889" s="4">
        <v>-12964401.23</v>
      </c>
      <c r="F889" t="s">
        <v>62</v>
      </c>
      <c r="G889">
        <v>0</v>
      </c>
      <c r="H889" s="32" t="str">
        <f ca="1">+IF(B889&gt;'sap nuevo'!$V$1,"cargar",IF(C889="","cargar","pagado"))</f>
        <v>cargar</v>
      </c>
      <c r="I889" s="32">
        <f t="shared" si="118"/>
        <v>2025</v>
      </c>
      <c r="J889" s="32">
        <f t="shared" si="119"/>
        <v>12</v>
      </c>
    </row>
    <row r="890" spans="1:10" x14ac:dyDescent="0.25">
      <c r="A890" t="s">
        <v>12</v>
      </c>
      <c r="B890" t="s">
        <v>207</v>
      </c>
      <c r="C890">
        <v>97124072</v>
      </c>
      <c r="D890">
        <v>140</v>
      </c>
      <c r="E890" s="4">
        <v>-6356476.9000000004</v>
      </c>
      <c r="F890" t="s">
        <v>63</v>
      </c>
      <c r="G890">
        <v>0</v>
      </c>
      <c r="H890" s="32" t="str">
        <f ca="1">+IF(B890&gt;'sap nuevo'!$V$1,"cargar",IF(C890="","cargar","pagado"))</f>
        <v>cargar</v>
      </c>
      <c r="I890" s="32">
        <f t="shared" si="118"/>
        <v>2025</v>
      </c>
      <c r="J890" s="32">
        <f t="shared" si="119"/>
        <v>12</v>
      </c>
    </row>
    <row r="891" spans="1:10" x14ac:dyDescent="0.25">
      <c r="A891" t="s">
        <v>20</v>
      </c>
      <c r="B891" t="s">
        <v>207</v>
      </c>
      <c r="C891">
        <v>97124068</v>
      </c>
      <c r="D891">
        <v>140</v>
      </c>
      <c r="E891" s="4">
        <v>-5854966.75</v>
      </c>
      <c r="F891" t="s">
        <v>62</v>
      </c>
      <c r="G891">
        <v>0</v>
      </c>
      <c r="H891" s="32" t="str">
        <f ca="1">+IF(B891&gt;'sap nuevo'!$V$1,"cargar",IF(C891="","cargar","pagado"))</f>
        <v>cargar</v>
      </c>
      <c r="I891" s="32">
        <f t="shared" si="118"/>
        <v>2025</v>
      </c>
      <c r="J891" s="32">
        <f t="shared" si="119"/>
        <v>12</v>
      </c>
    </row>
    <row r="892" spans="1:10" x14ac:dyDescent="0.25">
      <c r="A892" t="s">
        <v>12</v>
      </c>
      <c r="B892" t="s">
        <v>207</v>
      </c>
      <c r="C892">
        <v>97124060</v>
      </c>
      <c r="D892">
        <v>140</v>
      </c>
      <c r="E892" s="4">
        <v>-5000000</v>
      </c>
      <c r="F892" t="s">
        <v>63</v>
      </c>
      <c r="G892">
        <v>0</v>
      </c>
      <c r="H892" s="32" t="str">
        <f ca="1">+IF(B892&gt;'sap nuevo'!$V$1,"cargar",IF(C892="","cargar","pagado"))</f>
        <v>cargar</v>
      </c>
      <c r="I892" s="32">
        <f t="shared" si="118"/>
        <v>2025</v>
      </c>
      <c r="J892" s="32">
        <f t="shared" si="119"/>
        <v>12</v>
      </c>
    </row>
    <row r="893" spans="1:10" x14ac:dyDescent="0.25">
      <c r="A893" t="s">
        <v>12</v>
      </c>
      <c r="B893" t="s">
        <v>207</v>
      </c>
      <c r="C893">
        <v>97124061</v>
      </c>
      <c r="D893">
        <v>140</v>
      </c>
      <c r="E893" s="4">
        <v>-5000000</v>
      </c>
      <c r="F893" t="s">
        <v>63</v>
      </c>
      <c r="G893">
        <v>0</v>
      </c>
      <c r="H893" s="32" t="str">
        <f ca="1">+IF(B893&gt;'sap nuevo'!$V$1,"cargar",IF(C893="","cargar","pagado"))</f>
        <v>cargar</v>
      </c>
      <c r="I893" s="32">
        <f t="shared" si="118"/>
        <v>2025</v>
      </c>
      <c r="J893" s="32">
        <f t="shared" si="119"/>
        <v>12</v>
      </c>
    </row>
    <row r="894" spans="1:10" x14ac:dyDescent="0.25">
      <c r="A894" t="s">
        <v>12</v>
      </c>
      <c r="B894" t="s">
        <v>207</v>
      </c>
      <c r="C894">
        <v>97124062</v>
      </c>
      <c r="D894">
        <v>140</v>
      </c>
      <c r="E894" s="4">
        <v>-5000000</v>
      </c>
      <c r="F894" t="s">
        <v>63</v>
      </c>
      <c r="G894">
        <v>0</v>
      </c>
      <c r="H894" s="32" t="str">
        <f ca="1">+IF(B894&gt;'sap nuevo'!$V$1,"cargar",IF(C894="","cargar","pagado"))</f>
        <v>cargar</v>
      </c>
      <c r="I894" s="32">
        <f t="shared" si="118"/>
        <v>2025</v>
      </c>
      <c r="J894" s="32">
        <f t="shared" si="119"/>
        <v>12</v>
      </c>
    </row>
    <row r="895" spans="1:10" x14ac:dyDescent="0.25">
      <c r="A895" t="s">
        <v>20</v>
      </c>
      <c r="B895" t="s">
        <v>207</v>
      </c>
      <c r="C895">
        <v>97124075</v>
      </c>
      <c r="D895">
        <v>140</v>
      </c>
      <c r="E895" s="4">
        <v>-3825767.92</v>
      </c>
      <c r="F895" t="s">
        <v>62</v>
      </c>
      <c r="G895">
        <v>0</v>
      </c>
      <c r="H895" s="32" t="str">
        <f ca="1">+IF(B895&gt;'sap nuevo'!$V$1,"cargar",IF(C895="","cargar","pagado"))</f>
        <v>cargar</v>
      </c>
      <c r="I895" s="32">
        <f t="shared" ref="I895:I906" si="120">+YEAR(B895)</f>
        <v>2025</v>
      </c>
      <c r="J895" s="32">
        <f t="shared" ref="J895:J906" si="121">+MONTH(B895)</f>
        <v>12</v>
      </c>
    </row>
    <row r="896" spans="1:10" x14ac:dyDescent="0.25">
      <c r="A896" t="s">
        <v>20</v>
      </c>
      <c r="B896" t="s">
        <v>207</v>
      </c>
      <c r="C896">
        <v>97124059</v>
      </c>
      <c r="D896">
        <v>140</v>
      </c>
      <c r="E896" s="4">
        <v>-3000000</v>
      </c>
      <c r="F896" t="s">
        <v>62</v>
      </c>
      <c r="G896">
        <v>0</v>
      </c>
      <c r="H896" s="32" t="str">
        <f ca="1">+IF(B896&gt;'sap nuevo'!$V$1,"cargar",IF(C896="","cargar","pagado"))</f>
        <v>cargar</v>
      </c>
      <c r="I896" s="32">
        <f t="shared" si="120"/>
        <v>2025</v>
      </c>
      <c r="J896" s="32">
        <f t="shared" si="121"/>
        <v>12</v>
      </c>
    </row>
    <row r="897" spans="1:10" x14ac:dyDescent="0.25">
      <c r="A897" t="s">
        <v>20</v>
      </c>
      <c r="B897" t="s">
        <v>207</v>
      </c>
      <c r="C897">
        <v>97124024</v>
      </c>
      <c r="D897">
        <v>140</v>
      </c>
      <c r="E897" s="4">
        <v>-2649480</v>
      </c>
      <c r="F897" t="s">
        <v>62</v>
      </c>
      <c r="G897">
        <v>0</v>
      </c>
      <c r="H897" s="32" t="str">
        <f ca="1">+IF(B897&gt;'sap nuevo'!$V$1,"cargar",IF(C897="","cargar","pagado"))</f>
        <v>cargar</v>
      </c>
      <c r="I897" s="32">
        <f t="shared" si="120"/>
        <v>2025</v>
      </c>
      <c r="J897" s="32">
        <f t="shared" si="121"/>
        <v>12</v>
      </c>
    </row>
    <row r="898" spans="1:10" x14ac:dyDescent="0.25">
      <c r="A898" t="s">
        <v>20</v>
      </c>
      <c r="B898" t="s">
        <v>207</v>
      </c>
      <c r="C898">
        <v>97124044</v>
      </c>
      <c r="D898">
        <v>140</v>
      </c>
      <c r="E898" s="4">
        <v>-2244632.56</v>
      </c>
      <c r="F898" t="s">
        <v>62</v>
      </c>
      <c r="G898">
        <v>0</v>
      </c>
      <c r="H898" s="32" t="str">
        <f ca="1">+IF(B898&gt;'sap nuevo'!$V$1,"cargar",IF(C898="","cargar","pagado"))</f>
        <v>cargar</v>
      </c>
      <c r="I898" s="32">
        <f t="shared" si="120"/>
        <v>2025</v>
      </c>
      <c r="J898" s="32">
        <f t="shared" si="121"/>
        <v>12</v>
      </c>
    </row>
    <row r="899" spans="1:10" x14ac:dyDescent="0.25">
      <c r="A899" t="s">
        <v>12</v>
      </c>
      <c r="B899" t="s">
        <v>208</v>
      </c>
      <c r="C899">
        <v>97124070</v>
      </c>
      <c r="D899">
        <v>140</v>
      </c>
      <c r="E899" s="4">
        <v>-45104674.950000003</v>
      </c>
      <c r="F899" t="s">
        <v>63</v>
      </c>
      <c r="G899">
        <v>0</v>
      </c>
      <c r="H899" s="32" t="str">
        <f ca="1">+IF(B899&gt;'sap nuevo'!$V$1,"cargar",IF(C899="","cargar","pagado"))</f>
        <v>cargar</v>
      </c>
      <c r="I899" s="32">
        <f t="shared" si="120"/>
        <v>2025</v>
      </c>
      <c r="J899" s="32">
        <f t="shared" si="121"/>
        <v>12</v>
      </c>
    </row>
    <row r="900" spans="1:10" x14ac:dyDescent="0.25">
      <c r="A900" t="s">
        <v>20</v>
      </c>
      <c r="B900" t="s">
        <v>208</v>
      </c>
      <c r="C900">
        <v>97124076</v>
      </c>
      <c r="D900">
        <v>140</v>
      </c>
      <c r="E900" s="4">
        <v>-15051976.699999999</v>
      </c>
      <c r="F900" t="s">
        <v>62</v>
      </c>
      <c r="G900">
        <v>0</v>
      </c>
      <c r="H900" s="32" t="str">
        <f ca="1">+IF(B900&gt;'sap nuevo'!$V$1,"cargar",IF(C900="","cargar","pagado"))</f>
        <v>cargar</v>
      </c>
      <c r="I900" s="32">
        <f t="shared" si="120"/>
        <v>2025</v>
      </c>
      <c r="J900" s="32">
        <f t="shared" si="121"/>
        <v>12</v>
      </c>
    </row>
    <row r="901" spans="1:10" x14ac:dyDescent="0.25">
      <c r="A901" t="s">
        <v>12</v>
      </c>
      <c r="B901" t="s">
        <v>208</v>
      </c>
      <c r="C901">
        <v>97124073</v>
      </c>
      <c r="D901">
        <v>140</v>
      </c>
      <c r="E901" s="4">
        <v>-5345038.4000000004</v>
      </c>
      <c r="F901" t="s">
        <v>63</v>
      </c>
      <c r="G901">
        <v>0</v>
      </c>
      <c r="H901" s="32" t="str">
        <f ca="1">+IF(B901&gt;'sap nuevo'!$V$1,"cargar",IF(C901="","cargar","pagado"))</f>
        <v>cargar</v>
      </c>
      <c r="I901" s="32">
        <f t="shared" si="120"/>
        <v>2025</v>
      </c>
      <c r="J901" s="32">
        <f t="shared" si="121"/>
        <v>12</v>
      </c>
    </row>
    <row r="902" spans="1:10" x14ac:dyDescent="0.25">
      <c r="A902" t="s">
        <v>20</v>
      </c>
      <c r="B902" t="s">
        <v>208</v>
      </c>
      <c r="C902">
        <v>97124058</v>
      </c>
      <c r="D902">
        <v>140</v>
      </c>
      <c r="E902" s="4">
        <v>-4600000</v>
      </c>
      <c r="F902" t="s">
        <v>62</v>
      </c>
      <c r="G902">
        <v>0</v>
      </c>
      <c r="H902" s="32" t="str">
        <f ca="1">+IF(B902&gt;'sap nuevo'!$V$1,"cargar",IF(C902="","cargar","pagado"))</f>
        <v>cargar</v>
      </c>
      <c r="I902" s="32">
        <f t="shared" si="120"/>
        <v>2025</v>
      </c>
      <c r="J902" s="32">
        <f t="shared" si="121"/>
        <v>12</v>
      </c>
    </row>
    <row r="903" spans="1:10" x14ac:dyDescent="0.25">
      <c r="A903" t="s">
        <v>12</v>
      </c>
      <c r="B903" t="s">
        <v>208</v>
      </c>
      <c r="C903">
        <v>97124077</v>
      </c>
      <c r="D903">
        <v>140</v>
      </c>
      <c r="E903" s="4">
        <v>-4547308.76</v>
      </c>
      <c r="F903" t="s">
        <v>63</v>
      </c>
      <c r="G903">
        <v>0</v>
      </c>
      <c r="H903" s="32" t="str">
        <f ca="1">+IF(B903&gt;'sap nuevo'!$V$1,"cargar",IF(C903="","cargar","pagado"))</f>
        <v>cargar</v>
      </c>
      <c r="I903" s="32">
        <f t="shared" si="120"/>
        <v>2025</v>
      </c>
      <c r="J903" s="32">
        <f t="shared" si="121"/>
        <v>12</v>
      </c>
    </row>
    <row r="904" spans="1:10" x14ac:dyDescent="0.25">
      <c r="A904" t="s">
        <v>12</v>
      </c>
      <c r="B904" t="s">
        <v>208</v>
      </c>
      <c r="C904">
        <v>97124056</v>
      </c>
      <c r="D904">
        <v>140</v>
      </c>
      <c r="E904" s="4">
        <v>-4297443.43</v>
      </c>
      <c r="F904" t="s">
        <v>63</v>
      </c>
      <c r="G904">
        <v>0</v>
      </c>
      <c r="H904" s="32" t="str">
        <f ca="1">+IF(B904&gt;'sap nuevo'!$V$1,"cargar",IF(C904="","cargar","pagado"))</f>
        <v>cargar</v>
      </c>
      <c r="I904" s="32">
        <f t="shared" si="120"/>
        <v>2025</v>
      </c>
      <c r="J904" s="32">
        <f t="shared" si="121"/>
        <v>12</v>
      </c>
    </row>
    <row r="905" spans="1:10" x14ac:dyDescent="0.25">
      <c r="A905" t="s">
        <v>20</v>
      </c>
      <c r="B905" t="s">
        <v>208</v>
      </c>
      <c r="C905">
        <v>97124078</v>
      </c>
      <c r="D905">
        <v>140</v>
      </c>
      <c r="E905" s="4">
        <v>-4094116.23</v>
      </c>
      <c r="F905" t="s">
        <v>62</v>
      </c>
      <c r="G905">
        <v>0</v>
      </c>
      <c r="H905" s="32" t="str">
        <f ca="1">+IF(B905&gt;'sap nuevo'!$V$1,"cargar",IF(C905="","cargar","pagado"))</f>
        <v>cargar</v>
      </c>
      <c r="I905" s="32">
        <f t="shared" si="120"/>
        <v>2025</v>
      </c>
      <c r="J905" s="32">
        <f t="shared" si="121"/>
        <v>12</v>
      </c>
    </row>
    <row r="906" spans="1:10" x14ac:dyDescent="0.25">
      <c r="A906" t="s">
        <v>20</v>
      </c>
      <c r="B906" t="s">
        <v>208</v>
      </c>
      <c r="C906">
        <v>97124063</v>
      </c>
      <c r="D906">
        <v>140</v>
      </c>
      <c r="E906" s="4">
        <v>-3136140.4</v>
      </c>
      <c r="F906" t="s">
        <v>62</v>
      </c>
      <c r="G906">
        <v>0</v>
      </c>
      <c r="H906" s="32" t="str">
        <f ca="1">+IF(B906&gt;'sap nuevo'!$V$1,"cargar",IF(C906="","cargar","pagado"))</f>
        <v>cargar</v>
      </c>
      <c r="I906" s="32">
        <f t="shared" si="120"/>
        <v>2025</v>
      </c>
      <c r="J906" s="32">
        <f t="shared" si="121"/>
        <v>12</v>
      </c>
    </row>
    <row r="907" spans="1:10" x14ac:dyDescent="0.25">
      <c r="A907" t="s">
        <v>12</v>
      </c>
      <c r="B907" t="s">
        <v>209</v>
      </c>
      <c r="C907">
        <v>97123971</v>
      </c>
      <c r="D907">
        <v>140</v>
      </c>
      <c r="E907" s="4">
        <v>-8725194.25</v>
      </c>
      <c r="F907" t="s">
        <v>63</v>
      </c>
      <c r="G907">
        <v>0</v>
      </c>
      <c r="H907" s="32" t="str">
        <f ca="1">+IF(B907&gt;'sap nuevo'!$V$1,"cargar",IF(C907="","cargar","pagado"))</f>
        <v>cargar</v>
      </c>
      <c r="I907" s="32">
        <f t="shared" ref="I907:I927" si="122">+YEAR(B907)</f>
        <v>2025</v>
      </c>
      <c r="J907" s="32">
        <f t="shared" ref="J907:J927" si="123">+MONTH(B907)</f>
        <v>12</v>
      </c>
    </row>
    <row r="908" spans="1:10" x14ac:dyDescent="0.25">
      <c r="A908" t="s">
        <v>20</v>
      </c>
      <c r="B908" t="s">
        <v>209</v>
      </c>
      <c r="C908">
        <v>97124055</v>
      </c>
      <c r="D908">
        <v>140</v>
      </c>
      <c r="E908" s="4">
        <v>-6789793.4000000004</v>
      </c>
      <c r="F908" t="s">
        <v>62</v>
      </c>
      <c r="G908">
        <v>0</v>
      </c>
      <c r="H908" s="32" t="str">
        <f ca="1">+IF(B908&gt;'sap nuevo'!$V$1,"cargar",IF(C908="","cargar","pagado"))</f>
        <v>cargar</v>
      </c>
      <c r="I908" s="32">
        <f t="shared" si="122"/>
        <v>2025</v>
      </c>
      <c r="J908" s="32">
        <f t="shared" si="123"/>
        <v>12</v>
      </c>
    </row>
    <row r="909" spans="1:10" x14ac:dyDescent="0.25">
      <c r="A909" t="s">
        <v>20</v>
      </c>
      <c r="B909" t="s">
        <v>209</v>
      </c>
      <c r="C909">
        <v>97124019</v>
      </c>
      <c r="D909">
        <v>140</v>
      </c>
      <c r="E909" s="4">
        <v>-291454.8</v>
      </c>
      <c r="F909" t="s">
        <v>62</v>
      </c>
      <c r="G909">
        <v>0</v>
      </c>
      <c r="H909" s="32" t="str">
        <f ca="1">+IF(B909&gt;'sap nuevo'!$V$1,"cargar",IF(C909="","cargar","pagado"))</f>
        <v>cargar</v>
      </c>
      <c r="I909" s="32">
        <f t="shared" si="122"/>
        <v>2025</v>
      </c>
      <c r="J909" s="32">
        <f t="shared" si="123"/>
        <v>12</v>
      </c>
    </row>
    <row r="910" spans="1:10" x14ac:dyDescent="0.25">
      <c r="A910" t="s">
        <v>20</v>
      </c>
      <c r="B910" t="s">
        <v>210</v>
      </c>
      <c r="C910">
        <v>97124071</v>
      </c>
      <c r="D910">
        <v>140</v>
      </c>
      <c r="E910" s="4">
        <v>-33123719.050000001</v>
      </c>
      <c r="F910" t="s">
        <v>62</v>
      </c>
      <c r="G910">
        <v>0</v>
      </c>
      <c r="H910" s="32" t="str">
        <f ca="1">+IF(B910&gt;'sap nuevo'!$V$1,"cargar",IF(C910="","cargar","pagado"))</f>
        <v>cargar</v>
      </c>
      <c r="I910" s="32">
        <f t="shared" si="122"/>
        <v>2025</v>
      </c>
      <c r="J910" s="32">
        <f t="shared" si="123"/>
        <v>12</v>
      </c>
    </row>
    <row r="911" spans="1:10" x14ac:dyDescent="0.25">
      <c r="A911" t="s">
        <v>20</v>
      </c>
      <c r="B911" t="s">
        <v>210</v>
      </c>
      <c r="C911">
        <v>97124094</v>
      </c>
      <c r="D911">
        <v>140</v>
      </c>
      <c r="E911" s="4">
        <v>-17292780</v>
      </c>
      <c r="F911" t="s">
        <v>62</v>
      </c>
      <c r="G911">
        <v>0</v>
      </c>
      <c r="H911" s="32" t="str">
        <f ca="1">+IF(B911&gt;'sap nuevo'!$V$1,"cargar",IF(C911="","cargar","pagado"))</f>
        <v>cargar</v>
      </c>
      <c r="I911" s="32">
        <f t="shared" si="122"/>
        <v>2025</v>
      </c>
      <c r="J911" s="32">
        <f t="shared" si="123"/>
        <v>12</v>
      </c>
    </row>
    <row r="912" spans="1:10" x14ac:dyDescent="0.25">
      <c r="A912" t="s">
        <v>20</v>
      </c>
      <c r="B912" t="s">
        <v>210</v>
      </c>
      <c r="C912">
        <v>97123953</v>
      </c>
      <c r="D912">
        <v>140</v>
      </c>
      <c r="E912" s="4">
        <v>-15000000</v>
      </c>
      <c r="F912" t="s">
        <v>62</v>
      </c>
      <c r="G912">
        <v>0</v>
      </c>
      <c r="H912" s="32" t="str">
        <f ca="1">+IF(B912&gt;'sap nuevo'!$V$1,"cargar",IF(C912="","cargar","pagado"))</f>
        <v>cargar</v>
      </c>
      <c r="I912" s="32">
        <f t="shared" si="122"/>
        <v>2025</v>
      </c>
      <c r="J912" s="32">
        <f t="shared" si="123"/>
        <v>12</v>
      </c>
    </row>
    <row r="913" spans="1:10" x14ac:dyDescent="0.25">
      <c r="A913" t="s">
        <v>20</v>
      </c>
      <c r="B913" t="s">
        <v>323</v>
      </c>
      <c r="C913">
        <v>97123957</v>
      </c>
      <c r="D913">
        <v>140</v>
      </c>
      <c r="E913" s="4">
        <v>-220537105</v>
      </c>
      <c r="F913" t="s">
        <v>62</v>
      </c>
      <c r="G913">
        <v>0</v>
      </c>
      <c r="H913" s="32" t="str">
        <f ca="1">+IF(B913&gt;'sap nuevo'!$V$1,"cargar",IF(C913="","cargar","pagado"))</f>
        <v>cargar</v>
      </c>
      <c r="I913" s="32">
        <f t="shared" si="122"/>
        <v>2025</v>
      </c>
      <c r="J913" s="32">
        <f t="shared" si="123"/>
        <v>12</v>
      </c>
    </row>
    <row r="914" spans="1:10" x14ac:dyDescent="0.25">
      <c r="A914" t="s">
        <v>20</v>
      </c>
      <c r="B914" t="s">
        <v>323</v>
      </c>
      <c r="C914">
        <v>97124081</v>
      </c>
      <c r="D914">
        <v>140</v>
      </c>
      <c r="E914" s="4">
        <v>-24076343.399999999</v>
      </c>
      <c r="F914" t="s">
        <v>62</v>
      </c>
      <c r="G914">
        <v>0</v>
      </c>
      <c r="H914" s="32" t="str">
        <f ca="1">+IF(B914&gt;'sap nuevo'!$V$1,"cargar",IF(C914="","cargar","pagado"))</f>
        <v>cargar</v>
      </c>
      <c r="I914" s="32">
        <f t="shared" si="122"/>
        <v>2025</v>
      </c>
      <c r="J914" s="32">
        <f t="shared" si="123"/>
        <v>12</v>
      </c>
    </row>
    <row r="915" spans="1:10" x14ac:dyDescent="0.25">
      <c r="A915" t="s">
        <v>12</v>
      </c>
      <c r="B915" t="s">
        <v>323</v>
      </c>
      <c r="C915">
        <v>97124080</v>
      </c>
      <c r="D915">
        <v>140</v>
      </c>
      <c r="E915" s="4">
        <v>-20900000</v>
      </c>
      <c r="F915" t="s">
        <v>63</v>
      </c>
      <c r="G915">
        <v>0</v>
      </c>
      <c r="H915" s="32" t="str">
        <f ca="1">+IF(B915&gt;'sap nuevo'!$V$1,"cargar",IF(C915="","cargar","pagado"))</f>
        <v>cargar</v>
      </c>
      <c r="I915" s="32">
        <f t="shared" si="122"/>
        <v>2025</v>
      </c>
      <c r="J915" s="32">
        <f t="shared" si="123"/>
        <v>12</v>
      </c>
    </row>
    <row r="916" spans="1:10" x14ac:dyDescent="0.25">
      <c r="A916" t="s">
        <v>20</v>
      </c>
      <c r="B916" t="s">
        <v>323</v>
      </c>
      <c r="C916">
        <v>97124082</v>
      </c>
      <c r="D916">
        <v>140</v>
      </c>
      <c r="E916" s="4">
        <v>-18956952.289999999</v>
      </c>
      <c r="F916" t="s">
        <v>62</v>
      </c>
      <c r="G916">
        <v>0</v>
      </c>
      <c r="H916" s="32" t="str">
        <f ca="1">+IF(B916&gt;'sap nuevo'!$V$1,"cargar",IF(C916="","cargar","pagado"))</f>
        <v>cargar</v>
      </c>
      <c r="I916" s="32">
        <f t="shared" si="122"/>
        <v>2025</v>
      </c>
      <c r="J916" s="32">
        <f t="shared" si="123"/>
        <v>12</v>
      </c>
    </row>
    <row r="917" spans="1:10" x14ac:dyDescent="0.25">
      <c r="A917" t="s">
        <v>20</v>
      </c>
      <c r="B917" t="s">
        <v>323</v>
      </c>
      <c r="C917">
        <v>97124084</v>
      </c>
      <c r="D917">
        <v>140</v>
      </c>
      <c r="E917" s="4">
        <v>-16796628.82</v>
      </c>
      <c r="F917" t="s">
        <v>62</v>
      </c>
      <c r="G917">
        <v>0</v>
      </c>
      <c r="H917" s="32" t="str">
        <f ca="1">+IF(B917&gt;'sap nuevo'!$V$1,"cargar",IF(C917="","cargar","pagado"))</f>
        <v>cargar</v>
      </c>
      <c r="I917" s="32">
        <f t="shared" si="122"/>
        <v>2025</v>
      </c>
      <c r="J917" s="32">
        <f t="shared" si="123"/>
        <v>12</v>
      </c>
    </row>
    <row r="918" spans="1:10" x14ac:dyDescent="0.25">
      <c r="A918" t="s">
        <v>12</v>
      </c>
      <c r="B918" t="s">
        <v>323</v>
      </c>
      <c r="C918">
        <v>97124083</v>
      </c>
      <c r="D918">
        <v>140</v>
      </c>
      <c r="E918" s="4">
        <v>-8601128.9499999993</v>
      </c>
      <c r="F918" t="s">
        <v>63</v>
      </c>
      <c r="G918">
        <v>0</v>
      </c>
      <c r="H918" s="32" t="str">
        <f ca="1">+IF(B918&gt;'sap nuevo'!$V$1,"cargar",IF(C918="","cargar","pagado"))</f>
        <v>cargar</v>
      </c>
      <c r="I918" s="32">
        <f t="shared" si="122"/>
        <v>2025</v>
      </c>
      <c r="J918" s="32">
        <f t="shared" si="123"/>
        <v>12</v>
      </c>
    </row>
    <row r="919" spans="1:10" x14ac:dyDescent="0.25">
      <c r="A919" t="s">
        <v>20</v>
      </c>
      <c r="B919" t="s">
        <v>323</v>
      </c>
      <c r="C919">
        <v>97124085</v>
      </c>
      <c r="D919">
        <v>140</v>
      </c>
      <c r="E919" s="4">
        <v>-8200167.6100000003</v>
      </c>
      <c r="F919" t="s">
        <v>62</v>
      </c>
      <c r="G919">
        <v>0</v>
      </c>
      <c r="H919" s="32" t="str">
        <f ca="1">+IF(B919&gt;'sap nuevo'!$V$1,"cargar",IF(C919="","cargar","pagado"))</f>
        <v>cargar</v>
      </c>
      <c r="I919" s="32">
        <f t="shared" si="122"/>
        <v>2025</v>
      </c>
      <c r="J919" s="32">
        <f t="shared" si="123"/>
        <v>12</v>
      </c>
    </row>
    <row r="920" spans="1:10" x14ac:dyDescent="0.25">
      <c r="A920" t="s">
        <v>20</v>
      </c>
      <c r="B920" t="s">
        <v>323</v>
      </c>
      <c r="C920">
        <v>97124086</v>
      </c>
      <c r="D920">
        <v>140</v>
      </c>
      <c r="E920" s="4">
        <v>-6000000</v>
      </c>
      <c r="F920" t="s">
        <v>62</v>
      </c>
      <c r="G920">
        <v>0</v>
      </c>
      <c r="H920" s="32" t="str">
        <f ca="1">+IF(B920&gt;'sap nuevo'!$V$1,"cargar",IF(C920="","cargar","pagado"))</f>
        <v>cargar</v>
      </c>
      <c r="I920" s="32">
        <f t="shared" si="122"/>
        <v>2025</v>
      </c>
      <c r="J920" s="32">
        <f t="shared" si="123"/>
        <v>12</v>
      </c>
    </row>
    <row r="921" spans="1:10" x14ac:dyDescent="0.25">
      <c r="A921" t="s">
        <v>20</v>
      </c>
      <c r="B921" t="s">
        <v>323</v>
      </c>
      <c r="C921">
        <v>97124087</v>
      </c>
      <c r="D921">
        <v>140</v>
      </c>
      <c r="E921" s="4">
        <v>-6000000</v>
      </c>
      <c r="F921" t="s">
        <v>62</v>
      </c>
      <c r="G921">
        <v>0</v>
      </c>
      <c r="H921" s="32" t="str">
        <f ca="1">+IF(B921&gt;'sap nuevo'!$V$1,"cargar",IF(C921="","cargar","pagado"))</f>
        <v>cargar</v>
      </c>
      <c r="I921" s="32">
        <f t="shared" si="122"/>
        <v>2025</v>
      </c>
      <c r="J921" s="32">
        <f t="shared" si="123"/>
        <v>12</v>
      </c>
    </row>
    <row r="922" spans="1:10" x14ac:dyDescent="0.25">
      <c r="A922" t="s">
        <v>20</v>
      </c>
      <c r="B922" t="s">
        <v>323</v>
      </c>
      <c r="C922">
        <v>97124074</v>
      </c>
      <c r="D922">
        <v>140</v>
      </c>
      <c r="E922" s="4">
        <v>-4999217.92</v>
      </c>
      <c r="F922" t="s">
        <v>62</v>
      </c>
      <c r="G922">
        <v>0</v>
      </c>
      <c r="H922" s="32" t="str">
        <f ca="1">+IF(B922&gt;'sap nuevo'!$V$1,"cargar",IF(C922="","cargar","pagado"))</f>
        <v>cargar</v>
      </c>
      <c r="I922" s="32">
        <f t="shared" si="122"/>
        <v>2025</v>
      </c>
      <c r="J922" s="32">
        <f t="shared" si="123"/>
        <v>12</v>
      </c>
    </row>
    <row r="923" spans="1:10" x14ac:dyDescent="0.25">
      <c r="A923" t="s">
        <v>20</v>
      </c>
      <c r="B923" t="s">
        <v>211</v>
      </c>
      <c r="C923">
        <v>97124089</v>
      </c>
      <c r="D923">
        <v>140</v>
      </c>
      <c r="E923" s="4">
        <v>-8778452.2699999996</v>
      </c>
      <c r="F923" t="s">
        <v>62</v>
      </c>
      <c r="G923">
        <v>0</v>
      </c>
      <c r="H923" s="32" t="str">
        <f ca="1">+IF(B923&gt;'sap nuevo'!$V$1,"cargar",IF(C923="","cargar","pagado"))</f>
        <v>cargar</v>
      </c>
      <c r="I923" s="32">
        <f t="shared" si="122"/>
        <v>2025</v>
      </c>
      <c r="J923" s="32">
        <f t="shared" si="123"/>
        <v>12</v>
      </c>
    </row>
    <row r="924" spans="1:10" x14ac:dyDescent="0.25">
      <c r="A924" t="s">
        <v>20</v>
      </c>
      <c r="B924" t="s">
        <v>211</v>
      </c>
      <c r="C924">
        <v>97124088</v>
      </c>
      <c r="D924">
        <v>140</v>
      </c>
      <c r="E924" s="4">
        <v>-6000000</v>
      </c>
      <c r="F924" t="s">
        <v>62</v>
      </c>
      <c r="G924">
        <v>0</v>
      </c>
      <c r="H924" s="32" t="str">
        <f ca="1">+IF(B924&gt;'sap nuevo'!$V$1,"cargar",IF(C924="","cargar","pagado"))</f>
        <v>cargar</v>
      </c>
      <c r="I924" s="32">
        <f t="shared" si="122"/>
        <v>2025</v>
      </c>
      <c r="J924" s="32">
        <f t="shared" si="123"/>
        <v>12</v>
      </c>
    </row>
    <row r="925" spans="1:10" x14ac:dyDescent="0.25">
      <c r="A925" t="s">
        <v>20</v>
      </c>
      <c r="B925" t="s">
        <v>212</v>
      </c>
      <c r="C925">
        <v>97124105</v>
      </c>
      <c r="D925">
        <v>140</v>
      </c>
      <c r="E925" s="4">
        <v>-22366056.82</v>
      </c>
      <c r="F925" t="s">
        <v>62</v>
      </c>
      <c r="G925">
        <v>0</v>
      </c>
      <c r="H925" s="32" t="str">
        <f ca="1">+IF(B925&gt;'sap nuevo'!$V$1,"cargar",IF(C925="","cargar","pagado"))</f>
        <v>cargar</v>
      </c>
      <c r="I925" s="32">
        <f t="shared" si="122"/>
        <v>2025</v>
      </c>
      <c r="J925" s="32">
        <f t="shared" si="123"/>
        <v>12</v>
      </c>
    </row>
    <row r="926" spans="1:10" x14ac:dyDescent="0.25">
      <c r="A926" t="s">
        <v>12</v>
      </c>
      <c r="B926" t="s">
        <v>212</v>
      </c>
      <c r="C926">
        <v>97124104</v>
      </c>
      <c r="D926">
        <v>140</v>
      </c>
      <c r="E926" s="4">
        <v>-21076936.75</v>
      </c>
      <c r="F926" t="s">
        <v>63</v>
      </c>
      <c r="G926">
        <v>0</v>
      </c>
      <c r="H926" s="32" t="str">
        <f ca="1">+IF(B926&gt;'sap nuevo'!$V$1,"cargar",IF(C926="","cargar","pagado"))</f>
        <v>cargar</v>
      </c>
      <c r="I926" s="32">
        <f t="shared" si="122"/>
        <v>2025</v>
      </c>
      <c r="J926" s="32">
        <f t="shared" si="123"/>
        <v>12</v>
      </c>
    </row>
    <row r="927" spans="1:10" x14ac:dyDescent="0.25">
      <c r="A927" t="s">
        <v>20</v>
      </c>
      <c r="B927" t="s">
        <v>212</v>
      </c>
      <c r="C927">
        <v>97124100</v>
      </c>
      <c r="D927">
        <v>140</v>
      </c>
      <c r="E927" s="4">
        <v>-21000000</v>
      </c>
      <c r="F927" t="s">
        <v>62</v>
      </c>
      <c r="G927">
        <v>0</v>
      </c>
      <c r="H927" s="32" t="str">
        <f ca="1">+IF(B927&gt;'sap nuevo'!$V$1,"cargar",IF(C927="","cargar","pagado"))</f>
        <v>cargar</v>
      </c>
      <c r="I927" s="32">
        <f t="shared" si="122"/>
        <v>2025</v>
      </c>
      <c r="J927" s="32">
        <f t="shared" si="123"/>
        <v>12</v>
      </c>
    </row>
    <row r="928" spans="1:10" x14ac:dyDescent="0.25">
      <c r="A928" t="s">
        <v>20</v>
      </c>
      <c r="B928" t="s">
        <v>212</v>
      </c>
      <c r="C928">
        <v>97124106</v>
      </c>
      <c r="D928">
        <v>140</v>
      </c>
      <c r="E928" s="4">
        <v>-21000000</v>
      </c>
      <c r="F928" t="s">
        <v>62</v>
      </c>
      <c r="G928">
        <v>0</v>
      </c>
      <c r="H928" s="32" t="str">
        <f ca="1">+IF(B928&gt;'sap nuevo'!$V$1,"cargar",IF(C928="","cargar","pagado"))</f>
        <v>cargar</v>
      </c>
      <c r="I928" s="32">
        <f t="shared" ref="I928:I936" si="124">+YEAR(B928)</f>
        <v>2025</v>
      </c>
      <c r="J928" s="32">
        <f t="shared" ref="J928:J936" si="125">+MONTH(B928)</f>
        <v>12</v>
      </c>
    </row>
    <row r="929" spans="1:10" x14ac:dyDescent="0.25">
      <c r="A929" t="s">
        <v>20</v>
      </c>
      <c r="B929" t="s">
        <v>212</v>
      </c>
      <c r="C929">
        <v>97124103</v>
      </c>
      <c r="D929">
        <v>140</v>
      </c>
      <c r="E929" s="4">
        <v>-16038063.279999999</v>
      </c>
      <c r="F929" t="s">
        <v>62</v>
      </c>
      <c r="G929">
        <v>0</v>
      </c>
      <c r="H929" s="32" t="str">
        <f ca="1">+IF(B929&gt;'sap nuevo'!$V$1,"cargar",IF(C929="","cargar","pagado"))</f>
        <v>cargar</v>
      </c>
      <c r="I929" s="32">
        <f t="shared" si="124"/>
        <v>2025</v>
      </c>
      <c r="J929" s="32">
        <f t="shared" si="125"/>
        <v>12</v>
      </c>
    </row>
    <row r="930" spans="1:10" x14ac:dyDescent="0.25">
      <c r="A930" t="s">
        <v>12</v>
      </c>
      <c r="B930" t="s">
        <v>212</v>
      </c>
      <c r="C930">
        <v>97124099</v>
      </c>
      <c r="D930">
        <v>140</v>
      </c>
      <c r="E930" s="4">
        <v>-13569065.949999999</v>
      </c>
      <c r="F930" t="s">
        <v>63</v>
      </c>
      <c r="G930">
        <v>0</v>
      </c>
      <c r="H930" s="32" t="str">
        <f ca="1">+IF(B930&gt;'sap nuevo'!$V$1,"cargar",IF(C930="","cargar","pagado"))</f>
        <v>cargar</v>
      </c>
      <c r="I930" s="32">
        <f t="shared" si="124"/>
        <v>2025</v>
      </c>
      <c r="J930" s="32">
        <f t="shared" si="125"/>
        <v>12</v>
      </c>
    </row>
    <row r="931" spans="1:10" x14ac:dyDescent="0.25">
      <c r="A931" t="s">
        <v>20</v>
      </c>
      <c r="B931" t="s">
        <v>212</v>
      </c>
      <c r="C931">
        <v>97124098</v>
      </c>
      <c r="D931">
        <v>140</v>
      </c>
      <c r="E931" s="4">
        <v>-12552811.640000001</v>
      </c>
      <c r="F931" t="s">
        <v>62</v>
      </c>
      <c r="G931">
        <v>0</v>
      </c>
      <c r="H931" s="32" t="str">
        <f ca="1">+IF(B931&gt;'sap nuevo'!$V$1,"cargar",IF(C931="","cargar","pagado"))</f>
        <v>cargar</v>
      </c>
      <c r="I931" s="32">
        <f t="shared" si="124"/>
        <v>2025</v>
      </c>
      <c r="J931" s="32">
        <f t="shared" si="125"/>
        <v>12</v>
      </c>
    </row>
    <row r="932" spans="1:10" x14ac:dyDescent="0.25">
      <c r="A932" t="s">
        <v>20</v>
      </c>
      <c r="B932" t="s">
        <v>212</v>
      </c>
      <c r="C932">
        <v>97124096</v>
      </c>
      <c r="D932">
        <v>140</v>
      </c>
      <c r="E932" s="4">
        <v>-10951808.130000001</v>
      </c>
      <c r="F932" t="s">
        <v>62</v>
      </c>
      <c r="G932">
        <v>0</v>
      </c>
      <c r="H932" s="32" t="str">
        <f ca="1">+IF(B932&gt;'sap nuevo'!$V$1,"cargar",IF(C932="","cargar","pagado"))</f>
        <v>cargar</v>
      </c>
      <c r="I932" s="32">
        <f t="shared" si="124"/>
        <v>2025</v>
      </c>
      <c r="J932" s="32">
        <f t="shared" si="125"/>
        <v>12</v>
      </c>
    </row>
    <row r="933" spans="1:10" x14ac:dyDescent="0.25">
      <c r="A933" t="s">
        <v>20</v>
      </c>
      <c r="B933" t="s">
        <v>212</v>
      </c>
      <c r="C933">
        <v>97124097</v>
      </c>
      <c r="D933">
        <v>140</v>
      </c>
      <c r="E933" s="4">
        <v>-7251743.4000000004</v>
      </c>
      <c r="F933" t="s">
        <v>62</v>
      </c>
      <c r="G933">
        <v>0</v>
      </c>
      <c r="H933" s="32" t="str">
        <f ca="1">+IF(B933&gt;'sap nuevo'!$V$1,"cargar",IF(C933="","cargar","pagado"))</f>
        <v>cargar</v>
      </c>
      <c r="I933" s="32">
        <f t="shared" si="124"/>
        <v>2025</v>
      </c>
      <c r="J933" s="32">
        <f t="shared" si="125"/>
        <v>12</v>
      </c>
    </row>
    <row r="934" spans="1:10" x14ac:dyDescent="0.25">
      <c r="A934" t="s">
        <v>12</v>
      </c>
      <c r="B934" t="s">
        <v>212</v>
      </c>
      <c r="C934">
        <v>97124095</v>
      </c>
      <c r="D934">
        <v>140</v>
      </c>
      <c r="E934" s="4">
        <v>-6260578.0999999996</v>
      </c>
      <c r="F934" t="s">
        <v>63</v>
      </c>
      <c r="G934">
        <v>0</v>
      </c>
      <c r="H934" s="32" t="str">
        <f ca="1">+IF(B934&gt;'sap nuevo'!$V$1,"cargar",IF(C934="","cargar","pagado"))</f>
        <v>cargar</v>
      </c>
      <c r="I934" s="32">
        <f t="shared" si="124"/>
        <v>2025</v>
      </c>
      <c r="J934" s="32">
        <f t="shared" si="125"/>
        <v>12</v>
      </c>
    </row>
    <row r="935" spans="1:10" x14ac:dyDescent="0.25">
      <c r="A935" t="s">
        <v>20</v>
      </c>
      <c r="B935" t="s">
        <v>212</v>
      </c>
      <c r="C935">
        <v>97124116</v>
      </c>
      <c r="D935">
        <v>140</v>
      </c>
      <c r="E935" s="4">
        <v>-3300000</v>
      </c>
      <c r="F935" t="s">
        <v>62</v>
      </c>
      <c r="G935">
        <v>0</v>
      </c>
      <c r="H935" s="32" t="str">
        <f ca="1">+IF(B935&gt;'sap nuevo'!$V$1,"cargar",IF(C935="","cargar","pagado"))</f>
        <v>cargar</v>
      </c>
      <c r="I935" s="32">
        <f t="shared" si="124"/>
        <v>2025</v>
      </c>
      <c r="J935" s="32">
        <f t="shared" si="125"/>
        <v>12</v>
      </c>
    </row>
    <row r="936" spans="1:10" x14ac:dyDescent="0.25">
      <c r="A936" t="s">
        <v>20</v>
      </c>
      <c r="B936" t="s">
        <v>212</v>
      </c>
      <c r="C936">
        <v>97124111</v>
      </c>
      <c r="D936">
        <v>140</v>
      </c>
      <c r="E936" s="4">
        <v>-2000000</v>
      </c>
      <c r="F936" t="s">
        <v>62</v>
      </c>
      <c r="G936">
        <v>0</v>
      </c>
      <c r="H936" s="32" t="str">
        <f ca="1">+IF(B936&gt;'sap nuevo'!$V$1,"cargar",IF(C936="","cargar","pagado"))</f>
        <v>cargar</v>
      </c>
      <c r="I936" s="32">
        <f t="shared" si="124"/>
        <v>2025</v>
      </c>
      <c r="J936" s="32">
        <f t="shared" si="125"/>
        <v>12</v>
      </c>
    </row>
    <row r="937" spans="1:10" x14ac:dyDescent="0.25">
      <c r="A937" t="s">
        <v>20</v>
      </c>
      <c r="B937" t="s">
        <v>212</v>
      </c>
      <c r="C937">
        <v>97124112</v>
      </c>
      <c r="D937">
        <v>140</v>
      </c>
      <c r="E937" s="4">
        <v>-2000000</v>
      </c>
      <c r="F937" t="s">
        <v>62</v>
      </c>
      <c r="G937">
        <v>0</v>
      </c>
      <c r="H937" s="32" t="str">
        <f ca="1">+IF(B937&gt;'sap nuevo'!$V$1,"cargar",IF(C937="","cargar","pagado"))</f>
        <v>cargar</v>
      </c>
      <c r="I937" s="32">
        <f t="shared" ref="I937:I958" si="126">+YEAR(B937)</f>
        <v>2025</v>
      </c>
      <c r="J937" s="32">
        <f t="shared" ref="J937:J958" si="127">+MONTH(B937)</f>
        <v>12</v>
      </c>
    </row>
    <row r="938" spans="1:10" x14ac:dyDescent="0.25">
      <c r="A938" t="s">
        <v>20</v>
      </c>
      <c r="B938" t="s">
        <v>212</v>
      </c>
      <c r="C938">
        <v>97124113</v>
      </c>
      <c r="D938">
        <v>140</v>
      </c>
      <c r="E938" s="4">
        <v>-2000000</v>
      </c>
      <c r="F938" t="s">
        <v>62</v>
      </c>
      <c r="G938">
        <v>0</v>
      </c>
      <c r="H938" s="32" t="str">
        <f ca="1">+IF(B938&gt;'sap nuevo'!$V$1,"cargar",IF(C938="","cargar","pagado"))</f>
        <v>cargar</v>
      </c>
      <c r="I938" s="32">
        <f t="shared" si="126"/>
        <v>2025</v>
      </c>
      <c r="J938" s="32">
        <f t="shared" si="127"/>
        <v>12</v>
      </c>
    </row>
    <row r="939" spans="1:10" x14ac:dyDescent="0.25">
      <c r="A939" t="s">
        <v>20</v>
      </c>
      <c r="B939" t="s">
        <v>212</v>
      </c>
      <c r="C939">
        <v>97124114</v>
      </c>
      <c r="D939">
        <v>140</v>
      </c>
      <c r="E939" s="4">
        <v>-2000000</v>
      </c>
      <c r="F939" t="s">
        <v>62</v>
      </c>
      <c r="G939">
        <v>0</v>
      </c>
      <c r="H939" s="32" t="str">
        <f ca="1">+IF(B939&gt;'sap nuevo'!$V$1,"cargar",IF(C939="","cargar","pagado"))</f>
        <v>cargar</v>
      </c>
      <c r="I939" s="32">
        <f t="shared" si="126"/>
        <v>2025</v>
      </c>
      <c r="J939" s="32">
        <f t="shared" si="127"/>
        <v>12</v>
      </c>
    </row>
    <row r="940" spans="1:10" x14ac:dyDescent="0.25">
      <c r="A940" t="s">
        <v>20</v>
      </c>
      <c r="B940" t="s">
        <v>212</v>
      </c>
      <c r="C940">
        <v>97124115</v>
      </c>
      <c r="D940">
        <v>140</v>
      </c>
      <c r="E940" s="4">
        <v>-2000000</v>
      </c>
      <c r="F940" t="s">
        <v>62</v>
      </c>
      <c r="G940">
        <v>0</v>
      </c>
      <c r="H940" s="32" t="str">
        <f ca="1">+IF(B940&gt;'sap nuevo'!$V$1,"cargar",IF(C940="","cargar","pagado"))</f>
        <v>cargar</v>
      </c>
      <c r="I940" s="32">
        <f t="shared" si="126"/>
        <v>2025</v>
      </c>
      <c r="J940" s="32">
        <f t="shared" si="127"/>
        <v>12</v>
      </c>
    </row>
    <row r="941" spans="1:10" x14ac:dyDescent="0.25">
      <c r="A941" t="s">
        <v>20</v>
      </c>
      <c r="B941" t="s">
        <v>213</v>
      </c>
      <c r="C941">
        <v>97124107</v>
      </c>
      <c r="D941">
        <v>140</v>
      </c>
      <c r="E941" s="4">
        <v>-21801343.399999999</v>
      </c>
      <c r="F941" t="s">
        <v>62</v>
      </c>
      <c r="G941">
        <v>0</v>
      </c>
      <c r="H941" s="32" t="str">
        <f ca="1">+IF(B941&gt;'sap nuevo'!$V$1,"cargar",IF(C941="","cargar","pagado"))</f>
        <v>cargar</v>
      </c>
      <c r="I941" s="32">
        <f t="shared" si="126"/>
        <v>2025</v>
      </c>
      <c r="J941" s="32">
        <f t="shared" si="127"/>
        <v>12</v>
      </c>
    </row>
    <row r="942" spans="1:10" x14ac:dyDescent="0.25">
      <c r="A942" t="s">
        <v>12</v>
      </c>
      <c r="B942" t="s">
        <v>213</v>
      </c>
      <c r="C942">
        <v>97124101</v>
      </c>
      <c r="D942">
        <v>140</v>
      </c>
      <c r="E942" s="4">
        <v>-21016812.399999999</v>
      </c>
      <c r="F942" t="s">
        <v>63</v>
      </c>
      <c r="G942">
        <v>0</v>
      </c>
      <c r="H942" s="32" t="str">
        <f ca="1">+IF(B942&gt;'sap nuevo'!$V$1,"cargar",IF(C942="","cargar","pagado"))</f>
        <v>cargar</v>
      </c>
      <c r="I942" s="32">
        <f t="shared" si="126"/>
        <v>2025</v>
      </c>
      <c r="J942" s="32">
        <f t="shared" si="127"/>
        <v>12</v>
      </c>
    </row>
    <row r="943" spans="1:10" x14ac:dyDescent="0.25">
      <c r="A943" t="s">
        <v>20</v>
      </c>
      <c r="B943" t="s">
        <v>213</v>
      </c>
      <c r="C943">
        <v>97124102</v>
      </c>
      <c r="D943">
        <v>140</v>
      </c>
      <c r="E943" s="4">
        <v>-6564286.2400000002</v>
      </c>
      <c r="F943" t="s">
        <v>62</v>
      </c>
      <c r="G943">
        <v>0</v>
      </c>
      <c r="H943" s="32" t="str">
        <f ca="1">+IF(B943&gt;'sap nuevo'!$V$1,"cargar",IF(C943="","cargar","pagado"))</f>
        <v>cargar</v>
      </c>
      <c r="I943" s="32">
        <f t="shared" si="126"/>
        <v>2025</v>
      </c>
      <c r="J943" s="32">
        <f t="shared" si="127"/>
        <v>12</v>
      </c>
    </row>
    <row r="944" spans="1:10" x14ac:dyDescent="0.25">
      <c r="A944" t="s">
        <v>20</v>
      </c>
      <c r="B944" t="s">
        <v>213</v>
      </c>
      <c r="C944">
        <v>97124046</v>
      </c>
      <c r="D944">
        <v>140</v>
      </c>
      <c r="E944" s="4">
        <v>-6100578.6900000004</v>
      </c>
      <c r="F944" t="s">
        <v>62</v>
      </c>
      <c r="G944">
        <v>0</v>
      </c>
      <c r="H944" s="32" t="str">
        <f ca="1">+IF(B944&gt;'sap nuevo'!$V$1,"cargar",IF(C944="","cargar","pagado"))</f>
        <v>cargar</v>
      </c>
      <c r="I944" s="32">
        <f t="shared" si="126"/>
        <v>2025</v>
      </c>
      <c r="J944" s="32">
        <f t="shared" si="127"/>
        <v>12</v>
      </c>
    </row>
    <row r="945" spans="1:10" x14ac:dyDescent="0.25">
      <c r="A945" t="s">
        <v>20</v>
      </c>
      <c r="B945" t="s">
        <v>213</v>
      </c>
      <c r="C945">
        <v>97124011</v>
      </c>
      <c r="D945">
        <v>140</v>
      </c>
      <c r="E945" s="4">
        <v>-880682.24</v>
      </c>
      <c r="F945" t="s">
        <v>62</v>
      </c>
      <c r="G945">
        <v>0</v>
      </c>
      <c r="H945" s="32" t="str">
        <f ca="1">+IF(B945&gt;'sap nuevo'!$V$1,"cargar",IF(C945="","cargar","pagado"))</f>
        <v>cargar</v>
      </c>
      <c r="I945" s="32">
        <f t="shared" si="126"/>
        <v>2025</v>
      </c>
      <c r="J945" s="32">
        <f t="shared" si="127"/>
        <v>12</v>
      </c>
    </row>
    <row r="946" spans="1:10" x14ac:dyDescent="0.25">
      <c r="A946" t="s">
        <v>12</v>
      </c>
      <c r="B946" t="s">
        <v>214</v>
      </c>
      <c r="C946">
        <v>97124130</v>
      </c>
      <c r="D946">
        <v>140</v>
      </c>
      <c r="E946" s="4">
        <v>-11036942.439999999</v>
      </c>
      <c r="F946" t="s">
        <v>63</v>
      </c>
      <c r="G946">
        <v>0</v>
      </c>
      <c r="H946" s="32" t="str">
        <f ca="1">+IF(B946&gt;'sap nuevo'!$V$1,"cargar",IF(C946="","cargar","pagado"))</f>
        <v>cargar</v>
      </c>
      <c r="I946" s="32">
        <f t="shared" si="126"/>
        <v>2025</v>
      </c>
      <c r="J946" s="32">
        <f t="shared" si="127"/>
        <v>12</v>
      </c>
    </row>
    <row r="947" spans="1:10" x14ac:dyDescent="0.25">
      <c r="A947" t="s">
        <v>20</v>
      </c>
      <c r="B947" t="s">
        <v>214</v>
      </c>
      <c r="C947">
        <v>97124128</v>
      </c>
      <c r="D947">
        <v>140</v>
      </c>
      <c r="E947" s="4">
        <v>-8410329.9499999993</v>
      </c>
      <c r="F947" t="s">
        <v>62</v>
      </c>
      <c r="G947">
        <v>0</v>
      </c>
      <c r="H947" s="32" t="str">
        <f ca="1">+IF(B947&gt;'sap nuevo'!$V$1,"cargar",IF(C947="","cargar","pagado"))</f>
        <v>cargar</v>
      </c>
      <c r="I947" s="32">
        <f t="shared" si="126"/>
        <v>2025</v>
      </c>
      <c r="J947" s="32">
        <f t="shared" si="127"/>
        <v>12</v>
      </c>
    </row>
    <row r="948" spans="1:10" x14ac:dyDescent="0.25">
      <c r="A948" t="s">
        <v>20</v>
      </c>
      <c r="B948" t="s">
        <v>214</v>
      </c>
      <c r="C948">
        <v>97124119</v>
      </c>
      <c r="D948">
        <v>140</v>
      </c>
      <c r="E948" s="4">
        <v>-5000000</v>
      </c>
      <c r="F948" t="s">
        <v>62</v>
      </c>
      <c r="G948">
        <v>0</v>
      </c>
      <c r="H948" s="32" t="str">
        <f ca="1">+IF(B948&gt;'sap nuevo'!$V$1,"cargar",IF(C948="","cargar","pagado"))</f>
        <v>cargar</v>
      </c>
      <c r="I948" s="32">
        <f t="shared" si="126"/>
        <v>2025</v>
      </c>
      <c r="J948" s="32">
        <f t="shared" si="127"/>
        <v>12</v>
      </c>
    </row>
    <row r="949" spans="1:10" x14ac:dyDescent="0.25">
      <c r="A949" t="s">
        <v>20</v>
      </c>
      <c r="B949" t="s">
        <v>214</v>
      </c>
      <c r="C949">
        <v>97124120</v>
      </c>
      <c r="D949">
        <v>140</v>
      </c>
      <c r="E949" s="4">
        <v>-5000000</v>
      </c>
      <c r="F949" t="s">
        <v>62</v>
      </c>
      <c r="G949">
        <v>0</v>
      </c>
      <c r="H949" s="32" t="str">
        <f ca="1">+IF(B949&gt;'sap nuevo'!$V$1,"cargar",IF(C949="","cargar","pagado"))</f>
        <v>cargar</v>
      </c>
      <c r="I949" s="32">
        <f t="shared" si="126"/>
        <v>2025</v>
      </c>
      <c r="J949" s="32">
        <f t="shared" si="127"/>
        <v>12</v>
      </c>
    </row>
    <row r="950" spans="1:10" x14ac:dyDescent="0.25">
      <c r="A950" t="s">
        <v>20</v>
      </c>
      <c r="B950" t="s">
        <v>214</v>
      </c>
      <c r="C950">
        <v>97124129</v>
      </c>
      <c r="D950">
        <v>140</v>
      </c>
      <c r="E950" s="4">
        <v>-4519074.93</v>
      </c>
      <c r="F950" t="s">
        <v>62</v>
      </c>
      <c r="G950">
        <v>0</v>
      </c>
      <c r="H950" s="32" t="str">
        <f ca="1">+IF(B950&gt;'sap nuevo'!$V$1,"cargar",IF(C950="","cargar","pagado"))</f>
        <v>cargar</v>
      </c>
      <c r="I950" s="32">
        <f t="shared" si="126"/>
        <v>2025</v>
      </c>
      <c r="J950" s="32">
        <f t="shared" si="127"/>
        <v>12</v>
      </c>
    </row>
    <row r="951" spans="1:10" x14ac:dyDescent="0.25">
      <c r="A951" t="s">
        <v>20</v>
      </c>
      <c r="B951" t="s">
        <v>214</v>
      </c>
      <c r="C951">
        <v>97124127</v>
      </c>
      <c r="D951">
        <v>140</v>
      </c>
      <c r="E951" s="4">
        <v>-4093400.44</v>
      </c>
      <c r="F951" t="s">
        <v>62</v>
      </c>
      <c r="G951">
        <v>0</v>
      </c>
      <c r="H951" s="32" t="str">
        <f ca="1">+IF(B951&gt;'sap nuevo'!$V$1,"cargar",IF(C951="","cargar","pagado"))</f>
        <v>cargar</v>
      </c>
      <c r="I951" s="32">
        <f t="shared" si="126"/>
        <v>2025</v>
      </c>
      <c r="J951" s="32">
        <f t="shared" si="127"/>
        <v>12</v>
      </c>
    </row>
    <row r="952" spans="1:10" x14ac:dyDescent="0.25">
      <c r="A952" t="s">
        <v>12</v>
      </c>
      <c r="B952" t="s">
        <v>215</v>
      </c>
      <c r="C952">
        <v>97124133</v>
      </c>
      <c r="D952">
        <v>140</v>
      </c>
      <c r="E952" s="4">
        <v>-31000000</v>
      </c>
      <c r="F952" t="s">
        <v>63</v>
      </c>
      <c r="G952">
        <v>0</v>
      </c>
      <c r="H952" s="32" t="str">
        <f ca="1">+IF(B952&gt;'sap nuevo'!$V$1,"cargar",IF(C952="","cargar","pagado"))</f>
        <v>cargar</v>
      </c>
      <c r="I952" s="32">
        <f t="shared" si="126"/>
        <v>2025</v>
      </c>
      <c r="J952" s="32">
        <f t="shared" si="127"/>
        <v>12</v>
      </c>
    </row>
    <row r="953" spans="1:10" x14ac:dyDescent="0.25">
      <c r="A953" t="s">
        <v>20</v>
      </c>
      <c r="B953" t="s">
        <v>215</v>
      </c>
      <c r="C953">
        <v>97124132</v>
      </c>
      <c r="D953">
        <v>140</v>
      </c>
      <c r="E953" s="4">
        <v>-27781394.850000001</v>
      </c>
      <c r="F953" t="s">
        <v>62</v>
      </c>
      <c r="G953">
        <v>0</v>
      </c>
      <c r="H953" s="32" t="str">
        <f ca="1">+IF(B953&gt;'sap nuevo'!$V$1,"cargar",IF(C953="","cargar","pagado"))</f>
        <v>cargar</v>
      </c>
      <c r="I953" s="32">
        <f t="shared" si="126"/>
        <v>2025</v>
      </c>
      <c r="J953" s="32">
        <f t="shared" si="127"/>
        <v>12</v>
      </c>
    </row>
    <row r="954" spans="1:10" x14ac:dyDescent="0.25">
      <c r="A954" t="s">
        <v>20</v>
      </c>
      <c r="B954" t="s">
        <v>215</v>
      </c>
      <c r="C954">
        <v>97124134</v>
      </c>
      <c r="D954">
        <v>140</v>
      </c>
      <c r="E954" s="4">
        <v>-19448681.600000001</v>
      </c>
      <c r="F954" t="s">
        <v>62</v>
      </c>
      <c r="G954">
        <v>0</v>
      </c>
      <c r="H954" s="32" t="str">
        <f ca="1">+IF(B954&gt;'sap nuevo'!$V$1,"cargar",IF(C954="","cargar","pagado"))</f>
        <v>cargar</v>
      </c>
      <c r="I954" s="32">
        <f t="shared" si="126"/>
        <v>2025</v>
      </c>
      <c r="J954" s="32">
        <f t="shared" si="127"/>
        <v>12</v>
      </c>
    </row>
    <row r="955" spans="1:10" x14ac:dyDescent="0.25">
      <c r="A955" t="s">
        <v>12</v>
      </c>
      <c r="B955" t="s">
        <v>215</v>
      </c>
      <c r="C955">
        <v>97124135</v>
      </c>
      <c r="D955">
        <v>140</v>
      </c>
      <c r="E955" s="4">
        <v>-18137576.620000001</v>
      </c>
      <c r="F955" t="s">
        <v>63</v>
      </c>
      <c r="G955">
        <v>0</v>
      </c>
      <c r="H955" s="32" t="str">
        <f ca="1">+IF(B955&gt;'sap nuevo'!$V$1,"cargar",IF(C955="","cargar","pagado"))</f>
        <v>cargar</v>
      </c>
      <c r="I955" s="32">
        <f t="shared" si="126"/>
        <v>2025</v>
      </c>
      <c r="J955" s="32">
        <f t="shared" si="127"/>
        <v>12</v>
      </c>
    </row>
    <row r="956" spans="1:10" x14ac:dyDescent="0.25">
      <c r="A956" t="s">
        <v>12</v>
      </c>
      <c r="B956" t="s">
        <v>215</v>
      </c>
      <c r="C956">
        <v>97124131</v>
      </c>
      <c r="D956">
        <v>140</v>
      </c>
      <c r="E956" s="4">
        <v>-17229080.260000002</v>
      </c>
      <c r="F956" t="s">
        <v>63</v>
      </c>
      <c r="G956">
        <v>0</v>
      </c>
      <c r="H956" s="32" t="str">
        <f ca="1">+IF(B956&gt;'sap nuevo'!$V$1,"cargar",IF(C956="","cargar","pagado"))</f>
        <v>cargar</v>
      </c>
      <c r="I956" s="32">
        <f t="shared" si="126"/>
        <v>2025</v>
      </c>
      <c r="J956" s="32">
        <f t="shared" si="127"/>
        <v>12</v>
      </c>
    </row>
    <row r="957" spans="1:10" x14ac:dyDescent="0.25">
      <c r="A957" t="s">
        <v>20</v>
      </c>
      <c r="B957" t="s">
        <v>215</v>
      </c>
      <c r="C957">
        <v>97124136</v>
      </c>
      <c r="D957">
        <v>140</v>
      </c>
      <c r="E957" s="4">
        <v>-14843933.49</v>
      </c>
      <c r="F957" t="s">
        <v>62</v>
      </c>
      <c r="G957">
        <v>0</v>
      </c>
      <c r="H957" s="32" t="str">
        <f ca="1">+IF(B957&gt;'sap nuevo'!$V$1,"cargar",IF(C957="","cargar","pagado"))</f>
        <v>cargar</v>
      </c>
      <c r="I957" s="32">
        <f t="shared" si="126"/>
        <v>2025</v>
      </c>
      <c r="J957" s="32">
        <f t="shared" si="127"/>
        <v>12</v>
      </c>
    </row>
    <row r="958" spans="1:10" x14ac:dyDescent="0.25">
      <c r="A958" t="s">
        <v>20</v>
      </c>
      <c r="B958" t="s">
        <v>517</v>
      </c>
      <c r="C958">
        <v>97124137</v>
      </c>
      <c r="D958">
        <v>140</v>
      </c>
      <c r="E958" s="4">
        <v>-180027680.33000001</v>
      </c>
      <c r="F958" t="s">
        <v>62</v>
      </c>
      <c r="G958">
        <v>0</v>
      </c>
      <c r="H958" s="32" t="str">
        <f ca="1">+IF(B958&gt;'sap nuevo'!$V$1,"cargar",IF(C958="","cargar","pagado"))</f>
        <v>cargar</v>
      </c>
      <c r="I958" s="32">
        <f t="shared" si="126"/>
        <v>2025</v>
      </c>
      <c r="J958" s="32">
        <f t="shared" si="127"/>
        <v>12</v>
      </c>
    </row>
    <row r="959" spans="1:10" x14ac:dyDescent="0.25">
      <c r="A959" t="s">
        <v>20</v>
      </c>
      <c r="B959" t="s">
        <v>517</v>
      </c>
      <c r="C959">
        <v>97124124</v>
      </c>
      <c r="D959">
        <v>140</v>
      </c>
      <c r="E959" s="4">
        <v>-5428324.0099999998</v>
      </c>
      <c r="F959" t="s">
        <v>62</v>
      </c>
      <c r="G959">
        <v>0</v>
      </c>
      <c r="H959" s="32" t="str">
        <f ca="1">+IF(B959&gt;'sap nuevo'!$V$1,"cargar",IF(C959="","cargar","pagado"))</f>
        <v>cargar</v>
      </c>
      <c r="I959" s="32">
        <f t="shared" ref="I959:I983" si="128">+YEAR(B959)</f>
        <v>2025</v>
      </c>
      <c r="J959" s="32">
        <f t="shared" ref="J959:J983" si="129">+MONTH(B959)</f>
        <v>12</v>
      </c>
    </row>
    <row r="960" spans="1:10" x14ac:dyDescent="0.25">
      <c r="A960" t="s">
        <v>20</v>
      </c>
      <c r="B960" t="s">
        <v>517</v>
      </c>
      <c r="C960">
        <v>97124121</v>
      </c>
      <c r="D960">
        <v>140</v>
      </c>
      <c r="E960" s="4">
        <v>-5000000</v>
      </c>
      <c r="F960" t="s">
        <v>62</v>
      </c>
      <c r="G960">
        <v>0</v>
      </c>
      <c r="H960" s="32" t="str">
        <f ca="1">+IF(B960&gt;'sap nuevo'!$V$1,"cargar",IF(C960="","cargar","pagado"))</f>
        <v>cargar</v>
      </c>
      <c r="I960" s="32">
        <f t="shared" si="128"/>
        <v>2025</v>
      </c>
      <c r="J960" s="32">
        <f t="shared" si="129"/>
        <v>12</v>
      </c>
    </row>
    <row r="961" spans="1:10" x14ac:dyDescent="0.25">
      <c r="A961" t="s">
        <v>20</v>
      </c>
      <c r="B961" t="s">
        <v>517</v>
      </c>
      <c r="C961">
        <v>97124122</v>
      </c>
      <c r="D961">
        <v>140</v>
      </c>
      <c r="E961" s="4">
        <v>-5000000</v>
      </c>
      <c r="F961" t="s">
        <v>62</v>
      </c>
      <c r="G961">
        <v>0</v>
      </c>
      <c r="H961" s="32" t="str">
        <f ca="1">+IF(B961&gt;'sap nuevo'!$V$1,"cargar",IF(C961="","cargar","pagado"))</f>
        <v>cargar</v>
      </c>
      <c r="I961" s="32">
        <f t="shared" si="128"/>
        <v>2025</v>
      </c>
      <c r="J961" s="32">
        <f t="shared" si="129"/>
        <v>12</v>
      </c>
    </row>
    <row r="962" spans="1:10" x14ac:dyDescent="0.25">
      <c r="A962" t="s">
        <v>20</v>
      </c>
      <c r="B962" t="s">
        <v>517</v>
      </c>
      <c r="C962">
        <v>97124123</v>
      </c>
      <c r="D962">
        <v>140</v>
      </c>
      <c r="E962" s="4">
        <v>-5000000</v>
      </c>
      <c r="F962" t="s">
        <v>62</v>
      </c>
      <c r="G962">
        <v>0</v>
      </c>
      <c r="H962" s="32" t="str">
        <f ca="1">+IF(B962&gt;'sap nuevo'!$V$1,"cargar",IF(C962="","cargar","pagado"))</f>
        <v>cargar</v>
      </c>
      <c r="I962" s="32">
        <f t="shared" si="128"/>
        <v>2025</v>
      </c>
      <c r="J962" s="32">
        <f t="shared" si="129"/>
        <v>12</v>
      </c>
    </row>
    <row r="963" spans="1:10" x14ac:dyDescent="0.25">
      <c r="A963" t="s">
        <v>12</v>
      </c>
      <c r="B963" t="s">
        <v>517</v>
      </c>
      <c r="C963">
        <v>97124038</v>
      </c>
      <c r="D963">
        <v>140</v>
      </c>
      <c r="E963" s="4">
        <v>-3040467.88</v>
      </c>
      <c r="F963" t="s">
        <v>63</v>
      </c>
      <c r="G963">
        <v>0</v>
      </c>
      <c r="H963" s="32" t="str">
        <f ca="1">+IF(B963&gt;'sap nuevo'!$V$1,"cargar",IF(C963="","cargar","pagado"))</f>
        <v>cargar</v>
      </c>
      <c r="I963" s="32">
        <f t="shared" si="128"/>
        <v>2025</v>
      </c>
      <c r="J963" s="32">
        <f t="shared" si="129"/>
        <v>12</v>
      </c>
    </row>
    <row r="964" spans="1:10" x14ac:dyDescent="0.25">
      <c r="A964" t="s">
        <v>20</v>
      </c>
      <c r="B964" t="s">
        <v>216</v>
      </c>
      <c r="C964">
        <v>97124053</v>
      </c>
      <c r="D964">
        <v>140</v>
      </c>
      <c r="E964" s="4">
        <v>-3994274.89</v>
      </c>
      <c r="F964" t="s">
        <v>62</v>
      </c>
      <c r="G964">
        <v>0</v>
      </c>
      <c r="H964" s="32" t="str">
        <f ca="1">+IF(B964&gt;'sap nuevo'!$V$1,"cargar",IF(C964="","cargar","pagado"))</f>
        <v>cargar</v>
      </c>
      <c r="I964" s="32">
        <f t="shared" si="128"/>
        <v>2025</v>
      </c>
      <c r="J964" s="32">
        <f t="shared" si="129"/>
        <v>12</v>
      </c>
    </row>
    <row r="965" spans="1:10" x14ac:dyDescent="0.25">
      <c r="A965" t="s">
        <v>20</v>
      </c>
      <c r="B965" t="s">
        <v>216</v>
      </c>
      <c r="C965">
        <v>97124139</v>
      </c>
      <c r="D965">
        <v>140</v>
      </c>
      <c r="E965" s="4">
        <v>-2584598.85</v>
      </c>
      <c r="F965" t="s">
        <v>62</v>
      </c>
      <c r="G965">
        <v>0</v>
      </c>
      <c r="H965" s="32" t="str">
        <f ca="1">+IF(B965&gt;'sap nuevo'!$V$1,"cargar",IF(C965="","cargar","pagado"))</f>
        <v>cargar</v>
      </c>
      <c r="I965" s="32">
        <f t="shared" si="128"/>
        <v>2025</v>
      </c>
      <c r="J965" s="32">
        <f t="shared" si="129"/>
        <v>12</v>
      </c>
    </row>
    <row r="966" spans="1:10" x14ac:dyDescent="0.25">
      <c r="A966" t="s">
        <v>20</v>
      </c>
      <c r="B966" t="s">
        <v>216</v>
      </c>
      <c r="C966">
        <v>97124108</v>
      </c>
      <c r="D966">
        <v>140</v>
      </c>
      <c r="E966" s="4">
        <v>-1000000</v>
      </c>
      <c r="F966" t="s">
        <v>62</v>
      </c>
      <c r="G966">
        <v>0</v>
      </c>
      <c r="H966" s="32" t="str">
        <f ca="1">+IF(B966&gt;'sap nuevo'!$V$1,"cargar",IF(C966="","cargar","pagado"))</f>
        <v>cargar</v>
      </c>
      <c r="I966" s="32">
        <f t="shared" si="128"/>
        <v>2025</v>
      </c>
      <c r="J966" s="32">
        <f t="shared" si="129"/>
        <v>12</v>
      </c>
    </row>
    <row r="967" spans="1:10" x14ac:dyDescent="0.25">
      <c r="A967" t="s">
        <v>20</v>
      </c>
      <c r="B967" t="s">
        <v>217</v>
      </c>
      <c r="C967">
        <v>12452658</v>
      </c>
      <c r="D967">
        <v>140</v>
      </c>
      <c r="E967" s="4">
        <v>-2085598.12</v>
      </c>
      <c r="F967" t="s">
        <v>62</v>
      </c>
      <c r="G967">
        <v>0</v>
      </c>
      <c r="H967" s="32" t="str">
        <f ca="1">+IF(B967&gt;'sap nuevo'!$V$1,"cargar",IF(C967="","cargar","pagado"))</f>
        <v>cargar</v>
      </c>
      <c r="I967" s="32">
        <f t="shared" si="128"/>
        <v>2026</v>
      </c>
      <c r="J967" s="32">
        <f t="shared" si="129"/>
        <v>1</v>
      </c>
    </row>
    <row r="968" spans="1:10" x14ac:dyDescent="0.25">
      <c r="A968" t="s">
        <v>12</v>
      </c>
      <c r="B968" t="s">
        <v>218</v>
      </c>
      <c r="C968">
        <v>97123954</v>
      </c>
      <c r="D968">
        <v>140</v>
      </c>
      <c r="E968" s="4">
        <v>-15000000</v>
      </c>
      <c r="F968" t="s">
        <v>63</v>
      </c>
      <c r="G968">
        <v>0</v>
      </c>
      <c r="H968" s="32" t="str">
        <f ca="1">+IF(B968&gt;'sap nuevo'!$V$1,"cargar",IF(C968="","cargar","pagado"))</f>
        <v>cargar</v>
      </c>
      <c r="I968" s="32">
        <f t="shared" si="128"/>
        <v>2026</v>
      </c>
      <c r="J968" s="32">
        <f t="shared" si="129"/>
        <v>1</v>
      </c>
    </row>
    <row r="969" spans="1:10" x14ac:dyDescent="0.25">
      <c r="A969" t="s">
        <v>20</v>
      </c>
      <c r="B969" t="s">
        <v>218</v>
      </c>
      <c r="C969">
        <v>97124117</v>
      </c>
      <c r="D969">
        <v>140</v>
      </c>
      <c r="E969" s="4">
        <v>-3300000</v>
      </c>
      <c r="F969" t="s">
        <v>62</v>
      </c>
      <c r="G969">
        <v>0</v>
      </c>
      <c r="H969" s="32" t="str">
        <f ca="1">+IF(B969&gt;'sap nuevo'!$V$1,"cargar",IF(C969="","cargar","pagado"))</f>
        <v>cargar</v>
      </c>
      <c r="I969" s="32">
        <f t="shared" si="128"/>
        <v>2026</v>
      </c>
      <c r="J969" s="32">
        <f t="shared" si="129"/>
        <v>1</v>
      </c>
    </row>
    <row r="970" spans="1:10" x14ac:dyDescent="0.25">
      <c r="A970" t="s">
        <v>20</v>
      </c>
      <c r="B970" t="s">
        <v>324</v>
      </c>
      <c r="C970">
        <v>97124144</v>
      </c>
      <c r="D970">
        <v>140</v>
      </c>
      <c r="E970" s="4">
        <v>-25000000</v>
      </c>
      <c r="F970" t="s">
        <v>62</v>
      </c>
      <c r="G970">
        <v>0</v>
      </c>
      <c r="H970" s="32" t="str">
        <f ca="1">+IF(B970&gt;'sap nuevo'!$V$1,"cargar",IF(C970="","cargar","pagado"))</f>
        <v>cargar</v>
      </c>
      <c r="I970" s="32">
        <f t="shared" si="128"/>
        <v>2026</v>
      </c>
      <c r="J970" s="32">
        <f t="shared" si="129"/>
        <v>1</v>
      </c>
    </row>
    <row r="971" spans="1:10" x14ac:dyDescent="0.25">
      <c r="A971" t="s">
        <v>20</v>
      </c>
      <c r="B971" t="s">
        <v>324</v>
      </c>
      <c r="C971">
        <v>97124150</v>
      </c>
      <c r="D971">
        <v>140</v>
      </c>
      <c r="E971" s="4">
        <v>-25000000</v>
      </c>
      <c r="F971" t="s">
        <v>62</v>
      </c>
      <c r="G971">
        <v>0</v>
      </c>
      <c r="H971" s="32" t="str">
        <f ca="1">+IF(B971&gt;'sap nuevo'!$V$1,"cargar",IF(C971="","cargar","pagado"))</f>
        <v>cargar</v>
      </c>
      <c r="I971" s="32">
        <f t="shared" si="128"/>
        <v>2026</v>
      </c>
      <c r="J971" s="32">
        <f t="shared" si="129"/>
        <v>1</v>
      </c>
    </row>
    <row r="972" spans="1:10" x14ac:dyDescent="0.25">
      <c r="A972" t="s">
        <v>12</v>
      </c>
      <c r="B972" t="s">
        <v>324</v>
      </c>
      <c r="C972">
        <v>97124142</v>
      </c>
      <c r="D972">
        <v>140</v>
      </c>
      <c r="E972" s="4">
        <v>-25000000</v>
      </c>
      <c r="F972" t="s">
        <v>63</v>
      </c>
      <c r="G972">
        <v>0</v>
      </c>
      <c r="H972" s="32" t="str">
        <f ca="1">+IF(B972&gt;'sap nuevo'!$V$1,"cargar",IF(C972="","cargar","pagado"))</f>
        <v>cargar</v>
      </c>
      <c r="I972" s="32">
        <f t="shared" si="128"/>
        <v>2026</v>
      </c>
      <c r="J972" s="32">
        <f t="shared" si="129"/>
        <v>1</v>
      </c>
    </row>
    <row r="973" spans="1:10" x14ac:dyDescent="0.25">
      <c r="A973" t="s">
        <v>12</v>
      </c>
      <c r="B973" t="s">
        <v>324</v>
      </c>
      <c r="C973">
        <v>97124148</v>
      </c>
      <c r="D973">
        <v>140</v>
      </c>
      <c r="E973" s="4">
        <v>-25000000</v>
      </c>
      <c r="F973" t="s">
        <v>63</v>
      </c>
      <c r="G973">
        <v>0</v>
      </c>
      <c r="H973" s="32" t="str">
        <f ca="1">+IF(B973&gt;'sap nuevo'!$V$1,"cargar",IF(C973="","cargar","pagado"))</f>
        <v>cargar</v>
      </c>
      <c r="I973" s="32">
        <f t="shared" si="128"/>
        <v>2026</v>
      </c>
      <c r="J973" s="32">
        <f t="shared" si="129"/>
        <v>1</v>
      </c>
    </row>
    <row r="974" spans="1:10" x14ac:dyDescent="0.25">
      <c r="A974" t="s">
        <v>20</v>
      </c>
      <c r="B974" t="s">
        <v>324</v>
      </c>
      <c r="C974">
        <v>97124155</v>
      </c>
      <c r="D974">
        <v>140</v>
      </c>
      <c r="E974" s="4">
        <v>-20051653.399999999</v>
      </c>
      <c r="F974" t="s">
        <v>62</v>
      </c>
      <c r="G974">
        <v>0</v>
      </c>
      <c r="H974" s="32" t="str">
        <f ca="1">+IF(B974&gt;'sap nuevo'!$V$1,"cargar",IF(C974="","cargar","pagado"))</f>
        <v>cargar</v>
      </c>
      <c r="I974" s="32">
        <f t="shared" si="128"/>
        <v>2026</v>
      </c>
      <c r="J974" s="32">
        <f t="shared" si="129"/>
        <v>1</v>
      </c>
    </row>
    <row r="975" spans="1:10" x14ac:dyDescent="0.25">
      <c r="A975" t="s">
        <v>20</v>
      </c>
      <c r="B975" t="s">
        <v>324</v>
      </c>
      <c r="C975">
        <v>97124090</v>
      </c>
      <c r="D975">
        <v>140</v>
      </c>
      <c r="E975" s="4">
        <v>-18400000</v>
      </c>
      <c r="F975" t="s">
        <v>62</v>
      </c>
      <c r="G975">
        <v>0</v>
      </c>
      <c r="H975" s="32" t="str">
        <f ca="1">+IF(B975&gt;'sap nuevo'!$V$1,"cargar",IF(C975="","cargar","pagado"))</f>
        <v>cargar</v>
      </c>
      <c r="I975" s="32">
        <f t="shared" si="128"/>
        <v>2026</v>
      </c>
      <c r="J975" s="32">
        <f t="shared" si="129"/>
        <v>1</v>
      </c>
    </row>
    <row r="976" spans="1:10" x14ac:dyDescent="0.25">
      <c r="A976" t="s">
        <v>20</v>
      </c>
      <c r="B976" t="s">
        <v>324</v>
      </c>
      <c r="C976">
        <v>97124146</v>
      </c>
      <c r="D976">
        <v>140</v>
      </c>
      <c r="E976" s="4">
        <v>-15000000</v>
      </c>
      <c r="F976" t="s">
        <v>62</v>
      </c>
      <c r="G976">
        <v>0</v>
      </c>
      <c r="H976" s="32" t="str">
        <f ca="1">+IF(B976&gt;'sap nuevo'!$V$1,"cargar",IF(C976="","cargar","pagado"))</f>
        <v>cargar</v>
      </c>
      <c r="I976" s="32">
        <f t="shared" si="128"/>
        <v>2026</v>
      </c>
      <c r="J976" s="32">
        <f t="shared" si="129"/>
        <v>1</v>
      </c>
    </row>
    <row r="977" spans="1:10" x14ac:dyDescent="0.25">
      <c r="A977" t="s">
        <v>12</v>
      </c>
      <c r="B977" t="s">
        <v>324</v>
      </c>
      <c r="C977">
        <v>97124153</v>
      </c>
      <c r="D977">
        <v>140</v>
      </c>
      <c r="E977" s="4">
        <v>-15000000</v>
      </c>
      <c r="F977" t="s">
        <v>63</v>
      </c>
      <c r="G977">
        <v>0</v>
      </c>
      <c r="H977" s="32" t="str">
        <f ca="1">+IF(B977&gt;'sap nuevo'!$V$1,"cargar",IF(C977="","cargar","pagado"))</f>
        <v>cargar</v>
      </c>
      <c r="I977" s="32">
        <f t="shared" si="128"/>
        <v>2026</v>
      </c>
      <c r="J977" s="32">
        <f t="shared" si="129"/>
        <v>1</v>
      </c>
    </row>
    <row r="978" spans="1:10" x14ac:dyDescent="0.25">
      <c r="A978" t="s">
        <v>12</v>
      </c>
      <c r="B978" t="s">
        <v>324</v>
      </c>
      <c r="C978">
        <v>97124141</v>
      </c>
      <c r="D978">
        <v>140</v>
      </c>
      <c r="E978" s="4">
        <v>-14084236.539999999</v>
      </c>
      <c r="F978" t="s">
        <v>63</v>
      </c>
      <c r="G978">
        <v>0</v>
      </c>
      <c r="H978" s="32" t="str">
        <f ca="1">+IF(B978&gt;'sap nuevo'!$V$1,"cargar",IF(C978="","cargar","pagado"))</f>
        <v>cargar</v>
      </c>
      <c r="I978" s="32">
        <f t="shared" si="128"/>
        <v>2026</v>
      </c>
      <c r="J978" s="32">
        <f t="shared" si="129"/>
        <v>1</v>
      </c>
    </row>
    <row r="979" spans="1:10" x14ac:dyDescent="0.25">
      <c r="A979" t="s">
        <v>20</v>
      </c>
      <c r="B979" t="s">
        <v>324</v>
      </c>
      <c r="C979">
        <v>97124152</v>
      </c>
      <c r="D979">
        <v>140</v>
      </c>
      <c r="E979" s="4">
        <v>-12757657.369999999</v>
      </c>
      <c r="F979" t="s">
        <v>62</v>
      </c>
      <c r="G979">
        <v>0</v>
      </c>
      <c r="H979" s="32" t="str">
        <f ca="1">+IF(B979&gt;'sap nuevo'!$V$1,"cargar",IF(C979="","cargar","pagado"))</f>
        <v>cargar</v>
      </c>
      <c r="I979" s="32">
        <f t="shared" si="128"/>
        <v>2026</v>
      </c>
      <c r="J979" s="32">
        <f t="shared" si="129"/>
        <v>1</v>
      </c>
    </row>
    <row r="980" spans="1:10" x14ac:dyDescent="0.25">
      <c r="A980" t="s">
        <v>20</v>
      </c>
      <c r="B980" t="s">
        <v>324</v>
      </c>
      <c r="C980">
        <v>97124140</v>
      </c>
      <c r="D980">
        <v>140</v>
      </c>
      <c r="E980" s="4">
        <v>-10755712.380000001</v>
      </c>
      <c r="F980" t="s">
        <v>62</v>
      </c>
      <c r="G980">
        <v>0</v>
      </c>
      <c r="H980" s="32" t="str">
        <f ca="1">+IF(B980&gt;'sap nuevo'!$V$1,"cargar",IF(C980="","cargar","pagado"))</f>
        <v>cargar</v>
      </c>
      <c r="I980" s="32">
        <f t="shared" si="128"/>
        <v>2026</v>
      </c>
      <c r="J980" s="32">
        <f t="shared" si="129"/>
        <v>1</v>
      </c>
    </row>
    <row r="981" spans="1:10" x14ac:dyDescent="0.25">
      <c r="A981" t="s">
        <v>12</v>
      </c>
      <c r="B981" t="s">
        <v>324</v>
      </c>
      <c r="C981">
        <v>97124138</v>
      </c>
      <c r="D981">
        <v>140</v>
      </c>
      <c r="E981" s="4">
        <v>-6248843.4000000004</v>
      </c>
      <c r="F981" t="s">
        <v>63</v>
      </c>
      <c r="G981">
        <v>0</v>
      </c>
      <c r="H981" s="32" t="str">
        <f ca="1">+IF(B981&gt;'sap nuevo'!$V$1,"cargar",IF(C981="","cargar","pagado"))</f>
        <v>cargar</v>
      </c>
      <c r="I981" s="32">
        <f t="shared" si="128"/>
        <v>2026</v>
      </c>
      <c r="J981" s="32">
        <f t="shared" si="129"/>
        <v>1</v>
      </c>
    </row>
    <row r="982" spans="1:10" x14ac:dyDescent="0.25">
      <c r="A982" t="s">
        <v>20</v>
      </c>
      <c r="B982" t="s">
        <v>219</v>
      </c>
      <c r="C982">
        <v>97124145</v>
      </c>
      <c r="D982">
        <v>140</v>
      </c>
      <c r="E982" s="4">
        <v>-31893947.140000001</v>
      </c>
      <c r="F982" t="s">
        <v>62</v>
      </c>
      <c r="G982">
        <v>0</v>
      </c>
      <c r="H982" s="32" t="str">
        <f ca="1">+IF(B982&gt;'sap nuevo'!$V$1,"cargar",IF(C982="","cargar","pagado"))</f>
        <v>cargar</v>
      </c>
      <c r="I982" s="32">
        <f t="shared" si="128"/>
        <v>2026</v>
      </c>
      <c r="J982" s="32">
        <f t="shared" si="129"/>
        <v>1</v>
      </c>
    </row>
    <row r="983" spans="1:10" x14ac:dyDescent="0.25">
      <c r="A983" t="s">
        <v>12</v>
      </c>
      <c r="B983" t="s">
        <v>219</v>
      </c>
      <c r="C983">
        <v>97124143</v>
      </c>
      <c r="D983">
        <v>140</v>
      </c>
      <c r="E983" s="4">
        <v>-30752840</v>
      </c>
      <c r="F983" t="s">
        <v>63</v>
      </c>
      <c r="G983">
        <v>0</v>
      </c>
      <c r="H983" s="32" t="str">
        <f ca="1">+IF(B983&gt;'sap nuevo'!$V$1,"cargar",IF(C983="","cargar","pagado"))</f>
        <v>cargar</v>
      </c>
      <c r="I983" s="32">
        <f t="shared" si="128"/>
        <v>2026</v>
      </c>
      <c r="J983" s="32">
        <f t="shared" si="129"/>
        <v>1</v>
      </c>
    </row>
    <row r="984" spans="1:10" x14ac:dyDescent="0.25">
      <c r="A984" t="s">
        <v>12</v>
      </c>
      <c r="B984" t="s">
        <v>219</v>
      </c>
      <c r="C984">
        <v>97124149</v>
      </c>
      <c r="D984">
        <v>140</v>
      </c>
      <c r="E984" s="4">
        <v>-27261846</v>
      </c>
      <c r="F984" t="s">
        <v>63</v>
      </c>
      <c r="G984">
        <v>0</v>
      </c>
      <c r="H984" s="32" t="str">
        <f ca="1">+IF(B984&gt;'sap nuevo'!$V$1,"cargar",IF(C984="","cargar","pagado"))</f>
        <v>cargar</v>
      </c>
      <c r="I984" s="32">
        <f t="shared" ref="I984" si="130">+YEAR(B984)</f>
        <v>2026</v>
      </c>
      <c r="J984" s="32">
        <f t="shared" ref="J984" si="131">+MONTH(B984)</f>
        <v>1</v>
      </c>
    </row>
    <row r="985" spans="1:10" x14ac:dyDescent="0.25">
      <c r="A985" t="s">
        <v>12</v>
      </c>
      <c r="B985" t="s">
        <v>219</v>
      </c>
      <c r="C985">
        <v>97124151</v>
      </c>
      <c r="D985">
        <v>140</v>
      </c>
      <c r="E985" s="4">
        <v>-25710232.899999999</v>
      </c>
      <c r="F985" t="s">
        <v>63</v>
      </c>
      <c r="G985">
        <v>0</v>
      </c>
      <c r="H985" s="32" t="str">
        <f ca="1">+IF(B985&gt;'sap nuevo'!$V$1,"cargar",IF(C985="","cargar","pagado"))</f>
        <v>cargar</v>
      </c>
      <c r="I985" s="32">
        <f t="shared" ref="I985:I1010" si="132">+YEAR(B985)</f>
        <v>2026</v>
      </c>
      <c r="J985" s="32">
        <f t="shared" ref="J985:J1010" si="133">+MONTH(B985)</f>
        <v>1</v>
      </c>
    </row>
    <row r="986" spans="1:10" x14ac:dyDescent="0.25">
      <c r="A986" t="s">
        <v>12</v>
      </c>
      <c r="B986" t="s">
        <v>219</v>
      </c>
      <c r="C986">
        <v>97124156</v>
      </c>
      <c r="D986">
        <v>140</v>
      </c>
      <c r="E986" s="4">
        <v>-16372888.689999999</v>
      </c>
      <c r="F986" t="s">
        <v>63</v>
      </c>
      <c r="G986">
        <v>0</v>
      </c>
      <c r="H986" s="32" t="str">
        <f ca="1">+IF(B986&gt;'sap nuevo'!$V$1,"cargar",IF(C986="","cargar","pagado"))</f>
        <v>cargar</v>
      </c>
      <c r="I986" s="32">
        <f t="shared" si="132"/>
        <v>2026</v>
      </c>
      <c r="J986" s="32">
        <f t="shared" si="133"/>
        <v>1</v>
      </c>
    </row>
    <row r="987" spans="1:10" x14ac:dyDescent="0.25">
      <c r="A987" t="s">
        <v>12</v>
      </c>
      <c r="B987" t="s">
        <v>219</v>
      </c>
      <c r="C987">
        <v>97124154</v>
      </c>
      <c r="D987">
        <v>140</v>
      </c>
      <c r="E987" s="4">
        <v>-14841630.369999999</v>
      </c>
      <c r="F987" t="s">
        <v>63</v>
      </c>
      <c r="G987">
        <v>0</v>
      </c>
      <c r="H987" s="32" t="str">
        <f ca="1">+IF(B987&gt;'sap nuevo'!$V$1,"cargar",IF(C987="","cargar","pagado"))</f>
        <v>cargar</v>
      </c>
      <c r="I987" s="32">
        <f t="shared" si="132"/>
        <v>2026</v>
      </c>
      <c r="J987" s="32">
        <f t="shared" si="133"/>
        <v>1</v>
      </c>
    </row>
    <row r="988" spans="1:10" x14ac:dyDescent="0.25">
      <c r="A988" t="s">
        <v>20</v>
      </c>
      <c r="B988" t="s">
        <v>219</v>
      </c>
      <c r="C988">
        <v>97124147</v>
      </c>
      <c r="D988">
        <v>140</v>
      </c>
      <c r="E988" s="4">
        <v>-12565242.27</v>
      </c>
      <c r="F988" t="s">
        <v>62</v>
      </c>
      <c r="G988">
        <v>0</v>
      </c>
      <c r="H988" s="32" t="str">
        <f ca="1">+IF(B988&gt;'sap nuevo'!$V$1,"cargar",IF(C988="","cargar","pagado"))</f>
        <v>cargar</v>
      </c>
      <c r="I988" s="32">
        <f t="shared" si="132"/>
        <v>2026</v>
      </c>
      <c r="J988" s="32">
        <f t="shared" si="133"/>
        <v>1</v>
      </c>
    </row>
    <row r="989" spans="1:10" x14ac:dyDescent="0.25">
      <c r="A989" t="s">
        <v>20</v>
      </c>
      <c r="B989" t="s">
        <v>219</v>
      </c>
      <c r="C989">
        <v>97124118</v>
      </c>
      <c r="D989">
        <v>140</v>
      </c>
      <c r="E989" s="4">
        <v>-3300000</v>
      </c>
      <c r="F989" t="s">
        <v>62</v>
      </c>
      <c r="G989">
        <v>0</v>
      </c>
      <c r="H989" s="32" t="str">
        <f ca="1">+IF(B989&gt;'sap nuevo'!$V$1,"cargar",IF(C989="","cargar","pagado"))</f>
        <v>cargar</v>
      </c>
      <c r="I989" s="32">
        <f t="shared" si="132"/>
        <v>2026</v>
      </c>
      <c r="J989" s="32">
        <f t="shared" si="133"/>
        <v>1</v>
      </c>
    </row>
    <row r="990" spans="1:10" x14ac:dyDescent="0.25">
      <c r="A990" t="s">
        <v>20</v>
      </c>
      <c r="B990" t="s">
        <v>325</v>
      </c>
      <c r="C990">
        <v>97124161</v>
      </c>
      <c r="D990">
        <v>140</v>
      </c>
      <c r="E990" s="4">
        <v>-10000000</v>
      </c>
      <c r="F990" t="s">
        <v>62</v>
      </c>
      <c r="G990">
        <v>0</v>
      </c>
      <c r="H990" s="32" t="str">
        <f ca="1">+IF(B990&gt;'sap nuevo'!$V$1,"cargar",IF(C990="","cargar","pagado"))</f>
        <v>cargar</v>
      </c>
      <c r="I990" s="32">
        <f t="shared" si="132"/>
        <v>2026</v>
      </c>
      <c r="J990" s="32">
        <f t="shared" si="133"/>
        <v>1</v>
      </c>
    </row>
    <row r="991" spans="1:10" x14ac:dyDescent="0.25">
      <c r="A991" t="s">
        <v>20</v>
      </c>
      <c r="B991" t="s">
        <v>325</v>
      </c>
      <c r="C991">
        <v>97124159</v>
      </c>
      <c r="D991">
        <v>140</v>
      </c>
      <c r="E991" s="4">
        <v>-8000000</v>
      </c>
      <c r="F991" t="s">
        <v>62</v>
      </c>
      <c r="G991">
        <v>0</v>
      </c>
      <c r="H991" s="32" t="str">
        <f ca="1">+IF(B991&gt;'sap nuevo'!$V$1,"cargar",IF(C991="","cargar","pagado"))</f>
        <v>cargar</v>
      </c>
      <c r="I991" s="32">
        <f t="shared" si="132"/>
        <v>2026</v>
      </c>
      <c r="J991" s="32">
        <f t="shared" si="133"/>
        <v>1</v>
      </c>
    </row>
    <row r="992" spans="1:10" x14ac:dyDescent="0.25">
      <c r="A992" t="s">
        <v>12</v>
      </c>
      <c r="B992" t="s">
        <v>325</v>
      </c>
      <c r="C992">
        <v>97124166</v>
      </c>
      <c r="D992">
        <v>140</v>
      </c>
      <c r="E992" s="4">
        <v>-6094396</v>
      </c>
      <c r="F992" t="s">
        <v>63</v>
      </c>
      <c r="G992">
        <v>0</v>
      </c>
      <c r="H992" s="32" t="str">
        <f ca="1">+IF(B992&gt;'sap nuevo'!$V$1,"cargar",IF(C992="","cargar","pagado"))</f>
        <v>cargar</v>
      </c>
      <c r="I992" s="32">
        <f t="shared" si="132"/>
        <v>2026</v>
      </c>
      <c r="J992" s="32">
        <f t="shared" si="133"/>
        <v>1</v>
      </c>
    </row>
    <row r="993" spans="1:10" x14ac:dyDescent="0.25">
      <c r="A993" t="s">
        <v>20</v>
      </c>
      <c r="B993" t="s">
        <v>325</v>
      </c>
      <c r="C993">
        <v>97124163</v>
      </c>
      <c r="D993">
        <v>140</v>
      </c>
      <c r="E993" s="4">
        <v>-6000000</v>
      </c>
      <c r="F993" t="s">
        <v>62</v>
      </c>
      <c r="G993">
        <v>0</v>
      </c>
      <c r="H993" s="32" t="str">
        <f ca="1">+IF(B993&gt;'sap nuevo'!$V$1,"cargar",IF(C993="","cargar","pagado"))</f>
        <v>cargar</v>
      </c>
      <c r="I993" s="32">
        <f t="shared" si="132"/>
        <v>2026</v>
      </c>
      <c r="J993" s="32">
        <f t="shared" si="133"/>
        <v>1</v>
      </c>
    </row>
    <row r="994" spans="1:10" x14ac:dyDescent="0.25">
      <c r="A994" t="s">
        <v>12</v>
      </c>
      <c r="B994" t="s">
        <v>325</v>
      </c>
      <c r="C994">
        <v>97124165</v>
      </c>
      <c r="D994">
        <v>140</v>
      </c>
      <c r="E994" s="4">
        <v>-4030715.5</v>
      </c>
      <c r="F994" t="s">
        <v>63</v>
      </c>
      <c r="G994">
        <v>0</v>
      </c>
      <c r="H994" s="32" t="str">
        <f ca="1">+IF(B994&gt;'sap nuevo'!$V$1,"cargar",IF(C994="","cargar","pagado"))</f>
        <v>cargar</v>
      </c>
      <c r="I994" s="32">
        <f t="shared" si="132"/>
        <v>2026</v>
      </c>
      <c r="J994" s="32">
        <f t="shared" si="133"/>
        <v>1</v>
      </c>
    </row>
    <row r="995" spans="1:10" x14ac:dyDescent="0.25">
      <c r="A995" t="s">
        <v>20</v>
      </c>
      <c r="B995" t="s">
        <v>326</v>
      </c>
      <c r="C995">
        <v>97124169</v>
      </c>
      <c r="D995">
        <v>140</v>
      </c>
      <c r="E995" s="4">
        <v>-16622281.49</v>
      </c>
      <c r="F995" t="s">
        <v>62</v>
      </c>
      <c r="G995">
        <v>0</v>
      </c>
      <c r="H995" s="32" t="str">
        <f ca="1">+IF(B995&gt;'sap nuevo'!$V$1,"cargar",IF(C995="","cargar","pagado"))</f>
        <v>cargar</v>
      </c>
      <c r="I995" s="32">
        <f t="shared" si="132"/>
        <v>2026</v>
      </c>
      <c r="J995" s="32">
        <f t="shared" si="133"/>
        <v>1</v>
      </c>
    </row>
    <row r="996" spans="1:10" x14ac:dyDescent="0.25">
      <c r="A996" t="s">
        <v>12</v>
      </c>
      <c r="B996" t="s">
        <v>326</v>
      </c>
      <c r="C996">
        <v>97124171</v>
      </c>
      <c r="D996">
        <v>140</v>
      </c>
      <c r="E996" s="4">
        <v>-15000000</v>
      </c>
      <c r="F996" t="s">
        <v>63</v>
      </c>
      <c r="G996">
        <v>0</v>
      </c>
      <c r="H996" s="32" t="str">
        <f ca="1">+IF(B996&gt;'sap nuevo'!$V$1,"cargar",IF(C996="","cargar","pagado"))</f>
        <v>cargar</v>
      </c>
      <c r="I996" s="32">
        <f t="shared" si="132"/>
        <v>2026</v>
      </c>
      <c r="J996" s="32">
        <f t="shared" si="133"/>
        <v>1</v>
      </c>
    </row>
    <row r="997" spans="1:10" x14ac:dyDescent="0.25">
      <c r="A997" t="s">
        <v>20</v>
      </c>
      <c r="B997" t="s">
        <v>326</v>
      </c>
      <c r="C997">
        <v>97124175</v>
      </c>
      <c r="D997">
        <v>140</v>
      </c>
      <c r="E997" s="4">
        <v>-10000000</v>
      </c>
      <c r="F997" t="s">
        <v>62</v>
      </c>
      <c r="G997">
        <v>0</v>
      </c>
      <c r="H997" s="32" t="str">
        <f ca="1">+IF(B997&gt;'sap nuevo'!$V$1,"cargar",IF(C997="","cargar","pagado"))</f>
        <v>cargar</v>
      </c>
      <c r="I997" s="32">
        <f t="shared" si="132"/>
        <v>2026</v>
      </c>
      <c r="J997" s="32">
        <f t="shared" si="133"/>
        <v>1</v>
      </c>
    </row>
    <row r="998" spans="1:10" x14ac:dyDescent="0.25">
      <c r="A998" t="s">
        <v>20</v>
      </c>
      <c r="B998" t="s">
        <v>326</v>
      </c>
      <c r="C998">
        <v>97124173</v>
      </c>
      <c r="D998">
        <v>140</v>
      </c>
      <c r="E998" s="4">
        <v>-9679654.4100000001</v>
      </c>
      <c r="F998" t="s">
        <v>62</v>
      </c>
      <c r="G998">
        <v>0</v>
      </c>
      <c r="H998" s="32" t="str">
        <f ca="1">+IF(B998&gt;'sap nuevo'!$V$1,"cargar",IF(C998="","cargar","pagado"))</f>
        <v>cargar</v>
      </c>
      <c r="I998" s="32">
        <f t="shared" si="132"/>
        <v>2026</v>
      </c>
      <c r="J998" s="32">
        <f t="shared" si="133"/>
        <v>1</v>
      </c>
    </row>
    <row r="999" spans="1:10" x14ac:dyDescent="0.25">
      <c r="A999" t="s">
        <v>20</v>
      </c>
      <c r="B999" t="s">
        <v>326</v>
      </c>
      <c r="C999">
        <v>97124164</v>
      </c>
      <c r="D999">
        <v>140</v>
      </c>
      <c r="E999" s="4">
        <v>-6402344.5999999996</v>
      </c>
      <c r="F999" t="s">
        <v>62</v>
      </c>
      <c r="G999">
        <v>0</v>
      </c>
      <c r="H999" s="32" t="str">
        <f ca="1">+IF(B999&gt;'sap nuevo'!$V$1,"cargar",IF(C999="","cargar","pagado"))</f>
        <v>cargar</v>
      </c>
      <c r="I999" s="32">
        <f t="shared" si="132"/>
        <v>2026</v>
      </c>
      <c r="J999" s="32">
        <f t="shared" si="133"/>
        <v>1</v>
      </c>
    </row>
    <row r="1000" spans="1:10" x14ac:dyDescent="0.25">
      <c r="A1000" t="s">
        <v>20</v>
      </c>
      <c r="B1000" t="s">
        <v>326</v>
      </c>
      <c r="C1000">
        <v>97124162</v>
      </c>
      <c r="D1000">
        <v>140</v>
      </c>
      <c r="E1000" s="4">
        <v>-5701870</v>
      </c>
      <c r="F1000" t="s">
        <v>62</v>
      </c>
      <c r="G1000">
        <v>0</v>
      </c>
      <c r="H1000" s="32" t="str">
        <f ca="1">+IF(B1000&gt;'sap nuevo'!$V$1,"cargar",IF(C1000="","cargar","pagado"))</f>
        <v>cargar</v>
      </c>
      <c r="I1000" s="32">
        <f t="shared" si="132"/>
        <v>2026</v>
      </c>
      <c r="J1000" s="32">
        <f t="shared" si="133"/>
        <v>1</v>
      </c>
    </row>
    <row r="1001" spans="1:10" x14ac:dyDescent="0.25">
      <c r="A1001" t="s">
        <v>20</v>
      </c>
      <c r="B1001" t="s">
        <v>326</v>
      </c>
      <c r="C1001">
        <v>97124170</v>
      </c>
      <c r="D1001">
        <v>140</v>
      </c>
      <c r="E1001" s="4">
        <v>-4987237.59</v>
      </c>
      <c r="F1001" t="s">
        <v>62</v>
      </c>
      <c r="G1001">
        <v>0</v>
      </c>
      <c r="H1001" s="32" t="str">
        <f ca="1">+IF(B1001&gt;'sap nuevo'!$V$1,"cargar",IF(C1001="","cargar","pagado"))</f>
        <v>cargar</v>
      </c>
      <c r="I1001" s="32">
        <f t="shared" si="132"/>
        <v>2026</v>
      </c>
      <c r="J1001" s="32">
        <f t="shared" si="133"/>
        <v>1</v>
      </c>
    </row>
    <row r="1002" spans="1:10" x14ac:dyDescent="0.25">
      <c r="A1002" t="s">
        <v>20</v>
      </c>
      <c r="B1002" t="s">
        <v>326</v>
      </c>
      <c r="C1002">
        <v>97124174</v>
      </c>
      <c r="D1002">
        <v>140</v>
      </c>
      <c r="E1002" s="4">
        <v>-4926896.9000000004</v>
      </c>
      <c r="F1002" t="s">
        <v>62</v>
      </c>
      <c r="G1002">
        <v>0</v>
      </c>
      <c r="H1002" s="32" t="str">
        <f ca="1">+IF(B1002&gt;'sap nuevo'!$V$1,"cargar",IF(C1002="","cargar","pagado"))</f>
        <v>cargar</v>
      </c>
      <c r="I1002" s="32">
        <f t="shared" si="132"/>
        <v>2026</v>
      </c>
      <c r="J1002" s="32">
        <f t="shared" si="133"/>
        <v>1</v>
      </c>
    </row>
    <row r="1003" spans="1:10" x14ac:dyDescent="0.25">
      <c r="A1003" t="s">
        <v>12</v>
      </c>
      <c r="B1003" t="s">
        <v>326</v>
      </c>
      <c r="C1003">
        <v>97124167</v>
      </c>
      <c r="D1003">
        <v>140</v>
      </c>
      <c r="E1003" s="4">
        <v>-4023691.09</v>
      </c>
      <c r="F1003" t="s">
        <v>63</v>
      </c>
      <c r="G1003">
        <v>0</v>
      </c>
      <c r="H1003" s="32" t="str">
        <f ca="1">+IF(B1003&gt;'sap nuevo'!$V$1,"cargar",IF(C1003="","cargar","pagado"))</f>
        <v>cargar</v>
      </c>
      <c r="I1003" s="32">
        <f t="shared" si="132"/>
        <v>2026</v>
      </c>
      <c r="J1003" s="32">
        <f t="shared" si="133"/>
        <v>1</v>
      </c>
    </row>
    <row r="1004" spans="1:10" x14ac:dyDescent="0.25">
      <c r="A1004" t="s">
        <v>12</v>
      </c>
      <c r="B1004" t="s">
        <v>326</v>
      </c>
      <c r="C1004">
        <v>97124168</v>
      </c>
      <c r="D1004">
        <v>140</v>
      </c>
      <c r="E1004" s="4">
        <v>-3571343.4</v>
      </c>
      <c r="F1004" t="s">
        <v>63</v>
      </c>
      <c r="G1004">
        <v>0</v>
      </c>
      <c r="H1004" s="32" t="str">
        <f ca="1">+IF(B1004&gt;'sap nuevo'!$V$1,"cargar",IF(C1004="","cargar","pagado"))</f>
        <v>cargar</v>
      </c>
      <c r="I1004" s="32">
        <f t="shared" si="132"/>
        <v>2026</v>
      </c>
      <c r="J1004" s="32">
        <f t="shared" si="133"/>
        <v>1</v>
      </c>
    </row>
    <row r="1005" spans="1:10" x14ac:dyDescent="0.25">
      <c r="A1005" t="s">
        <v>20</v>
      </c>
      <c r="B1005" t="s">
        <v>326</v>
      </c>
      <c r="C1005">
        <v>97124109</v>
      </c>
      <c r="D1005">
        <v>140</v>
      </c>
      <c r="E1005" s="4">
        <v>-1000000</v>
      </c>
      <c r="F1005" t="s">
        <v>62</v>
      </c>
      <c r="G1005">
        <v>0</v>
      </c>
      <c r="H1005" s="32" t="str">
        <f ca="1">+IF(B1005&gt;'sap nuevo'!$V$1,"cargar",IF(C1005="","cargar","pagado"))</f>
        <v>cargar</v>
      </c>
      <c r="I1005" s="32">
        <f t="shared" si="132"/>
        <v>2026</v>
      </c>
      <c r="J1005" s="32">
        <f t="shared" si="133"/>
        <v>1</v>
      </c>
    </row>
    <row r="1006" spans="1:10" x14ac:dyDescent="0.25">
      <c r="A1006" t="s">
        <v>20</v>
      </c>
      <c r="B1006" t="s">
        <v>326</v>
      </c>
      <c r="C1006">
        <v>97124110</v>
      </c>
      <c r="D1006">
        <v>140</v>
      </c>
      <c r="E1006" s="4">
        <v>-1000000</v>
      </c>
      <c r="F1006" t="s">
        <v>62</v>
      </c>
      <c r="G1006">
        <v>0</v>
      </c>
      <c r="H1006" s="32" t="str">
        <f ca="1">+IF(B1006&gt;'sap nuevo'!$V$1,"cargar",IF(C1006="","cargar","pagado"))</f>
        <v>cargar</v>
      </c>
      <c r="I1006" s="32">
        <f t="shared" si="132"/>
        <v>2026</v>
      </c>
      <c r="J1006" s="32">
        <f t="shared" si="133"/>
        <v>1</v>
      </c>
    </row>
    <row r="1007" spans="1:10" x14ac:dyDescent="0.25">
      <c r="A1007" t="s">
        <v>12</v>
      </c>
      <c r="B1007" t="s">
        <v>220</v>
      </c>
      <c r="C1007">
        <v>97124172</v>
      </c>
      <c r="D1007">
        <v>140</v>
      </c>
      <c r="E1007" s="4">
        <v>-14152558.9</v>
      </c>
      <c r="F1007" t="s">
        <v>63</v>
      </c>
      <c r="G1007">
        <v>0</v>
      </c>
      <c r="H1007" s="32" t="str">
        <f ca="1">+IF(B1007&gt;'sap nuevo'!$V$1,"cargar",IF(C1007="","cargar","pagado"))</f>
        <v>cargar</v>
      </c>
      <c r="I1007" s="32">
        <f t="shared" si="132"/>
        <v>2026</v>
      </c>
      <c r="J1007" s="32">
        <f t="shared" si="133"/>
        <v>1</v>
      </c>
    </row>
    <row r="1008" spans="1:10" x14ac:dyDescent="0.25">
      <c r="A1008" t="s">
        <v>20</v>
      </c>
      <c r="B1008" t="s">
        <v>220</v>
      </c>
      <c r="C1008">
        <v>97124185</v>
      </c>
      <c r="D1008">
        <v>140</v>
      </c>
      <c r="E1008" s="4">
        <v>-5000000</v>
      </c>
      <c r="F1008" t="s">
        <v>62</v>
      </c>
      <c r="G1008">
        <v>0</v>
      </c>
      <c r="H1008" s="32" t="str">
        <f ca="1">+IF(B1008&gt;'sap nuevo'!$V$1,"cargar",IF(C1008="","cargar","pagado"))</f>
        <v>cargar</v>
      </c>
      <c r="I1008" s="32">
        <f t="shared" si="132"/>
        <v>2026</v>
      </c>
      <c r="J1008" s="32">
        <f t="shared" si="133"/>
        <v>1</v>
      </c>
    </row>
    <row r="1009" spans="1:10" x14ac:dyDescent="0.25">
      <c r="A1009" t="s">
        <v>20</v>
      </c>
      <c r="B1009" t="s">
        <v>220</v>
      </c>
      <c r="C1009">
        <v>97124187</v>
      </c>
      <c r="D1009">
        <v>140</v>
      </c>
      <c r="E1009" s="4">
        <v>-5000000</v>
      </c>
      <c r="F1009" t="s">
        <v>62</v>
      </c>
      <c r="G1009">
        <v>0</v>
      </c>
      <c r="H1009" s="32" t="str">
        <f ca="1">+IF(B1009&gt;'sap nuevo'!$V$1,"cargar",IF(C1009="","cargar","pagado"))</f>
        <v>cargar</v>
      </c>
      <c r="I1009" s="32">
        <f t="shared" si="132"/>
        <v>2026</v>
      </c>
      <c r="J1009" s="32">
        <f t="shared" si="133"/>
        <v>1</v>
      </c>
    </row>
    <row r="1010" spans="1:10" x14ac:dyDescent="0.25">
      <c r="A1010" t="s">
        <v>20</v>
      </c>
      <c r="B1010" t="s">
        <v>518</v>
      </c>
      <c r="C1010">
        <v>97124181</v>
      </c>
      <c r="D1010">
        <v>140</v>
      </c>
      <c r="E1010" s="4">
        <v>-3350000</v>
      </c>
      <c r="F1010" t="s">
        <v>62</v>
      </c>
      <c r="G1010">
        <v>0</v>
      </c>
      <c r="H1010" s="32" t="str">
        <f ca="1">+IF(B1010&gt;'sap nuevo'!$V$1,"cargar",IF(C1010="","cargar","pagado"))</f>
        <v>cargar</v>
      </c>
      <c r="I1010" s="32">
        <f t="shared" si="132"/>
        <v>2026</v>
      </c>
      <c r="J1010" s="32">
        <f t="shared" si="133"/>
        <v>1</v>
      </c>
    </row>
    <row r="1011" spans="1:10" x14ac:dyDescent="0.25">
      <c r="A1011" t="s">
        <v>20</v>
      </c>
      <c r="B1011" t="s">
        <v>221</v>
      </c>
      <c r="C1011">
        <v>97123952</v>
      </c>
      <c r="D1011">
        <v>140</v>
      </c>
      <c r="E1011" s="4">
        <v>-262874070.53999999</v>
      </c>
      <c r="F1011" t="s">
        <v>62</v>
      </c>
      <c r="G1011">
        <v>0</v>
      </c>
      <c r="H1011" s="32" t="str">
        <f ca="1">+IF(B1011&gt;'sap nuevo'!$V$1,"cargar",IF(C1011="","cargar","pagado"))</f>
        <v>cargar</v>
      </c>
      <c r="I1011" s="32">
        <f t="shared" ref="I1011:I1033" si="134">+YEAR(B1011)</f>
        <v>2026</v>
      </c>
      <c r="J1011" s="32">
        <f t="shared" ref="J1011:J1033" si="135">+MONTH(B1011)</f>
        <v>1</v>
      </c>
    </row>
    <row r="1012" spans="1:10" x14ac:dyDescent="0.25">
      <c r="A1012" t="s">
        <v>20</v>
      </c>
      <c r="B1012" t="s">
        <v>221</v>
      </c>
      <c r="C1012">
        <v>97121396</v>
      </c>
      <c r="D1012">
        <v>140</v>
      </c>
      <c r="E1012" s="4">
        <v>-15379140</v>
      </c>
      <c r="F1012" t="s">
        <v>62</v>
      </c>
      <c r="G1012">
        <v>0</v>
      </c>
      <c r="H1012" s="32" t="str">
        <f ca="1">+IF(B1012&gt;'sap nuevo'!$V$1,"cargar",IF(C1012="","cargar","pagado"))</f>
        <v>cargar</v>
      </c>
      <c r="I1012" s="32">
        <f t="shared" si="134"/>
        <v>2026</v>
      </c>
      <c r="J1012" s="32">
        <f t="shared" si="135"/>
        <v>1</v>
      </c>
    </row>
    <row r="1013" spans="1:10" x14ac:dyDescent="0.25">
      <c r="A1013" t="s">
        <v>20</v>
      </c>
      <c r="B1013" t="s">
        <v>222</v>
      </c>
      <c r="C1013">
        <v>97124092</v>
      </c>
      <c r="D1013">
        <v>140</v>
      </c>
      <c r="E1013" s="4">
        <v>-38500000</v>
      </c>
      <c r="F1013" t="s">
        <v>62</v>
      </c>
      <c r="G1013">
        <v>0</v>
      </c>
      <c r="H1013" s="32" t="str">
        <f ca="1">+IF(B1013&gt;'sap nuevo'!$V$1,"cargar",IF(C1013="","cargar","pagado"))</f>
        <v>cargar</v>
      </c>
      <c r="I1013" s="32">
        <f t="shared" si="134"/>
        <v>2026</v>
      </c>
      <c r="J1013" s="32">
        <f t="shared" si="135"/>
        <v>1</v>
      </c>
    </row>
    <row r="1014" spans="1:10" x14ac:dyDescent="0.25">
      <c r="A1014" t="s">
        <v>20</v>
      </c>
      <c r="B1014" t="s">
        <v>222</v>
      </c>
      <c r="C1014">
        <v>97124201</v>
      </c>
      <c r="D1014">
        <v>140</v>
      </c>
      <c r="E1014" s="4">
        <v>-11405697.9</v>
      </c>
      <c r="F1014" t="s">
        <v>62</v>
      </c>
      <c r="G1014">
        <v>0</v>
      </c>
      <c r="H1014" s="32" t="str">
        <f ca="1">+IF(B1014&gt;'sap nuevo'!$V$1,"cargar",IF(C1014="","cargar","pagado"))</f>
        <v>cargar</v>
      </c>
      <c r="I1014" s="32">
        <f t="shared" si="134"/>
        <v>2026</v>
      </c>
      <c r="J1014" s="32">
        <f t="shared" si="135"/>
        <v>1</v>
      </c>
    </row>
    <row r="1015" spans="1:10" x14ac:dyDescent="0.25">
      <c r="A1015" t="s">
        <v>20</v>
      </c>
      <c r="B1015" t="s">
        <v>222</v>
      </c>
      <c r="C1015">
        <v>97124199</v>
      </c>
      <c r="D1015">
        <v>140</v>
      </c>
      <c r="E1015" s="4">
        <v>-10000000</v>
      </c>
      <c r="F1015" t="s">
        <v>62</v>
      </c>
      <c r="G1015">
        <v>0</v>
      </c>
      <c r="H1015" s="32" t="str">
        <f ca="1">+IF(B1015&gt;'sap nuevo'!$V$1,"cargar",IF(C1015="","cargar","pagado"))</f>
        <v>cargar</v>
      </c>
      <c r="I1015" s="32">
        <f t="shared" si="134"/>
        <v>2026</v>
      </c>
      <c r="J1015" s="32">
        <f t="shared" si="135"/>
        <v>1</v>
      </c>
    </row>
    <row r="1016" spans="1:10" x14ac:dyDescent="0.25">
      <c r="A1016" t="s">
        <v>20</v>
      </c>
      <c r="B1016" t="s">
        <v>222</v>
      </c>
      <c r="C1016">
        <v>97124202</v>
      </c>
      <c r="D1016">
        <v>140</v>
      </c>
      <c r="E1016" s="4">
        <v>-10000000</v>
      </c>
      <c r="F1016" t="s">
        <v>62</v>
      </c>
      <c r="G1016">
        <v>0</v>
      </c>
      <c r="H1016" s="32" t="str">
        <f ca="1">+IF(B1016&gt;'sap nuevo'!$V$1,"cargar",IF(C1016="","cargar","pagado"))</f>
        <v>cargar</v>
      </c>
      <c r="I1016" s="32">
        <f t="shared" si="134"/>
        <v>2026</v>
      </c>
      <c r="J1016" s="32">
        <f t="shared" si="135"/>
        <v>1</v>
      </c>
    </row>
    <row r="1017" spans="1:10" x14ac:dyDescent="0.25">
      <c r="A1017" t="s">
        <v>20</v>
      </c>
      <c r="B1017" t="s">
        <v>222</v>
      </c>
      <c r="C1017">
        <v>97124204</v>
      </c>
      <c r="D1017">
        <v>140</v>
      </c>
      <c r="E1017" s="4">
        <v>-10000000</v>
      </c>
      <c r="F1017" t="s">
        <v>62</v>
      </c>
      <c r="G1017">
        <v>0</v>
      </c>
      <c r="H1017" s="32" t="str">
        <f ca="1">+IF(B1017&gt;'sap nuevo'!$V$1,"cargar",IF(C1017="","cargar","pagado"))</f>
        <v>cargar</v>
      </c>
      <c r="I1017" s="32">
        <f t="shared" si="134"/>
        <v>2026</v>
      </c>
      <c r="J1017" s="32">
        <f t="shared" si="135"/>
        <v>1</v>
      </c>
    </row>
    <row r="1018" spans="1:10" x14ac:dyDescent="0.25">
      <c r="A1018" t="s">
        <v>12</v>
      </c>
      <c r="B1018" t="s">
        <v>222</v>
      </c>
      <c r="C1018">
        <v>97124192</v>
      </c>
      <c r="D1018">
        <v>140</v>
      </c>
      <c r="E1018" s="4">
        <v>-10000000</v>
      </c>
      <c r="F1018" t="s">
        <v>63</v>
      </c>
      <c r="G1018">
        <v>0</v>
      </c>
      <c r="H1018" s="32" t="str">
        <f ca="1">+IF(B1018&gt;'sap nuevo'!$V$1,"cargar",IF(C1018="","cargar","pagado"))</f>
        <v>cargar</v>
      </c>
      <c r="I1018" s="32">
        <f t="shared" si="134"/>
        <v>2026</v>
      </c>
      <c r="J1018" s="32">
        <f t="shared" si="135"/>
        <v>1</v>
      </c>
    </row>
    <row r="1019" spans="1:10" x14ac:dyDescent="0.25">
      <c r="A1019" t="s">
        <v>12</v>
      </c>
      <c r="B1019" t="s">
        <v>222</v>
      </c>
      <c r="C1019">
        <v>97124194</v>
      </c>
      <c r="D1019">
        <v>140</v>
      </c>
      <c r="E1019" s="4">
        <v>-10000000</v>
      </c>
      <c r="F1019" t="s">
        <v>63</v>
      </c>
      <c r="G1019">
        <v>0</v>
      </c>
      <c r="H1019" s="32" t="str">
        <f ca="1">+IF(B1019&gt;'sap nuevo'!$V$1,"cargar",IF(C1019="","cargar","pagado"))</f>
        <v>cargar</v>
      </c>
      <c r="I1019" s="32">
        <f t="shared" si="134"/>
        <v>2026</v>
      </c>
      <c r="J1019" s="32">
        <f t="shared" si="135"/>
        <v>1</v>
      </c>
    </row>
    <row r="1020" spans="1:10" x14ac:dyDescent="0.25">
      <c r="A1020" t="s">
        <v>20</v>
      </c>
      <c r="B1020" t="s">
        <v>222</v>
      </c>
      <c r="C1020">
        <v>97124198</v>
      </c>
      <c r="D1020">
        <v>140</v>
      </c>
      <c r="E1020" s="4">
        <v>-6675943.4000000004</v>
      </c>
      <c r="F1020" t="s">
        <v>62</v>
      </c>
      <c r="G1020">
        <v>0</v>
      </c>
      <c r="H1020" s="32" t="str">
        <f ca="1">+IF(B1020&gt;'sap nuevo'!$V$1,"cargar",IF(C1020="","cargar","pagado"))</f>
        <v>cargar</v>
      </c>
      <c r="I1020" s="32">
        <f t="shared" si="134"/>
        <v>2026</v>
      </c>
      <c r="J1020" s="32">
        <f t="shared" si="135"/>
        <v>1</v>
      </c>
    </row>
    <row r="1021" spans="1:10" x14ac:dyDescent="0.25">
      <c r="A1021" t="s">
        <v>20</v>
      </c>
      <c r="B1021" t="s">
        <v>222</v>
      </c>
      <c r="C1021">
        <v>97124160</v>
      </c>
      <c r="D1021">
        <v>140</v>
      </c>
      <c r="E1021" s="4">
        <v>-5920445</v>
      </c>
      <c r="F1021" t="s">
        <v>62</v>
      </c>
      <c r="G1021">
        <v>0</v>
      </c>
      <c r="H1021" s="32" t="str">
        <f ca="1">+IF(B1021&gt;'sap nuevo'!$V$1,"cargar",IF(C1021="","cargar","pagado"))</f>
        <v>cargar</v>
      </c>
      <c r="I1021" s="32">
        <f t="shared" si="134"/>
        <v>2026</v>
      </c>
      <c r="J1021" s="32">
        <f t="shared" si="135"/>
        <v>1</v>
      </c>
    </row>
    <row r="1022" spans="1:10" x14ac:dyDescent="0.25">
      <c r="A1022" t="s">
        <v>20</v>
      </c>
      <c r="B1022" t="s">
        <v>222</v>
      </c>
      <c r="C1022">
        <v>97124191</v>
      </c>
      <c r="D1022">
        <v>140</v>
      </c>
      <c r="E1022" s="4">
        <v>-5783786.5999999996</v>
      </c>
      <c r="F1022" t="s">
        <v>62</v>
      </c>
      <c r="G1022">
        <v>0</v>
      </c>
      <c r="H1022" s="32" t="str">
        <f ca="1">+IF(B1022&gt;'sap nuevo'!$V$1,"cargar",IF(C1022="","cargar","pagado"))</f>
        <v>cargar</v>
      </c>
      <c r="I1022" s="32">
        <f t="shared" si="134"/>
        <v>2026</v>
      </c>
      <c r="J1022" s="32">
        <f t="shared" si="135"/>
        <v>1</v>
      </c>
    </row>
    <row r="1023" spans="1:10" x14ac:dyDescent="0.25">
      <c r="A1023" t="s">
        <v>12</v>
      </c>
      <c r="B1023" t="s">
        <v>222</v>
      </c>
      <c r="C1023">
        <v>97124196</v>
      </c>
      <c r="D1023">
        <v>140</v>
      </c>
      <c r="E1023" s="4">
        <v>-4946688.4000000004</v>
      </c>
      <c r="F1023" t="s">
        <v>63</v>
      </c>
      <c r="G1023">
        <v>0</v>
      </c>
      <c r="H1023" s="32" t="str">
        <f ca="1">+IF(B1023&gt;'sap nuevo'!$V$1,"cargar",IF(C1023="","cargar","pagado"))</f>
        <v>cargar</v>
      </c>
      <c r="I1023" s="32">
        <f t="shared" si="134"/>
        <v>2026</v>
      </c>
      <c r="J1023" s="32">
        <f t="shared" si="135"/>
        <v>1</v>
      </c>
    </row>
    <row r="1024" spans="1:10" x14ac:dyDescent="0.25">
      <c r="A1024" t="s">
        <v>20</v>
      </c>
      <c r="B1024" t="s">
        <v>222</v>
      </c>
      <c r="C1024">
        <v>97124197</v>
      </c>
      <c r="D1024">
        <v>140</v>
      </c>
      <c r="E1024" s="4">
        <v>-4435333.4000000004</v>
      </c>
      <c r="F1024" t="s">
        <v>62</v>
      </c>
      <c r="G1024">
        <v>0</v>
      </c>
      <c r="H1024" s="32" t="str">
        <f ca="1">+IF(B1024&gt;'sap nuevo'!$V$1,"cargar",IF(C1024="","cargar","pagado"))</f>
        <v>cargar</v>
      </c>
      <c r="I1024" s="32">
        <f t="shared" si="134"/>
        <v>2026</v>
      </c>
      <c r="J1024" s="32">
        <f t="shared" si="135"/>
        <v>1</v>
      </c>
    </row>
    <row r="1025" spans="1:10" x14ac:dyDescent="0.25">
      <c r="A1025" t="s">
        <v>20</v>
      </c>
      <c r="B1025" t="s">
        <v>222</v>
      </c>
      <c r="C1025">
        <v>97124190</v>
      </c>
      <c r="D1025">
        <v>140</v>
      </c>
      <c r="E1025" s="4">
        <v>-2245699.48</v>
      </c>
      <c r="F1025" t="s">
        <v>62</v>
      </c>
      <c r="G1025">
        <v>0</v>
      </c>
      <c r="H1025" s="32" t="str">
        <f ca="1">+IF(B1025&gt;'sap nuevo'!$V$1,"cargar",IF(C1025="","cargar","pagado"))</f>
        <v>cargar</v>
      </c>
      <c r="I1025" s="32">
        <f t="shared" si="134"/>
        <v>2026</v>
      </c>
      <c r="J1025" s="32">
        <f t="shared" si="135"/>
        <v>1</v>
      </c>
    </row>
    <row r="1026" spans="1:10" x14ac:dyDescent="0.25">
      <c r="A1026" t="s">
        <v>12</v>
      </c>
      <c r="B1026" t="s">
        <v>223</v>
      </c>
      <c r="C1026">
        <v>97124208</v>
      </c>
      <c r="D1026">
        <v>140</v>
      </c>
      <c r="E1026" s="4">
        <v>-20797531.5</v>
      </c>
      <c r="F1026" t="s">
        <v>63</v>
      </c>
      <c r="G1026">
        <v>0</v>
      </c>
      <c r="H1026" s="32" t="str">
        <f ca="1">+IF(B1026&gt;'sap nuevo'!$V$1,"cargar",IF(C1026="","cargar","pagado"))</f>
        <v>cargar</v>
      </c>
      <c r="I1026" s="32">
        <f t="shared" si="134"/>
        <v>2026</v>
      </c>
      <c r="J1026" s="32">
        <f t="shared" si="135"/>
        <v>1</v>
      </c>
    </row>
    <row r="1027" spans="1:10" x14ac:dyDescent="0.25">
      <c r="A1027" t="s">
        <v>20</v>
      </c>
      <c r="B1027" t="s">
        <v>223</v>
      </c>
      <c r="C1027">
        <v>97124203</v>
      </c>
      <c r="D1027">
        <v>140</v>
      </c>
      <c r="E1027" s="4">
        <v>-13526153.74</v>
      </c>
      <c r="F1027" t="s">
        <v>62</v>
      </c>
      <c r="G1027">
        <v>0</v>
      </c>
      <c r="H1027" s="32" t="str">
        <f ca="1">+IF(B1027&gt;'sap nuevo'!$V$1,"cargar",IF(C1027="","cargar","pagado"))</f>
        <v>cargar</v>
      </c>
      <c r="I1027" s="32">
        <f t="shared" si="134"/>
        <v>2026</v>
      </c>
      <c r="J1027" s="32">
        <f t="shared" si="135"/>
        <v>1</v>
      </c>
    </row>
    <row r="1028" spans="1:10" x14ac:dyDescent="0.25">
      <c r="A1028" t="s">
        <v>20</v>
      </c>
      <c r="B1028" t="s">
        <v>223</v>
      </c>
      <c r="C1028">
        <v>97124206</v>
      </c>
      <c r="D1028">
        <v>140</v>
      </c>
      <c r="E1028" s="4">
        <v>-13279207.4</v>
      </c>
      <c r="F1028" t="s">
        <v>62</v>
      </c>
      <c r="G1028">
        <v>0</v>
      </c>
      <c r="H1028" s="32" t="str">
        <f ca="1">+IF(B1028&gt;'sap nuevo'!$V$1,"cargar",IF(C1028="","cargar","pagado"))</f>
        <v>cargar</v>
      </c>
      <c r="I1028" s="32">
        <f t="shared" si="134"/>
        <v>2026</v>
      </c>
      <c r="J1028" s="32">
        <f t="shared" si="135"/>
        <v>1</v>
      </c>
    </row>
    <row r="1029" spans="1:10" x14ac:dyDescent="0.25">
      <c r="A1029" t="s">
        <v>20</v>
      </c>
      <c r="B1029" t="s">
        <v>223</v>
      </c>
      <c r="C1029">
        <v>97124200</v>
      </c>
      <c r="D1029">
        <v>140</v>
      </c>
      <c r="E1029" s="4">
        <v>-10447097</v>
      </c>
      <c r="F1029" t="s">
        <v>62</v>
      </c>
      <c r="G1029">
        <v>0</v>
      </c>
      <c r="H1029" s="32" t="str">
        <f ca="1">+IF(B1029&gt;'sap nuevo'!$V$1,"cargar",IF(C1029="","cargar","pagado"))</f>
        <v>cargar</v>
      </c>
      <c r="I1029" s="32">
        <f t="shared" si="134"/>
        <v>2026</v>
      </c>
      <c r="J1029" s="32">
        <f t="shared" si="135"/>
        <v>1</v>
      </c>
    </row>
    <row r="1030" spans="1:10" x14ac:dyDescent="0.25">
      <c r="A1030" t="s">
        <v>12</v>
      </c>
      <c r="B1030" t="s">
        <v>223</v>
      </c>
      <c r="C1030">
        <v>97124193</v>
      </c>
      <c r="D1030">
        <v>140</v>
      </c>
      <c r="E1030" s="4">
        <v>-8794783.4000000004</v>
      </c>
      <c r="F1030" t="s">
        <v>63</v>
      </c>
      <c r="G1030">
        <v>0</v>
      </c>
      <c r="H1030" s="32" t="str">
        <f ca="1">+IF(B1030&gt;'sap nuevo'!$V$1,"cargar",IF(C1030="","cargar","pagado"))</f>
        <v>cargar</v>
      </c>
      <c r="I1030" s="32">
        <f t="shared" si="134"/>
        <v>2026</v>
      </c>
      <c r="J1030" s="32">
        <f t="shared" si="135"/>
        <v>1</v>
      </c>
    </row>
    <row r="1031" spans="1:10" x14ac:dyDescent="0.25">
      <c r="A1031" t="s">
        <v>20</v>
      </c>
      <c r="B1031" t="s">
        <v>223</v>
      </c>
      <c r="C1031">
        <v>97124205</v>
      </c>
      <c r="D1031">
        <v>140</v>
      </c>
      <c r="E1031" s="4">
        <v>-8545078.4000000004</v>
      </c>
      <c r="F1031" t="s">
        <v>62</v>
      </c>
      <c r="G1031">
        <v>0</v>
      </c>
      <c r="H1031" s="32" t="str">
        <f ca="1">+IF(B1031&gt;'sap nuevo'!$V$1,"cargar",IF(C1031="","cargar","pagado"))</f>
        <v>cargar</v>
      </c>
      <c r="I1031" s="32">
        <f t="shared" si="134"/>
        <v>2026</v>
      </c>
      <c r="J1031" s="32">
        <f t="shared" si="135"/>
        <v>1</v>
      </c>
    </row>
    <row r="1032" spans="1:10" x14ac:dyDescent="0.25">
      <c r="A1032" t="s">
        <v>12</v>
      </c>
      <c r="B1032" t="s">
        <v>223</v>
      </c>
      <c r="C1032">
        <v>97124195</v>
      </c>
      <c r="D1032">
        <v>140</v>
      </c>
      <c r="E1032" s="4">
        <v>-7646047.4000000004</v>
      </c>
      <c r="F1032" t="s">
        <v>63</v>
      </c>
      <c r="G1032">
        <v>0</v>
      </c>
      <c r="H1032" s="32" t="str">
        <f ca="1">+IF(B1032&gt;'sap nuevo'!$V$1,"cargar",IF(C1032="","cargar","pagado"))</f>
        <v>cargar</v>
      </c>
      <c r="I1032" s="32">
        <f t="shared" si="134"/>
        <v>2026</v>
      </c>
      <c r="J1032" s="32">
        <f t="shared" si="135"/>
        <v>1</v>
      </c>
    </row>
    <row r="1033" spans="1:10" x14ac:dyDescent="0.25">
      <c r="A1033" t="s">
        <v>20</v>
      </c>
      <c r="B1033" t="s">
        <v>223</v>
      </c>
      <c r="C1033">
        <v>97124188</v>
      </c>
      <c r="D1033">
        <v>140</v>
      </c>
      <c r="E1033" s="4">
        <v>-4226252.9000000004</v>
      </c>
      <c r="F1033" t="s">
        <v>62</v>
      </c>
      <c r="G1033">
        <v>0</v>
      </c>
      <c r="H1033" s="32" t="str">
        <f ca="1">+IF(B1033&gt;'sap nuevo'!$V$1,"cargar",IF(C1033="","cargar","pagado"))</f>
        <v>cargar</v>
      </c>
      <c r="I1033" s="32">
        <f t="shared" si="134"/>
        <v>2026</v>
      </c>
      <c r="J1033" s="32">
        <f t="shared" si="135"/>
        <v>1</v>
      </c>
    </row>
    <row r="1034" spans="1:10" x14ac:dyDescent="0.25">
      <c r="A1034" t="s">
        <v>20</v>
      </c>
      <c r="B1034" t="s">
        <v>223</v>
      </c>
      <c r="C1034">
        <v>97124209</v>
      </c>
      <c r="D1034">
        <v>140</v>
      </c>
      <c r="E1034" s="4">
        <v>-4124789.59</v>
      </c>
      <c r="F1034" t="s">
        <v>62</v>
      </c>
      <c r="G1034">
        <v>0</v>
      </c>
      <c r="H1034" s="32" t="str">
        <f ca="1">+IF(B1034&gt;'sap nuevo'!$V$1,"cargar",IF(C1034="","cargar","pagado"))</f>
        <v>cargar</v>
      </c>
      <c r="I1034" s="32">
        <f t="shared" ref="I1034:I1049" si="136">+YEAR(B1034)</f>
        <v>2026</v>
      </c>
      <c r="J1034" s="32">
        <f t="shared" ref="J1034:J1049" si="137">+MONTH(B1034)</f>
        <v>1</v>
      </c>
    </row>
    <row r="1035" spans="1:10" x14ac:dyDescent="0.25">
      <c r="A1035" t="s">
        <v>12</v>
      </c>
      <c r="B1035" t="s">
        <v>223</v>
      </c>
      <c r="C1035">
        <v>97124210</v>
      </c>
      <c r="D1035">
        <v>140</v>
      </c>
      <c r="E1035" s="4">
        <v>-1582963.44</v>
      </c>
      <c r="F1035" t="s">
        <v>63</v>
      </c>
      <c r="G1035">
        <v>0</v>
      </c>
      <c r="H1035" s="32" t="str">
        <f ca="1">+IF(B1035&gt;'sap nuevo'!$V$1,"cargar",IF(C1035="","cargar","pagado"))</f>
        <v>cargar</v>
      </c>
      <c r="I1035" s="32">
        <f t="shared" si="136"/>
        <v>2026</v>
      </c>
      <c r="J1035" s="32">
        <f t="shared" si="137"/>
        <v>1</v>
      </c>
    </row>
    <row r="1036" spans="1:10" x14ac:dyDescent="0.25">
      <c r="A1036" t="s">
        <v>20</v>
      </c>
      <c r="B1036" t="s">
        <v>224</v>
      </c>
      <c r="C1036">
        <v>97124064</v>
      </c>
      <c r="D1036">
        <v>140</v>
      </c>
      <c r="E1036" s="4">
        <v>-63600000</v>
      </c>
      <c r="F1036" t="s">
        <v>62</v>
      </c>
      <c r="G1036">
        <v>0</v>
      </c>
      <c r="H1036" s="32" t="str">
        <f ca="1">+IF(B1036&gt;'sap nuevo'!$V$1,"cargar",IF(C1036="","cargar","pagado"))</f>
        <v>cargar</v>
      </c>
      <c r="I1036" s="32">
        <f t="shared" si="136"/>
        <v>2026</v>
      </c>
      <c r="J1036" s="32">
        <f t="shared" si="137"/>
        <v>1</v>
      </c>
    </row>
    <row r="1037" spans="1:10" x14ac:dyDescent="0.25">
      <c r="A1037" t="s">
        <v>20</v>
      </c>
      <c r="B1037" t="s">
        <v>224</v>
      </c>
      <c r="C1037">
        <v>97124189</v>
      </c>
      <c r="D1037">
        <v>140</v>
      </c>
      <c r="E1037" s="4">
        <v>-2217261.04</v>
      </c>
      <c r="F1037" t="s">
        <v>62</v>
      </c>
      <c r="G1037">
        <v>0</v>
      </c>
      <c r="H1037" s="32" t="str">
        <f ca="1">+IF(B1037&gt;'sap nuevo'!$V$1,"cargar",IF(C1037="","cargar","pagado"))</f>
        <v>cargar</v>
      </c>
      <c r="I1037" s="32">
        <f t="shared" si="136"/>
        <v>2026</v>
      </c>
      <c r="J1037" s="32">
        <f t="shared" si="137"/>
        <v>1</v>
      </c>
    </row>
    <row r="1038" spans="1:10" x14ac:dyDescent="0.25">
      <c r="A1038" t="s">
        <v>20</v>
      </c>
      <c r="B1038" t="s">
        <v>226</v>
      </c>
      <c r="C1038">
        <v>97124176</v>
      </c>
      <c r="D1038">
        <v>140</v>
      </c>
      <c r="E1038" s="4">
        <v>-10000000</v>
      </c>
      <c r="F1038" t="s">
        <v>62</v>
      </c>
      <c r="G1038">
        <v>0</v>
      </c>
      <c r="H1038" s="32" t="str">
        <f ca="1">+IF(B1038&gt;'sap nuevo'!$V$1,"cargar",IF(C1038="","cargar","pagado"))</f>
        <v>cargar</v>
      </c>
      <c r="I1038" s="32">
        <f t="shared" si="136"/>
        <v>2026</v>
      </c>
      <c r="J1038" s="32">
        <f t="shared" si="137"/>
        <v>1</v>
      </c>
    </row>
    <row r="1039" spans="1:10" x14ac:dyDescent="0.25">
      <c r="A1039" t="s">
        <v>20</v>
      </c>
      <c r="B1039" t="s">
        <v>226</v>
      </c>
      <c r="C1039">
        <v>97124177</v>
      </c>
      <c r="D1039">
        <v>140</v>
      </c>
      <c r="E1039" s="4">
        <v>-10000000</v>
      </c>
      <c r="F1039" t="s">
        <v>62</v>
      </c>
      <c r="G1039">
        <v>0</v>
      </c>
      <c r="H1039" s="32" t="str">
        <f ca="1">+IF(B1039&gt;'sap nuevo'!$V$1,"cargar",IF(C1039="","cargar","pagado"))</f>
        <v>cargar</v>
      </c>
      <c r="I1039" s="32">
        <f t="shared" si="136"/>
        <v>2026</v>
      </c>
      <c r="J1039" s="32">
        <f t="shared" si="137"/>
        <v>1</v>
      </c>
    </row>
    <row r="1040" spans="1:10" x14ac:dyDescent="0.25">
      <c r="A1040" t="s">
        <v>20</v>
      </c>
      <c r="B1040" t="s">
        <v>226</v>
      </c>
      <c r="C1040">
        <v>97124178</v>
      </c>
      <c r="D1040">
        <v>140</v>
      </c>
      <c r="E1040" s="4">
        <v>-10000000</v>
      </c>
      <c r="F1040" t="s">
        <v>62</v>
      </c>
      <c r="G1040">
        <v>0</v>
      </c>
      <c r="H1040" s="32" t="str">
        <f ca="1">+IF(B1040&gt;'sap nuevo'!$V$1,"cargar",IF(C1040="","cargar","pagado"))</f>
        <v>cargar</v>
      </c>
      <c r="I1040" s="32">
        <f t="shared" si="136"/>
        <v>2026</v>
      </c>
      <c r="J1040" s="32">
        <f t="shared" si="137"/>
        <v>1</v>
      </c>
    </row>
    <row r="1041" spans="1:10" x14ac:dyDescent="0.25">
      <c r="A1041" t="s">
        <v>20</v>
      </c>
      <c r="B1041" t="s">
        <v>226</v>
      </c>
      <c r="C1041">
        <v>97124157</v>
      </c>
      <c r="D1041">
        <v>140</v>
      </c>
      <c r="E1041" s="4">
        <v>-8500000</v>
      </c>
      <c r="F1041" t="s">
        <v>62</v>
      </c>
      <c r="G1041">
        <v>0</v>
      </c>
      <c r="H1041" s="32" t="str">
        <f ca="1">+IF(B1041&gt;'sap nuevo'!$V$1,"cargar",IF(C1041="","cargar","pagado"))</f>
        <v>cargar</v>
      </c>
      <c r="I1041" s="32">
        <f t="shared" si="136"/>
        <v>2026</v>
      </c>
      <c r="J1041" s="32">
        <f t="shared" si="137"/>
        <v>1</v>
      </c>
    </row>
    <row r="1042" spans="1:10" x14ac:dyDescent="0.25">
      <c r="A1042" t="s">
        <v>20</v>
      </c>
      <c r="B1042" t="s">
        <v>225</v>
      </c>
      <c r="C1042">
        <v>97124213</v>
      </c>
      <c r="D1042">
        <v>140</v>
      </c>
      <c r="E1042" s="4">
        <v>-22000000</v>
      </c>
      <c r="F1042" t="s">
        <v>62</v>
      </c>
      <c r="G1042">
        <v>0</v>
      </c>
      <c r="H1042" s="32" t="str">
        <f ca="1">+IF(B1042&gt;'sap nuevo'!$V$1,"cargar",IF(C1042="","cargar","pagado"))</f>
        <v>cargar</v>
      </c>
      <c r="I1042" s="32">
        <f t="shared" si="136"/>
        <v>2026</v>
      </c>
      <c r="J1042" s="32">
        <f t="shared" si="137"/>
        <v>1</v>
      </c>
    </row>
    <row r="1043" spans="1:10" x14ac:dyDescent="0.25">
      <c r="A1043" t="s">
        <v>20</v>
      </c>
      <c r="B1043" t="s">
        <v>225</v>
      </c>
      <c r="C1043">
        <v>97124211</v>
      </c>
      <c r="D1043">
        <v>140</v>
      </c>
      <c r="E1043" s="4">
        <v>-20000000</v>
      </c>
      <c r="F1043" t="s">
        <v>62</v>
      </c>
      <c r="G1043">
        <v>0</v>
      </c>
      <c r="H1043" s="32" t="str">
        <f ca="1">+IF(B1043&gt;'sap nuevo'!$V$1,"cargar",IF(C1043="","cargar","pagado"))</f>
        <v>cargar</v>
      </c>
      <c r="I1043" s="32">
        <f t="shared" si="136"/>
        <v>2026</v>
      </c>
      <c r="J1043" s="32">
        <f t="shared" si="137"/>
        <v>1</v>
      </c>
    </row>
    <row r="1044" spans="1:10" x14ac:dyDescent="0.25">
      <c r="A1044" t="s">
        <v>20</v>
      </c>
      <c r="B1044" t="s">
        <v>225</v>
      </c>
      <c r="C1044">
        <v>97124091</v>
      </c>
      <c r="D1044">
        <v>140</v>
      </c>
      <c r="E1044" s="4">
        <v>-18387781.25</v>
      </c>
      <c r="F1044" t="s">
        <v>62</v>
      </c>
      <c r="G1044">
        <v>0</v>
      </c>
      <c r="H1044" s="32" t="str">
        <f ca="1">+IF(B1044&gt;'sap nuevo'!$V$1,"cargar",IF(C1044="","cargar","pagado"))</f>
        <v>cargar</v>
      </c>
      <c r="I1044" s="32">
        <f t="shared" si="136"/>
        <v>2026</v>
      </c>
      <c r="J1044" s="32">
        <f t="shared" si="137"/>
        <v>1</v>
      </c>
    </row>
    <row r="1045" spans="1:10" x14ac:dyDescent="0.25">
      <c r="A1045" t="s">
        <v>20</v>
      </c>
      <c r="B1045" t="s">
        <v>225</v>
      </c>
      <c r="C1045">
        <v>97124217</v>
      </c>
      <c r="D1045">
        <v>140</v>
      </c>
      <c r="E1045" s="4">
        <v>-10000000</v>
      </c>
      <c r="F1045" t="s">
        <v>62</v>
      </c>
      <c r="G1045">
        <v>0</v>
      </c>
      <c r="H1045" s="32" t="str">
        <f ca="1">+IF(B1045&gt;'sap nuevo'!$V$1,"cargar",IF(C1045="","cargar","pagado"))</f>
        <v>cargar</v>
      </c>
      <c r="I1045" s="32">
        <f t="shared" si="136"/>
        <v>2026</v>
      </c>
      <c r="J1045" s="32">
        <f t="shared" si="137"/>
        <v>1</v>
      </c>
    </row>
    <row r="1046" spans="1:10" x14ac:dyDescent="0.25">
      <c r="A1046" t="s">
        <v>20</v>
      </c>
      <c r="B1046" t="s">
        <v>225</v>
      </c>
      <c r="C1046">
        <v>97124182</v>
      </c>
      <c r="D1046">
        <v>140</v>
      </c>
      <c r="E1046" s="4">
        <v>-3350000</v>
      </c>
      <c r="F1046" t="s">
        <v>62</v>
      </c>
      <c r="G1046">
        <v>0</v>
      </c>
      <c r="H1046" s="32" t="str">
        <f ca="1">+IF(B1046&gt;'sap nuevo'!$V$1,"cargar",IF(C1046="","cargar","pagado"))</f>
        <v>cargar</v>
      </c>
      <c r="I1046" s="32">
        <f t="shared" si="136"/>
        <v>2026</v>
      </c>
      <c r="J1046" s="32">
        <f t="shared" si="137"/>
        <v>1</v>
      </c>
    </row>
    <row r="1047" spans="1:10" x14ac:dyDescent="0.25">
      <c r="A1047" t="s">
        <v>20</v>
      </c>
      <c r="B1047" t="s">
        <v>519</v>
      </c>
      <c r="C1047">
        <v>97124214</v>
      </c>
      <c r="D1047">
        <v>140</v>
      </c>
      <c r="E1047" s="4">
        <v>-22546191</v>
      </c>
      <c r="F1047" t="s">
        <v>62</v>
      </c>
      <c r="G1047">
        <v>0</v>
      </c>
      <c r="H1047" s="32" t="str">
        <f ca="1">+IF(B1047&gt;'sap nuevo'!$V$1,"cargar",IF(C1047="","cargar","pagado"))</f>
        <v>cargar</v>
      </c>
      <c r="I1047" s="32">
        <f t="shared" si="136"/>
        <v>2026</v>
      </c>
      <c r="J1047" s="32">
        <f t="shared" si="137"/>
        <v>1</v>
      </c>
    </row>
    <row r="1048" spans="1:10" x14ac:dyDescent="0.25">
      <c r="A1048" t="s">
        <v>20</v>
      </c>
      <c r="B1048" t="s">
        <v>519</v>
      </c>
      <c r="C1048">
        <v>97124216</v>
      </c>
      <c r="D1048">
        <v>140</v>
      </c>
      <c r="E1048" s="4">
        <v>-17008449.239999998</v>
      </c>
      <c r="F1048" t="s">
        <v>62</v>
      </c>
      <c r="G1048">
        <v>0</v>
      </c>
      <c r="H1048" s="32" t="str">
        <f ca="1">+IF(B1048&gt;'sap nuevo'!$V$1,"cargar",IF(C1048="","cargar","pagado"))</f>
        <v>cargar</v>
      </c>
      <c r="I1048" s="32">
        <f t="shared" si="136"/>
        <v>2026</v>
      </c>
      <c r="J1048" s="32">
        <f t="shared" si="137"/>
        <v>1</v>
      </c>
    </row>
    <row r="1049" spans="1:10" x14ac:dyDescent="0.25">
      <c r="A1049" t="s">
        <v>20</v>
      </c>
      <c r="B1049" t="s">
        <v>519</v>
      </c>
      <c r="C1049">
        <v>97124212</v>
      </c>
      <c r="D1049">
        <v>140</v>
      </c>
      <c r="E1049" s="4">
        <v>-16591976</v>
      </c>
      <c r="F1049" t="s">
        <v>62</v>
      </c>
      <c r="G1049">
        <v>0</v>
      </c>
      <c r="H1049" s="32" t="str">
        <f ca="1">+IF(B1049&gt;'sap nuevo'!$V$1,"cargar",IF(C1049="","cargar","pagado"))</f>
        <v>cargar</v>
      </c>
      <c r="I1049" s="32">
        <f t="shared" si="136"/>
        <v>2026</v>
      </c>
      <c r="J1049" s="32">
        <f t="shared" si="137"/>
        <v>1</v>
      </c>
    </row>
    <row r="1050" spans="1:10" x14ac:dyDescent="0.25">
      <c r="A1050" t="s">
        <v>20</v>
      </c>
      <c r="B1050" t="s">
        <v>519</v>
      </c>
      <c r="C1050">
        <v>97124219</v>
      </c>
      <c r="D1050">
        <v>140</v>
      </c>
      <c r="E1050" s="4">
        <v>-15000000</v>
      </c>
      <c r="F1050" t="s">
        <v>62</v>
      </c>
      <c r="G1050">
        <v>0</v>
      </c>
      <c r="H1050" s="32" t="str">
        <f ca="1">+IF(B1050&gt;'sap nuevo'!$V$1,"cargar",IF(C1050="","cargar","pagado"))</f>
        <v>cargar</v>
      </c>
      <c r="I1050" s="32">
        <f t="shared" ref="I1050:I1061" si="138">+YEAR(B1050)</f>
        <v>2026</v>
      </c>
      <c r="J1050" s="32">
        <f t="shared" ref="J1050:J1061" si="139">+MONTH(B1050)</f>
        <v>1</v>
      </c>
    </row>
    <row r="1051" spans="1:10" x14ac:dyDescent="0.25">
      <c r="A1051" t="s">
        <v>20</v>
      </c>
      <c r="B1051" t="s">
        <v>519</v>
      </c>
      <c r="C1051">
        <v>97124220</v>
      </c>
      <c r="D1051">
        <v>140</v>
      </c>
      <c r="E1051" s="4">
        <v>-15000000</v>
      </c>
      <c r="F1051" t="s">
        <v>62</v>
      </c>
      <c r="G1051">
        <v>0</v>
      </c>
      <c r="H1051" s="32" t="str">
        <f ca="1">+IF(B1051&gt;'sap nuevo'!$V$1,"cargar",IF(C1051="","cargar","pagado"))</f>
        <v>cargar</v>
      </c>
      <c r="I1051" s="32">
        <f t="shared" si="138"/>
        <v>2026</v>
      </c>
      <c r="J1051" s="32">
        <f t="shared" si="139"/>
        <v>1</v>
      </c>
    </row>
    <row r="1052" spans="1:10" x14ac:dyDescent="0.25">
      <c r="A1052" t="s">
        <v>20</v>
      </c>
      <c r="B1052" t="s">
        <v>519</v>
      </c>
      <c r="C1052">
        <v>97124218</v>
      </c>
      <c r="D1052">
        <v>140</v>
      </c>
      <c r="E1052" s="4">
        <v>-11302343.4</v>
      </c>
      <c r="F1052" t="s">
        <v>62</v>
      </c>
      <c r="G1052">
        <v>0</v>
      </c>
      <c r="H1052" s="32" t="str">
        <f ca="1">+IF(B1052&gt;'sap nuevo'!$V$1,"cargar",IF(C1052="","cargar","pagado"))</f>
        <v>cargar</v>
      </c>
      <c r="I1052" s="32">
        <f t="shared" si="138"/>
        <v>2026</v>
      </c>
      <c r="J1052" s="32">
        <f t="shared" si="139"/>
        <v>1</v>
      </c>
    </row>
    <row r="1053" spans="1:10" x14ac:dyDescent="0.25">
      <c r="A1053" t="s">
        <v>20</v>
      </c>
      <c r="B1053" t="s">
        <v>519</v>
      </c>
      <c r="C1053">
        <v>97124179</v>
      </c>
      <c r="D1053">
        <v>140</v>
      </c>
      <c r="E1053" s="4">
        <v>-5000000</v>
      </c>
      <c r="F1053" t="s">
        <v>62</v>
      </c>
      <c r="G1053">
        <v>0</v>
      </c>
      <c r="H1053" s="32" t="str">
        <f ca="1">+IF(B1053&gt;'sap nuevo'!$V$1,"cargar",IF(C1053="","cargar","pagado"))</f>
        <v>cargar</v>
      </c>
      <c r="I1053" s="32">
        <f t="shared" si="138"/>
        <v>2026</v>
      </c>
      <c r="J1053" s="32">
        <f t="shared" si="139"/>
        <v>1</v>
      </c>
    </row>
    <row r="1054" spans="1:10" x14ac:dyDescent="0.25">
      <c r="A1054" t="s">
        <v>20</v>
      </c>
      <c r="B1054" t="s">
        <v>227</v>
      </c>
      <c r="C1054">
        <v>97124221</v>
      </c>
      <c r="D1054">
        <v>140</v>
      </c>
      <c r="E1054" s="4">
        <v>-15398065.869999999</v>
      </c>
      <c r="F1054" t="s">
        <v>62</v>
      </c>
      <c r="G1054">
        <v>0</v>
      </c>
      <c r="H1054" s="32" t="str">
        <f ca="1">+IF(B1054&gt;'sap nuevo'!$V$1,"cargar",IF(C1054="","cargar","pagado"))</f>
        <v>cargar</v>
      </c>
      <c r="I1054" s="32">
        <f t="shared" si="138"/>
        <v>2026</v>
      </c>
      <c r="J1054" s="32">
        <f t="shared" si="139"/>
        <v>1</v>
      </c>
    </row>
    <row r="1055" spans="1:10" x14ac:dyDescent="0.25">
      <c r="A1055" t="s">
        <v>20</v>
      </c>
      <c r="B1055" t="s">
        <v>227</v>
      </c>
      <c r="C1055">
        <v>97124180</v>
      </c>
      <c r="D1055">
        <v>140</v>
      </c>
      <c r="E1055" s="4">
        <v>-5000000</v>
      </c>
      <c r="F1055" t="s">
        <v>62</v>
      </c>
      <c r="G1055">
        <v>0</v>
      </c>
      <c r="H1055" s="32" t="str">
        <f ca="1">+IF(B1055&gt;'sap nuevo'!$V$1,"cargar",IF(C1055="","cargar","pagado"))</f>
        <v>cargar</v>
      </c>
      <c r="I1055" s="32">
        <f t="shared" si="138"/>
        <v>2026</v>
      </c>
      <c r="J1055" s="32">
        <f t="shared" si="139"/>
        <v>1</v>
      </c>
    </row>
    <row r="1056" spans="1:10" x14ac:dyDescent="0.25">
      <c r="A1056" t="s">
        <v>20</v>
      </c>
      <c r="B1056" t="s">
        <v>227</v>
      </c>
      <c r="C1056">
        <v>97124183</v>
      </c>
      <c r="D1056">
        <v>140</v>
      </c>
      <c r="E1056" s="4">
        <v>-3350000</v>
      </c>
      <c r="F1056" t="s">
        <v>62</v>
      </c>
      <c r="G1056">
        <v>0</v>
      </c>
      <c r="H1056" s="32" t="str">
        <f ca="1">+IF(B1056&gt;'sap nuevo'!$V$1,"cargar",IF(C1056="","cargar","pagado"))</f>
        <v>cargar</v>
      </c>
      <c r="I1056" s="32">
        <f t="shared" si="138"/>
        <v>2026</v>
      </c>
      <c r="J1056" s="32">
        <f t="shared" si="139"/>
        <v>1</v>
      </c>
    </row>
    <row r="1057" spans="1:10" x14ac:dyDescent="0.25">
      <c r="A1057" t="s">
        <v>20</v>
      </c>
      <c r="B1057" t="s">
        <v>228</v>
      </c>
      <c r="C1057">
        <v>97124225</v>
      </c>
      <c r="D1057">
        <v>140</v>
      </c>
      <c r="E1057" s="4">
        <v>-20000000</v>
      </c>
      <c r="F1057" t="s">
        <v>62</v>
      </c>
      <c r="G1057">
        <v>0</v>
      </c>
      <c r="H1057" s="32" t="str">
        <f ca="1">+IF(B1057&gt;'sap nuevo'!$V$1,"cargar",IF(C1057="","cargar","pagado"))</f>
        <v>cargar</v>
      </c>
      <c r="I1057" s="32">
        <f t="shared" si="138"/>
        <v>2026</v>
      </c>
      <c r="J1057" s="32">
        <f t="shared" si="139"/>
        <v>2</v>
      </c>
    </row>
    <row r="1058" spans="1:10" x14ac:dyDescent="0.25">
      <c r="A1058" t="s">
        <v>12</v>
      </c>
      <c r="B1058" t="s">
        <v>228</v>
      </c>
      <c r="C1058">
        <v>97124223</v>
      </c>
      <c r="D1058">
        <v>140</v>
      </c>
      <c r="E1058" s="4">
        <v>-15211936.24</v>
      </c>
      <c r="F1058" t="s">
        <v>63</v>
      </c>
      <c r="G1058">
        <v>0</v>
      </c>
      <c r="H1058" s="32" t="str">
        <f ca="1">+IF(B1058&gt;'sap nuevo'!$V$1,"cargar",IF(C1058="","cargar","pagado"))</f>
        <v>cargar</v>
      </c>
      <c r="I1058" s="32">
        <f t="shared" si="138"/>
        <v>2026</v>
      </c>
      <c r="J1058" s="32">
        <f t="shared" si="139"/>
        <v>2</v>
      </c>
    </row>
    <row r="1059" spans="1:10" x14ac:dyDescent="0.25">
      <c r="A1059" t="s">
        <v>20</v>
      </c>
      <c r="B1059" t="s">
        <v>228</v>
      </c>
      <c r="C1059">
        <v>97123955</v>
      </c>
      <c r="D1059">
        <v>140</v>
      </c>
      <c r="E1059" s="4">
        <v>-15000000</v>
      </c>
      <c r="F1059" t="s">
        <v>62</v>
      </c>
      <c r="G1059">
        <v>0</v>
      </c>
      <c r="H1059" s="32" t="str">
        <f ca="1">+IF(B1059&gt;'sap nuevo'!$V$1,"cargar",IF(C1059="","cargar","pagado"))</f>
        <v>cargar</v>
      </c>
      <c r="I1059" s="32">
        <f t="shared" si="138"/>
        <v>2026</v>
      </c>
      <c r="J1059" s="32">
        <f t="shared" si="139"/>
        <v>2</v>
      </c>
    </row>
    <row r="1060" spans="1:10" x14ac:dyDescent="0.25">
      <c r="A1060" t="s">
        <v>12</v>
      </c>
      <c r="B1060" t="s">
        <v>228</v>
      </c>
      <c r="C1060">
        <v>97124239</v>
      </c>
      <c r="D1060">
        <v>140</v>
      </c>
      <c r="E1060" s="4">
        <v>-15000000</v>
      </c>
      <c r="F1060" t="s">
        <v>63</v>
      </c>
      <c r="G1060">
        <v>0</v>
      </c>
      <c r="H1060" s="32" t="str">
        <f ca="1">+IF(B1060&gt;'sap nuevo'!$V$1,"cargar",IF(C1060="","cargar","pagado"))</f>
        <v>cargar</v>
      </c>
      <c r="I1060" s="32">
        <f t="shared" si="138"/>
        <v>2026</v>
      </c>
      <c r="J1060" s="32">
        <f t="shared" si="139"/>
        <v>2</v>
      </c>
    </row>
    <row r="1061" spans="1:10" x14ac:dyDescent="0.25">
      <c r="A1061" t="s">
        <v>20</v>
      </c>
      <c r="B1061" t="s">
        <v>228</v>
      </c>
      <c r="C1061">
        <v>97124233</v>
      </c>
      <c r="D1061">
        <v>140</v>
      </c>
      <c r="E1061" s="4">
        <v>-10000000</v>
      </c>
      <c r="F1061" t="s">
        <v>62</v>
      </c>
      <c r="G1061">
        <v>0</v>
      </c>
      <c r="H1061" s="32" t="str">
        <f ca="1">+IF(B1061&gt;'sap nuevo'!$V$1,"cargar",IF(C1061="","cargar","pagado"))</f>
        <v>cargar</v>
      </c>
      <c r="I1061" s="32">
        <f t="shared" si="138"/>
        <v>2026</v>
      </c>
      <c r="J1061" s="32">
        <f t="shared" si="139"/>
        <v>2</v>
      </c>
    </row>
    <row r="1062" spans="1:10" x14ac:dyDescent="0.25">
      <c r="A1062" t="s">
        <v>20</v>
      </c>
      <c r="B1062" t="s">
        <v>228</v>
      </c>
      <c r="C1062">
        <v>97124235</v>
      </c>
      <c r="D1062">
        <v>140</v>
      </c>
      <c r="E1062" s="4">
        <v>-7890673.6200000001</v>
      </c>
      <c r="F1062" t="s">
        <v>62</v>
      </c>
      <c r="G1062">
        <v>0</v>
      </c>
      <c r="H1062" s="32" t="str">
        <f ca="1">+IF(B1062&gt;'sap nuevo'!$V$1,"cargar",IF(C1062="","cargar","pagado"))</f>
        <v>cargar</v>
      </c>
      <c r="I1062" s="32">
        <f t="shared" ref="I1062:I1078" si="140">+YEAR(B1062)</f>
        <v>2026</v>
      </c>
      <c r="J1062" s="32">
        <f t="shared" ref="J1062:J1078" si="141">+MONTH(B1062)</f>
        <v>2</v>
      </c>
    </row>
    <row r="1063" spans="1:10" x14ac:dyDescent="0.25">
      <c r="A1063" t="s">
        <v>20</v>
      </c>
      <c r="B1063" t="s">
        <v>228</v>
      </c>
      <c r="C1063">
        <v>97124238</v>
      </c>
      <c r="D1063">
        <v>140</v>
      </c>
      <c r="E1063" s="4">
        <v>-5750565.1600000001</v>
      </c>
      <c r="F1063" t="s">
        <v>62</v>
      </c>
      <c r="G1063">
        <v>0</v>
      </c>
      <c r="H1063" s="32" t="str">
        <f ca="1">+IF(B1063&gt;'sap nuevo'!$V$1,"cargar",IF(C1063="","cargar","pagado"))</f>
        <v>cargar</v>
      </c>
      <c r="I1063" s="32">
        <f t="shared" si="140"/>
        <v>2026</v>
      </c>
      <c r="J1063" s="32">
        <f t="shared" si="141"/>
        <v>2</v>
      </c>
    </row>
    <row r="1064" spans="1:10" x14ac:dyDescent="0.25">
      <c r="A1064" t="s">
        <v>20</v>
      </c>
      <c r="B1064" t="s">
        <v>228</v>
      </c>
      <c r="C1064">
        <v>97124232</v>
      </c>
      <c r="D1064">
        <v>140</v>
      </c>
      <c r="E1064" s="4">
        <v>-4942810.8600000003</v>
      </c>
      <c r="F1064" t="s">
        <v>62</v>
      </c>
      <c r="G1064">
        <v>0</v>
      </c>
      <c r="H1064" s="32" t="str">
        <f ca="1">+IF(B1064&gt;'sap nuevo'!$V$1,"cargar",IF(C1064="","cargar","pagado"))</f>
        <v>cargar</v>
      </c>
      <c r="I1064" s="32">
        <f t="shared" si="140"/>
        <v>2026</v>
      </c>
      <c r="J1064" s="32">
        <f t="shared" si="141"/>
        <v>2</v>
      </c>
    </row>
    <row r="1065" spans="1:10" x14ac:dyDescent="0.25">
      <c r="A1065" t="s">
        <v>12</v>
      </c>
      <c r="B1065" t="s">
        <v>228</v>
      </c>
      <c r="C1065">
        <v>97124242</v>
      </c>
      <c r="D1065">
        <v>140</v>
      </c>
      <c r="E1065" s="4">
        <v>-4348143.24</v>
      </c>
      <c r="F1065" t="s">
        <v>63</v>
      </c>
      <c r="G1065">
        <v>0</v>
      </c>
      <c r="H1065" s="32" t="str">
        <f ca="1">+IF(B1065&gt;'sap nuevo'!$V$1,"cargar",IF(C1065="","cargar","pagado"))</f>
        <v>cargar</v>
      </c>
      <c r="I1065" s="32">
        <f t="shared" si="140"/>
        <v>2026</v>
      </c>
      <c r="J1065" s="32">
        <f t="shared" si="141"/>
        <v>2</v>
      </c>
    </row>
    <row r="1066" spans="1:10" x14ac:dyDescent="0.25">
      <c r="A1066" t="s">
        <v>12</v>
      </c>
      <c r="B1066" t="s">
        <v>228</v>
      </c>
      <c r="C1066">
        <v>97124229</v>
      </c>
      <c r="D1066">
        <v>140</v>
      </c>
      <c r="E1066" s="4">
        <v>-2392650.34</v>
      </c>
      <c r="F1066" t="s">
        <v>63</v>
      </c>
      <c r="G1066">
        <v>0</v>
      </c>
      <c r="H1066" s="32" t="str">
        <f ca="1">+IF(B1066&gt;'sap nuevo'!$V$1,"cargar",IF(C1066="","cargar","pagado"))</f>
        <v>cargar</v>
      </c>
      <c r="I1066" s="32">
        <f t="shared" si="140"/>
        <v>2026</v>
      </c>
      <c r="J1066" s="32">
        <f t="shared" si="141"/>
        <v>2</v>
      </c>
    </row>
    <row r="1067" spans="1:10" x14ac:dyDescent="0.25">
      <c r="A1067" t="s">
        <v>12</v>
      </c>
      <c r="B1067" t="s">
        <v>228</v>
      </c>
      <c r="C1067">
        <v>97124241</v>
      </c>
      <c r="D1067">
        <v>140</v>
      </c>
      <c r="E1067" s="4">
        <v>-2374800.98</v>
      </c>
      <c r="F1067" t="s">
        <v>63</v>
      </c>
      <c r="G1067">
        <v>0</v>
      </c>
      <c r="H1067" s="32" t="str">
        <f ca="1">+IF(B1067&gt;'sap nuevo'!$V$1,"cargar",IF(C1067="","cargar","pagado"))</f>
        <v>cargar</v>
      </c>
      <c r="I1067" s="32">
        <f t="shared" si="140"/>
        <v>2026</v>
      </c>
      <c r="J1067" s="32">
        <f t="shared" si="141"/>
        <v>2</v>
      </c>
    </row>
    <row r="1068" spans="1:10" x14ac:dyDescent="0.25">
      <c r="A1068" t="s">
        <v>20</v>
      </c>
      <c r="B1068" t="s">
        <v>228</v>
      </c>
      <c r="C1068">
        <v>97124231</v>
      </c>
      <c r="D1068">
        <v>140</v>
      </c>
      <c r="E1068" s="4">
        <v>-2321666.25</v>
      </c>
      <c r="F1068" t="s">
        <v>62</v>
      </c>
      <c r="G1068">
        <v>0</v>
      </c>
      <c r="H1068" s="32" t="str">
        <f ca="1">+IF(B1068&gt;'sap nuevo'!$V$1,"cargar",IF(C1068="","cargar","pagado"))</f>
        <v>cargar</v>
      </c>
      <c r="I1068" s="32">
        <f t="shared" si="140"/>
        <v>2026</v>
      </c>
      <c r="J1068" s="32">
        <f t="shared" si="141"/>
        <v>2</v>
      </c>
    </row>
    <row r="1069" spans="1:10" x14ac:dyDescent="0.25">
      <c r="A1069" t="s">
        <v>12</v>
      </c>
      <c r="B1069" t="s">
        <v>228</v>
      </c>
      <c r="C1069">
        <v>97124236</v>
      </c>
      <c r="D1069">
        <v>140</v>
      </c>
      <c r="E1069" s="4">
        <v>-1964304.33</v>
      </c>
      <c r="F1069" t="s">
        <v>63</v>
      </c>
      <c r="G1069">
        <v>0</v>
      </c>
      <c r="H1069" s="32" t="str">
        <f ca="1">+IF(B1069&gt;'sap nuevo'!$V$1,"cargar",IF(C1069="","cargar","pagado"))</f>
        <v>cargar</v>
      </c>
      <c r="I1069" s="32">
        <f t="shared" si="140"/>
        <v>2026</v>
      </c>
      <c r="J1069" s="32">
        <f t="shared" si="141"/>
        <v>2</v>
      </c>
    </row>
    <row r="1070" spans="1:10" x14ac:dyDescent="0.25">
      <c r="A1070" t="s">
        <v>20</v>
      </c>
      <c r="B1070" t="s">
        <v>228</v>
      </c>
      <c r="C1070">
        <v>97124237</v>
      </c>
      <c r="D1070">
        <v>140</v>
      </c>
      <c r="E1070" s="4">
        <v>-1916336.22</v>
      </c>
      <c r="F1070" t="s">
        <v>62</v>
      </c>
      <c r="G1070">
        <v>0</v>
      </c>
      <c r="H1070" s="32" t="str">
        <f ca="1">+IF(B1070&gt;'sap nuevo'!$V$1,"cargar",IF(C1070="","cargar","pagado"))</f>
        <v>cargar</v>
      </c>
      <c r="I1070" s="32">
        <f t="shared" si="140"/>
        <v>2026</v>
      </c>
      <c r="J1070" s="32">
        <f t="shared" si="141"/>
        <v>2</v>
      </c>
    </row>
    <row r="1071" spans="1:10" x14ac:dyDescent="0.25">
      <c r="A1071" t="s">
        <v>20</v>
      </c>
      <c r="B1071" t="s">
        <v>229</v>
      </c>
      <c r="C1071">
        <v>97124226</v>
      </c>
      <c r="D1071">
        <v>140</v>
      </c>
      <c r="E1071" s="4">
        <v>-18478720.75</v>
      </c>
      <c r="F1071" t="s">
        <v>62</v>
      </c>
      <c r="G1071">
        <v>0</v>
      </c>
      <c r="H1071" s="32" t="str">
        <f ca="1">+IF(B1071&gt;'sap nuevo'!$V$1,"cargar",IF(C1071="","cargar","pagado"))</f>
        <v>cargar</v>
      </c>
      <c r="I1071" s="32">
        <f t="shared" si="140"/>
        <v>2026</v>
      </c>
      <c r="J1071" s="32">
        <f t="shared" si="141"/>
        <v>2</v>
      </c>
    </row>
    <row r="1072" spans="1:10" x14ac:dyDescent="0.25">
      <c r="A1072" t="s">
        <v>12</v>
      </c>
      <c r="B1072" t="s">
        <v>229</v>
      </c>
      <c r="C1072">
        <v>97124240</v>
      </c>
      <c r="D1072">
        <v>140</v>
      </c>
      <c r="E1072" s="4">
        <v>-13473668.17</v>
      </c>
      <c r="F1072" t="s">
        <v>63</v>
      </c>
      <c r="G1072">
        <v>0</v>
      </c>
      <c r="H1072" s="32" t="str">
        <f ca="1">+IF(B1072&gt;'sap nuevo'!$V$1,"cargar",IF(C1072="","cargar","pagado"))</f>
        <v>cargar</v>
      </c>
      <c r="I1072" s="32">
        <f t="shared" si="140"/>
        <v>2026</v>
      </c>
      <c r="J1072" s="32">
        <f t="shared" si="141"/>
        <v>2</v>
      </c>
    </row>
    <row r="1073" spans="1:10" x14ac:dyDescent="0.25">
      <c r="A1073" t="s">
        <v>20</v>
      </c>
      <c r="B1073" t="s">
        <v>229</v>
      </c>
      <c r="C1073">
        <v>97124234</v>
      </c>
      <c r="D1073">
        <v>140</v>
      </c>
      <c r="E1073" s="4">
        <v>-6817914.9800000004</v>
      </c>
      <c r="F1073" t="s">
        <v>62</v>
      </c>
      <c r="G1073">
        <v>0</v>
      </c>
      <c r="H1073" s="32" t="str">
        <f ca="1">+IF(B1073&gt;'sap nuevo'!$V$1,"cargar",IF(C1073="","cargar","pagado"))</f>
        <v>cargar</v>
      </c>
      <c r="I1073" s="32">
        <f t="shared" si="140"/>
        <v>2026</v>
      </c>
      <c r="J1073" s="32">
        <f t="shared" si="141"/>
        <v>2</v>
      </c>
    </row>
    <row r="1074" spans="1:10" x14ac:dyDescent="0.25">
      <c r="A1074" t="s">
        <v>20</v>
      </c>
      <c r="B1074" t="s">
        <v>327</v>
      </c>
      <c r="C1074">
        <v>97124228</v>
      </c>
      <c r="D1074">
        <v>140</v>
      </c>
      <c r="E1074" s="4">
        <v>-4040144.98</v>
      </c>
      <c r="F1074" t="s">
        <v>62</v>
      </c>
      <c r="G1074">
        <v>0</v>
      </c>
      <c r="H1074" s="32" t="str">
        <f ca="1">+IF(B1074&gt;'sap nuevo'!$V$1,"cargar",IF(C1074="","cargar","pagado"))</f>
        <v>cargar</v>
      </c>
      <c r="I1074" s="32">
        <f t="shared" si="140"/>
        <v>2026</v>
      </c>
      <c r="J1074" s="32">
        <f t="shared" si="141"/>
        <v>2</v>
      </c>
    </row>
    <row r="1075" spans="1:10" x14ac:dyDescent="0.25">
      <c r="A1075" t="s">
        <v>20</v>
      </c>
      <c r="B1075" t="s">
        <v>230</v>
      </c>
      <c r="C1075">
        <v>97124215</v>
      </c>
      <c r="D1075">
        <v>140</v>
      </c>
      <c r="E1075" s="4">
        <v>-20000000</v>
      </c>
      <c r="F1075" t="s">
        <v>62</v>
      </c>
      <c r="G1075">
        <v>0</v>
      </c>
      <c r="H1075" s="32" t="str">
        <f ca="1">+IF(B1075&gt;'sap nuevo'!$V$1,"cargar",IF(C1075="","cargar","pagado"))</f>
        <v>cargar</v>
      </c>
      <c r="I1075" s="32">
        <f t="shared" si="140"/>
        <v>2026</v>
      </c>
      <c r="J1075" s="32">
        <f t="shared" si="141"/>
        <v>2</v>
      </c>
    </row>
    <row r="1076" spans="1:10" x14ac:dyDescent="0.25">
      <c r="A1076" t="s">
        <v>12</v>
      </c>
      <c r="B1076" t="s">
        <v>230</v>
      </c>
      <c r="C1076">
        <v>97124263</v>
      </c>
      <c r="D1076">
        <v>140</v>
      </c>
      <c r="E1076" s="4">
        <v>-9609301.8200000003</v>
      </c>
      <c r="F1076" t="s">
        <v>63</v>
      </c>
      <c r="G1076">
        <v>0</v>
      </c>
      <c r="H1076" s="32" t="str">
        <f ca="1">+IF(B1076&gt;'sap nuevo'!$V$1,"cargar",IF(C1076="","cargar","pagado"))</f>
        <v>cargar</v>
      </c>
      <c r="I1076" s="32">
        <f t="shared" si="140"/>
        <v>2026</v>
      </c>
      <c r="J1076" s="32">
        <f t="shared" si="141"/>
        <v>2</v>
      </c>
    </row>
    <row r="1077" spans="1:10" x14ac:dyDescent="0.25">
      <c r="A1077" t="s">
        <v>20</v>
      </c>
      <c r="B1077" t="s">
        <v>230</v>
      </c>
      <c r="C1077">
        <v>97124227</v>
      </c>
      <c r="D1077">
        <v>140</v>
      </c>
      <c r="E1077" s="4">
        <v>-9442273.5399999991</v>
      </c>
      <c r="F1077" t="s">
        <v>62</v>
      </c>
      <c r="G1077">
        <v>0</v>
      </c>
      <c r="H1077" s="32" t="str">
        <f ca="1">+IF(B1077&gt;'sap nuevo'!$V$1,"cargar",IF(C1077="","cargar","pagado"))</f>
        <v>cargar</v>
      </c>
      <c r="I1077" s="32">
        <f t="shared" si="140"/>
        <v>2026</v>
      </c>
      <c r="J1077" s="32">
        <f t="shared" si="141"/>
        <v>2</v>
      </c>
    </row>
    <row r="1078" spans="1:10" x14ac:dyDescent="0.25">
      <c r="A1078" t="s">
        <v>20</v>
      </c>
      <c r="B1078" t="s">
        <v>230</v>
      </c>
      <c r="C1078">
        <v>97124158</v>
      </c>
      <c r="D1078">
        <v>140</v>
      </c>
      <c r="E1078" s="4">
        <v>-9222695.3699999992</v>
      </c>
      <c r="F1078" t="s">
        <v>62</v>
      </c>
      <c r="G1078">
        <v>0</v>
      </c>
      <c r="H1078" s="32" t="str">
        <f ca="1">+IF(B1078&gt;'sap nuevo'!$V$1,"cargar",IF(C1078="","cargar","pagado"))</f>
        <v>cargar</v>
      </c>
      <c r="I1078" s="32">
        <f t="shared" si="140"/>
        <v>2026</v>
      </c>
      <c r="J1078" s="32">
        <f t="shared" si="141"/>
        <v>2</v>
      </c>
    </row>
    <row r="1079" spans="1:10" x14ac:dyDescent="0.25">
      <c r="A1079" t="s">
        <v>12</v>
      </c>
      <c r="B1079" t="s">
        <v>230</v>
      </c>
      <c r="C1079">
        <v>97124243</v>
      </c>
      <c r="D1079">
        <v>140</v>
      </c>
      <c r="E1079" s="4">
        <v>-2478343.7799999998</v>
      </c>
      <c r="F1079" t="s">
        <v>63</v>
      </c>
      <c r="G1079">
        <v>0</v>
      </c>
      <c r="H1079" s="32" t="str">
        <f ca="1">+IF(B1079&gt;'sap nuevo'!$V$1,"cargar",IF(C1079="","cargar","pagado"))</f>
        <v>cargar</v>
      </c>
      <c r="I1079" s="32">
        <f t="shared" ref="I1079:I1094" si="142">+YEAR(B1079)</f>
        <v>2026</v>
      </c>
      <c r="J1079" s="32">
        <f t="shared" ref="J1079:J1094" si="143">+MONTH(B1079)</f>
        <v>2</v>
      </c>
    </row>
    <row r="1080" spans="1:10" x14ac:dyDescent="0.25">
      <c r="A1080" t="s">
        <v>12</v>
      </c>
      <c r="B1080" t="s">
        <v>230</v>
      </c>
      <c r="C1080">
        <v>97124266</v>
      </c>
      <c r="D1080">
        <v>140</v>
      </c>
      <c r="E1080" s="4">
        <v>-1931528.73</v>
      </c>
      <c r="F1080" t="s">
        <v>63</v>
      </c>
      <c r="G1080">
        <v>0</v>
      </c>
      <c r="H1080" s="32" t="str">
        <f ca="1">+IF(B1080&gt;'sap nuevo'!$V$1,"cargar",IF(C1080="","cargar","pagado"))</f>
        <v>cargar</v>
      </c>
      <c r="I1080" s="32">
        <f t="shared" si="142"/>
        <v>2026</v>
      </c>
      <c r="J1080" s="32">
        <f t="shared" si="143"/>
        <v>2</v>
      </c>
    </row>
    <row r="1081" spans="1:10" x14ac:dyDescent="0.25">
      <c r="A1081" t="s">
        <v>20</v>
      </c>
      <c r="B1081" t="s">
        <v>230</v>
      </c>
      <c r="C1081">
        <v>97124265</v>
      </c>
      <c r="D1081">
        <v>140</v>
      </c>
      <c r="E1081" s="4">
        <v>-1923658.72</v>
      </c>
      <c r="F1081" t="s">
        <v>62</v>
      </c>
      <c r="G1081">
        <v>0</v>
      </c>
      <c r="H1081" s="32" t="str">
        <f ca="1">+IF(B1081&gt;'sap nuevo'!$V$1,"cargar",IF(C1081="","cargar","pagado"))</f>
        <v>cargar</v>
      </c>
      <c r="I1081" s="32">
        <f t="shared" si="142"/>
        <v>2026</v>
      </c>
      <c r="J1081" s="32">
        <f t="shared" si="143"/>
        <v>2</v>
      </c>
    </row>
    <row r="1082" spans="1:10" x14ac:dyDescent="0.25">
      <c r="A1082" t="s">
        <v>12</v>
      </c>
      <c r="B1082" t="s">
        <v>231</v>
      </c>
      <c r="C1082">
        <v>97124252</v>
      </c>
      <c r="D1082">
        <v>140</v>
      </c>
      <c r="E1082" s="4">
        <v>-14889062.4</v>
      </c>
      <c r="F1082" t="s">
        <v>63</v>
      </c>
      <c r="G1082">
        <v>0</v>
      </c>
      <c r="H1082" s="32" t="str">
        <f ca="1">+IF(B1082&gt;'sap nuevo'!$V$1,"cargar",IF(C1082="","cargar","pagado"))</f>
        <v>cargar</v>
      </c>
      <c r="I1082" s="32">
        <f t="shared" si="142"/>
        <v>2026</v>
      </c>
      <c r="J1082" s="32">
        <f t="shared" si="143"/>
        <v>2</v>
      </c>
    </row>
    <row r="1083" spans="1:10" x14ac:dyDescent="0.25">
      <c r="A1083" t="s">
        <v>12</v>
      </c>
      <c r="B1083" t="s">
        <v>231</v>
      </c>
      <c r="C1083">
        <v>97124249</v>
      </c>
      <c r="D1083">
        <v>140</v>
      </c>
      <c r="E1083" s="4">
        <v>-13586447.9</v>
      </c>
      <c r="F1083" t="s">
        <v>63</v>
      </c>
      <c r="G1083">
        <v>0</v>
      </c>
      <c r="H1083" s="32" t="str">
        <f ca="1">+IF(B1083&gt;'sap nuevo'!$V$1,"cargar",IF(C1083="","cargar","pagado"))</f>
        <v>cargar</v>
      </c>
      <c r="I1083" s="32">
        <f t="shared" si="142"/>
        <v>2026</v>
      </c>
      <c r="J1083" s="32">
        <f t="shared" si="143"/>
        <v>2</v>
      </c>
    </row>
    <row r="1084" spans="1:10" x14ac:dyDescent="0.25">
      <c r="A1084" t="s">
        <v>20</v>
      </c>
      <c r="B1084" t="s">
        <v>231</v>
      </c>
      <c r="C1084">
        <v>97124245</v>
      </c>
      <c r="D1084">
        <v>140</v>
      </c>
      <c r="E1084" s="4">
        <v>-11000000</v>
      </c>
      <c r="F1084" t="s">
        <v>62</v>
      </c>
      <c r="G1084">
        <v>0</v>
      </c>
      <c r="H1084" s="32" t="str">
        <f ca="1">+IF(B1084&gt;'sap nuevo'!$V$1,"cargar",IF(C1084="","cargar","pagado"))</f>
        <v>cargar</v>
      </c>
      <c r="I1084" s="32">
        <f t="shared" si="142"/>
        <v>2026</v>
      </c>
      <c r="J1084" s="32">
        <f t="shared" si="143"/>
        <v>2</v>
      </c>
    </row>
    <row r="1085" spans="1:10" x14ac:dyDescent="0.25">
      <c r="A1085" t="s">
        <v>20</v>
      </c>
      <c r="B1085" t="s">
        <v>231</v>
      </c>
      <c r="C1085">
        <v>97124246</v>
      </c>
      <c r="D1085">
        <v>140</v>
      </c>
      <c r="E1085" s="4">
        <v>-11000000</v>
      </c>
      <c r="F1085" t="s">
        <v>62</v>
      </c>
      <c r="G1085">
        <v>0</v>
      </c>
      <c r="H1085" s="32" t="str">
        <f ca="1">+IF(B1085&gt;'sap nuevo'!$V$1,"cargar",IF(C1085="","cargar","pagado"))</f>
        <v>cargar</v>
      </c>
      <c r="I1085" s="32">
        <f t="shared" si="142"/>
        <v>2026</v>
      </c>
      <c r="J1085" s="32">
        <f t="shared" si="143"/>
        <v>2</v>
      </c>
    </row>
    <row r="1086" spans="1:10" x14ac:dyDescent="0.25">
      <c r="A1086" t="s">
        <v>20</v>
      </c>
      <c r="B1086" t="s">
        <v>231</v>
      </c>
      <c r="C1086">
        <v>97124244</v>
      </c>
      <c r="D1086">
        <v>140</v>
      </c>
      <c r="E1086" s="4">
        <v>-10642233.449999999</v>
      </c>
      <c r="F1086" t="s">
        <v>62</v>
      </c>
      <c r="G1086">
        <v>0</v>
      </c>
      <c r="H1086" s="32" t="str">
        <f ca="1">+IF(B1086&gt;'sap nuevo'!$V$1,"cargar",IF(C1086="","cargar","pagado"))</f>
        <v>cargar</v>
      </c>
      <c r="I1086" s="32">
        <f t="shared" si="142"/>
        <v>2026</v>
      </c>
      <c r="J1086" s="32">
        <f t="shared" si="143"/>
        <v>2</v>
      </c>
    </row>
    <row r="1087" spans="1:10" x14ac:dyDescent="0.25">
      <c r="A1087" t="s">
        <v>12</v>
      </c>
      <c r="B1087" t="s">
        <v>231</v>
      </c>
      <c r="C1087">
        <v>97124267</v>
      </c>
      <c r="D1087">
        <v>140</v>
      </c>
      <c r="E1087" s="4">
        <v>-8367460.4699999997</v>
      </c>
      <c r="F1087" t="s">
        <v>63</v>
      </c>
      <c r="G1087">
        <v>0</v>
      </c>
      <c r="H1087" s="32" t="str">
        <f ca="1">+IF(B1087&gt;'sap nuevo'!$V$1,"cargar",IF(C1087="","cargar","pagado"))</f>
        <v>cargar</v>
      </c>
      <c r="I1087" s="32">
        <f t="shared" si="142"/>
        <v>2026</v>
      </c>
      <c r="J1087" s="32">
        <f t="shared" si="143"/>
        <v>2</v>
      </c>
    </row>
    <row r="1088" spans="1:10" x14ac:dyDescent="0.25">
      <c r="A1088" t="s">
        <v>20</v>
      </c>
      <c r="B1088" t="s">
        <v>231</v>
      </c>
      <c r="C1088">
        <v>97124230</v>
      </c>
      <c r="D1088">
        <v>140</v>
      </c>
      <c r="E1088" s="4">
        <v>-3559796.7</v>
      </c>
      <c r="F1088" t="s">
        <v>62</v>
      </c>
      <c r="G1088">
        <v>0</v>
      </c>
      <c r="H1088" s="32" t="str">
        <f ca="1">+IF(B1088&gt;'sap nuevo'!$V$1,"cargar",IF(C1088="","cargar","pagado"))</f>
        <v>cargar</v>
      </c>
      <c r="I1088" s="32">
        <f t="shared" si="142"/>
        <v>2026</v>
      </c>
      <c r="J1088" s="32">
        <f t="shared" si="143"/>
        <v>2</v>
      </c>
    </row>
    <row r="1089" spans="1:10" x14ac:dyDescent="0.25">
      <c r="A1089" t="s">
        <v>12</v>
      </c>
      <c r="B1089" t="s">
        <v>232</v>
      </c>
      <c r="C1089">
        <v>97124250</v>
      </c>
      <c r="D1089">
        <v>140</v>
      </c>
      <c r="E1089" s="4">
        <v>-28110285.800000001</v>
      </c>
      <c r="F1089" t="s">
        <v>63</v>
      </c>
      <c r="G1089">
        <v>0</v>
      </c>
      <c r="H1089" s="32" t="str">
        <f ca="1">+IF(B1089&gt;'sap nuevo'!$V$1,"cargar",IF(C1089="","cargar","pagado"))</f>
        <v>cargar</v>
      </c>
      <c r="I1089" s="32">
        <f t="shared" si="142"/>
        <v>2026</v>
      </c>
      <c r="J1089" s="32">
        <f t="shared" si="143"/>
        <v>2</v>
      </c>
    </row>
    <row r="1090" spans="1:10" x14ac:dyDescent="0.25">
      <c r="A1090" t="s">
        <v>20</v>
      </c>
      <c r="B1090" t="s">
        <v>232</v>
      </c>
      <c r="C1090">
        <v>97124251</v>
      </c>
      <c r="D1090">
        <v>140</v>
      </c>
      <c r="E1090" s="4">
        <v>-26281870.199999999</v>
      </c>
      <c r="F1090" t="s">
        <v>62</v>
      </c>
      <c r="G1090">
        <v>0</v>
      </c>
      <c r="H1090" s="32" t="str">
        <f ca="1">+IF(B1090&gt;'sap nuevo'!$V$1,"cargar",IF(C1090="","cargar","pagado"))</f>
        <v>cargar</v>
      </c>
      <c r="I1090" s="32">
        <f t="shared" si="142"/>
        <v>2026</v>
      </c>
      <c r="J1090" s="32">
        <f t="shared" si="143"/>
        <v>2</v>
      </c>
    </row>
    <row r="1091" spans="1:10" x14ac:dyDescent="0.25">
      <c r="A1091" t="s">
        <v>20</v>
      </c>
      <c r="B1091" t="s">
        <v>232</v>
      </c>
      <c r="C1091">
        <v>97124253</v>
      </c>
      <c r="D1091">
        <v>140</v>
      </c>
      <c r="E1091" s="4">
        <v>-14791343.4</v>
      </c>
      <c r="F1091" t="s">
        <v>62</v>
      </c>
      <c r="G1091">
        <v>0</v>
      </c>
      <c r="H1091" s="32" t="str">
        <f ca="1">+IF(B1091&gt;'sap nuevo'!$V$1,"cargar",IF(C1091="","cargar","pagado"))</f>
        <v>cargar</v>
      </c>
      <c r="I1091" s="32">
        <f t="shared" si="142"/>
        <v>2026</v>
      </c>
      <c r="J1091" s="32">
        <f t="shared" si="143"/>
        <v>2</v>
      </c>
    </row>
    <row r="1092" spans="1:10" x14ac:dyDescent="0.25">
      <c r="A1092" t="s">
        <v>20</v>
      </c>
      <c r="B1092" t="s">
        <v>232</v>
      </c>
      <c r="C1092">
        <v>97124264</v>
      </c>
      <c r="D1092">
        <v>140</v>
      </c>
      <c r="E1092" s="4">
        <v>-12506622.779999999</v>
      </c>
      <c r="F1092" t="s">
        <v>62</v>
      </c>
      <c r="G1092">
        <v>0</v>
      </c>
      <c r="H1092" s="32" t="str">
        <f ca="1">+IF(B1092&gt;'sap nuevo'!$V$1,"cargar",IF(C1092="","cargar","pagado"))</f>
        <v>cargar</v>
      </c>
      <c r="I1092" s="32">
        <f t="shared" si="142"/>
        <v>2026</v>
      </c>
      <c r="J1092" s="32">
        <f t="shared" si="143"/>
        <v>2</v>
      </c>
    </row>
    <row r="1093" spans="1:10" x14ac:dyDescent="0.25">
      <c r="A1093" t="s">
        <v>20</v>
      </c>
      <c r="B1093" t="s">
        <v>328</v>
      </c>
      <c r="C1093">
        <v>97124222</v>
      </c>
      <c r="D1093">
        <v>140</v>
      </c>
      <c r="E1093" s="4">
        <v>-4432607.3</v>
      </c>
      <c r="F1093" t="s">
        <v>62</v>
      </c>
      <c r="G1093">
        <v>0</v>
      </c>
      <c r="H1093" s="32" t="str">
        <f ca="1">+IF(B1093&gt;'sap nuevo'!$V$1,"cargar",IF(C1093="","cargar","pagado"))</f>
        <v>cargar</v>
      </c>
      <c r="I1093" s="32">
        <f t="shared" si="142"/>
        <v>2026</v>
      </c>
      <c r="J1093" s="32">
        <f t="shared" si="143"/>
        <v>2</v>
      </c>
    </row>
    <row r="1094" spans="1:10" x14ac:dyDescent="0.25">
      <c r="A1094" t="s">
        <v>12</v>
      </c>
      <c r="B1094" t="s">
        <v>329</v>
      </c>
      <c r="C1094">
        <v>97124207</v>
      </c>
      <c r="D1094">
        <v>140</v>
      </c>
      <c r="E1094" s="4">
        <v>-20000000</v>
      </c>
      <c r="F1094" t="s">
        <v>63</v>
      </c>
      <c r="G1094">
        <v>0</v>
      </c>
      <c r="H1094" s="32" t="str">
        <f ca="1">+IF(B1094&gt;'sap nuevo'!$V$1,"cargar",IF(C1094="","cargar","pagado"))</f>
        <v>cargar</v>
      </c>
      <c r="I1094" s="32">
        <f t="shared" si="142"/>
        <v>2026</v>
      </c>
      <c r="J1094" s="32">
        <f t="shared" si="143"/>
        <v>2</v>
      </c>
    </row>
    <row r="1095" spans="1:10" x14ac:dyDescent="0.25">
      <c r="A1095" t="s">
        <v>12</v>
      </c>
      <c r="B1095" t="s">
        <v>233</v>
      </c>
      <c r="C1095">
        <v>97124254</v>
      </c>
      <c r="D1095">
        <v>140</v>
      </c>
      <c r="E1095" s="4">
        <v>-7085959.4000000004</v>
      </c>
      <c r="F1095" t="s">
        <v>63</v>
      </c>
      <c r="G1095">
        <v>0</v>
      </c>
      <c r="H1095" s="32" t="str">
        <f ca="1">+IF(B1095&gt;'sap nuevo'!$V$1,"cargar",IF(C1095="","cargar","pagado"))</f>
        <v>cargar</v>
      </c>
      <c r="I1095" s="32">
        <f t="shared" ref="I1095:I1118" si="144">+YEAR(B1095)</f>
        <v>2026</v>
      </c>
      <c r="J1095" s="32">
        <f t="shared" ref="J1095:J1118" si="145">+MONTH(B1095)</f>
        <v>2</v>
      </c>
    </row>
    <row r="1096" spans="1:10" x14ac:dyDescent="0.25">
      <c r="A1096" t="s">
        <v>20</v>
      </c>
      <c r="B1096" t="s">
        <v>234</v>
      </c>
      <c r="C1096">
        <v>97124093</v>
      </c>
      <c r="D1096">
        <v>140</v>
      </c>
      <c r="E1096" s="4">
        <v>-38103800</v>
      </c>
      <c r="F1096" t="s">
        <v>62</v>
      </c>
      <c r="G1096">
        <v>0</v>
      </c>
      <c r="H1096" s="32" t="str">
        <f ca="1">+IF(B1096&gt;'sap nuevo'!$V$1,"cargar",IF(C1096="","cargar","pagado"))</f>
        <v>cargar</v>
      </c>
      <c r="I1096" s="32">
        <f t="shared" si="144"/>
        <v>2026</v>
      </c>
      <c r="J1096" s="32">
        <f t="shared" si="145"/>
        <v>2</v>
      </c>
    </row>
    <row r="1097" spans="1:10" x14ac:dyDescent="0.25">
      <c r="A1097" t="s">
        <v>20</v>
      </c>
      <c r="B1097" t="s">
        <v>234</v>
      </c>
      <c r="C1097">
        <v>97121397</v>
      </c>
      <c r="D1097">
        <v>140</v>
      </c>
      <c r="E1097" s="4">
        <v>-15958400</v>
      </c>
      <c r="F1097" t="s">
        <v>62</v>
      </c>
      <c r="G1097">
        <v>0</v>
      </c>
      <c r="H1097" s="32" t="str">
        <f ca="1">+IF(B1097&gt;'sap nuevo'!$V$1,"cargar",IF(C1097="","cargar","pagado"))</f>
        <v>cargar</v>
      </c>
      <c r="I1097" s="32">
        <f t="shared" si="144"/>
        <v>2026</v>
      </c>
      <c r="J1097" s="32">
        <f t="shared" si="145"/>
        <v>2</v>
      </c>
    </row>
    <row r="1098" spans="1:10" x14ac:dyDescent="0.25">
      <c r="A1098" t="s">
        <v>20</v>
      </c>
      <c r="B1098" t="s">
        <v>234</v>
      </c>
      <c r="C1098">
        <v>97124282</v>
      </c>
      <c r="D1098">
        <v>140</v>
      </c>
      <c r="E1098" s="4">
        <v>-15931309.16</v>
      </c>
      <c r="F1098" t="s">
        <v>62</v>
      </c>
      <c r="G1098">
        <v>0</v>
      </c>
      <c r="H1098" s="32" t="str">
        <f ca="1">+IF(B1098&gt;'sap nuevo'!$V$1,"cargar",IF(C1098="","cargar","pagado"))</f>
        <v>cargar</v>
      </c>
      <c r="I1098" s="32">
        <f t="shared" si="144"/>
        <v>2026</v>
      </c>
      <c r="J1098" s="32">
        <f t="shared" si="145"/>
        <v>2</v>
      </c>
    </row>
    <row r="1099" spans="1:10" x14ac:dyDescent="0.25">
      <c r="A1099" t="s">
        <v>20</v>
      </c>
      <c r="B1099" t="s">
        <v>234</v>
      </c>
      <c r="C1099">
        <v>97124275</v>
      </c>
      <c r="D1099">
        <v>140</v>
      </c>
      <c r="E1099" s="4">
        <v>-13554778.1</v>
      </c>
      <c r="F1099" t="s">
        <v>62</v>
      </c>
      <c r="G1099">
        <v>0</v>
      </c>
      <c r="H1099" s="32" t="str">
        <f ca="1">+IF(B1099&gt;'sap nuevo'!$V$1,"cargar",IF(C1099="","cargar","pagado"))</f>
        <v>cargar</v>
      </c>
      <c r="I1099" s="32">
        <f t="shared" si="144"/>
        <v>2026</v>
      </c>
      <c r="J1099" s="32">
        <f t="shared" si="145"/>
        <v>2</v>
      </c>
    </row>
    <row r="1100" spans="1:10" x14ac:dyDescent="0.25">
      <c r="A1100" t="s">
        <v>12</v>
      </c>
      <c r="B1100" t="s">
        <v>234</v>
      </c>
      <c r="C1100">
        <v>97124278</v>
      </c>
      <c r="D1100">
        <v>140</v>
      </c>
      <c r="E1100" s="4">
        <v>-12521883.4</v>
      </c>
      <c r="F1100" t="s">
        <v>63</v>
      </c>
      <c r="G1100">
        <v>0</v>
      </c>
      <c r="H1100" s="32" t="str">
        <f ca="1">+IF(B1100&gt;'sap nuevo'!$V$1,"cargar",IF(C1100="","cargar","pagado"))</f>
        <v>cargar</v>
      </c>
      <c r="I1100" s="32">
        <f t="shared" si="144"/>
        <v>2026</v>
      </c>
      <c r="J1100" s="32">
        <f t="shared" si="145"/>
        <v>2</v>
      </c>
    </row>
    <row r="1101" spans="1:10" x14ac:dyDescent="0.25">
      <c r="A1101" t="s">
        <v>20</v>
      </c>
      <c r="B1101" t="s">
        <v>234</v>
      </c>
      <c r="C1101">
        <v>97124248</v>
      </c>
      <c r="D1101">
        <v>140</v>
      </c>
      <c r="E1101" s="4">
        <v>-11073173.4</v>
      </c>
      <c r="F1101" t="s">
        <v>62</v>
      </c>
      <c r="G1101">
        <v>0</v>
      </c>
      <c r="H1101" s="32" t="str">
        <f ca="1">+IF(B1101&gt;'sap nuevo'!$V$1,"cargar",IF(C1101="","cargar","pagado"))</f>
        <v>cargar</v>
      </c>
      <c r="I1101" s="32">
        <f t="shared" si="144"/>
        <v>2026</v>
      </c>
      <c r="J1101" s="32">
        <f t="shared" si="145"/>
        <v>2</v>
      </c>
    </row>
    <row r="1102" spans="1:10" x14ac:dyDescent="0.25">
      <c r="A1102" t="s">
        <v>20</v>
      </c>
      <c r="B1102" t="s">
        <v>234</v>
      </c>
      <c r="C1102">
        <v>97124247</v>
      </c>
      <c r="D1102">
        <v>140</v>
      </c>
      <c r="E1102" s="4">
        <v>-11000000</v>
      </c>
      <c r="F1102" t="s">
        <v>62</v>
      </c>
      <c r="G1102">
        <v>0</v>
      </c>
      <c r="H1102" s="32" t="str">
        <f ca="1">+IF(B1102&gt;'sap nuevo'!$V$1,"cargar",IF(C1102="","cargar","pagado"))</f>
        <v>cargar</v>
      </c>
      <c r="I1102" s="32">
        <f t="shared" si="144"/>
        <v>2026</v>
      </c>
      <c r="J1102" s="32">
        <f t="shared" si="145"/>
        <v>2</v>
      </c>
    </row>
    <row r="1103" spans="1:10" x14ac:dyDescent="0.25">
      <c r="A1103" t="s">
        <v>20</v>
      </c>
      <c r="B1103" t="s">
        <v>234</v>
      </c>
      <c r="C1103">
        <v>97124255</v>
      </c>
      <c r="D1103">
        <v>140</v>
      </c>
      <c r="E1103" s="4">
        <v>-10000000</v>
      </c>
      <c r="F1103" t="s">
        <v>62</v>
      </c>
      <c r="G1103">
        <v>0</v>
      </c>
      <c r="H1103" s="32" t="str">
        <f ca="1">+IF(B1103&gt;'sap nuevo'!$V$1,"cargar",IF(C1103="","cargar","pagado"))</f>
        <v>cargar</v>
      </c>
      <c r="I1103" s="32">
        <f t="shared" si="144"/>
        <v>2026</v>
      </c>
      <c r="J1103" s="32">
        <f t="shared" si="145"/>
        <v>2</v>
      </c>
    </row>
    <row r="1104" spans="1:10" x14ac:dyDescent="0.25">
      <c r="A1104" t="s">
        <v>20</v>
      </c>
      <c r="B1104" t="s">
        <v>234</v>
      </c>
      <c r="C1104">
        <v>97124256</v>
      </c>
      <c r="D1104">
        <v>140</v>
      </c>
      <c r="E1104" s="4">
        <v>-10000000</v>
      </c>
      <c r="F1104" t="s">
        <v>62</v>
      </c>
      <c r="G1104">
        <v>0</v>
      </c>
      <c r="H1104" s="32" t="str">
        <f ca="1">+IF(B1104&gt;'sap nuevo'!$V$1,"cargar",IF(C1104="","cargar","pagado"))</f>
        <v>cargar</v>
      </c>
      <c r="I1104" s="32">
        <f t="shared" si="144"/>
        <v>2026</v>
      </c>
      <c r="J1104" s="32">
        <f t="shared" si="145"/>
        <v>2</v>
      </c>
    </row>
    <row r="1105" spans="1:10" x14ac:dyDescent="0.25">
      <c r="A1105" t="s">
        <v>20</v>
      </c>
      <c r="B1105" t="s">
        <v>234</v>
      </c>
      <c r="C1105">
        <v>97124257</v>
      </c>
      <c r="D1105">
        <v>140</v>
      </c>
      <c r="E1105" s="4">
        <v>-10000000</v>
      </c>
      <c r="F1105" t="s">
        <v>62</v>
      </c>
      <c r="G1105">
        <v>0</v>
      </c>
      <c r="H1105" s="32" t="str">
        <f ca="1">+IF(B1105&gt;'sap nuevo'!$V$1,"cargar",IF(C1105="","cargar","pagado"))</f>
        <v>cargar</v>
      </c>
      <c r="I1105" s="32">
        <f t="shared" si="144"/>
        <v>2026</v>
      </c>
      <c r="J1105" s="32">
        <f t="shared" si="145"/>
        <v>2</v>
      </c>
    </row>
    <row r="1106" spans="1:10" x14ac:dyDescent="0.25">
      <c r="A1106" t="s">
        <v>12</v>
      </c>
      <c r="B1106" t="s">
        <v>234</v>
      </c>
      <c r="C1106">
        <v>97124279</v>
      </c>
      <c r="D1106">
        <v>140</v>
      </c>
      <c r="E1106" s="4">
        <v>-9407167</v>
      </c>
      <c r="F1106" t="s">
        <v>63</v>
      </c>
      <c r="G1106">
        <v>0</v>
      </c>
      <c r="H1106" s="32" t="str">
        <f ca="1">+IF(B1106&gt;'sap nuevo'!$V$1,"cargar",IF(C1106="","cargar","pagado"))</f>
        <v>cargar</v>
      </c>
      <c r="I1106" s="32">
        <f t="shared" si="144"/>
        <v>2026</v>
      </c>
      <c r="J1106" s="32">
        <f t="shared" si="145"/>
        <v>2</v>
      </c>
    </row>
    <row r="1107" spans="1:10" x14ac:dyDescent="0.25">
      <c r="A1107" t="s">
        <v>12</v>
      </c>
      <c r="B1107" t="s">
        <v>234</v>
      </c>
      <c r="C1107">
        <v>97124277</v>
      </c>
      <c r="D1107">
        <v>140</v>
      </c>
      <c r="E1107" s="4">
        <v>-7730178.5</v>
      </c>
      <c r="F1107" t="s">
        <v>63</v>
      </c>
      <c r="G1107">
        <v>0</v>
      </c>
      <c r="H1107" s="32" t="str">
        <f ca="1">+IF(B1107&gt;'sap nuevo'!$V$1,"cargar",IF(C1107="","cargar","pagado"))</f>
        <v>cargar</v>
      </c>
      <c r="I1107" s="32">
        <f t="shared" si="144"/>
        <v>2026</v>
      </c>
      <c r="J1107" s="32">
        <f t="shared" si="145"/>
        <v>2</v>
      </c>
    </row>
    <row r="1108" spans="1:10" x14ac:dyDescent="0.25">
      <c r="A1108" t="s">
        <v>20</v>
      </c>
      <c r="B1108" t="s">
        <v>234</v>
      </c>
      <c r="C1108">
        <v>97124281</v>
      </c>
      <c r="D1108">
        <v>140</v>
      </c>
      <c r="E1108" s="4">
        <v>-5863484.4000000004</v>
      </c>
      <c r="F1108" t="s">
        <v>62</v>
      </c>
      <c r="G1108">
        <v>0</v>
      </c>
      <c r="H1108" s="32" t="str">
        <f ca="1">+IF(B1108&gt;'sap nuevo'!$V$1,"cargar",IF(C1108="","cargar","pagado"))</f>
        <v>cargar</v>
      </c>
      <c r="I1108" s="32">
        <f t="shared" si="144"/>
        <v>2026</v>
      </c>
      <c r="J1108" s="32">
        <f t="shared" si="145"/>
        <v>2</v>
      </c>
    </row>
    <row r="1109" spans="1:10" x14ac:dyDescent="0.25">
      <c r="A1109" t="s">
        <v>20</v>
      </c>
      <c r="B1109" t="s">
        <v>234</v>
      </c>
      <c r="C1109">
        <v>97124258</v>
      </c>
      <c r="D1109">
        <v>140</v>
      </c>
      <c r="E1109" s="4">
        <v>-5000000</v>
      </c>
      <c r="F1109" t="s">
        <v>62</v>
      </c>
      <c r="G1109">
        <v>0</v>
      </c>
      <c r="H1109" s="32" t="str">
        <f ca="1">+IF(B1109&gt;'sap nuevo'!$V$1,"cargar",IF(C1109="","cargar","pagado"))</f>
        <v>cargar</v>
      </c>
      <c r="I1109" s="32">
        <f t="shared" si="144"/>
        <v>2026</v>
      </c>
      <c r="J1109" s="32">
        <f t="shared" si="145"/>
        <v>2</v>
      </c>
    </row>
    <row r="1110" spans="1:10" x14ac:dyDescent="0.25">
      <c r="A1110" t="s">
        <v>20</v>
      </c>
      <c r="B1110" t="s">
        <v>234</v>
      </c>
      <c r="C1110">
        <v>97124259</v>
      </c>
      <c r="D1110">
        <v>140</v>
      </c>
      <c r="E1110" s="4">
        <v>-5000000</v>
      </c>
      <c r="F1110" t="s">
        <v>62</v>
      </c>
      <c r="G1110">
        <v>0</v>
      </c>
      <c r="H1110" s="32" t="str">
        <f ca="1">+IF(B1110&gt;'sap nuevo'!$V$1,"cargar",IF(C1110="","cargar","pagado"))</f>
        <v>cargar</v>
      </c>
      <c r="I1110" s="32">
        <f t="shared" si="144"/>
        <v>2026</v>
      </c>
      <c r="J1110" s="32">
        <f t="shared" si="145"/>
        <v>2</v>
      </c>
    </row>
    <row r="1111" spans="1:10" x14ac:dyDescent="0.25">
      <c r="A1111" t="s">
        <v>20</v>
      </c>
      <c r="B1111" t="s">
        <v>234</v>
      </c>
      <c r="C1111">
        <v>97124280</v>
      </c>
      <c r="D1111">
        <v>140</v>
      </c>
      <c r="E1111" s="4">
        <v>-3603557.4</v>
      </c>
      <c r="F1111" t="s">
        <v>62</v>
      </c>
      <c r="G1111">
        <v>0</v>
      </c>
      <c r="H1111" s="32" t="str">
        <f ca="1">+IF(B1111&gt;'sap nuevo'!$V$1,"cargar",IF(C1111="","cargar","pagado"))</f>
        <v>cargar</v>
      </c>
      <c r="I1111" s="32">
        <f t="shared" si="144"/>
        <v>2026</v>
      </c>
      <c r="J1111" s="32">
        <f t="shared" si="145"/>
        <v>2</v>
      </c>
    </row>
    <row r="1112" spans="1:10" x14ac:dyDescent="0.25">
      <c r="A1112" t="s">
        <v>20</v>
      </c>
      <c r="B1112" t="s">
        <v>234</v>
      </c>
      <c r="C1112">
        <v>97124283</v>
      </c>
      <c r="D1112">
        <v>140</v>
      </c>
      <c r="E1112" s="4">
        <v>-3287874.21</v>
      </c>
      <c r="F1112" t="s">
        <v>62</v>
      </c>
      <c r="G1112">
        <v>0</v>
      </c>
      <c r="H1112" s="32" t="str">
        <f ca="1">+IF(B1112&gt;'sap nuevo'!$V$1,"cargar",IF(C1112="","cargar","pagado"))</f>
        <v>cargar</v>
      </c>
      <c r="I1112" s="32">
        <f t="shared" si="144"/>
        <v>2026</v>
      </c>
      <c r="J1112" s="32">
        <f t="shared" si="145"/>
        <v>2</v>
      </c>
    </row>
    <row r="1113" spans="1:10" x14ac:dyDescent="0.25">
      <c r="A1113" t="s">
        <v>20</v>
      </c>
      <c r="B1113" t="s">
        <v>234</v>
      </c>
      <c r="C1113">
        <v>97124271</v>
      </c>
      <c r="D1113">
        <v>140</v>
      </c>
      <c r="E1113" s="4">
        <v>-2551354.7999999998</v>
      </c>
      <c r="F1113" t="s">
        <v>62</v>
      </c>
      <c r="G1113">
        <v>0</v>
      </c>
      <c r="H1113" s="32" t="str">
        <f ca="1">+IF(B1113&gt;'sap nuevo'!$V$1,"cargar",IF(C1113="","cargar","pagado"))</f>
        <v>cargar</v>
      </c>
      <c r="I1113" s="32">
        <f t="shared" si="144"/>
        <v>2026</v>
      </c>
      <c r="J1113" s="32">
        <f t="shared" si="145"/>
        <v>2</v>
      </c>
    </row>
    <row r="1114" spans="1:10" x14ac:dyDescent="0.25">
      <c r="A1114" t="s">
        <v>12</v>
      </c>
      <c r="B1114" t="s">
        <v>234</v>
      </c>
      <c r="C1114">
        <v>97124274</v>
      </c>
      <c r="D1114">
        <v>140</v>
      </c>
      <c r="E1114" s="4">
        <v>-2531323.7400000002</v>
      </c>
      <c r="F1114" t="s">
        <v>63</v>
      </c>
      <c r="G1114">
        <v>0</v>
      </c>
      <c r="H1114" s="32" t="str">
        <f ca="1">+IF(B1114&gt;'sap nuevo'!$V$1,"cargar",IF(C1114="","cargar","pagado"))</f>
        <v>cargar</v>
      </c>
      <c r="I1114" s="32">
        <f t="shared" si="144"/>
        <v>2026</v>
      </c>
      <c r="J1114" s="32">
        <f t="shared" si="145"/>
        <v>2</v>
      </c>
    </row>
    <row r="1115" spans="1:10" x14ac:dyDescent="0.25">
      <c r="A1115" t="s">
        <v>20</v>
      </c>
      <c r="B1115" t="s">
        <v>234</v>
      </c>
      <c r="C1115">
        <v>97124285</v>
      </c>
      <c r="D1115">
        <v>140</v>
      </c>
      <c r="E1115" s="4">
        <v>-2510717.92</v>
      </c>
      <c r="F1115" t="s">
        <v>62</v>
      </c>
      <c r="G1115">
        <v>0</v>
      </c>
      <c r="H1115" s="32" t="str">
        <f ca="1">+IF(B1115&gt;'sap nuevo'!$V$1,"cargar",IF(C1115="","cargar","pagado"))</f>
        <v>cargar</v>
      </c>
      <c r="I1115" s="32">
        <f t="shared" si="144"/>
        <v>2026</v>
      </c>
      <c r="J1115" s="32">
        <f t="shared" si="145"/>
        <v>2</v>
      </c>
    </row>
    <row r="1116" spans="1:10" x14ac:dyDescent="0.25">
      <c r="A1116" t="s">
        <v>12</v>
      </c>
      <c r="B1116" t="s">
        <v>234</v>
      </c>
      <c r="C1116">
        <v>97124273</v>
      </c>
      <c r="D1116">
        <v>140</v>
      </c>
      <c r="E1116" s="4">
        <v>-2150233.5499999998</v>
      </c>
      <c r="F1116" t="s">
        <v>63</v>
      </c>
      <c r="G1116">
        <v>0</v>
      </c>
      <c r="H1116" s="32" t="str">
        <f ca="1">+IF(B1116&gt;'sap nuevo'!$V$1,"cargar",IF(C1116="","cargar","pagado"))</f>
        <v>cargar</v>
      </c>
      <c r="I1116" s="32">
        <f t="shared" si="144"/>
        <v>2026</v>
      </c>
      <c r="J1116" s="32">
        <f t="shared" si="145"/>
        <v>2</v>
      </c>
    </row>
    <row r="1117" spans="1:10" x14ac:dyDescent="0.25">
      <c r="A1117" t="s">
        <v>20</v>
      </c>
      <c r="B1117" t="s">
        <v>235</v>
      </c>
      <c r="C1117">
        <v>97124276</v>
      </c>
      <c r="D1117">
        <v>140</v>
      </c>
      <c r="E1117" s="4">
        <v>-19373762.399999999</v>
      </c>
      <c r="F1117" t="s">
        <v>62</v>
      </c>
      <c r="G1117">
        <v>0</v>
      </c>
      <c r="H1117" s="32" t="str">
        <f ca="1">+IF(B1117&gt;'sap nuevo'!$V$1,"cargar",IF(C1117="","cargar","pagado"))</f>
        <v>cargar</v>
      </c>
      <c r="I1117" s="32">
        <f t="shared" si="144"/>
        <v>2026</v>
      </c>
      <c r="J1117" s="32">
        <f t="shared" si="145"/>
        <v>2</v>
      </c>
    </row>
    <row r="1118" spans="1:10" x14ac:dyDescent="0.25">
      <c r="A1118" t="s">
        <v>20</v>
      </c>
      <c r="B1118" t="s">
        <v>235</v>
      </c>
      <c r="C1118">
        <v>97124287</v>
      </c>
      <c r="D1118">
        <v>140</v>
      </c>
      <c r="E1118" s="4">
        <v>-11285687.92</v>
      </c>
      <c r="F1118" t="s">
        <v>62</v>
      </c>
      <c r="G1118">
        <v>0</v>
      </c>
      <c r="H1118" s="32" t="str">
        <f ca="1">+IF(B1118&gt;'sap nuevo'!$V$1,"cargar",IF(C1118="","cargar","pagado"))</f>
        <v>cargar</v>
      </c>
      <c r="I1118" s="32">
        <f t="shared" si="144"/>
        <v>2026</v>
      </c>
      <c r="J1118" s="32">
        <f t="shared" si="145"/>
        <v>2</v>
      </c>
    </row>
    <row r="1119" spans="1:10" x14ac:dyDescent="0.25">
      <c r="A1119" t="s">
        <v>20</v>
      </c>
      <c r="B1119" t="s">
        <v>235</v>
      </c>
      <c r="C1119">
        <v>97124284</v>
      </c>
      <c r="D1119">
        <v>140</v>
      </c>
      <c r="E1119" s="4">
        <v>-8357788.8700000001</v>
      </c>
      <c r="F1119" t="s">
        <v>62</v>
      </c>
      <c r="G1119">
        <v>0</v>
      </c>
      <c r="H1119" s="32" t="str">
        <f ca="1">+IF(B1119&gt;'sap nuevo'!$V$1,"cargar",IF(C1119="","cargar","pagado"))</f>
        <v>cargar</v>
      </c>
      <c r="I1119" s="32">
        <f t="shared" ref="I1119:I1138" si="146">+YEAR(B1119)</f>
        <v>2026</v>
      </c>
      <c r="J1119" s="32">
        <f t="shared" ref="J1119:J1138" si="147">+MONTH(B1119)</f>
        <v>2</v>
      </c>
    </row>
    <row r="1120" spans="1:10" x14ac:dyDescent="0.25">
      <c r="A1120" t="s">
        <v>20</v>
      </c>
      <c r="B1120" t="s">
        <v>235</v>
      </c>
      <c r="C1120">
        <v>97124286</v>
      </c>
      <c r="D1120">
        <v>140</v>
      </c>
      <c r="E1120" s="4">
        <v>-7531817.9199999999</v>
      </c>
      <c r="F1120" t="s">
        <v>62</v>
      </c>
      <c r="G1120">
        <v>0</v>
      </c>
      <c r="H1120" s="32" t="str">
        <f ca="1">+IF(B1120&gt;'sap nuevo'!$V$1,"cargar",IF(C1120="","cargar","pagado"))</f>
        <v>cargar</v>
      </c>
      <c r="I1120" s="32">
        <f t="shared" si="146"/>
        <v>2026</v>
      </c>
      <c r="J1120" s="32">
        <f t="shared" si="147"/>
        <v>2</v>
      </c>
    </row>
    <row r="1121" spans="1:10" x14ac:dyDescent="0.25">
      <c r="A1121" t="s">
        <v>20</v>
      </c>
      <c r="B1121" t="s">
        <v>236</v>
      </c>
      <c r="C1121">
        <v>97124065</v>
      </c>
      <c r="D1121">
        <v>140</v>
      </c>
      <c r="E1121" s="4">
        <v>-63601602.25</v>
      </c>
      <c r="F1121" t="s">
        <v>62</v>
      </c>
      <c r="G1121">
        <v>0</v>
      </c>
      <c r="H1121" s="32" t="str">
        <f ca="1">+IF(B1121&gt;'sap nuevo'!$V$1,"cargar",IF(C1121="","cargar","pagado"))</f>
        <v>cargar</v>
      </c>
      <c r="I1121" s="32">
        <f t="shared" si="146"/>
        <v>2026</v>
      </c>
      <c r="J1121" s="32">
        <f t="shared" si="147"/>
        <v>2</v>
      </c>
    </row>
    <row r="1122" spans="1:10" x14ac:dyDescent="0.25">
      <c r="A1122" t="s">
        <v>20</v>
      </c>
      <c r="B1122" t="s">
        <v>236</v>
      </c>
      <c r="C1122">
        <v>97124292</v>
      </c>
      <c r="D1122">
        <v>140</v>
      </c>
      <c r="E1122" s="4">
        <v>-6090000</v>
      </c>
      <c r="F1122" t="s">
        <v>62</v>
      </c>
      <c r="G1122">
        <v>0</v>
      </c>
      <c r="H1122" s="32" t="str">
        <f ca="1">+IF(B1122&gt;'sap nuevo'!$V$1,"cargar",IF(C1122="","cargar","pagado"))</f>
        <v>cargar</v>
      </c>
      <c r="I1122" s="32">
        <f t="shared" si="146"/>
        <v>2026</v>
      </c>
      <c r="J1122" s="32">
        <f t="shared" si="147"/>
        <v>2</v>
      </c>
    </row>
    <row r="1123" spans="1:10" x14ac:dyDescent="0.25">
      <c r="A1123" t="s">
        <v>20</v>
      </c>
      <c r="B1123" t="s">
        <v>236</v>
      </c>
      <c r="C1123">
        <v>97124289</v>
      </c>
      <c r="D1123">
        <v>140</v>
      </c>
      <c r="E1123" s="4">
        <v>-5453317.1100000003</v>
      </c>
      <c r="F1123" t="s">
        <v>62</v>
      </c>
      <c r="G1123">
        <v>0</v>
      </c>
      <c r="H1123" s="32" t="str">
        <f ca="1">+IF(B1123&gt;'sap nuevo'!$V$1,"cargar",IF(C1123="","cargar","pagado"))</f>
        <v>cargar</v>
      </c>
      <c r="I1123" s="32">
        <f t="shared" si="146"/>
        <v>2026</v>
      </c>
      <c r="J1123" s="32">
        <f t="shared" si="147"/>
        <v>2</v>
      </c>
    </row>
    <row r="1124" spans="1:10" x14ac:dyDescent="0.25">
      <c r="A1124" t="s">
        <v>20</v>
      </c>
      <c r="B1124" t="s">
        <v>237</v>
      </c>
      <c r="C1124">
        <v>97124291</v>
      </c>
      <c r="D1124">
        <v>140</v>
      </c>
      <c r="E1124" s="4">
        <v>-12558679.5</v>
      </c>
      <c r="F1124" t="s">
        <v>62</v>
      </c>
      <c r="G1124">
        <v>0</v>
      </c>
      <c r="H1124" s="32" t="str">
        <f ca="1">+IF(B1124&gt;'sap nuevo'!$V$1,"cargar",IF(C1124="","cargar","pagado"))</f>
        <v>cargar</v>
      </c>
      <c r="I1124" s="32">
        <f t="shared" si="146"/>
        <v>2026</v>
      </c>
      <c r="J1124" s="32">
        <f t="shared" si="147"/>
        <v>2</v>
      </c>
    </row>
    <row r="1125" spans="1:10" x14ac:dyDescent="0.25">
      <c r="A1125" t="s">
        <v>20</v>
      </c>
      <c r="B1125" t="s">
        <v>237</v>
      </c>
      <c r="C1125">
        <v>97124288</v>
      </c>
      <c r="D1125">
        <v>140</v>
      </c>
      <c r="E1125" s="4">
        <v>-2333903.17</v>
      </c>
      <c r="F1125" t="s">
        <v>62</v>
      </c>
      <c r="G1125">
        <v>0</v>
      </c>
      <c r="H1125" s="32" t="str">
        <f ca="1">+IF(B1125&gt;'sap nuevo'!$V$1,"cargar",IF(C1125="","cargar","pagado"))</f>
        <v>cargar</v>
      </c>
      <c r="I1125" s="32">
        <f t="shared" si="146"/>
        <v>2026</v>
      </c>
      <c r="J1125" s="32">
        <f t="shared" si="147"/>
        <v>2</v>
      </c>
    </row>
    <row r="1126" spans="1:10" x14ac:dyDescent="0.25">
      <c r="A1126" t="s">
        <v>12</v>
      </c>
      <c r="B1126" t="s">
        <v>237</v>
      </c>
      <c r="C1126">
        <v>97124272</v>
      </c>
      <c r="D1126">
        <v>140</v>
      </c>
      <c r="E1126" s="4">
        <v>-1268765.8899999999</v>
      </c>
      <c r="F1126" t="s">
        <v>63</v>
      </c>
      <c r="G1126">
        <v>0</v>
      </c>
      <c r="H1126" s="32" t="str">
        <f ca="1">+IF(B1126&gt;'sap nuevo'!$V$1,"cargar",IF(C1126="","cargar","pagado"))</f>
        <v>cargar</v>
      </c>
      <c r="I1126" s="32">
        <f t="shared" si="146"/>
        <v>2026</v>
      </c>
      <c r="J1126" s="32">
        <f t="shared" si="147"/>
        <v>2</v>
      </c>
    </row>
    <row r="1127" spans="1:10" x14ac:dyDescent="0.25">
      <c r="A1127" t="s">
        <v>12</v>
      </c>
      <c r="B1127" t="s">
        <v>237</v>
      </c>
      <c r="C1127">
        <v>97124269</v>
      </c>
      <c r="D1127">
        <v>140</v>
      </c>
      <c r="E1127" s="4">
        <v>-509669.81</v>
      </c>
      <c r="F1127" t="s">
        <v>63</v>
      </c>
      <c r="G1127">
        <v>0</v>
      </c>
      <c r="H1127" s="32" t="str">
        <f ca="1">+IF(B1127&gt;'sap nuevo'!$V$1,"cargar",IF(C1127="","cargar","pagado"))</f>
        <v>cargar</v>
      </c>
      <c r="I1127" s="32">
        <f t="shared" si="146"/>
        <v>2026</v>
      </c>
      <c r="J1127" s="32">
        <f t="shared" si="147"/>
        <v>2</v>
      </c>
    </row>
    <row r="1128" spans="1:10" x14ac:dyDescent="0.25">
      <c r="A1128" t="s">
        <v>20</v>
      </c>
      <c r="B1128" t="s">
        <v>238</v>
      </c>
      <c r="C1128">
        <v>97124300</v>
      </c>
      <c r="D1128">
        <v>140</v>
      </c>
      <c r="E1128" s="4">
        <v>-20000000</v>
      </c>
      <c r="F1128" t="s">
        <v>62</v>
      </c>
      <c r="G1128">
        <v>0</v>
      </c>
      <c r="H1128" s="32" t="str">
        <f ca="1">+IF(B1128&gt;'sap nuevo'!$V$1,"cargar",IF(C1128="","cargar","pagado"))</f>
        <v>cargar</v>
      </c>
      <c r="I1128" s="32">
        <f t="shared" si="146"/>
        <v>2026</v>
      </c>
      <c r="J1128" s="32">
        <f t="shared" si="147"/>
        <v>2</v>
      </c>
    </row>
    <row r="1129" spans="1:10" x14ac:dyDescent="0.25">
      <c r="A1129" t="s">
        <v>20</v>
      </c>
      <c r="B1129" t="s">
        <v>238</v>
      </c>
      <c r="C1129">
        <v>97124293</v>
      </c>
      <c r="D1129">
        <v>140</v>
      </c>
      <c r="E1129" s="4">
        <v>-12614034.4</v>
      </c>
      <c r="F1129" t="s">
        <v>62</v>
      </c>
      <c r="G1129">
        <v>0</v>
      </c>
      <c r="H1129" s="32" t="str">
        <f ca="1">+IF(B1129&gt;'sap nuevo'!$V$1,"cargar",IF(C1129="","cargar","pagado"))</f>
        <v>cargar</v>
      </c>
      <c r="I1129" s="32">
        <f t="shared" si="146"/>
        <v>2026</v>
      </c>
      <c r="J1129" s="32">
        <f t="shared" si="147"/>
        <v>2</v>
      </c>
    </row>
    <row r="1130" spans="1:10" x14ac:dyDescent="0.25">
      <c r="A1130" t="s">
        <v>20</v>
      </c>
      <c r="B1130" t="s">
        <v>238</v>
      </c>
      <c r="C1130">
        <v>97124296</v>
      </c>
      <c r="D1130">
        <v>140</v>
      </c>
      <c r="E1130" s="4">
        <v>-9559194.0500000007</v>
      </c>
      <c r="F1130" t="s">
        <v>62</v>
      </c>
      <c r="G1130">
        <v>0</v>
      </c>
      <c r="H1130" s="32" t="str">
        <f ca="1">+IF(B1130&gt;'sap nuevo'!$V$1,"cargar",IF(C1130="","cargar","pagado"))</f>
        <v>cargar</v>
      </c>
      <c r="I1130" s="32">
        <f t="shared" si="146"/>
        <v>2026</v>
      </c>
      <c r="J1130" s="32">
        <f t="shared" si="147"/>
        <v>2</v>
      </c>
    </row>
    <row r="1131" spans="1:10" x14ac:dyDescent="0.25">
      <c r="A1131" t="s">
        <v>20</v>
      </c>
      <c r="B1131" t="s">
        <v>238</v>
      </c>
      <c r="C1131">
        <v>97124297</v>
      </c>
      <c r="D1131">
        <v>140</v>
      </c>
      <c r="E1131" s="4">
        <v>-6185979.0300000003</v>
      </c>
      <c r="F1131" t="s">
        <v>62</v>
      </c>
      <c r="G1131">
        <v>0</v>
      </c>
      <c r="H1131" s="32" t="str">
        <f ca="1">+IF(B1131&gt;'sap nuevo'!$V$1,"cargar",IF(C1131="","cargar","pagado"))</f>
        <v>cargar</v>
      </c>
      <c r="I1131" s="32">
        <f t="shared" si="146"/>
        <v>2026</v>
      </c>
      <c r="J1131" s="32">
        <f t="shared" si="147"/>
        <v>2</v>
      </c>
    </row>
    <row r="1132" spans="1:10" x14ac:dyDescent="0.25">
      <c r="A1132" t="s">
        <v>20</v>
      </c>
      <c r="B1132" t="s">
        <v>238</v>
      </c>
      <c r="C1132">
        <v>97124295</v>
      </c>
      <c r="D1132">
        <v>140</v>
      </c>
      <c r="E1132" s="4">
        <v>-5542675.0199999996</v>
      </c>
      <c r="F1132" t="s">
        <v>62</v>
      </c>
      <c r="G1132">
        <v>0</v>
      </c>
      <c r="H1132" s="32" t="str">
        <f ca="1">+IF(B1132&gt;'sap nuevo'!$V$1,"cargar",IF(C1132="","cargar","pagado"))</f>
        <v>cargar</v>
      </c>
      <c r="I1132" s="32">
        <f t="shared" si="146"/>
        <v>2026</v>
      </c>
      <c r="J1132" s="32">
        <f t="shared" si="147"/>
        <v>2</v>
      </c>
    </row>
    <row r="1133" spans="1:10" x14ac:dyDescent="0.25">
      <c r="A1133" t="s">
        <v>12</v>
      </c>
      <c r="B1133" t="s">
        <v>238</v>
      </c>
      <c r="C1133">
        <v>97124304</v>
      </c>
      <c r="D1133">
        <v>140</v>
      </c>
      <c r="E1133" s="4">
        <v>-5364298.5</v>
      </c>
      <c r="F1133" t="s">
        <v>63</v>
      </c>
      <c r="G1133">
        <v>0</v>
      </c>
      <c r="H1133" s="32" t="str">
        <f ca="1">+IF(B1133&gt;'sap nuevo'!$V$1,"cargar",IF(C1133="","cargar","pagado"))</f>
        <v>cargar</v>
      </c>
      <c r="I1133" s="32">
        <f t="shared" si="146"/>
        <v>2026</v>
      </c>
      <c r="J1133" s="32">
        <f t="shared" si="147"/>
        <v>2</v>
      </c>
    </row>
    <row r="1134" spans="1:10" x14ac:dyDescent="0.25">
      <c r="A1134" t="s">
        <v>20</v>
      </c>
      <c r="B1134" t="s">
        <v>238</v>
      </c>
      <c r="C1134">
        <v>97124290</v>
      </c>
      <c r="D1134">
        <v>140</v>
      </c>
      <c r="E1134" s="4">
        <v>-4907492.3</v>
      </c>
      <c r="F1134" t="s">
        <v>62</v>
      </c>
      <c r="G1134">
        <v>0</v>
      </c>
      <c r="H1134" s="32" t="str">
        <f ca="1">+IF(B1134&gt;'sap nuevo'!$V$1,"cargar",IF(C1134="","cargar","pagado"))</f>
        <v>cargar</v>
      </c>
      <c r="I1134" s="32">
        <f t="shared" si="146"/>
        <v>2026</v>
      </c>
      <c r="J1134" s="32">
        <f t="shared" si="147"/>
        <v>2</v>
      </c>
    </row>
    <row r="1135" spans="1:10" x14ac:dyDescent="0.25">
      <c r="A1135" t="s">
        <v>12</v>
      </c>
      <c r="B1135" t="s">
        <v>238</v>
      </c>
      <c r="C1135">
        <v>97124305</v>
      </c>
      <c r="D1135">
        <v>140</v>
      </c>
      <c r="E1135" s="4">
        <v>-4653456.5</v>
      </c>
      <c r="F1135" t="s">
        <v>63</v>
      </c>
      <c r="G1135">
        <v>0</v>
      </c>
      <c r="H1135" s="32" t="str">
        <f ca="1">+IF(B1135&gt;'sap nuevo'!$V$1,"cargar",IF(C1135="","cargar","pagado"))</f>
        <v>cargar</v>
      </c>
      <c r="I1135" s="32">
        <f t="shared" si="146"/>
        <v>2026</v>
      </c>
      <c r="J1135" s="32">
        <f t="shared" si="147"/>
        <v>2</v>
      </c>
    </row>
    <row r="1136" spans="1:10" x14ac:dyDescent="0.25">
      <c r="A1136" t="s">
        <v>20</v>
      </c>
      <c r="B1136" t="s">
        <v>238</v>
      </c>
      <c r="C1136">
        <v>97124224</v>
      </c>
      <c r="D1136">
        <v>140</v>
      </c>
      <c r="E1136" s="4">
        <v>-2751100</v>
      </c>
      <c r="F1136" t="s">
        <v>62</v>
      </c>
      <c r="G1136">
        <v>0</v>
      </c>
      <c r="H1136" s="32" t="str">
        <f ca="1">+IF(B1136&gt;'sap nuevo'!$V$1,"cargar",IF(C1136="","cargar","pagado"))</f>
        <v>cargar</v>
      </c>
      <c r="I1136" s="32">
        <f t="shared" si="146"/>
        <v>2026</v>
      </c>
      <c r="J1136" s="32">
        <f t="shared" si="147"/>
        <v>2</v>
      </c>
    </row>
    <row r="1137" spans="1:10" x14ac:dyDescent="0.25">
      <c r="A1137" t="s">
        <v>20</v>
      </c>
      <c r="B1137" t="s">
        <v>239</v>
      </c>
      <c r="C1137">
        <v>97124303</v>
      </c>
      <c r="D1137">
        <v>140</v>
      </c>
      <c r="E1137" s="4">
        <v>-12225023.4</v>
      </c>
      <c r="F1137" t="s">
        <v>62</v>
      </c>
      <c r="G1137">
        <v>0</v>
      </c>
      <c r="H1137" s="32" t="str">
        <f ca="1">+IF(B1137&gt;'sap nuevo'!$V$1,"cargar",IF(C1137="","cargar","pagado"))</f>
        <v>cargar</v>
      </c>
      <c r="I1137" s="32">
        <f t="shared" si="146"/>
        <v>2026</v>
      </c>
      <c r="J1137" s="32">
        <f t="shared" si="147"/>
        <v>2</v>
      </c>
    </row>
    <row r="1138" spans="1:10" x14ac:dyDescent="0.25">
      <c r="A1138" t="s">
        <v>20</v>
      </c>
      <c r="B1138" t="s">
        <v>239</v>
      </c>
      <c r="C1138">
        <v>97124306</v>
      </c>
      <c r="D1138">
        <v>140</v>
      </c>
      <c r="E1138" s="4">
        <v>-5000000</v>
      </c>
      <c r="F1138" t="s">
        <v>62</v>
      </c>
      <c r="G1138">
        <v>0</v>
      </c>
      <c r="H1138" s="32" t="str">
        <f ca="1">+IF(B1138&gt;'sap nuevo'!$V$1,"cargar",IF(C1138="","cargar","pagado"))</f>
        <v>cargar</v>
      </c>
      <c r="I1138" s="32">
        <f t="shared" si="146"/>
        <v>2026</v>
      </c>
      <c r="J1138" s="32">
        <f t="shared" si="147"/>
        <v>2</v>
      </c>
    </row>
    <row r="1139" spans="1:10" x14ac:dyDescent="0.25">
      <c r="A1139" t="s">
        <v>20</v>
      </c>
      <c r="B1139" t="s">
        <v>239</v>
      </c>
      <c r="C1139">
        <v>97124307</v>
      </c>
      <c r="D1139">
        <v>140</v>
      </c>
      <c r="E1139" s="4">
        <v>-5000000</v>
      </c>
      <c r="F1139" t="s">
        <v>62</v>
      </c>
      <c r="G1139">
        <v>0</v>
      </c>
      <c r="H1139" s="32" t="str">
        <f ca="1">+IF(B1139&gt;'sap nuevo'!$V$1,"cargar",IF(C1139="","cargar","pagado"))</f>
        <v>cargar</v>
      </c>
      <c r="I1139" s="32">
        <f t="shared" ref="I1139" si="148">+YEAR(B1139)</f>
        <v>2026</v>
      </c>
      <c r="J1139" s="32">
        <f t="shared" ref="J1139" si="149">+MONTH(B1139)</f>
        <v>2</v>
      </c>
    </row>
    <row r="1140" spans="1:10" x14ac:dyDescent="0.25">
      <c r="A1140" t="s">
        <v>20</v>
      </c>
      <c r="B1140" t="s">
        <v>239</v>
      </c>
      <c r="C1140">
        <v>97124262</v>
      </c>
      <c r="D1140">
        <v>140</v>
      </c>
      <c r="E1140" s="4">
        <v>-3459730.4</v>
      </c>
      <c r="F1140" t="s">
        <v>62</v>
      </c>
      <c r="G1140">
        <v>0</v>
      </c>
      <c r="H1140" s="32" t="str">
        <f ca="1">+IF(B1140&gt;'sap nuevo'!$V$1,"cargar",IF(C1140="","cargar","pagado"))</f>
        <v>cargar</v>
      </c>
      <c r="I1140" s="32">
        <f t="shared" ref="I1140:I1143" si="150">+YEAR(B1140)</f>
        <v>2026</v>
      </c>
      <c r="J1140" s="32">
        <f t="shared" ref="J1140:J1143" si="151">+MONTH(B1140)</f>
        <v>2</v>
      </c>
    </row>
    <row r="1141" spans="1:10" x14ac:dyDescent="0.25">
      <c r="A1141" t="s">
        <v>20</v>
      </c>
      <c r="B1141" t="s">
        <v>239</v>
      </c>
      <c r="C1141">
        <v>97124260</v>
      </c>
      <c r="D1141">
        <v>140</v>
      </c>
      <c r="E1141" s="4">
        <v>-3000000</v>
      </c>
      <c r="F1141" t="s">
        <v>62</v>
      </c>
      <c r="G1141">
        <v>0</v>
      </c>
      <c r="H1141" s="32" t="str">
        <f ca="1">+IF(B1141&gt;'sap nuevo'!$V$1,"cargar",IF(C1141="","cargar","pagado"))</f>
        <v>cargar</v>
      </c>
      <c r="I1141" s="32">
        <f t="shared" si="150"/>
        <v>2026</v>
      </c>
      <c r="J1141" s="32">
        <f t="shared" si="151"/>
        <v>2</v>
      </c>
    </row>
    <row r="1142" spans="1:10" x14ac:dyDescent="0.25">
      <c r="A1142" t="s">
        <v>20</v>
      </c>
      <c r="B1142" t="s">
        <v>239</v>
      </c>
      <c r="C1142">
        <v>97124261</v>
      </c>
      <c r="D1142">
        <v>140</v>
      </c>
      <c r="E1142" s="4">
        <v>-3000000</v>
      </c>
      <c r="F1142" t="s">
        <v>62</v>
      </c>
      <c r="G1142">
        <v>0</v>
      </c>
      <c r="H1142" s="32" t="str">
        <f ca="1">+IF(B1142&gt;'sap nuevo'!$V$1,"cargar",IF(C1142="","cargar","pagado"))</f>
        <v>cargar</v>
      </c>
      <c r="I1142" s="32">
        <f t="shared" si="150"/>
        <v>2026</v>
      </c>
      <c r="J1142" s="32">
        <f t="shared" si="151"/>
        <v>2</v>
      </c>
    </row>
    <row r="1143" spans="1:10" x14ac:dyDescent="0.25">
      <c r="A1143" t="s">
        <v>20</v>
      </c>
      <c r="B1143" t="s">
        <v>239</v>
      </c>
      <c r="C1143">
        <v>97124270</v>
      </c>
      <c r="D1143">
        <v>140</v>
      </c>
      <c r="E1143" s="4">
        <v>-672767.27</v>
      </c>
      <c r="F1143" t="s">
        <v>62</v>
      </c>
      <c r="G1143">
        <v>0</v>
      </c>
      <c r="H1143" s="32" t="str">
        <f ca="1">+IF(B1143&gt;'sap nuevo'!$V$1,"cargar",IF(C1143="","cargar","pagado"))</f>
        <v>cargar</v>
      </c>
      <c r="I1143" s="32">
        <f t="shared" si="150"/>
        <v>2026</v>
      </c>
      <c r="J1143" s="32">
        <f t="shared" si="151"/>
        <v>2</v>
      </c>
    </row>
    <row r="1144" spans="1:10" x14ac:dyDescent="0.25">
      <c r="A1144" t="s">
        <v>20</v>
      </c>
      <c r="B1144" t="s">
        <v>520</v>
      </c>
      <c r="C1144">
        <v>97124309</v>
      </c>
      <c r="D1144">
        <v>140</v>
      </c>
      <c r="E1144" s="4">
        <v>-18912411.870000001</v>
      </c>
      <c r="F1144" t="s">
        <v>62</v>
      </c>
      <c r="G1144">
        <v>0</v>
      </c>
      <c r="H1144" s="32" t="str">
        <f ca="1">+IF(B1144&gt;'sap nuevo'!$V$1,"cargar",IF(C1144="","cargar","pagado"))</f>
        <v>cargar</v>
      </c>
      <c r="I1144" s="32">
        <f t="shared" ref="I1144:I1159" si="152">+YEAR(B1144)</f>
        <v>2026</v>
      </c>
      <c r="J1144" s="32">
        <f t="shared" ref="J1144:J1159" si="153">+MONTH(B1144)</f>
        <v>3</v>
      </c>
    </row>
    <row r="1145" spans="1:10" x14ac:dyDescent="0.25">
      <c r="A1145" t="s">
        <v>20</v>
      </c>
      <c r="B1145" t="s">
        <v>520</v>
      </c>
      <c r="C1145">
        <v>97124311</v>
      </c>
      <c r="D1145">
        <v>140</v>
      </c>
      <c r="E1145" s="4">
        <v>-3573827.7</v>
      </c>
      <c r="F1145" t="s">
        <v>62</v>
      </c>
      <c r="G1145">
        <v>0</v>
      </c>
      <c r="H1145" s="32" t="str">
        <f ca="1">+IF(B1145&gt;'sap nuevo'!$V$1,"cargar",IF(C1145="","cargar","pagado"))</f>
        <v>cargar</v>
      </c>
      <c r="I1145" s="32">
        <f t="shared" si="152"/>
        <v>2026</v>
      </c>
      <c r="J1145" s="32">
        <f t="shared" si="153"/>
        <v>3</v>
      </c>
    </row>
    <row r="1146" spans="1:10" x14ac:dyDescent="0.25">
      <c r="A1146" t="s">
        <v>12</v>
      </c>
      <c r="B1146" t="s">
        <v>240</v>
      </c>
      <c r="C1146">
        <v>97124316</v>
      </c>
      <c r="D1146">
        <v>140</v>
      </c>
      <c r="E1146" s="4">
        <v>-28754292.609999999</v>
      </c>
      <c r="F1146" t="s">
        <v>63</v>
      </c>
      <c r="G1146">
        <v>0</v>
      </c>
      <c r="H1146" s="32" t="str">
        <f ca="1">+IF(B1146&gt;'sap nuevo'!$V$1,"cargar",IF(C1146="","cargar","pagado"))</f>
        <v>cargar</v>
      </c>
      <c r="I1146" s="32">
        <f t="shared" si="152"/>
        <v>2026</v>
      </c>
      <c r="J1146" s="32">
        <f t="shared" si="153"/>
        <v>3</v>
      </c>
    </row>
    <row r="1147" spans="1:10" x14ac:dyDescent="0.25">
      <c r="A1147" t="s">
        <v>12</v>
      </c>
      <c r="B1147" t="s">
        <v>240</v>
      </c>
      <c r="C1147">
        <v>97124299</v>
      </c>
      <c r="D1147">
        <v>140</v>
      </c>
      <c r="E1147" s="4">
        <v>-24339630.539999999</v>
      </c>
      <c r="F1147" t="s">
        <v>63</v>
      </c>
      <c r="G1147">
        <v>0</v>
      </c>
      <c r="H1147" s="32" t="str">
        <f ca="1">+IF(B1147&gt;'sap nuevo'!$V$1,"cargar",IF(C1147="","cargar","pagado"))</f>
        <v>cargar</v>
      </c>
      <c r="I1147" s="32">
        <f t="shared" si="152"/>
        <v>2026</v>
      </c>
      <c r="J1147" s="32">
        <f t="shared" si="153"/>
        <v>3</v>
      </c>
    </row>
    <row r="1148" spans="1:10" x14ac:dyDescent="0.25">
      <c r="A1148" t="s">
        <v>20</v>
      </c>
      <c r="B1148" t="s">
        <v>240</v>
      </c>
      <c r="C1148">
        <v>97124319</v>
      </c>
      <c r="D1148">
        <v>140</v>
      </c>
      <c r="E1148" s="4">
        <v>-22363573</v>
      </c>
      <c r="F1148" t="s">
        <v>62</v>
      </c>
      <c r="G1148">
        <v>0</v>
      </c>
      <c r="H1148" s="32" t="str">
        <f ca="1">+IF(B1148&gt;'sap nuevo'!$V$1,"cargar",IF(C1148="","cargar","pagado"))</f>
        <v>cargar</v>
      </c>
      <c r="I1148" s="32">
        <f t="shared" si="152"/>
        <v>2026</v>
      </c>
      <c r="J1148" s="32">
        <f t="shared" si="153"/>
        <v>3</v>
      </c>
    </row>
    <row r="1149" spans="1:10" x14ac:dyDescent="0.25">
      <c r="A1149" t="s">
        <v>12</v>
      </c>
      <c r="B1149" t="s">
        <v>240</v>
      </c>
      <c r="C1149">
        <v>97124312</v>
      </c>
      <c r="D1149">
        <v>140</v>
      </c>
      <c r="E1149" s="4">
        <v>-21306087.300000001</v>
      </c>
      <c r="F1149" t="s">
        <v>63</v>
      </c>
      <c r="G1149">
        <v>0</v>
      </c>
      <c r="H1149" s="32" t="str">
        <f ca="1">+IF(B1149&gt;'sap nuevo'!$V$1,"cargar",IF(C1149="","cargar","pagado"))</f>
        <v>cargar</v>
      </c>
      <c r="I1149" s="32">
        <f t="shared" si="152"/>
        <v>2026</v>
      </c>
      <c r="J1149" s="32">
        <f t="shared" si="153"/>
        <v>3</v>
      </c>
    </row>
    <row r="1150" spans="1:10" x14ac:dyDescent="0.25">
      <c r="A1150" t="s">
        <v>20</v>
      </c>
      <c r="B1150" t="s">
        <v>240</v>
      </c>
      <c r="C1150">
        <v>97124317</v>
      </c>
      <c r="D1150">
        <v>140</v>
      </c>
      <c r="E1150" s="4">
        <v>-21242932.559999999</v>
      </c>
      <c r="F1150" t="s">
        <v>62</v>
      </c>
      <c r="G1150">
        <v>0</v>
      </c>
      <c r="H1150" s="32" t="str">
        <f ca="1">+IF(B1150&gt;'sap nuevo'!$V$1,"cargar",IF(C1150="","cargar","pagado"))</f>
        <v>cargar</v>
      </c>
      <c r="I1150" s="32">
        <f t="shared" si="152"/>
        <v>2026</v>
      </c>
      <c r="J1150" s="32">
        <f t="shared" si="153"/>
        <v>3</v>
      </c>
    </row>
    <row r="1151" spans="1:10" x14ac:dyDescent="0.25">
      <c r="A1151" t="s">
        <v>12</v>
      </c>
      <c r="B1151" t="s">
        <v>240</v>
      </c>
      <c r="C1151">
        <v>97124313</v>
      </c>
      <c r="D1151">
        <v>140</v>
      </c>
      <c r="E1151" s="4">
        <v>-15098080.939999999</v>
      </c>
      <c r="F1151" t="s">
        <v>63</v>
      </c>
      <c r="G1151">
        <v>0</v>
      </c>
      <c r="H1151" s="32" t="str">
        <f ca="1">+IF(B1151&gt;'sap nuevo'!$V$1,"cargar",IF(C1151="","cargar","pagado"))</f>
        <v>cargar</v>
      </c>
      <c r="I1151" s="32">
        <f t="shared" si="152"/>
        <v>2026</v>
      </c>
      <c r="J1151" s="32">
        <f t="shared" si="153"/>
        <v>3</v>
      </c>
    </row>
    <row r="1152" spans="1:10" x14ac:dyDescent="0.25">
      <c r="A1152" t="s">
        <v>20</v>
      </c>
      <c r="B1152" t="s">
        <v>240</v>
      </c>
      <c r="C1152">
        <v>97124315</v>
      </c>
      <c r="D1152">
        <v>140</v>
      </c>
      <c r="E1152" s="4">
        <v>-12309208.77</v>
      </c>
      <c r="F1152" t="s">
        <v>62</v>
      </c>
      <c r="G1152">
        <v>0</v>
      </c>
      <c r="H1152" s="32" t="str">
        <f ca="1">+IF(B1152&gt;'sap nuevo'!$V$1,"cargar",IF(C1152="","cargar","pagado"))</f>
        <v>cargar</v>
      </c>
      <c r="I1152" s="32">
        <f t="shared" si="152"/>
        <v>2026</v>
      </c>
      <c r="J1152" s="32">
        <f t="shared" si="153"/>
        <v>3</v>
      </c>
    </row>
    <row r="1153" spans="1:10" x14ac:dyDescent="0.25">
      <c r="A1153" t="s">
        <v>20</v>
      </c>
      <c r="B1153" t="s">
        <v>240</v>
      </c>
      <c r="C1153">
        <v>97124298</v>
      </c>
      <c r="D1153">
        <v>140</v>
      </c>
      <c r="E1153" s="4">
        <v>-7897178.8899999997</v>
      </c>
      <c r="F1153" t="s">
        <v>62</v>
      </c>
      <c r="G1153">
        <v>0</v>
      </c>
      <c r="H1153" s="32" t="str">
        <f ca="1">+IF(B1153&gt;'sap nuevo'!$V$1,"cargar",IF(C1153="","cargar","pagado"))</f>
        <v>cargar</v>
      </c>
      <c r="I1153" s="32">
        <f t="shared" si="152"/>
        <v>2026</v>
      </c>
      <c r="J1153" s="32">
        <f t="shared" si="153"/>
        <v>3</v>
      </c>
    </row>
    <row r="1154" spans="1:10" x14ac:dyDescent="0.25">
      <c r="A1154" t="s">
        <v>20</v>
      </c>
      <c r="B1154" t="s">
        <v>241</v>
      </c>
      <c r="C1154">
        <v>97124125</v>
      </c>
      <c r="D1154">
        <v>140</v>
      </c>
      <c r="E1154" s="4">
        <v>-17000000</v>
      </c>
      <c r="F1154" t="s">
        <v>62</v>
      </c>
      <c r="G1154">
        <v>0</v>
      </c>
      <c r="H1154" s="32" t="str">
        <f ca="1">+IF(B1154&gt;'sap nuevo'!$V$1,"cargar",IF(C1154="","cargar","pagado"))</f>
        <v>cargar</v>
      </c>
      <c r="I1154" s="32">
        <f t="shared" si="152"/>
        <v>2026</v>
      </c>
      <c r="J1154" s="32">
        <f t="shared" si="153"/>
        <v>3</v>
      </c>
    </row>
    <row r="1155" spans="1:10" x14ac:dyDescent="0.25">
      <c r="A1155" t="s">
        <v>20</v>
      </c>
      <c r="B1155" t="s">
        <v>241</v>
      </c>
      <c r="C1155">
        <v>97124302</v>
      </c>
      <c r="D1155">
        <v>140</v>
      </c>
      <c r="E1155" s="4">
        <v>-4300000</v>
      </c>
      <c r="F1155" t="s">
        <v>62</v>
      </c>
      <c r="G1155">
        <v>0</v>
      </c>
      <c r="H1155" s="32" t="str">
        <f ca="1">+IF(B1155&gt;'sap nuevo'!$V$1,"cargar",IF(C1155="","cargar","pagado"))</f>
        <v>cargar</v>
      </c>
      <c r="I1155" s="32">
        <f t="shared" si="152"/>
        <v>2026</v>
      </c>
      <c r="J1155" s="32">
        <f t="shared" si="153"/>
        <v>3</v>
      </c>
    </row>
    <row r="1156" spans="1:10" x14ac:dyDescent="0.25">
      <c r="A1156" t="s">
        <v>20</v>
      </c>
      <c r="B1156" t="s">
        <v>521</v>
      </c>
      <c r="C1156">
        <v>97124268</v>
      </c>
      <c r="D1156">
        <v>140</v>
      </c>
      <c r="E1156" s="4">
        <v>-47910699</v>
      </c>
      <c r="F1156" t="s">
        <v>62</v>
      </c>
      <c r="G1156">
        <v>0</v>
      </c>
      <c r="H1156" s="32" t="str">
        <f ca="1">+IF(B1156&gt;'sap nuevo'!$V$1,"cargar",IF(C1156="","cargar","pagado"))</f>
        <v>cargar</v>
      </c>
      <c r="I1156" s="32">
        <f t="shared" si="152"/>
        <v>2026</v>
      </c>
      <c r="J1156" s="32">
        <f t="shared" si="153"/>
        <v>3</v>
      </c>
    </row>
    <row r="1157" spans="1:10" x14ac:dyDescent="0.25">
      <c r="A1157" t="s">
        <v>12</v>
      </c>
      <c r="B1157" t="s">
        <v>521</v>
      </c>
      <c r="C1157">
        <v>97124320</v>
      </c>
      <c r="D1157">
        <v>140</v>
      </c>
      <c r="E1157" s="4">
        <v>-28505707.989999998</v>
      </c>
      <c r="F1157" t="s">
        <v>63</v>
      </c>
      <c r="G1157">
        <v>0</v>
      </c>
      <c r="H1157" s="32" t="str">
        <f ca="1">+IF(B1157&gt;'sap nuevo'!$V$1,"cargar",IF(C1157="","cargar","pagado"))</f>
        <v>cargar</v>
      </c>
      <c r="I1157" s="32">
        <f t="shared" si="152"/>
        <v>2026</v>
      </c>
      <c r="J1157" s="32">
        <f t="shared" si="153"/>
        <v>3</v>
      </c>
    </row>
    <row r="1158" spans="1:10" x14ac:dyDescent="0.25">
      <c r="A1158" t="s">
        <v>20</v>
      </c>
      <c r="B1158" t="s">
        <v>521</v>
      </c>
      <c r="C1158">
        <v>97124322</v>
      </c>
      <c r="D1158">
        <v>140</v>
      </c>
      <c r="E1158" s="4">
        <v>-8983237.2899999991</v>
      </c>
      <c r="F1158" t="s">
        <v>62</v>
      </c>
      <c r="G1158">
        <v>0</v>
      </c>
      <c r="H1158" s="32" t="str">
        <f ca="1">+IF(B1158&gt;'sap nuevo'!$V$1,"cargar",IF(C1158="","cargar","pagado"))</f>
        <v>cargar</v>
      </c>
      <c r="I1158" s="32">
        <f t="shared" si="152"/>
        <v>2026</v>
      </c>
      <c r="J1158" s="32">
        <f t="shared" si="153"/>
        <v>3</v>
      </c>
    </row>
    <row r="1159" spans="1:10" x14ac:dyDescent="0.25">
      <c r="A1159" t="s">
        <v>20</v>
      </c>
      <c r="B1159" t="s">
        <v>331</v>
      </c>
      <c r="C1159">
        <v>97124301</v>
      </c>
      <c r="D1159">
        <v>140</v>
      </c>
      <c r="E1159" s="4">
        <v>-21726475.579999998</v>
      </c>
      <c r="F1159" t="s">
        <v>62</v>
      </c>
      <c r="G1159">
        <v>0</v>
      </c>
      <c r="H1159" s="32" t="str">
        <f ca="1">+IF(B1159&gt;'sap nuevo'!$V$1,"cargar",IF(C1159="","cargar","pagado"))</f>
        <v>cargar</v>
      </c>
      <c r="I1159" s="32">
        <f t="shared" si="152"/>
        <v>2026</v>
      </c>
      <c r="J1159" s="32">
        <f t="shared" si="153"/>
        <v>3</v>
      </c>
    </row>
    <row r="1160" spans="1:10" x14ac:dyDescent="0.25">
      <c r="A1160" t="s">
        <v>20</v>
      </c>
      <c r="B1160" t="s">
        <v>331</v>
      </c>
      <c r="C1160">
        <v>97124318</v>
      </c>
      <c r="D1160">
        <v>140</v>
      </c>
      <c r="E1160" s="4">
        <v>-18346186.690000001</v>
      </c>
      <c r="F1160" t="s">
        <v>62</v>
      </c>
      <c r="G1160">
        <v>0</v>
      </c>
      <c r="H1160" s="32" t="str">
        <f ca="1">+IF(B1160&gt;'sap nuevo'!$V$1,"cargar",IF(C1160="","cargar","pagado"))</f>
        <v>cargar</v>
      </c>
      <c r="I1160" s="32">
        <f t="shared" ref="I1160:I1190" si="154">+YEAR(B1160)</f>
        <v>2026</v>
      </c>
      <c r="J1160" s="32">
        <f t="shared" ref="J1160:J1190" si="155">+MONTH(B1160)</f>
        <v>3</v>
      </c>
    </row>
    <row r="1161" spans="1:10" x14ac:dyDescent="0.25">
      <c r="A1161" t="s">
        <v>20</v>
      </c>
      <c r="B1161" t="s">
        <v>331</v>
      </c>
      <c r="C1161">
        <v>97123956</v>
      </c>
      <c r="D1161">
        <v>140</v>
      </c>
      <c r="E1161" s="4">
        <v>-17856278.129999999</v>
      </c>
      <c r="F1161" t="s">
        <v>62</v>
      </c>
      <c r="G1161">
        <v>0</v>
      </c>
      <c r="H1161" s="32" t="str">
        <f ca="1">+IF(B1161&gt;'sap nuevo'!$V$1,"cargar",IF(C1161="","cargar","pagado"))</f>
        <v>cargar</v>
      </c>
      <c r="I1161" s="32">
        <f t="shared" si="154"/>
        <v>2026</v>
      </c>
      <c r="J1161" s="32">
        <f t="shared" si="155"/>
        <v>3</v>
      </c>
    </row>
    <row r="1162" spans="1:10" x14ac:dyDescent="0.25">
      <c r="A1162" t="s">
        <v>20</v>
      </c>
      <c r="B1162" t="s">
        <v>331</v>
      </c>
      <c r="C1162">
        <v>97124321</v>
      </c>
      <c r="D1162">
        <v>140</v>
      </c>
      <c r="E1162" s="4">
        <v>-10132835.619999999</v>
      </c>
      <c r="F1162" t="s">
        <v>62</v>
      </c>
      <c r="G1162">
        <v>0</v>
      </c>
      <c r="H1162" s="32" t="str">
        <f ca="1">+IF(B1162&gt;'sap nuevo'!$V$1,"cargar",IF(C1162="","cargar","pagado"))</f>
        <v>cargar</v>
      </c>
      <c r="I1162" s="32">
        <f t="shared" si="154"/>
        <v>2026</v>
      </c>
      <c r="J1162" s="32">
        <f t="shared" si="155"/>
        <v>3</v>
      </c>
    </row>
    <row r="1163" spans="1:10" x14ac:dyDescent="0.25">
      <c r="A1163" t="s">
        <v>20</v>
      </c>
      <c r="B1163" t="s">
        <v>331</v>
      </c>
      <c r="C1163">
        <v>97121398</v>
      </c>
      <c r="D1163">
        <v>140</v>
      </c>
      <c r="E1163" s="4">
        <v>-1733718.71</v>
      </c>
      <c r="F1163" t="s">
        <v>62</v>
      </c>
      <c r="G1163">
        <v>0</v>
      </c>
      <c r="H1163" s="32" t="str">
        <f ca="1">+IF(B1163&gt;'sap nuevo'!$V$1,"cargar",IF(C1163="","cargar","pagado"))</f>
        <v>cargar</v>
      </c>
      <c r="I1163" s="32">
        <f t="shared" si="154"/>
        <v>2026</v>
      </c>
      <c r="J1163" s="32">
        <f t="shared" si="155"/>
        <v>3</v>
      </c>
    </row>
    <row r="1164" spans="1:10" x14ac:dyDescent="0.25">
      <c r="A1164" t="s">
        <v>20</v>
      </c>
      <c r="B1164" t="s">
        <v>333</v>
      </c>
      <c r="C1164">
        <v>97124314</v>
      </c>
      <c r="D1164">
        <v>140</v>
      </c>
      <c r="E1164" s="4">
        <v>-26027334.530000001</v>
      </c>
      <c r="F1164" t="s">
        <v>62</v>
      </c>
      <c r="G1164">
        <v>0</v>
      </c>
      <c r="H1164" s="32" t="str">
        <f ca="1">+IF(B1164&gt;'sap nuevo'!$V$1,"cargar",IF(C1164="","cargar","pagado"))</f>
        <v>cargar</v>
      </c>
      <c r="I1164" s="32">
        <f t="shared" si="154"/>
        <v>2026</v>
      </c>
      <c r="J1164" s="32">
        <f t="shared" si="155"/>
        <v>3</v>
      </c>
    </row>
    <row r="1165" spans="1:10" x14ac:dyDescent="0.25">
      <c r="A1165" t="s">
        <v>20</v>
      </c>
      <c r="B1165" t="s">
        <v>333</v>
      </c>
      <c r="C1165">
        <v>97124326</v>
      </c>
      <c r="D1165">
        <v>140</v>
      </c>
      <c r="E1165" s="4">
        <v>-24362139.399999999</v>
      </c>
      <c r="F1165" t="s">
        <v>62</v>
      </c>
      <c r="G1165">
        <v>0</v>
      </c>
      <c r="H1165" s="32" t="str">
        <f ca="1">+IF(B1165&gt;'sap nuevo'!$V$1,"cargar",IF(C1165="","cargar","pagado"))</f>
        <v>cargar</v>
      </c>
      <c r="I1165" s="32">
        <f t="shared" si="154"/>
        <v>2026</v>
      </c>
      <c r="J1165" s="32">
        <f t="shared" si="155"/>
        <v>3</v>
      </c>
    </row>
    <row r="1166" spans="1:10" x14ac:dyDescent="0.25">
      <c r="A1166" t="s">
        <v>12</v>
      </c>
      <c r="B1166" t="s">
        <v>333</v>
      </c>
      <c r="C1166">
        <v>97124327</v>
      </c>
      <c r="D1166">
        <v>140</v>
      </c>
      <c r="E1166" s="4">
        <v>-8481160.9000000004</v>
      </c>
      <c r="F1166" t="s">
        <v>63</v>
      </c>
      <c r="G1166">
        <v>0</v>
      </c>
      <c r="H1166" s="32" t="str">
        <f ca="1">+IF(B1166&gt;'sap nuevo'!$V$1,"cargar",IF(C1166="","cargar","pagado"))</f>
        <v>cargar</v>
      </c>
      <c r="I1166" s="32">
        <f t="shared" si="154"/>
        <v>2026</v>
      </c>
      <c r="J1166" s="32">
        <f t="shared" si="155"/>
        <v>3</v>
      </c>
    </row>
    <row r="1167" spans="1:10" x14ac:dyDescent="0.25">
      <c r="A1167" t="s">
        <v>12</v>
      </c>
      <c r="B1167" t="s">
        <v>333</v>
      </c>
      <c r="C1167">
        <v>97124325</v>
      </c>
      <c r="D1167">
        <v>140</v>
      </c>
      <c r="E1167" s="4">
        <v>-6441469.4000000004</v>
      </c>
      <c r="F1167" t="s">
        <v>63</v>
      </c>
      <c r="G1167">
        <v>0</v>
      </c>
      <c r="H1167" s="32" t="str">
        <f ca="1">+IF(B1167&gt;'sap nuevo'!$V$1,"cargar",IF(C1167="","cargar","pagado"))</f>
        <v>cargar</v>
      </c>
      <c r="I1167" s="32">
        <f t="shared" si="154"/>
        <v>2026</v>
      </c>
      <c r="J1167" s="32">
        <f t="shared" si="155"/>
        <v>3</v>
      </c>
    </row>
    <row r="1168" spans="1:10" x14ac:dyDescent="0.25">
      <c r="A1168" t="s">
        <v>12</v>
      </c>
      <c r="B1168" t="s">
        <v>333</v>
      </c>
      <c r="C1168">
        <v>97124324</v>
      </c>
      <c r="D1168">
        <v>140</v>
      </c>
      <c r="E1168" s="4">
        <v>-4952303.4000000004</v>
      </c>
      <c r="F1168" t="s">
        <v>63</v>
      </c>
      <c r="G1168">
        <v>0</v>
      </c>
      <c r="H1168" s="32" t="str">
        <f ca="1">+IF(B1168&gt;'sap nuevo'!$V$1,"cargar",IF(C1168="","cargar","pagado"))</f>
        <v>cargar</v>
      </c>
      <c r="I1168" s="32">
        <f t="shared" si="154"/>
        <v>2026</v>
      </c>
      <c r="J1168" s="32">
        <f t="shared" si="155"/>
        <v>3</v>
      </c>
    </row>
    <row r="1169" spans="1:10" x14ac:dyDescent="0.25">
      <c r="A1169" t="s">
        <v>12</v>
      </c>
      <c r="B1169" t="s">
        <v>526</v>
      </c>
      <c r="C1169">
        <v>97124323</v>
      </c>
      <c r="D1169">
        <v>140</v>
      </c>
      <c r="E1169" s="4">
        <v>-34521799.420000002</v>
      </c>
      <c r="F1169" t="s">
        <v>63</v>
      </c>
      <c r="G1169">
        <v>0</v>
      </c>
      <c r="H1169" s="32" t="str">
        <f ca="1">+IF(B1169&gt;'sap nuevo'!$V$1,"cargar",IF(C1169="","cargar","pagado"))</f>
        <v>cargar</v>
      </c>
      <c r="I1169" s="32">
        <f t="shared" si="154"/>
        <v>2026</v>
      </c>
      <c r="J1169" s="32">
        <f t="shared" si="155"/>
        <v>3</v>
      </c>
    </row>
    <row r="1170" spans="1:10" x14ac:dyDescent="0.25">
      <c r="A1170" t="s">
        <v>20</v>
      </c>
      <c r="B1170" t="s">
        <v>527</v>
      </c>
      <c r="C1170">
        <v>97124310</v>
      </c>
      <c r="D1170">
        <v>140</v>
      </c>
      <c r="E1170" s="4">
        <v>-3538847.92</v>
      </c>
      <c r="F1170" t="s">
        <v>62</v>
      </c>
      <c r="G1170">
        <v>0</v>
      </c>
      <c r="H1170" s="32" t="str">
        <f ca="1">+IF(B1170&gt;'sap nuevo'!$V$1,"cargar",IF(C1170="","cargar","pagado"))</f>
        <v>cargar</v>
      </c>
      <c r="I1170" s="32">
        <f t="shared" si="154"/>
        <v>2026</v>
      </c>
      <c r="J1170" s="32">
        <f t="shared" si="155"/>
        <v>3</v>
      </c>
    </row>
    <row r="1171" spans="1:10" x14ac:dyDescent="0.25">
      <c r="A1171" t="s">
        <v>20</v>
      </c>
      <c r="B1171" t="s">
        <v>528</v>
      </c>
      <c r="C1171">
        <v>97121399</v>
      </c>
      <c r="D1171">
        <v>140</v>
      </c>
      <c r="E1171" s="4">
        <v>-17445110</v>
      </c>
      <c r="F1171" t="s">
        <v>62</v>
      </c>
      <c r="G1171">
        <v>0</v>
      </c>
      <c r="H1171" s="32" t="str">
        <f ca="1">+IF(B1171&gt;'sap nuevo'!$V$1,"cargar",IF(C1171="","cargar","pagado"))</f>
        <v>cargar</v>
      </c>
      <c r="I1171" s="32">
        <f t="shared" si="154"/>
        <v>2026</v>
      </c>
      <c r="J1171" s="32">
        <f t="shared" si="155"/>
        <v>3</v>
      </c>
    </row>
    <row r="1172" spans="1:10" x14ac:dyDescent="0.25">
      <c r="A1172" t="s">
        <v>20</v>
      </c>
      <c r="B1172" t="s">
        <v>528</v>
      </c>
      <c r="C1172">
        <v>97124308</v>
      </c>
      <c r="D1172">
        <v>140</v>
      </c>
      <c r="E1172" s="4">
        <v>-6894201.5</v>
      </c>
      <c r="F1172" t="s">
        <v>62</v>
      </c>
      <c r="G1172">
        <v>0</v>
      </c>
      <c r="H1172" s="32" t="str">
        <f ca="1">+IF(B1172&gt;'sap nuevo'!$V$1,"cargar",IF(C1172="","cargar","pagado"))</f>
        <v>cargar</v>
      </c>
      <c r="I1172" s="32">
        <f t="shared" si="154"/>
        <v>2026</v>
      </c>
      <c r="J1172" s="32">
        <f t="shared" si="155"/>
        <v>3</v>
      </c>
    </row>
    <row r="1173" spans="1:10" x14ac:dyDescent="0.25">
      <c r="A1173" t="s">
        <v>12</v>
      </c>
      <c r="B1173" t="s">
        <v>528</v>
      </c>
      <c r="C1173">
        <v>97124328</v>
      </c>
      <c r="D1173">
        <v>140</v>
      </c>
      <c r="E1173" s="4">
        <v>-1499280.78</v>
      </c>
      <c r="F1173" t="s">
        <v>63</v>
      </c>
      <c r="G1173">
        <v>0</v>
      </c>
      <c r="H1173" s="32" t="str">
        <f ca="1">+IF(B1173&gt;'sap nuevo'!$V$1,"cargar",IF(C1173="","cargar","pagado"))</f>
        <v>cargar</v>
      </c>
      <c r="I1173" s="32">
        <f t="shared" si="154"/>
        <v>2026</v>
      </c>
      <c r="J1173" s="32">
        <f t="shared" si="155"/>
        <v>3</v>
      </c>
    </row>
    <row r="1174" spans="1:10" x14ac:dyDescent="0.25">
      <c r="A1174" t="s">
        <v>12</v>
      </c>
      <c r="B1174" t="s">
        <v>529</v>
      </c>
      <c r="C1174">
        <v>97124335</v>
      </c>
      <c r="D1174">
        <v>140</v>
      </c>
      <c r="E1174" s="4">
        <v>-18807493.140000001</v>
      </c>
      <c r="F1174" t="s">
        <v>63</v>
      </c>
      <c r="G1174">
        <v>0</v>
      </c>
      <c r="H1174" s="32" t="str">
        <f ca="1">+IF(B1174&gt;'sap nuevo'!$V$1,"cargar",IF(C1174="","cargar","pagado"))</f>
        <v>cargar</v>
      </c>
      <c r="I1174" s="32">
        <f t="shared" si="154"/>
        <v>2026</v>
      </c>
      <c r="J1174" s="32">
        <f t="shared" si="155"/>
        <v>3</v>
      </c>
    </row>
    <row r="1175" spans="1:10" x14ac:dyDescent="0.25">
      <c r="A1175" t="s">
        <v>20</v>
      </c>
      <c r="B1175" t="s">
        <v>529</v>
      </c>
      <c r="C1175">
        <v>97124334</v>
      </c>
      <c r="D1175">
        <v>140</v>
      </c>
      <c r="E1175" s="4">
        <v>-18172637.100000001</v>
      </c>
      <c r="F1175" t="s">
        <v>62</v>
      </c>
      <c r="G1175">
        <v>0</v>
      </c>
      <c r="H1175" s="32" t="str">
        <f ca="1">+IF(B1175&gt;'sap nuevo'!$V$1,"cargar",IF(C1175="","cargar","pagado"))</f>
        <v>cargar</v>
      </c>
      <c r="I1175" s="32">
        <f t="shared" si="154"/>
        <v>2026</v>
      </c>
      <c r="J1175" s="32">
        <f t="shared" si="155"/>
        <v>3</v>
      </c>
    </row>
    <row r="1176" spans="1:10" x14ac:dyDescent="0.25">
      <c r="A1176" t="s">
        <v>20</v>
      </c>
      <c r="B1176" t="s">
        <v>529</v>
      </c>
      <c r="C1176">
        <v>97124333</v>
      </c>
      <c r="D1176">
        <v>140</v>
      </c>
      <c r="E1176" s="4">
        <v>-15990026.65</v>
      </c>
      <c r="F1176" t="s">
        <v>62</v>
      </c>
      <c r="G1176">
        <v>0</v>
      </c>
      <c r="H1176" s="32" t="str">
        <f ca="1">+IF(B1176&gt;'sap nuevo'!$V$1,"cargar",IF(C1176="","cargar","pagado"))</f>
        <v>cargar</v>
      </c>
      <c r="I1176" s="32">
        <f t="shared" si="154"/>
        <v>2026</v>
      </c>
      <c r="J1176" s="32">
        <f t="shared" si="155"/>
        <v>3</v>
      </c>
    </row>
    <row r="1177" spans="1:10" x14ac:dyDescent="0.25">
      <c r="A1177" t="s">
        <v>12</v>
      </c>
      <c r="B1177" t="s">
        <v>529</v>
      </c>
      <c r="C1177">
        <v>97124338</v>
      </c>
      <c r="D1177">
        <v>140</v>
      </c>
      <c r="E1177" s="4">
        <v>-7301077.7199999997</v>
      </c>
      <c r="F1177" t="s">
        <v>63</v>
      </c>
      <c r="G1177">
        <v>0</v>
      </c>
      <c r="H1177" s="32" t="str">
        <f ca="1">+IF(B1177&gt;'sap nuevo'!$V$1,"cargar",IF(C1177="","cargar","pagado"))</f>
        <v>cargar</v>
      </c>
      <c r="I1177" s="32">
        <f t="shared" si="154"/>
        <v>2026</v>
      </c>
      <c r="J1177" s="32">
        <f t="shared" si="155"/>
        <v>3</v>
      </c>
    </row>
    <row r="1178" spans="1:10" x14ac:dyDescent="0.25">
      <c r="A1178" t="s">
        <v>12</v>
      </c>
      <c r="B1178" t="s">
        <v>529</v>
      </c>
      <c r="C1178">
        <v>97124337</v>
      </c>
      <c r="D1178">
        <v>140</v>
      </c>
      <c r="E1178" s="4">
        <v>-6556879.9500000002</v>
      </c>
      <c r="F1178" t="s">
        <v>63</v>
      </c>
      <c r="G1178">
        <v>0</v>
      </c>
      <c r="H1178" s="32" t="str">
        <f ca="1">+IF(B1178&gt;'sap nuevo'!$V$1,"cargar",IF(C1178="","cargar","pagado"))</f>
        <v>cargar</v>
      </c>
      <c r="I1178" s="32">
        <f t="shared" si="154"/>
        <v>2026</v>
      </c>
      <c r="J1178" s="32">
        <f t="shared" si="155"/>
        <v>3</v>
      </c>
    </row>
    <row r="1179" spans="1:10" x14ac:dyDescent="0.25">
      <c r="A1179" t="s">
        <v>20</v>
      </c>
      <c r="B1179" t="s">
        <v>529</v>
      </c>
      <c r="C1179">
        <v>97124336</v>
      </c>
      <c r="D1179">
        <v>140</v>
      </c>
      <c r="E1179" s="4">
        <v>-4505254.78</v>
      </c>
      <c r="F1179" t="s">
        <v>62</v>
      </c>
      <c r="G1179">
        <v>0</v>
      </c>
      <c r="H1179" s="32" t="str">
        <f ca="1">+IF(B1179&gt;'sap nuevo'!$V$1,"cargar",IF(C1179="","cargar","pagado"))</f>
        <v>cargar</v>
      </c>
      <c r="I1179" s="32">
        <f t="shared" si="154"/>
        <v>2026</v>
      </c>
      <c r="J1179" s="32">
        <f t="shared" si="155"/>
        <v>3</v>
      </c>
    </row>
    <row r="1180" spans="1:10" x14ac:dyDescent="0.25">
      <c r="A1180" t="s">
        <v>12</v>
      </c>
      <c r="B1180" t="s">
        <v>531</v>
      </c>
      <c r="C1180">
        <v>97124339</v>
      </c>
      <c r="D1180">
        <v>140</v>
      </c>
      <c r="E1180" s="4">
        <v>-36759632.340000004</v>
      </c>
      <c r="F1180" t="s">
        <v>63</v>
      </c>
      <c r="G1180">
        <v>0</v>
      </c>
      <c r="H1180" s="32" t="str">
        <f ca="1">+IF(B1180&gt;'sap nuevo'!$V$1,"cargar",IF(C1180="","cargar","pagado"))</f>
        <v>cargar</v>
      </c>
      <c r="I1180" s="32">
        <f t="shared" si="154"/>
        <v>2026</v>
      </c>
      <c r="J1180" s="32">
        <f t="shared" si="155"/>
        <v>3</v>
      </c>
    </row>
    <row r="1181" spans="1:10" x14ac:dyDescent="0.25">
      <c r="A1181" t="s">
        <v>12</v>
      </c>
      <c r="B1181" t="s">
        <v>531</v>
      </c>
      <c r="C1181">
        <v>97124341</v>
      </c>
      <c r="D1181">
        <v>140</v>
      </c>
      <c r="E1181" s="4">
        <v>-10179780</v>
      </c>
      <c r="F1181" t="s">
        <v>63</v>
      </c>
      <c r="G1181">
        <v>0</v>
      </c>
      <c r="H1181" s="32" t="str">
        <f ca="1">+IF(B1181&gt;'sap nuevo'!$V$1,"cargar",IF(C1181="","cargar","pagado"))</f>
        <v>cargar</v>
      </c>
      <c r="I1181" s="32">
        <f t="shared" si="154"/>
        <v>2026</v>
      </c>
      <c r="J1181" s="32">
        <f t="shared" si="155"/>
        <v>3</v>
      </c>
    </row>
    <row r="1182" spans="1:10" x14ac:dyDescent="0.25">
      <c r="A1182" t="s">
        <v>20</v>
      </c>
      <c r="B1182" t="s">
        <v>531</v>
      </c>
      <c r="C1182">
        <v>97124330</v>
      </c>
      <c r="D1182">
        <v>140</v>
      </c>
      <c r="E1182" s="4">
        <v>-9202073.4000000004</v>
      </c>
      <c r="F1182" t="s">
        <v>62</v>
      </c>
      <c r="G1182">
        <v>0</v>
      </c>
      <c r="H1182" s="32" t="str">
        <f ca="1">+IF(B1182&gt;'sap nuevo'!$V$1,"cargar",IF(C1182="","cargar","pagado"))</f>
        <v>cargar</v>
      </c>
      <c r="I1182" s="32">
        <f t="shared" si="154"/>
        <v>2026</v>
      </c>
      <c r="J1182" s="32">
        <f t="shared" si="155"/>
        <v>3</v>
      </c>
    </row>
    <row r="1183" spans="1:10" x14ac:dyDescent="0.25">
      <c r="A1183" t="s">
        <v>20</v>
      </c>
      <c r="B1183" t="s">
        <v>531</v>
      </c>
      <c r="C1183">
        <v>97124294</v>
      </c>
      <c r="D1183">
        <v>140</v>
      </c>
      <c r="E1183" s="4">
        <v>-7230543.4000000004</v>
      </c>
      <c r="F1183" t="s">
        <v>62</v>
      </c>
      <c r="G1183">
        <v>0</v>
      </c>
      <c r="H1183" s="32" t="str">
        <f ca="1">+IF(B1183&gt;'sap nuevo'!$V$1,"cargar",IF(C1183="","cargar","pagado"))</f>
        <v>cargar</v>
      </c>
      <c r="I1183" s="32">
        <f t="shared" si="154"/>
        <v>2026</v>
      </c>
      <c r="J1183" s="32">
        <f t="shared" si="155"/>
        <v>3</v>
      </c>
    </row>
    <row r="1184" spans="1:10" x14ac:dyDescent="0.25">
      <c r="A1184" t="s">
        <v>20</v>
      </c>
      <c r="B1184" t="s">
        <v>531</v>
      </c>
      <c r="C1184">
        <v>97124340</v>
      </c>
      <c r="D1184">
        <v>140</v>
      </c>
      <c r="E1184" s="4">
        <v>-782019.84</v>
      </c>
      <c r="F1184" t="s">
        <v>62</v>
      </c>
      <c r="G1184">
        <v>0</v>
      </c>
      <c r="H1184" s="32" t="str">
        <f ca="1">+IF(B1184&gt;'sap nuevo'!$V$1,"cargar",IF(C1184="","cargar","pagado"))</f>
        <v>cargar</v>
      </c>
      <c r="I1184" s="32">
        <f t="shared" si="154"/>
        <v>2026</v>
      </c>
      <c r="J1184" s="32">
        <f t="shared" si="155"/>
        <v>3</v>
      </c>
    </row>
    <row r="1185" spans="1:10" x14ac:dyDescent="0.25">
      <c r="A1185" t="s">
        <v>12</v>
      </c>
      <c r="B1185" s="3">
        <v>46108</v>
      </c>
      <c r="C1185">
        <v>97124331</v>
      </c>
      <c r="D1185">
        <v>140</v>
      </c>
      <c r="E1185" s="4">
        <v>-4003045.49</v>
      </c>
      <c r="F1185" t="s">
        <v>63</v>
      </c>
      <c r="G1185">
        <v>0</v>
      </c>
      <c r="H1185" s="32" t="str">
        <f ca="1">+IF(B1185&gt;'sap nuevo'!$V$1,"cargar",IF(C1185="","cargar","pagado"))</f>
        <v>pagado</v>
      </c>
      <c r="I1185" s="32">
        <f t="shared" si="154"/>
        <v>2026</v>
      </c>
      <c r="J1185" s="32">
        <f t="shared" si="155"/>
        <v>3</v>
      </c>
    </row>
    <row r="1186" spans="1:10" x14ac:dyDescent="0.25">
      <c r="A1186" t="s">
        <v>20</v>
      </c>
      <c r="B1186" t="s">
        <v>533</v>
      </c>
      <c r="C1186">
        <v>97124353</v>
      </c>
      <c r="D1186">
        <v>140</v>
      </c>
      <c r="E1186" s="4">
        <v>-25000000</v>
      </c>
      <c r="F1186" t="s">
        <v>62</v>
      </c>
      <c r="G1186">
        <v>0</v>
      </c>
      <c r="H1186" s="32" t="str">
        <f ca="1">+IF(B1186&gt;'sap nuevo'!$V$1,"cargar",IF(C1186="","cargar","pagado"))</f>
        <v>cargar</v>
      </c>
      <c r="I1186" s="32">
        <f t="shared" si="154"/>
        <v>2026</v>
      </c>
      <c r="J1186" s="32">
        <f t="shared" si="155"/>
        <v>3</v>
      </c>
    </row>
    <row r="1187" spans="1:10" x14ac:dyDescent="0.25">
      <c r="A1187" t="s">
        <v>12</v>
      </c>
      <c r="B1187" t="s">
        <v>533</v>
      </c>
      <c r="C1187">
        <v>97124348</v>
      </c>
      <c r="D1187">
        <v>140</v>
      </c>
      <c r="E1187" s="4">
        <v>-9145575</v>
      </c>
      <c r="F1187" t="s">
        <v>63</v>
      </c>
      <c r="G1187">
        <v>0</v>
      </c>
      <c r="H1187" s="32" t="str">
        <f ca="1">+IF(B1187&gt;'sap nuevo'!$V$1,"cargar",IF(C1187="","cargar","pagado"))</f>
        <v>cargar</v>
      </c>
      <c r="I1187" s="32">
        <f t="shared" si="154"/>
        <v>2026</v>
      </c>
      <c r="J1187" s="32">
        <f t="shared" si="155"/>
        <v>3</v>
      </c>
    </row>
    <row r="1188" spans="1:10" x14ac:dyDescent="0.25">
      <c r="A1188" t="s">
        <v>20</v>
      </c>
      <c r="B1188" t="s">
        <v>533</v>
      </c>
      <c r="C1188">
        <v>97124349</v>
      </c>
      <c r="D1188">
        <v>140</v>
      </c>
      <c r="E1188" s="4">
        <v>-5546690.1699999999</v>
      </c>
      <c r="F1188" t="s">
        <v>62</v>
      </c>
      <c r="G1188">
        <v>0</v>
      </c>
      <c r="H1188" s="32" t="str">
        <f ca="1">+IF(B1188&gt;'sap nuevo'!$V$1,"cargar",IF(C1188="","cargar","pagado"))</f>
        <v>cargar</v>
      </c>
      <c r="I1188" s="32">
        <f t="shared" si="154"/>
        <v>2026</v>
      </c>
      <c r="J1188" s="32">
        <f t="shared" si="155"/>
        <v>3</v>
      </c>
    </row>
    <row r="1189" spans="1:10" x14ac:dyDescent="0.25">
      <c r="A1189" t="s">
        <v>20</v>
      </c>
      <c r="B1189" t="s">
        <v>533</v>
      </c>
      <c r="C1189">
        <v>97124346</v>
      </c>
      <c r="D1189">
        <v>140</v>
      </c>
      <c r="E1189" s="4">
        <v>-3940778.4</v>
      </c>
      <c r="F1189" t="s">
        <v>62</v>
      </c>
      <c r="G1189">
        <v>0</v>
      </c>
      <c r="H1189" s="32" t="str">
        <f ca="1">+IF(B1189&gt;'sap nuevo'!$V$1,"cargar",IF(C1189="","cargar","pagado"))</f>
        <v>cargar</v>
      </c>
      <c r="I1189" s="32">
        <f t="shared" si="154"/>
        <v>2026</v>
      </c>
      <c r="J1189" s="32">
        <f t="shared" si="155"/>
        <v>3</v>
      </c>
    </row>
    <row r="1190" spans="1:10" x14ac:dyDescent="0.25">
      <c r="A1190" t="s">
        <v>12</v>
      </c>
      <c r="B1190" s="3">
        <v>46112</v>
      </c>
      <c r="C1190">
        <v>97124344</v>
      </c>
      <c r="D1190">
        <v>140</v>
      </c>
      <c r="E1190" s="4">
        <v>-26716188.399999999</v>
      </c>
      <c r="F1190" t="s">
        <v>63</v>
      </c>
      <c r="G1190">
        <v>0</v>
      </c>
      <c r="H1190" s="32" t="str">
        <f ca="1">+IF(B1190&gt;'sap nuevo'!$V$1,"cargar",IF(C1190="","cargar","pagado"))</f>
        <v>pagado</v>
      </c>
      <c r="I1190" s="32">
        <f t="shared" si="154"/>
        <v>2026</v>
      </c>
      <c r="J1190" s="32">
        <f t="shared" si="155"/>
        <v>3</v>
      </c>
    </row>
    <row r="1191" spans="1:10" x14ac:dyDescent="0.25">
      <c r="A1191" t="s">
        <v>12</v>
      </c>
      <c r="B1191" s="3">
        <v>46112</v>
      </c>
      <c r="C1191">
        <v>97124351</v>
      </c>
      <c r="D1191">
        <v>140</v>
      </c>
      <c r="E1191" s="4">
        <v>-25515660.5</v>
      </c>
      <c r="F1191" t="s">
        <v>63</v>
      </c>
      <c r="G1191">
        <v>0</v>
      </c>
      <c r="H1191" s="32" t="str">
        <f ca="1">+IF(B1191&gt;'sap nuevo'!$V$1,"cargar",IF(C1191="","cargar","pagado"))</f>
        <v>pagado</v>
      </c>
      <c r="I1191" s="32">
        <f t="shared" ref="I1191:I1211" si="156">+YEAR(B1191)</f>
        <v>2026</v>
      </c>
      <c r="J1191" s="32">
        <f t="shared" ref="J1191:J1211" si="157">+MONTH(B1191)</f>
        <v>3</v>
      </c>
    </row>
    <row r="1192" spans="1:10" x14ac:dyDescent="0.25">
      <c r="A1192" t="s">
        <v>20</v>
      </c>
      <c r="B1192" s="3">
        <v>46112</v>
      </c>
      <c r="C1192">
        <v>97124355</v>
      </c>
      <c r="D1192">
        <v>140</v>
      </c>
      <c r="E1192" s="4">
        <v>-24560329.600000001</v>
      </c>
      <c r="F1192" t="s">
        <v>62</v>
      </c>
      <c r="G1192">
        <v>0</v>
      </c>
      <c r="H1192" s="32" t="str">
        <f ca="1">+IF(B1192&gt;'sap nuevo'!$V$1,"cargar",IF(C1192="","cargar","pagado"))</f>
        <v>pagado</v>
      </c>
      <c r="I1192" s="32">
        <f t="shared" si="156"/>
        <v>2026</v>
      </c>
      <c r="J1192" s="32">
        <f t="shared" si="157"/>
        <v>3</v>
      </c>
    </row>
    <row r="1193" spans="1:10" x14ac:dyDescent="0.25">
      <c r="A1193" t="s">
        <v>20</v>
      </c>
      <c r="B1193" s="3">
        <v>46112</v>
      </c>
      <c r="C1193">
        <v>97124345</v>
      </c>
      <c r="D1193">
        <v>140</v>
      </c>
      <c r="E1193" s="4">
        <v>-18991343.399999999</v>
      </c>
      <c r="F1193" t="s">
        <v>62</v>
      </c>
      <c r="G1193">
        <v>0</v>
      </c>
      <c r="H1193" s="32" t="str">
        <f ca="1">+IF(B1193&gt;'sap nuevo'!$V$1,"cargar",IF(C1193="","cargar","pagado"))</f>
        <v>pagado</v>
      </c>
      <c r="I1193" s="32">
        <f t="shared" si="156"/>
        <v>2026</v>
      </c>
      <c r="J1193" s="32">
        <f t="shared" si="157"/>
        <v>3</v>
      </c>
    </row>
    <row r="1194" spans="1:10" x14ac:dyDescent="0.25">
      <c r="A1194" t="s">
        <v>12</v>
      </c>
      <c r="B1194" s="3">
        <v>46112</v>
      </c>
      <c r="C1194">
        <v>97124357</v>
      </c>
      <c r="D1194">
        <v>140</v>
      </c>
      <c r="E1194" s="4">
        <v>-18423701.949999999</v>
      </c>
      <c r="F1194" t="s">
        <v>63</v>
      </c>
      <c r="G1194">
        <v>0</v>
      </c>
      <c r="H1194" s="32" t="str">
        <f ca="1">+IF(B1194&gt;'sap nuevo'!$V$1,"cargar",IF(C1194="","cargar","pagado"))</f>
        <v>pagado</v>
      </c>
      <c r="I1194" s="32">
        <f t="shared" si="156"/>
        <v>2026</v>
      </c>
      <c r="J1194" s="32">
        <f t="shared" si="157"/>
        <v>3</v>
      </c>
    </row>
    <row r="1195" spans="1:10" x14ac:dyDescent="0.25">
      <c r="A1195" t="s">
        <v>20</v>
      </c>
      <c r="B1195" s="3">
        <v>46112</v>
      </c>
      <c r="C1195">
        <v>97124342</v>
      </c>
      <c r="D1195">
        <v>140</v>
      </c>
      <c r="E1195" s="4">
        <v>-10903534.35</v>
      </c>
      <c r="F1195" t="s">
        <v>62</v>
      </c>
      <c r="G1195">
        <v>0</v>
      </c>
      <c r="H1195" s="32" t="str">
        <f ca="1">+IF(B1195&gt;'sap nuevo'!$V$1,"cargar",IF(C1195="","cargar","pagado"))</f>
        <v>pagado</v>
      </c>
      <c r="I1195" s="32">
        <f t="shared" si="156"/>
        <v>2026</v>
      </c>
      <c r="J1195" s="32">
        <f t="shared" si="157"/>
        <v>3</v>
      </c>
    </row>
    <row r="1196" spans="1:10" x14ac:dyDescent="0.25">
      <c r="A1196" t="s">
        <v>20</v>
      </c>
      <c r="B1196" s="3">
        <v>46113</v>
      </c>
      <c r="C1196">
        <v>97124354</v>
      </c>
      <c r="D1196">
        <v>140</v>
      </c>
      <c r="E1196" s="4">
        <v>-28832394</v>
      </c>
      <c r="F1196" t="s">
        <v>62</v>
      </c>
      <c r="G1196">
        <v>0</v>
      </c>
      <c r="H1196" s="32" t="str">
        <f ca="1">+IF(B1196&gt;'sap nuevo'!$V$1,"cargar",IF(C1196="","cargar","pagado"))</f>
        <v>pagado</v>
      </c>
      <c r="I1196" s="32">
        <f t="shared" si="156"/>
        <v>2026</v>
      </c>
      <c r="J1196" s="32">
        <f t="shared" si="157"/>
        <v>4</v>
      </c>
    </row>
    <row r="1197" spans="1:10" x14ac:dyDescent="0.25">
      <c r="A1197" t="s">
        <v>20</v>
      </c>
      <c r="B1197" s="3">
        <v>46113</v>
      </c>
      <c r="C1197">
        <v>97124347</v>
      </c>
      <c r="D1197">
        <v>140</v>
      </c>
      <c r="E1197" s="4">
        <v>-24563000</v>
      </c>
      <c r="F1197" t="s">
        <v>62</v>
      </c>
      <c r="G1197">
        <v>0</v>
      </c>
      <c r="H1197" s="32" t="str">
        <f ca="1">+IF(B1197&gt;'sap nuevo'!$V$1,"cargar",IF(C1197="","cargar","pagado"))</f>
        <v>pagado</v>
      </c>
      <c r="I1197" s="32">
        <f t="shared" si="156"/>
        <v>2026</v>
      </c>
      <c r="J1197" s="32">
        <f t="shared" si="157"/>
        <v>4</v>
      </c>
    </row>
    <row r="1198" spans="1:10" x14ac:dyDescent="0.25">
      <c r="A1198" t="s">
        <v>20</v>
      </c>
      <c r="B1198" s="3">
        <v>46113</v>
      </c>
      <c r="C1198">
        <v>97124352</v>
      </c>
      <c r="D1198">
        <v>140</v>
      </c>
      <c r="E1198" s="4">
        <v>-18691063.899999999</v>
      </c>
      <c r="F1198" t="s">
        <v>62</v>
      </c>
      <c r="G1198">
        <v>0</v>
      </c>
      <c r="H1198" s="32" t="str">
        <f ca="1">+IF(B1198&gt;'sap nuevo'!$V$1,"cargar",IF(C1198="","cargar","pagado"))</f>
        <v>pagado</v>
      </c>
      <c r="I1198" s="32">
        <f t="shared" si="156"/>
        <v>2026</v>
      </c>
      <c r="J1198" s="32">
        <f t="shared" si="157"/>
        <v>4</v>
      </c>
    </row>
    <row r="1199" spans="1:10" x14ac:dyDescent="0.25">
      <c r="A1199" t="s">
        <v>20</v>
      </c>
      <c r="B1199" s="3">
        <v>46113</v>
      </c>
      <c r="C1199">
        <v>97124126</v>
      </c>
      <c r="D1199">
        <v>140</v>
      </c>
      <c r="E1199" s="4">
        <v>-16466702.5</v>
      </c>
      <c r="F1199" t="s">
        <v>62</v>
      </c>
      <c r="G1199">
        <v>0</v>
      </c>
      <c r="H1199" s="32" t="str">
        <f ca="1">+IF(B1199&gt;'sap nuevo'!$V$1,"cargar",IF(C1199="","cargar","pagado"))</f>
        <v>pagado</v>
      </c>
      <c r="I1199" s="32">
        <f t="shared" si="156"/>
        <v>2026</v>
      </c>
      <c r="J1199" s="32">
        <f t="shared" si="157"/>
        <v>4</v>
      </c>
    </row>
    <row r="1200" spans="1:10" x14ac:dyDescent="0.25">
      <c r="A1200" t="s">
        <v>20</v>
      </c>
      <c r="B1200" s="3">
        <v>46113</v>
      </c>
      <c r="C1200">
        <v>97124350</v>
      </c>
      <c r="D1200">
        <v>140</v>
      </c>
      <c r="E1200" s="4">
        <v>-12714358.57</v>
      </c>
      <c r="F1200" t="s">
        <v>62</v>
      </c>
      <c r="G1200">
        <v>0</v>
      </c>
      <c r="H1200" s="32" t="str">
        <f ca="1">+IF(B1200&gt;'sap nuevo'!$V$1,"cargar",IF(C1200="","cargar","pagado"))</f>
        <v>pagado</v>
      </c>
      <c r="I1200" s="32">
        <f t="shared" si="156"/>
        <v>2026</v>
      </c>
      <c r="J1200" s="32">
        <f t="shared" si="157"/>
        <v>4</v>
      </c>
    </row>
    <row r="1201" spans="1:10" x14ac:dyDescent="0.25">
      <c r="A1201" t="s">
        <v>20</v>
      </c>
      <c r="B1201" s="3">
        <v>46120</v>
      </c>
      <c r="C1201">
        <v>97124359</v>
      </c>
      <c r="D1201">
        <v>140</v>
      </c>
      <c r="E1201" s="4">
        <v>-103101102</v>
      </c>
      <c r="F1201" t="s">
        <v>62</v>
      </c>
      <c r="G1201">
        <v>0</v>
      </c>
      <c r="H1201" s="32" t="str">
        <f ca="1">+IF(B1201&gt;'sap nuevo'!$V$1,"cargar",IF(C1201="","cargar","pagado"))</f>
        <v>pagado</v>
      </c>
      <c r="I1201" s="32">
        <f t="shared" si="156"/>
        <v>2026</v>
      </c>
      <c r="J1201" s="32">
        <f t="shared" si="157"/>
        <v>4</v>
      </c>
    </row>
    <row r="1202" spans="1:10" x14ac:dyDescent="0.25">
      <c r="A1202" t="s">
        <v>20</v>
      </c>
      <c r="B1202" s="3">
        <v>46120</v>
      </c>
      <c r="C1202">
        <v>97124329</v>
      </c>
      <c r="D1202">
        <v>140</v>
      </c>
      <c r="E1202" s="4">
        <v>-10993371.48</v>
      </c>
      <c r="F1202" t="s">
        <v>62</v>
      </c>
      <c r="G1202">
        <v>0</v>
      </c>
      <c r="H1202" s="32" t="str">
        <f ca="1">+IF(B1202&gt;'sap nuevo'!$V$1,"cargar",IF(C1202="","cargar","pagado"))</f>
        <v>pagado</v>
      </c>
      <c r="I1202" s="32">
        <f t="shared" si="156"/>
        <v>2026</v>
      </c>
      <c r="J1202" s="32">
        <f t="shared" si="157"/>
        <v>4</v>
      </c>
    </row>
    <row r="1203" spans="1:10" x14ac:dyDescent="0.25">
      <c r="A1203" t="s">
        <v>20</v>
      </c>
      <c r="B1203" s="3">
        <v>46120</v>
      </c>
      <c r="C1203">
        <v>97124358</v>
      </c>
      <c r="D1203">
        <v>140</v>
      </c>
      <c r="E1203" s="4">
        <v>-3487567.85</v>
      </c>
      <c r="F1203" t="s">
        <v>62</v>
      </c>
      <c r="G1203">
        <v>0</v>
      </c>
      <c r="H1203" s="32" t="str">
        <f ca="1">+IF(B1203&gt;'sap nuevo'!$V$1,"cargar",IF(C1203="","cargar","pagado"))</f>
        <v>pagado</v>
      </c>
      <c r="I1203" s="32">
        <f t="shared" si="156"/>
        <v>2026</v>
      </c>
      <c r="J1203" s="32">
        <f t="shared" si="157"/>
        <v>4</v>
      </c>
    </row>
    <row r="1204" spans="1:10" x14ac:dyDescent="0.25">
      <c r="A1204" t="s">
        <v>12</v>
      </c>
      <c r="B1204" s="3">
        <v>46120</v>
      </c>
      <c r="C1204">
        <v>97124332</v>
      </c>
      <c r="D1204">
        <v>140</v>
      </c>
      <c r="E1204" s="4">
        <v>-88438.26</v>
      </c>
      <c r="F1204" t="s">
        <v>63</v>
      </c>
      <c r="G1204">
        <v>0</v>
      </c>
      <c r="H1204" s="32" t="str">
        <f ca="1">+IF(B1204&gt;'sap nuevo'!$V$1,"cargar",IF(C1204="","cargar","pagado"))</f>
        <v>pagado</v>
      </c>
      <c r="I1204" s="32">
        <f t="shared" si="156"/>
        <v>2026</v>
      </c>
      <c r="J1204" s="32">
        <f t="shared" si="157"/>
        <v>4</v>
      </c>
    </row>
    <row r="1205" spans="1:10" x14ac:dyDescent="0.25">
      <c r="A1205" t="s">
        <v>20</v>
      </c>
      <c r="B1205" s="3">
        <v>46122</v>
      </c>
      <c r="C1205">
        <v>97124343</v>
      </c>
      <c r="D1205">
        <v>140</v>
      </c>
      <c r="E1205" s="4">
        <v>-4670665.7699999996</v>
      </c>
      <c r="F1205" t="s">
        <v>62</v>
      </c>
      <c r="G1205">
        <v>0</v>
      </c>
      <c r="H1205" s="32" t="str">
        <f ca="1">+IF(B1205&gt;'sap nuevo'!$V$1,"cargar",IF(C1205="","cargar","pagado"))</f>
        <v>pagado</v>
      </c>
      <c r="I1205" s="32">
        <f t="shared" si="156"/>
        <v>2026</v>
      </c>
      <c r="J1205" s="32">
        <f t="shared" si="157"/>
        <v>4</v>
      </c>
    </row>
    <row r="1206" spans="1:10" x14ac:dyDescent="0.25">
      <c r="A1206" t="s">
        <v>12</v>
      </c>
      <c r="B1206" s="100">
        <v>46126</v>
      </c>
      <c r="C1206">
        <v>97124365</v>
      </c>
      <c r="D1206">
        <v>140</v>
      </c>
      <c r="E1206" s="4">
        <v>-11118317.92</v>
      </c>
      <c r="F1206" t="s">
        <v>536</v>
      </c>
      <c r="G1206">
        <v>0</v>
      </c>
      <c r="H1206" s="32" t="str">
        <f ca="1">+IF(B1206&gt;'sap nuevo'!$V$1,"cargar",IF(C1206="","cargar","pagado"))</f>
        <v>pagado</v>
      </c>
      <c r="I1206" s="32">
        <f t="shared" si="156"/>
        <v>2026</v>
      </c>
      <c r="J1206" s="32">
        <f t="shared" si="157"/>
        <v>4</v>
      </c>
    </row>
    <row r="1207" spans="1:10" x14ac:dyDescent="0.25">
      <c r="A1207" t="s">
        <v>12</v>
      </c>
      <c r="B1207" s="100">
        <v>46126</v>
      </c>
      <c r="C1207">
        <v>97124364</v>
      </c>
      <c r="D1207">
        <v>140</v>
      </c>
      <c r="E1207" s="4">
        <v>-9472114.4199999999</v>
      </c>
      <c r="F1207" t="s">
        <v>536</v>
      </c>
      <c r="G1207">
        <v>0</v>
      </c>
      <c r="H1207" s="32" t="str">
        <f ca="1">+IF(B1207&gt;'sap nuevo'!$V$1,"cargar",IF(C1207="","cargar","pagado"))</f>
        <v>pagado</v>
      </c>
      <c r="I1207" s="32">
        <f t="shared" si="156"/>
        <v>2026</v>
      </c>
      <c r="J1207" s="32">
        <f t="shared" si="157"/>
        <v>4</v>
      </c>
    </row>
    <row r="1208" spans="1:10" x14ac:dyDescent="0.25">
      <c r="A1208" t="s">
        <v>20</v>
      </c>
      <c r="B1208" s="100">
        <v>46126</v>
      </c>
      <c r="C1208">
        <v>97124366</v>
      </c>
      <c r="D1208">
        <v>140</v>
      </c>
      <c r="E1208" s="4">
        <v>-9468527.9199999999</v>
      </c>
      <c r="F1208" t="s">
        <v>537</v>
      </c>
      <c r="G1208">
        <v>0</v>
      </c>
      <c r="H1208" s="32" t="str">
        <f ca="1">+IF(B1208&gt;'sap nuevo'!$V$1,"cargar",IF(C1208="","cargar","pagado"))</f>
        <v>pagado</v>
      </c>
      <c r="I1208" s="32">
        <f t="shared" si="156"/>
        <v>2026</v>
      </c>
      <c r="J1208" s="32">
        <f t="shared" si="157"/>
        <v>4</v>
      </c>
    </row>
    <row r="1209" spans="1:10" x14ac:dyDescent="0.25">
      <c r="A1209" t="s">
        <v>20</v>
      </c>
      <c r="B1209" s="100">
        <v>46126</v>
      </c>
      <c r="C1209">
        <v>97124363</v>
      </c>
      <c r="D1209">
        <v>140</v>
      </c>
      <c r="E1209" s="4">
        <v>-8694167.9199999999</v>
      </c>
      <c r="F1209" t="s">
        <v>537</v>
      </c>
      <c r="G1209">
        <v>0</v>
      </c>
      <c r="H1209" s="32" t="str">
        <f ca="1">+IF(B1209&gt;'sap nuevo'!$V$1,"cargar",IF(C1209="","cargar","pagado"))</f>
        <v>pagado</v>
      </c>
      <c r="I1209" s="32">
        <f t="shared" si="156"/>
        <v>2026</v>
      </c>
      <c r="J1209" s="32">
        <f t="shared" si="157"/>
        <v>4</v>
      </c>
    </row>
    <row r="1210" spans="1:10" x14ac:dyDescent="0.25">
      <c r="A1210" t="s">
        <v>20</v>
      </c>
      <c r="B1210" s="100">
        <v>46125</v>
      </c>
      <c r="C1210">
        <v>97124362</v>
      </c>
      <c r="D1210">
        <v>140</v>
      </c>
      <c r="E1210" s="4">
        <v>-59383219</v>
      </c>
      <c r="F1210" t="s">
        <v>537</v>
      </c>
      <c r="G1210">
        <v>0</v>
      </c>
      <c r="H1210" s="32" t="str">
        <f ca="1">+IF(B1210&gt;'sap nuevo'!$V$1,"cargar",IF(C1210="","cargar","pagado"))</f>
        <v>pagado</v>
      </c>
      <c r="I1210" s="32">
        <f t="shared" si="156"/>
        <v>2026</v>
      </c>
      <c r="J1210" s="32">
        <f t="shared" si="157"/>
        <v>4</v>
      </c>
    </row>
    <row r="1211" spans="1:10" x14ac:dyDescent="0.25">
      <c r="A1211" t="s">
        <v>20</v>
      </c>
      <c r="B1211" s="100">
        <v>46125</v>
      </c>
      <c r="C1211">
        <v>97124361</v>
      </c>
      <c r="D1211">
        <v>140</v>
      </c>
      <c r="E1211" s="4">
        <v>-1318027.8999999999</v>
      </c>
      <c r="F1211" t="s">
        <v>537</v>
      </c>
      <c r="G1211">
        <v>0</v>
      </c>
      <c r="H1211" s="32" t="str">
        <f ca="1">+IF(B1211&gt;'sap nuevo'!$V$1,"cargar",IF(C1211="","cargar","pagado"))</f>
        <v>pagado</v>
      </c>
      <c r="I1211" s="32">
        <f t="shared" si="156"/>
        <v>2026</v>
      </c>
      <c r="J1211" s="32">
        <f t="shared" si="157"/>
        <v>4</v>
      </c>
    </row>
    <row r="1212" spans="1:10" x14ac:dyDescent="0.25">
      <c r="A1212" t="s">
        <v>20</v>
      </c>
      <c r="B1212" s="3">
        <v>46129</v>
      </c>
      <c r="C1212">
        <v>97124371</v>
      </c>
      <c r="D1212">
        <v>140</v>
      </c>
      <c r="E1212" s="4">
        <v>-36175327.399999999</v>
      </c>
      <c r="F1212" t="s">
        <v>62</v>
      </c>
      <c r="G1212">
        <v>0</v>
      </c>
      <c r="H1212" s="32" t="str">
        <f ca="1">+IF(B1212&gt;'sap nuevo'!$V$1,"cargar",IF(C1212="","cargar","pagado"))</f>
        <v>pagado</v>
      </c>
      <c r="I1212" s="32">
        <f t="shared" ref="I1212:I1228" si="158">+YEAR(B1212)</f>
        <v>2026</v>
      </c>
      <c r="J1212" s="32">
        <f t="shared" ref="J1212:J1228" si="159">+MONTH(B1212)</f>
        <v>4</v>
      </c>
    </row>
    <row r="1213" spans="1:10" x14ac:dyDescent="0.25">
      <c r="A1213" t="s">
        <v>12</v>
      </c>
      <c r="B1213" s="3">
        <v>46129</v>
      </c>
      <c r="C1213">
        <v>97124379</v>
      </c>
      <c r="D1213">
        <v>140</v>
      </c>
      <c r="E1213" s="4">
        <v>-35776848.380000003</v>
      </c>
      <c r="F1213" t="s">
        <v>63</v>
      </c>
      <c r="G1213">
        <v>0</v>
      </c>
      <c r="H1213" s="32" t="str">
        <f ca="1">+IF(B1213&gt;'sap nuevo'!$V$1,"cargar",IF(C1213="","cargar","pagado"))</f>
        <v>pagado</v>
      </c>
      <c r="I1213" s="32">
        <f t="shared" si="158"/>
        <v>2026</v>
      </c>
      <c r="J1213" s="32">
        <f t="shared" si="159"/>
        <v>4</v>
      </c>
    </row>
    <row r="1214" spans="1:10" x14ac:dyDescent="0.25">
      <c r="A1214" t="s">
        <v>20</v>
      </c>
      <c r="B1214" s="3">
        <v>46129</v>
      </c>
      <c r="C1214">
        <v>97124372</v>
      </c>
      <c r="D1214">
        <v>140</v>
      </c>
      <c r="E1214" s="4">
        <v>-23947727.399999999</v>
      </c>
      <c r="F1214" t="s">
        <v>62</v>
      </c>
      <c r="G1214">
        <v>0</v>
      </c>
      <c r="H1214" s="32" t="str">
        <f ca="1">+IF(B1214&gt;'sap nuevo'!$V$1,"cargar",IF(C1214="","cargar","pagado"))</f>
        <v>pagado</v>
      </c>
      <c r="I1214" s="32">
        <f t="shared" si="158"/>
        <v>2026</v>
      </c>
      <c r="J1214" s="32">
        <f t="shared" si="159"/>
        <v>4</v>
      </c>
    </row>
    <row r="1215" spans="1:10" x14ac:dyDescent="0.25">
      <c r="A1215" t="s">
        <v>20</v>
      </c>
      <c r="B1215" s="3">
        <v>46129</v>
      </c>
      <c r="C1215">
        <v>97124377</v>
      </c>
      <c r="D1215">
        <v>140</v>
      </c>
      <c r="E1215" s="4">
        <v>-17192470</v>
      </c>
      <c r="F1215" t="s">
        <v>62</v>
      </c>
      <c r="G1215">
        <v>0</v>
      </c>
      <c r="H1215" s="32" t="str">
        <f ca="1">+IF(B1215&gt;'sap nuevo'!$V$1,"cargar",IF(C1215="","cargar","pagado"))</f>
        <v>pagado</v>
      </c>
      <c r="I1215" s="32">
        <f t="shared" si="158"/>
        <v>2026</v>
      </c>
      <c r="J1215" s="32">
        <f t="shared" si="159"/>
        <v>4</v>
      </c>
    </row>
    <row r="1216" spans="1:10" x14ac:dyDescent="0.25">
      <c r="A1216" t="s">
        <v>12</v>
      </c>
      <c r="B1216" s="3">
        <v>46129</v>
      </c>
      <c r="C1216">
        <v>97124376</v>
      </c>
      <c r="D1216">
        <v>140</v>
      </c>
      <c r="E1216" s="4">
        <v>-10210542.4</v>
      </c>
      <c r="F1216" t="s">
        <v>63</v>
      </c>
      <c r="G1216">
        <v>0</v>
      </c>
      <c r="H1216" s="32" t="str">
        <f ca="1">+IF(B1216&gt;'sap nuevo'!$V$1,"cargar",IF(C1216="","cargar","pagado"))</f>
        <v>pagado</v>
      </c>
      <c r="I1216" s="32">
        <f t="shared" si="158"/>
        <v>2026</v>
      </c>
      <c r="J1216" s="32">
        <f t="shared" si="159"/>
        <v>4</v>
      </c>
    </row>
    <row r="1217" spans="1:10" x14ac:dyDescent="0.25">
      <c r="A1217" t="s">
        <v>20</v>
      </c>
      <c r="B1217" s="3">
        <v>46129</v>
      </c>
      <c r="C1217">
        <v>97124367</v>
      </c>
      <c r="D1217">
        <v>140</v>
      </c>
      <c r="E1217" s="4">
        <v>-8725117.3399999999</v>
      </c>
      <c r="F1217" t="s">
        <v>62</v>
      </c>
      <c r="G1217">
        <v>0</v>
      </c>
      <c r="H1217" s="32" t="str">
        <f ca="1">+IF(B1217&gt;'sap nuevo'!$V$1,"cargar",IF(C1217="","cargar","pagado"))</f>
        <v>pagado</v>
      </c>
      <c r="I1217" s="32">
        <f t="shared" si="158"/>
        <v>2026</v>
      </c>
      <c r="J1217" s="32">
        <f t="shared" si="159"/>
        <v>4</v>
      </c>
    </row>
    <row r="1218" spans="1:10" x14ac:dyDescent="0.25">
      <c r="A1218" t="s">
        <v>12</v>
      </c>
      <c r="B1218" s="3">
        <v>46129</v>
      </c>
      <c r="C1218">
        <v>97124374</v>
      </c>
      <c r="D1218">
        <v>140</v>
      </c>
      <c r="E1218" s="4">
        <v>-6155999.8399999999</v>
      </c>
      <c r="F1218" t="s">
        <v>63</v>
      </c>
      <c r="G1218">
        <v>0</v>
      </c>
      <c r="H1218" s="32" t="str">
        <f ca="1">+IF(B1218&gt;'sap nuevo'!$V$1,"cargar",IF(C1218="","cargar","pagado"))</f>
        <v>pagado</v>
      </c>
      <c r="I1218" s="32">
        <f t="shared" si="158"/>
        <v>2026</v>
      </c>
      <c r="J1218" s="32">
        <f t="shared" si="159"/>
        <v>4</v>
      </c>
    </row>
    <row r="1219" spans="1:10" x14ac:dyDescent="0.25">
      <c r="A1219" t="s">
        <v>12</v>
      </c>
      <c r="B1219" s="3">
        <v>46129</v>
      </c>
      <c r="C1219">
        <v>97124369</v>
      </c>
      <c r="D1219">
        <v>140</v>
      </c>
      <c r="E1219" s="4">
        <v>-5550156.4800000004</v>
      </c>
      <c r="F1219" t="s">
        <v>63</v>
      </c>
      <c r="G1219">
        <v>0</v>
      </c>
      <c r="H1219" s="32" t="str">
        <f ca="1">+IF(B1219&gt;'sap nuevo'!$V$1,"cargar",IF(C1219="","cargar","pagado"))</f>
        <v>pagado</v>
      </c>
      <c r="I1219" s="32">
        <f t="shared" si="158"/>
        <v>2026</v>
      </c>
      <c r="J1219" s="32">
        <f t="shared" si="159"/>
        <v>4</v>
      </c>
    </row>
    <row r="1220" spans="1:10" x14ac:dyDescent="0.25">
      <c r="A1220" t="s">
        <v>20</v>
      </c>
      <c r="B1220" s="3">
        <v>46132</v>
      </c>
      <c r="C1220">
        <v>97124370</v>
      </c>
      <c r="D1220">
        <v>140</v>
      </c>
      <c r="E1220" s="4">
        <v>-36141623.399999999</v>
      </c>
      <c r="F1220" t="s">
        <v>62</v>
      </c>
      <c r="G1220">
        <v>0</v>
      </c>
      <c r="H1220" s="32" t="str">
        <f ca="1">+IF(B1220&gt;'sap nuevo'!$V$1,"cargar",IF(C1220="","cargar","pagado"))</f>
        <v>pagado</v>
      </c>
      <c r="I1220" s="32">
        <f t="shared" si="158"/>
        <v>2026</v>
      </c>
      <c r="J1220" s="32">
        <f t="shared" si="159"/>
        <v>4</v>
      </c>
    </row>
    <row r="1221" spans="1:10" x14ac:dyDescent="0.25">
      <c r="A1221" t="s">
        <v>20</v>
      </c>
      <c r="B1221" s="3">
        <v>46134</v>
      </c>
      <c r="C1221">
        <v>97124373</v>
      </c>
      <c r="D1221">
        <v>140</v>
      </c>
      <c r="E1221" s="4">
        <v>-7274026.4699999997</v>
      </c>
      <c r="F1221" t="s">
        <v>62</v>
      </c>
      <c r="G1221">
        <v>0</v>
      </c>
      <c r="H1221" s="32" t="str">
        <f ca="1">+IF(B1221&gt;'sap nuevo'!$V$1,"cargar",IF(C1221="","cargar","pagado"))</f>
        <v>pagado</v>
      </c>
      <c r="I1221" s="32">
        <f t="shared" si="158"/>
        <v>2026</v>
      </c>
      <c r="J1221" s="32">
        <f t="shared" si="159"/>
        <v>4</v>
      </c>
    </row>
    <row r="1222" spans="1:10" x14ac:dyDescent="0.25">
      <c r="A1222" t="s">
        <v>20</v>
      </c>
      <c r="B1222" s="3">
        <v>46134</v>
      </c>
      <c r="C1222">
        <v>97124375</v>
      </c>
      <c r="D1222">
        <v>140</v>
      </c>
      <c r="E1222" s="4">
        <v>-5939616.8499999996</v>
      </c>
      <c r="F1222" t="s">
        <v>62</v>
      </c>
      <c r="G1222">
        <v>0</v>
      </c>
      <c r="H1222" s="32" t="str">
        <f ca="1">+IF(B1222&gt;'sap nuevo'!$V$1,"cargar",IF(C1222="","cargar","pagado"))</f>
        <v>pagado</v>
      </c>
      <c r="I1222" s="32">
        <f t="shared" si="158"/>
        <v>2026</v>
      </c>
      <c r="J1222" s="32">
        <f t="shared" si="159"/>
        <v>4</v>
      </c>
    </row>
    <row r="1223" spans="1:10" x14ac:dyDescent="0.25">
      <c r="A1223" t="s">
        <v>20</v>
      </c>
      <c r="B1223" s="3">
        <v>46134</v>
      </c>
      <c r="C1223">
        <v>97124378</v>
      </c>
      <c r="D1223">
        <v>140</v>
      </c>
      <c r="E1223" s="4">
        <v>-5551808.4400000004</v>
      </c>
      <c r="F1223" t="s">
        <v>62</v>
      </c>
      <c r="G1223">
        <v>0</v>
      </c>
      <c r="H1223" s="32" t="str">
        <f ca="1">+IF(B1223&gt;'sap nuevo'!$V$1,"cargar",IF(C1223="","cargar","pagado"))</f>
        <v>pagado</v>
      </c>
      <c r="I1223" s="32">
        <f t="shared" si="158"/>
        <v>2026</v>
      </c>
      <c r="J1223" s="32">
        <f t="shared" si="159"/>
        <v>4</v>
      </c>
    </row>
    <row r="1224" spans="1:10" x14ac:dyDescent="0.25">
      <c r="A1224" t="s">
        <v>20</v>
      </c>
      <c r="B1224" s="3">
        <v>46134</v>
      </c>
      <c r="C1224">
        <v>97124368</v>
      </c>
      <c r="D1224">
        <v>140</v>
      </c>
      <c r="E1224" s="4">
        <v>-2186958.2799999998</v>
      </c>
      <c r="F1224" t="s">
        <v>62</v>
      </c>
      <c r="G1224">
        <v>0</v>
      </c>
      <c r="H1224" s="32" t="str">
        <f ca="1">+IF(B1224&gt;'sap nuevo'!$V$1,"cargar",IF(C1224="","cargar","pagado"))</f>
        <v>pagado</v>
      </c>
      <c r="I1224" s="32">
        <f t="shared" si="158"/>
        <v>2026</v>
      </c>
      <c r="J1224" s="32">
        <f t="shared" si="159"/>
        <v>4</v>
      </c>
    </row>
    <row r="1225" spans="1:10" x14ac:dyDescent="0.25">
      <c r="A1225" t="s">
        <v>12</v>
      </c>
      <c r="B1225" s="3">
        <v>46136</v>
      </c>
      <c r="C1225">
        <v>97124386</v>
      </c>
      <c r="D1225">
        <v>140</v>
      </c>
      <c r="E1225" s="4">
        <v>-13655492.380000001</v>
      </c>
      <c r="F1225" t="s">
        <v>63</v>
      </c>
      <c r="G1225">
        <v>0</v>
      </c>
      <c r="H1225" s="32" t="str">
        <f ca="1">+IF(B1225&gt;'sap nuevo'!$V$1,"cargar",IF(C1225="","cargar","pagado"))</f>
        <v>pagado</v>
      </c>
      <c r="I1225" s="32">
        <f t="shared" si="158"/>
        <v>2026</v>
      </c>
      <c r="J1225" s="32">
        <f t="shared" si="159"/>
        <v>4</v>
      </c>
    </row>
    <row r="1226" spans="1:10" x14ac:dyDescent="0.25">
      <c r="A1226" t="s">
        <v>12</v>
      </c>
      <c r="B1226" s="3">
        <v>46136</v>
      </c>
      <c r="C1226">
        <v>97124387</v>
      </c>
      <c r="D1226">
        <v>140</v>
      </c>
      <c r="E1226" s="4">
        <v>-12146115.800000001</v>
      </c>
      <c r="F1226" t="s">
        <v>63</v>
      </c>
      <c r="G1226">
        <v>0</v>
      </c>
      <c r="H1226" s="32" t="str">
        <f ca="1">+IF(B1226&gt;'sap nuevo'!$V$1,"cargar",IF(C1226="","cargar","pagado"))</f>
        <v>pagado</v>
      </c>
      <c r="I1226" s="32">
        <f t="shared" si="158"/>
        <v>2026</v>
      </c>
      <c r="J1226" s="32">
        <f t="shared" si="159"/>
        <v>4</v>
      </c>
    </row>
    <row r="1227" spans="1:10" x14ac:dyDescent="0.25">
      <c r="A1227" t="s">
        <v>12</v>
      </c>
      <c r="B1227" s="3">
        <v>46136</v>
      </c>
      <c r="C1227">
        <v>97124384</v>
      </c>
      <c r="D1227">
        <v>140</v>
      </c>
      <c r="E1227" s="4">
        <v>-9223368</v>
      </c>
      <c r="F1227" t="s">
        <v>63</v>
      </c>
      <c r="G1227">
        <v>0</v>
      </c>
      <c r="H1227" s="32" t="str">
        <f ca="1">+IF(B1227&gt;'sap nuevo'!$V$1,"cargar",IF(C1227="","cargar","pagado"))</f>
        <v>pagado</v>
      </c>
      <c r="I1227" s="32">
        <f t="shared" si="158"/>
        <v>2026</v>
      </c>
      <c r="J1227" s="32">
        <f t="shared" si="159"/>
        <v>4</v>
      </c>
    </row>
    <row r="1228" spans="1:10" x14ac:dyDescent="0.25">
      <c r="A1228" t="s">
        <v>20</v>
      </c>
      <c r="B1228" s="3">
        <v>46136</v>
      </c>
      <c r="C1228">
        <v>97124381</v>
      </c>
      <c r="D1228">
        <v>140</v>
      </c>
      <c r="E1228" s="4">
        <v>-8929576.6500000004</v>
      </c>
      <c r="F1228" t="s">
        <v>62</v>
      </c>
      <c r="G1228">
        <v>0</v>
      </c>
      <c r="H1228" s="32" t="str">
        <f ca="1">+IF(B1228&gt;'sap nuevo'!$V$1,"cargar",IF(C1228="","cargar","pagado"))</f>
        <v>pagado</v>
      </c>
      <c r="I1228" s="32">
        <f t="shared" si="158"/>
        <v>2026</v>
      </c>
      <c r="J1228" s="32">
        <f t="shared" si="159"/>
        <v>4</v>
      </c>
    </row>
    <row r="1229" spans="1:10" x14ac:dyDescent="0.25">
      <c r="A1229" t="s">
        <v>12</v>
      </c>
      <c r="B1229" s="3">
        <v>46136</v>
      </c>
      <c r="C1229">
        <v>97124383</v>
      </c>
      <c r="D1229">
        <v>140</v>
      </c>
      <c r="E1229" s="4">
        <v>-6530503.4000000004</v>
      </c>
      <c r="F1229" t="s">
        <v>63</v>
      </c>
      <c r="G1229">
        <v>0</v>
      </c>
      <c r="H1229" s="32" t="str">
        <f ca="1">+IF(B1229&gt;'sap nuevo'!$V$1,"cargar",IF(C1229="","cargar","pagado"))</f>
        <v>pagado</v>
      </c>
      <c r="I1229" s="32">
        <f t="shared" ref="I1229:I1246" si="160">+YEAR(B1229)</f>
        <v>2026</v>
      </c>
      <c r="J1229" s="32">
        <f t="shared" ref="J1229:J1246" si="161">+MONTH(B1229)</f>
        <v>4</v>
      </c>
    </row>
    <row r="1230" spans="1:10" x14ac:dyDescent="0.25">
      <c r="A1230" t="s">
        <v>20</v>
      </c>
      <c r="B1230" s="3">
        <v>46136</v>
      </c>
      <c r="C1230">
        <v>97124385</v>
      </c>
      <c r="D1230">
        <v>140</v>
      </c>
      <c r="E1230" s="4">
        <v>-6285659.9000000004</v>
      </c>
      <c r="F1230" t="s">
        <v>62</v>
      </c>
      <c r="G1230">
        <v>0</v>
      </c>
      <c r="H1230" s="32" t="str">
        <f ca="1">+IF(B1230&gt;'sap nuevo'!$V$1,"cargar",IF(C1230="","cargar","pagado"))</f>
        <v>pagado</v>
      </c>
      <c r="I1230" s="32">
        <f t="shared" si="160"/>
        <v>2026</v>
      </c>
      <c r="J1230" s="32">
        <f t="shared" si="161"/>
        <v>4</v>
      </c>
    </row>
    <row r="1231" spans="1:10" x14ac:dyDescent="0.25">
      <c r="A1231" t="s">
        <v>20</v>
      </c>
      <c r="B1231" s="3">
        <v>46139</v>
      </c>
      <c r="C1231">
        <v>97124388</v>
      </c>
      <c r="D1231">
        <v>140</v>
      </c>
      <c r="E1231" s="4">
        <v>-25265784.289999999</v>
      </c>
      <c r="F1231" t="s">
        <v>62</v>
      </c>
      <c r="G1231">
        <v>0</v>
      </c>
      <c r="H1231" s="32" t="str">
        <f ca="1">+IF(B1231&gt;'sap nuevo'!$V$1,"cargar",IF(C1231="","cargar","pagado"))</f>
        <v>pagado</v>
      </c>
      <c r="I1231" s="32">
        <f t="shared" si="160"/>
        <v>2026</v>
      </c>
      <c r="J1231" s="32">
        <f t="shared" si="161"/>
        <v>4</v>
      </c>
    </row>
    <row r="1232" spans="1:10" x14ac:dyDescent="0.25">
      <c r="A1232" t="s">
        <v>20</v>
      </c>
      <c r="B1232" s="3">
        <v>46139</v>
      </c>
      <c r="C1232">
        <v>97124382</v>
      </c>
      <c r="D1232">
        <v>140</v>
      </c>
      <c r="E1232" s="4">
        <v>-19514985.899999999</v>
      </c>
      <c r="F1232" t="s">
        <v>62</v>
      </c>
      <c r="G1232">
        <v>0</v>
      </c>
      <c r="H1232" s="32" t="str">
        <f ca="1">+IF(B1232&gt;'sap nuevo'!$V$1,"cargar",IF(C1232="","cargar","pagado"))</f>
        <v>pagado</v>
      </c>
      <c r="I1232" s="32">
        <f t="shared" si="160"/>
        <v>2026</v>
      </c>
      <c r="J1232" s="32">
        <f t="shared" si="161"/>
        <v>4</v>
      </c>
    </row>
    <row r="1233" spans="1:10" x14ac:dyDescent="0.25">
      <c r="A1233" t="s">
        <v>12</v>
      </c>
      <c r="B1233" s="3">
        <v>46140</v>
      </c>
      <c r="C1233">
        <v>12452659</v>
      </c>
      <c r="D1233">
        <v>140</v>
      </c>
      <c r="E1233" s="4">
        <v>-561372.24</v>
      </c>
      <c r="F1233" t="s">
        <v>63</v>
      </c>
      <c r="G1233">
        <v>0</v>
      </c>
      <c r="H1233" s="32" t="str">
        <f ca="1">+IF(B1233&gt;'sap nuevo'!$V$1,"cargar",IF(C1233="","cargar","pagado"))</f>
        <v>pagado</v>
      </c>
      <c r="I1233" s="32">
        <f t="shared" si="160"/>
        <v>2026</v>
      </c>
      <c r="J1233" s="32">
        <f t="shared" si="161"/>
        <v>4</v>
      </c>
    </row>
    <row r="1234" spans="1:10" x14ac:dyDescent="0.25">
      <c r="A1234" t="s">
        <v>12</v>
      </c>
      <c r="B1234" s="3">
        <v>46146</v>
      </c>
      <c r="C1234">
        <v>97124396</v>
      </c>
      <c r="D1234">
        <v>140</v>
      </c>
      <c r="E1234" s="4">
        <v>-9432485.7899999991</v>
      </c>
      <c r="F1234" t="s">
        <v>63</v>
      </c>
      <c r="G1234">
        <v>0</v>
      </c>
      <c r="H1234" s="32" t="str">
        <f ca="1">+IF(B1234&gt;'sap nuevo'!$V$1,"cargar",IF(C1234="","cargar","pagado"))</f>
        <v>pagado</v>
      </c>
      <c r="I1234" s="32">
        <f t="shared" si="160"/>
        <v>2026</v>
      </c>
      <c r="J1234" s="32">
        <f t="shared" si="161"/>
        <v>5</v>
      </c>
    </row>
    <row r="1235" spans="1:10" x14ac:dyDescent="0.25">
      <c r="A1235" t="s">
        <v>20</v>
      </c>
      <c r="B1235" s="3">
        <v>46146</v>
      </c>
      <c r="C1235">
        <v>97124391</v>
      </c>
      <c r="D1235">
        <v>140</v>
      </c>
      <c r="E1235" s="4">
        <v>-9326088.1199999992</v>
      </c>
      <c r="F1235" t="s">
        <v>62</v>
      </c>
      <c r="G1235">
        <v>0</v>
      </c>
      <c r="H1235" s="32" t="str">
        <f ca="1">+IF(B1235&gt;'sap nuevo'!$V$1,"cargar",IF(C1235="","cargar","pagado"))</f>
        <v>pagado</v>
      </c>
      <c r="I1235" s="32">
        <f t="shared" si="160"/>
        <v>2026</v>
      </c>
      <c r="J1235" s="32">
        <f t="shared" si="161"/>
        <v>5</v>
      </c>
    </row>
    <row r="1236" spans="1:10" x14ac:dyDescent="0.25">
      <c r="A1236" t="s">
        <v>20</v>
      </c>
      <c r="B1236" s="3">
        <v>46146</v>
      </c>
      <c r="C1236">
        <v>97124392</v>
      </c>
      <c r="D1236">
        <v>140</v>
      </c>
      <c r="E1236" s="4">
        <v>-9301754</v>
      </c>
      <c r="F1236" t="s">
        <v>62</v>
      </c>
      <c r="G1236">
        <v>0</v>
      </c>
      <c r="H1236" s="32" t="str">
        <f ca="1">+IF(B1236&gt;'sap nuevo'!$V$1,"cargar",IF(C1236="","cargar","pagado"))</f>
        <v>pagado</v>
      </c>
      <c r="I1236" s="32">
        <f t="shared" si="160"/>
        <v>2026</v>
      </c>
      <c r="J1236" s="32">
        <f t="shared" si="161"/>
        <v>5</v>
      </c>
    </row>
    <row r="1237" spans="1:10" x14ac:dyDescent="0.25">
      <c r="A1237" t="s">
        <v>20</v>
      </c>
      <c r="B1237" s="3">
        <v>46146</v>
      </c>
      <c r="C1237">
        <v>97124395</v>
      </c>
      <c r="D1237">
        <v>140</v>
      </c>
      <c r="E1237" s="4">
        <v>-7425059.3200000003</v>
      </c>
      <c r="F1237" t="s">
        <v>62</v>
      </c>
      <c r="G1237">
        <v>0</v>
      </c>
      <c r="H1237" s="32" t="str">
        <f ca="1">+IF(B1237&gt;'sap nuevo'!$V$1,"cargar",IF(C1237="","cargar","pagado"))</f>
        <v>pagado</v>
      </c>
      <c r="I1237" s="32">
        <f t="shared" si="160"/>
        <v>2026</v>
      </c>
      <c r="J1237" s="32">
        <f t="shared" si="161"/>
        <v>5</v>
      </c>
    </row>
    <row r="1238" spans="1:10" x14ac:dyDescent="0.25">
      <c r="A1238" t="s">
        <v>20</v>
      </c>
      <c r="B1238" s="3">
        <v>46146</v>
      </c>
      <c r="C1238">
        <v>97124397</v>
      </c>
      <c r="D1238">
        <v>140</v>
      </c>
      <c r="E1238" s="4">
        <v>-5265960.8</v>
      </c>
      <c r="F1238" t="s">
        <v>62</v>
      </c>
      <c r="G1238">
        <v>0</v>
      </c>
      <c r="H1238" s="32" t="str">
        <f ca="1">+IF(B1238&gt;'sap nuevo'!$V$1,"cargar",IF(C1238="","cargar","pagado"))</f>
        <v>pagado</v>
      </c>
      <c r="I1238" s="32">
        <f t="shared" si="160"/>
        <v>2026</v>
      </c>
      <c r="J1238" s="32">
        <f t="shared" si="161"/>
        <v>5</v>
      </c>
    </row>
    <row r="1239" spans="1:10" x14ac:dyDescent="0.25">
      <c r="A1239" t="s">
        <v>20</v>
      </c>
      <c r="B1239" s="3">
        <v>46146</v>
      </c>
      <c r="C1239">
        <v>97124393</v>
      </c>
      <c r="D1239">
        <v>140</v>
      </c>
      <c r="E1239" s="4">
        <v>-5075501.34</v>
      </c>
      <c r="F1239" t="s">
        <v>62</v>
      </c>
      <c r="G1239">
        <v>0</v>
      </c>
      <c r="H1239" s="32" t="str">
        <f ca="1">+IF(B1239&gt;'sap nuevo'!$V$1,"cargar",IF(C1239="","cargar","pagado"))</f>
        <v>pagado</v>
      </c>
      <c r="I1239" s="32">
        <f t="shared" si="160"/>
        <v>2026</v>
      </c>
      <c r="J1239" s="32">
        <f t="shared" si="161"/>
        <v>5</v>
      </c>
    </row>
    <row r="1240" spans="1:10" x14ac:dyDescent="0.25">
      <c r="A1240" t="s">
        <v>12</v>
      </c>
      <c r="B1240" s="3">
        <v>46146</v>
      </c>
      <c r="C1240">
        <v>97124390</v>
      </c>
      <c r="D1240">
        <v>140</v>
      </c>
      <c r="E1240" s="4">
        <v>-3463900.79</v>
      </c>
      <c r="F1240" t="s">
        <v>63</v>
      </c>
      <c r="G1240">
        <v>0</v>
      </c>
      <c r="H1240" s="32" t="str">
        <f ca="1">+IF(B1240&gt;'sap nuevo'!$V$1,"cargar",IF(C1240="","cargar","pagado"))</f>
        <v>pagado</v>
      </c>
      <c r="I1240" s="32">
        <f t="shared" si="160"/>
        <v>2026</v>
      </c>
      <c r="J1240" s="32">
        <f t="shared" si="161"/>
        <v>5</v>
      </c>
    </row>
    <row r="1241" spans="1:10" x14ac:dyDescent="0.25">
      <c r="A1241" t="s">
        <v>12</v>
      </c>
      <c r="B1241" s="3">
        <v>46147</v>
      </c>
      <c r="C1241">
        <v>97124360</v>
      </c>
      <c r="D1241">
        <v>140</v>
      </c>
      <c r="E1241" s="4">
        <v>-103101102</v>
      </c>
      <c r="F1241" t="s">
        <v>63</v>
      </c>
      <c r="G1241">
        <v>0</v>
      </c>
      <c r="H1241" s="32" t="str">
        <f ca="1">+IF(B1241&gt;'sap nuevo'!$V$1,"cargar",IF(C1241="","cargar","pagado"))</f>
        <v>pagado</v>
      </c>
      <c r="I1241" s="32">
        <f t="shared" si="160"/>
        <v>2026</v>
      </c>
      <c r="J1241" s="32">
        <f t="shared" si="161"/>
        <v>5</v>
      </c>
    </row>
    <row r="1242" spans="1:10" x14ac:dyDescent="0.25">
      <c r="A1242" t="s">
        <v>12</v>
      </c>
      <c r="B1242" s="3">
        <v>46147</v>
      </c>
      <c r="C1242">
        <v>97124394</v>
      </c>
      <c r="D1242">
        <v>140</v>
      </c>
      <c r="E1242" s="4">
        <v>-10963120.4</v>
      </c>
      <c r="F1242" t="s">
        <v>63</v>
      </c>
      <c r="G1242">
        <v>0</v>
      </c>
      <c r="H1242" s="32" t="str">
        <f ca="1">+IF(B1242&gt;'sap nuevo'!$V$1,"cargar",IF(C1242="","cargar","pagado"))</f>
        <v>pagado</v>
      </c>
      <c r="I1242" s="32">
        <f t="shared" si="160"/>
        <v>2026</v>
      </c>
      <c r="J1242" s="32">
        <f t="shared" si="161"/>
        <v>5</v>
      </c>
    </row>
    <row r="1243" spans="1:10" x14ac:dyDescent="0.25">
      <c r="A1243" t="s">
        <v>20</v>
      </c>
      <c r="B1243" s="3">
        <v>46147</v>
      </c>
      <c r="C1243">
        <v>97124389</v>
      </c>
      <c r="D1243">
        <v>140</v>
      </c>
      <c r="E1243" s="4">
        <v>-10875733</v>
      </c>
      <c r="F1243" t="s">
        <v>62</v>
      </c>
      <c r="G1243">
        <v>0</v>
      </c>
      <c r="H1243" s="32" t="str">
        <f ca="1">+IF(B1243&gt;'sap nuevo'!$V$1,"cargar",IF(C1243="","cargar","pagado"))</f>
        <v>pagado</v>
      </c>
      <c r="I1243" s="32">
        <f t="shared" si="160"/>
        <v>2026</v>
      </c>
      <c r="J1243" s="32">
        <f t="shared" si="161"/>
        <v>5</v>
      </c>
    </row>
    <row r="1244" spans="1:10" x14ac:dyDescent="0.25">
      <c r="A1244" t="s">
        <v>20</v>
      </c>
      <c r="B1244" s="3">
        <v>46150</v>
      </c>
      <c r="C1244">
        <v>97124400</v>
      </c>
      <c r="D1244">
        <v>140</v>
      </c>
      <c r="E1244" s="4">
        <v>-5271843.6500000004</v>
      </c>
      <c r="F1244" t="s">
        <v>62</v>
      </c>
      <c r="G1244">
        <v>0</v>
      </c>
      <c r="H1244" s="32" t="str">
        <f ca="1">+IF(B1244&gt;'sap nuevo'!$V$1,"cargar",IF(C1244="","cargar","pagado"))</f>
        <v>pagado</v>
      </c>
      <c r="I1244" s="32">
        <f t="shared" si="160"/>
        <v>2026</v>
      </c>
      <c r="J1244" s="32">
        <f t="shared" si="161"/>
        <v>5</v>
      </c>
    </row>
    <row r="1245" spans="1:10" x14ac:dyDescent="0.25">
      <c r="A1245" t="s">
        <v>12</v>
      </c>
      <c r="B1245" s="3">
        <v>46153</v>
      </c>
      <c r="C1245">
        <v>97124404</v>
      </c>
      <c r="D1245">
        <v>140</v>
      </c>
      <c r="E1245" s="4">
        <v>-40857330.399999999</v>
      </c>
      <c r="F1245" t="s">
        <v>63</v>
      </c>
      <c r="G1245">
        <v>0</v>
      </c>
      <c r="H1245" s="32" t="str">
        <f ca="1">+IF(B1245&gt;'sap nuevo'!$V$1,"cargar",IF(C1245="","cargar","pagado"))</f>
        <v>pagado</v>
      </c>
      <c r="I1245" s="32">
        <f t="shared" si="160"/>
        <v>2026</v>
      </c>
      <c r="J1245" s="32">
        <f t="shared" si="161"/>
        <v>5</v>
      </c>
    </row>
    <row r="1246" spans="1:10" x14ac:dyDescent="0.25">
      <c r="A1246" t="s">
        <v>12</v>
      </c>
      <c r="B1246" s="3">
        <v>46153</v>
      </c>
      <c r="C1246">
        <v>97124407</v>
      </c>
      <c r="D1246">
        <v>140</v>
      </c>
      <c r="E1246" s="4">
        <v>-30109014.800000001</v>
      </c>
      <c r="F1246" t="s">
        <v>63</v>
      </c>
      <c r="G1246">
        <v>0</v>
      </c>
      <c r="H1246" s="32" t="str">
        <f ca="1">+IF(B1246&gt;'sap nuevo'!$V$1,"cargar",IF(C1246="","cargar","pagado"))</f>
        <v>pagado</v>
      </c>
      <c r="I1246" s="32">
        <f t="shared" si="160"/>
        <v>2026</v>
      </c>
      <c r="J1246" s="32">
        <f t="shared" si="161"/>
        <v>5</v>
      </c>
    </row>
    <row r="1247" spans="1:10" x14ac:dyDescent="0.25">
      <c r="A1247" t="s">
        <v>20</v>
      </c>
      <c r="B1247" s="3">
        <v>46153</v>
      </c>
      <c r="C1247">
        <v>97124403</v>
      </c>
      <c r="D1247">
        <v>140</v>
      </c>
      <c r="E1247" s="4">
        <v>-24232803.399999999</v>
      </c>
      <c r="F1247" t="s">
        <v>62</v>
      </c>
      <c r="G1247">
        <v>0</v>
      </c>
      <c r="H1247" s="32" t="str">
        <f ca="1">+IF(B1247&gt;'sap nuevo'!$V$1,"cargar",IF(C1247="","cargar","pagado"))</f>
        <v>pagado</v>
      </c>
      <c r="I1247" s="32">
        <f t="shared" ref="I1247:I1270" si="162">+YEAR(B1247)</f>
        <v>2026</v>
      </c>
      <c r="J1247" s="32">
        <f t="shared" ref="J1247:J1270" si="163">+MONTH(B1247)</f>
        <v>5</v>
      </c>
    </row>
    <row r="1248" spans="1:10" x14ac:dyDescent="0.25">
      <c r="A1248" t="s">
        <v>12</v>
      </c>
      <c r="B1248" s="3">
        <v>46153</v>
      </c>
      <c r="C1248">
        <v>97124408</v>
      </c>
      <c r="D1248">
        <v>140</v>
      </c>
      <c r="E1248" s="4">
        <v>-23535376.43</v>
      </c>
      <c r="F1248" t="s">
        <v>63</v>
      </c>
      <c r="G1248">
        <v>0</v>
      </c>
      <c r="H1248" s="32" t="str">
        <f ca="1">+IF(B1248&gt;'sap nuevo'!$V$1,"cargar",IF(C1248="","cargar","pagado"))</f>
        <v>pagado</v>
      </c>
      <c r="I1248" s="32">
        <f t="shared" si="162"/>
        <v>2026</v>
      </c>
      <c r="J1248" s="32">
        <f t="shared" si="163"/>
        <v>5</v>
      </c>
    </row>
    <row r="1249" spans="1:10" x14ac:dyDescent="0.25">
      <c r="A1249" t="s">
        <v>20</v>
      </c>
      <c r="B1249" s="3">
        <v>46153</v>
      </c>
      <c r="C1249">
        <v>97124401</v>
      </c>
      <c r="D1249">
        <v>140</v>
      </c>
      <c r="E1249" s="4">
        <v>-18060803.399999999</v>
      </c>
      <c r="F1249" t="s">
        <v>62</v>
      </c>
      <c r="G1249">
        <v>0</v>
      </c>
      <c r="H1249" s="32" t="str">
        <f ca="1">+IF(B1249&gt;'sap nuevo'!$V$1,"cargar",IF(C1249="","cargar","pagado"))</f>
        <v>pagado</v>
      </c>
      <c r="I1249" s="32">
        <f t="shared" si="162"/>
        <v>2026</v>
      </c>
      <c r="J1249" s="32">
        <f t="shared" si="163"/>
        <v>5</v>
      </c>
    </row>
    <row r="1250" spans="1:10" x14ac:dyDescent="0.25">
      <c r="A1250" t="s">
        <v>20</v>
      </c>
      <c r="B1250" s="3">
        <v>46153</v>
      </c>
      <c r="C1250">
        <v>97124402</v>
      </c>
      <c r="D1250">
        <v>140</v>
      </c>
      <c r="E1250" s="4">
        <v>-15017429.57</v>
      </c>
      <c r="F1250" t="s">
        <v>62</v>
      </c>
      <c r="G1250">
        <v>0</v>
      </c>
      <c r="H1250" s="32" t="str">
        <f ca="1">+IF(B1250&gt;'sap nuevo'!$V$1,"cargar",IF(C1250="","cargar","pagado"))</f>
        <v>pagado</v>
      </c>
      <c r="I1250" s="32">
        <f t="shared" si="162"/>
        <v>2026</v>
      </c>
      <c r="J1250" s="32">
        <f t="shared" si="163"/>
        <v>5</v>
      </c>
    </row>
    <row r="1251" spans="1:10" x14ac:dyDescent="0.25">
      <c r="A1251" t="s">
        <v>12</v>
      </c>
      <c r="B1251" s="3">
        <v>46153</v>
      </c>
      <c r="C1251">
        <v>97124406</v>
      </c>
      <c r="D1251">
        <v>140</v>
      </c>
      <c r="E1251" s="4">
        <v>-8875288.9900000002</v>
      </c>
      <c r="F1251" t="s">
        <v>63</v>
      </c>
      <c r="G1251">
        <v>0</v>
      </c>
      <c r="H1251" s="32" t="str">
        <f ca="1">+IF(B1251&gt;'sap nuevo'!$V$1,"cargar",IF(C1251="","cargar","pagado"))</f>
        <v>pagado</v>
      </c>
      <c r="I1251" s="32">
        <f t="shared" si="162"/>
        <v>2026</v>
      </c>
      <c r="J1251" s="32">
        <f t="shared" si="163"/>
        <v>5</v>
      </c>
    </row>
    <row r="1252" spans="1:10" x14ac:dyDescent="0.25">
      <c r="A1252" t="s">
        <v>20</v>
      </c>
      <c r="B1252" s="3">
        <v>46153</v>
      </c>
      <c r="C1252">
        <v>97124405</v>
      </c>
      <c r="D1252">
        <v>140</v>
      </c>
      <c r="E1252" s="4">
        <v>-6316267.4000000004</v>
      </c>
      <c r="F1252" t="s">
        <v>62</v>
      </c>
      <c r="G1252">
        <v>0</v>
      </c>
      <c r="H1252" s="32" t="str">
        <f ca="1">+IF(B1252&gt;'sap nuevo'!$V$1,"cargar",IF(C1252="","cargar","pagado"))</f>
        <v>pagado</v>
      </c>
      <c r="I1252" s="32">
        <f t="shared" si="162"/>
        <v>2026</v>
      </c>
      <c r="J1252" s="32">
        <f t="shared" si="163"/>
        <v>5</v>
      </c>
    </row>
    <row r="1253" spans="1:10" x14ac:dyDescent="0.25">
      <c r="A1253" t="s">
        <v>12</v>
      </c>
      <c r="B1253" s="3">
        <v>46153</v>
      </c>
      <c r="C1253">
        <v>97124410</v>
      </c>
      <c r="D1253">
        <v>140</v>
      </c>
      <c r="E1253" s="4">
        <v>-5550532.9400000004</v>
      </c>
      <c r="F1253" t="s">
        <v>63</v>
      </c>
      <c r="G1253">
        <v>0</v>
      </c>
      <c r="H1253" s="32" t="str">
        <f ca="1">+IF(B1253&gt;'sap nuevo'!$V$1,"cargar",IF(C1253="","cargar","pagado"))</f>
        <v>pagado</v>
      </c>
      <c r="I1253" s="32">
        <f t="shared" si="162"/>
        <v>2026</v>
      </c>
      <c r="J1253" s="32">
        <f t="shared" si="163"/>
        <v>5</v>
      </c>
    </row>
    <row r="1254" spans="1:10" x14ac:dyDescent="0.25">
      <c r="A1254" t="s">
        <v>20</v>
      </c>
      <c r="B1254" s="3">
        <v>46153</v>
      </c>
      <c r="C1254">
        <v>97124409</v>
      </c>
      <c r="D1254">
        <v>140</v>
      </c>
      <c r="E1254" s="4">
        <v>-4458306.43</v>
      </c>
      <c r="F1254" t="s">
        <v>62</v>
      </c>
      <c r="G1254">
        <v>0</v>
      </c>
      <c r="H1254" s="32" t="str">
        <f ca="1">+IF(B1254&gt;'sap nuevo'!$V$1,"cargar",IF(C1254="","cargar","pagado"))</f>
        <v>pagado</v>
      </c>
      <c r="I1254" s="32">
        <f t="shared" si="162"/>
        <v>2026</v>
      </c>
      <c r="J1254" s="32">
        <f t="shared" si="163"/>
        <v>5</v>
      </c>
    </row>
    <row r="1255" spans="1:10" x14ac:dyDescent="0.25">
      <c r="A1255" t="s">
        <v>20</v>
      </c>
      <c r="B1255" s="3">
        <v>46154</v>
      </c>
      <c r="C1255">
        <v>97124380</v>
      </c>
      <c r="D1255">
        <v>140</v>
      </c>
      <c r="E1255" s="4">
        <v>-9542604.9800000004</v>
      </c>
      <c r="F1255" t="s">
        <v>62</v>
      </c>
      <c r="G1255">
        <v>0</v>
      </c>
      <c r="H1255" s="32" t="str">
        <f ca="1">+IF(B1255&gt;'sap nuevo'!$V$1,"cargar",IF(C1255="","cargar","pagado"))</f>
        <v>pagado</v>
      </c>
      <c r="I1255" s="32">
        <f t="shared" si="162"/>
        <v>2026</v>
      </c>
      <c r="J1255" s="32">
        <f t="shared" si="163"/>
        <v>5</v>
      </c>
    </row>
    <row r="1256" spans="1:10" x14ac:dyDescent="0.25">
      <c r="A1256" t="s">
        <v>12</v>
      </c>
      <c r="B1256" s="3">
        <v>46155</v>
      </c>
      <c r="C1256">
        <v>97124399</v>
      </c>
      <c r="D1256">
        <v>140</v>
      </c>
      <c r="E1256" s="4">
        <v>-5000000</v>
      </c>
      <c r="F1256" t="s">
        <v>63</v>
      </c>
      <c r="G1256">
        <v>0</v>
      </c>
      <c r="H1256" s="32" t="str">
        <f ca="1">+IF(B1256&gt;'sap nuevo'!$V$1,"cargar",IF(C1256="","cargar","pagado"))</f>
        <v>pagado</v>
      </c>
      <c r="I1256" s="32">
        <f t="shared" si="162"/>
        <v>2026</v>
      </c>
      <c r="J1256" s="32">
        <f t="shared" si="163"/>
        <v>5</v>
      </c>
    </row>
    <row r="1257" spans="1:10" x14ac:dyDescent="0.25">
      <c r="A1257" t="s">
        <v>20</v>
      </c>
      <c r="B1257" s="3">
        <v>46156</v>
      </c>
      <c r="C1257">
        <v>97124398</v>
      </c>
      <c r="D1257">
        <v>140</v>
      </c>
      <c r="E1257" s="4">
        <v>-5000000</v>
      </c>
      <c r="F1257" t="s">
        <v>62</v>
      </c>
      <c r="G1257">
        <v>0</v>
      </c>
      <c r="H1257" s="32" t="str">
        <f ca="1">+IF(B1257&gt;'sap nuevo'!$V$1,"cargar",IF(C1257="","cargar","pagado"))</f>
        <v>pagado</v>
      </c>
      <c r="I1257" s="32">
        <f t="shared" si="162"/>
        <v>2026</v>
      </c>
      <c r="J1257" s="32">
        <f t="shared" si="163"/>
        <v>5</v>
      </c>
    </row>
    <row r="1258" spans="1:10" x14ac:dyDescent="0.25">
      <c r="A1258" t="s">
        <v>20</v>
      </c>
      <c r="B1258" s="3">
        <v>46157</v>
      </c>
      <c r="C1258">
        <v>97124420</v>
      </c>
      <c r="D1258">
        <v>140</v>
      </c>
      <c r="E1258" s="4">
        <v>-17940355.829999998</v>
      </c>
      <c r="F1258" t="s">
        <v>62</v>
      </c>
      <c r="G1258">
        <v>0</v>
      </c>
      <c r="H1258" s="32" t="str">
        <f ca="1">+IF(B1258&gt;'sap nuevo'!$V$1,"cargar",IF(C1258="","cargar","pagado"))</f>
        <v>pagado</v>
      </c>
      <c r="I1258" s="32">
        <f t="shared" si="162"/>
        <v>2026</v>
      </c>
      <c r="J1258" s="32">
        <f t="shared" si="163"/>
        <v>5</v>
      </c>
    </row>
    <row r="1259" spans="1:10" x14ac:dyDescent="0.25">
      <c r="A1259" t="s">
        <v>12</v>
      </c>
      <c r="B1259" s="3">
        <v>46160</v>
      </c>
      <c r="C1259">
        <v>97124412</v>
      </c>
      <c r="D1259">
        <v>140</v>
      </c>
      <c r="E1259" s="4">
        <v>-25323832.899999999</v>
      </c>
      <c r="F1259" t="s">
        <v>63</v>
      </c>
      <c r="G1259">
        <v>0</v>
      </c>
      <c r="H1259" s="32" t="str">
        <f ca="1">+IF(B1259&gt;'sap nuevo'!$V$1,"cargar",IF(C1259="","cargar","pagado"))</f>
        <v>pagado</v>
      </c>
      <c r="I1259" s="32">
        <f t="shared" si="162"/>
        <v>2026</v>
      </c>
      <c r="J1259" s="32">
        <f t="shared" si="163"/>
        <v>5</v>
      </c>
    </row>
    <row r="1260" spans="1:10" x14ac:dyDescent="0.25">
      <c r="A1260" t="s">
        <v>12</v>
      </c>
      <c r="B1260" s="3">
        <v>46160</v>
      </c>
      <c r="C1260">
        <v>97124416</v>
      </c>
      <c r="D1260">
        <v>140</v>
      </c>
      <c r="E1260" s="4">
        <v>-24626487.789999999</v>
      </c>
      <c r="F1260" t="s">
        <v>63</v>
      </c>
      <c r="G1260">
        <v>0</v>
      </c>
      <c r="H1260" s="32" t="str">
        <f ca="1">+IF(B1260&gt;'sap nuevo'!$V$1,"cargar",IF(C1260="","cargar","pagado"))</f>
        <v>pagado</v>
      </c>
      <c r="I1260" s="32">
        <f t="shared" si="162"/>
        <v>2026</v>
      </c>
      <c r="J1260" s="32">
        <f t="shared" si="163"/>
        <v>5</v>
      </c>
    </row>
    <row r="1261" spans="1:10" x14ac:dyDescent="0.25">
      <c r="A1261" t="s">
        <v>20</v>
      </c>
      <c r="B1261" s="3">
        <v>46160</v>
      </c>
      <c r="C1261">
        <v>12452661</v>
      </c>
      <c r="D1261">
        <v>140</v>
      </c>
      <c r="E1261" s="4">
        <v>-18464270</v>
      </c>
      <c r="F1261" t="s">
        <v>62</v>
      </c>
      <c r="G1261">
        <v>0</v>
      </c>
      <c r="H1261" s="32" t="str">
        <f ca="1">+IF(B1261&gt;'sap nuevo'!$V$1,"cargar",IF(C1261="","cargar","pagado"))</f>
        <v>pagado</v>
      </c>
      <c r="I1261" s="32">
        <f t="shared" si="162"/>
        <v>2026</v>
      </c>
      <c r="J1261" s="32">
        <f t="shared" si="163"/>
        <v>5</v>
      </c>
    </row>
    <row r="1262" spans="1:10" x14ac:dyDescent="0.25">
      <c r="A1262" t="s">
        <v>20</v>
      </c>
      <c r="B1262" s="3">
        <v>46160</v>
      </c>
      <c r="C1262">
        <v>12452660</v>
      </c>
      <c r="D1262">
        <v>140</v>
      </c>
      <c r="E1262" s="4">
        <v>-5399758.4199999999</v>
      </c>
      <c r="F1262" t="s">
        <v>62</v>
      </c>
      <c r="G1262">
        <v>0</v>
      </c>
      <c r="H1262" s="32" t="str">
        <f ca="1">+IF(B1262&gt;'sap nuevo'!$V$1,"cargar",IF(C1262="","cargar","pagado"))</f>
        <v>pagado</v>
      </c>
      <c r="I1262" s="32">
        <f t="shared" si="162"/>
        <v>2026</v>
      </c>
      <c r="J1262" s="32">
        <f t="shared" si="163"/>
        <v>5</v>
      </c>
    </row>
    <row r="1263" spans="1:10" x14ac:dyDescent="0.25">
      <c r="A1263" t="s">
        <v>20</v>
      </c>
      <c r="B1263" s="3">
        <v>46160</v>
      </c>
      <c r="C1263">
        <v>97124411</v>
      </c>
      <c r="D1263">
        <v>140</v>
      </c>
      <c r="E1263" s="4">
        <v>-4647459.4400000004</v>
      </c>
      <c r="F1263" t="s">
        <v>62</v>
      </c>
      <c r="G1263">
        <v>0</v>
      </c>
      <c r="H1263" s="32" t="str">
        <f ca="1">+IF(B1263&gt;'sap nuevo'!$V$1,"cargar",IF(C1263="","cargar","pagado"))</f>
        <v>pagado</v>
      </c>
      <c r="I1263" s="32">
        <f t="shared" si="162"/>
        <v>2026</v>
      </c>
      <c r="J1263" s="32">
        <f t="shared" si="163"/>
        <v>5</v>
      </c>
    </row>
    <row r="1264" spans="1:10" x14ac:dyDescent="0.25">
      <c r="A1264" t="s">
        <v>20</v>
      </c>
      <c r="B1264" s="3">
        <v>46160</v>
      </c>
      <c r="C1264">
        <v>97124414</v>
      </c>
      <c r="D1264">
        <v>140</v>
      </c>
      <c r="E1264" s="4">
        <v>-4108613.36</v>
      </c>
      <c r="F1264" t="s">
        <v>62</v>
      </c>
      <c r="G1264">
        <v>0</v>
      </c>
      <c r="H1264" s="32" t="str">
        <f ca="1">+IF(B1264&gt;'sap nuevo'!$V$1,"cargar",IF(C1264="","cargar","pagado"))</f>
        <v>pagado</v>
      </c>
      <c r="I1264" s="32">
        <f t="shared" si="162"/>
        <v>2026</v>
      </c>
      <c r="J1264" s="32">
        <f t="shared" si="163"/>
        <v>5</v>
      </c>
    </row>
    <row r="1265" spans="1:10" x14ac:dyDescent="0.25">
      <c r="A1265" t="s">
        <v>20</v>
      </c>
      <c r="B1265" s="3">
        <v>46161</v>
      </c>
      <c r="C1265">
        <v>97124415</v>
      </c>
      <c r="D1265">
        <v>140</v>
      </c>
      <c r="E1265" s="4">
        <v>-10515583.4</v>
      </c>
      <c r="F1265" t="s">
        <v>62</v>
      </c>
      <c r="G1265">
        <v>0</v>
      </c>
      <c r="H1265" s="32" t="str">
        <f ca="1">+IF(B1265&gt;'sap nuevo'!$V$1,"cargar",IF(C1265="","cargar","pagado"))</f>
        <v>pagado</v>
      </c>
      <c r="I1265" s="32">
        <f t="shared" si="162"/>
        <v>2026</v>
      </c>
      <c r="J1265" s="32">
        <f t="shared" si="163"/>
        <v>5</v>
      </c>
    </row>
    <row r="1266" spans="1:10" x14ac:dyDescent="0.25">
      <c r="A1266" t="s">
        <v>20</v>
      </c>
      <c r="B1266" s="3">
        <v>46161</v>
      </c>
      <c r="C1266">
        <v>97124418</v>
      </c>
      <c r="D1266">
        <v>140</v>
      </c>
      <c r="E1266" s="4">
        <v>-10480658.4</v>
      </c>
      <c r="F1266" t="s">
        <v>62</v>
      </c>
      <c r="G1266">
        <v>0</v>
      </c>
      <c r="H1266" s="32" t="str">
        <f ca="1">+IF(B1266&gt;'sap nuevo'!$V$1,"cargar",IF(C1266="","cargar","pagado"))</f>
        <v>pagado</v>
      </c>
      <c r="I1266" s="32">
        <f t="shared" si="162"/>
        <v>2026</v>
      </c>
      <c r="J1266" s="32">
        <f t="shared" si="163"/>
        <v>5</v>
      </c>
    </row>
    <row r="1267" spans="1:10" x14ac:dyDescent="0.25">
      <c r="A1267" t="s">
        <v>12</v>
      </c>
      <c r="B1267" s="3">
        <v>46161</v>
      </c>
      <c r="C1267">
        <v>97124421</v>
      </c>
      <c r="D1267">
        <v>140</v>
      </c>
      <c r="E1267" s="4">
        <v>-7254347.0999999996</v>
      </c>
      <c r="F1267" t="s">
        <v>63</v>
      </c>
      <c r="G1267">
        <v>0</v>
      </c>
      <c r="H1267" s="32" t="str">
        <f ca="1">+IF(B1267&gt;'sap nuevo'!$V$1,"cargar",IF(C1267="","cargar","pagado"))</f>
        <v>pagado</v>
      </c>
      <c r="I1267" s="32">
        <f t="shared" si="162"/>
        <v>2026</v>
      </c>
      <c r="J1267" s="32">
        <f t="shared" si="163"/>
        <v>5</v>
      </c>
    </row>
    <row r="1268" spans="1:10" x14ac:dyDescent="0.25">
      <c r="A1268" t="s">
        <v>20</v>
      </c>
      <c r="B1268" s="3">
        <v>46161</v>
      </c>
      <c r="C1268">
        <v>97124419</v>
      </c>
      <c r="D1268">
        <v>140</v>
      </c>
      <c r="E1268" s="4">
        <v>-4954841.78</v>
      </c>
      <c r="F1268" t="s">
        <v>62</v>
      </c>
      <c r="G1268">
        <v>0</v>
      </c>
      <c r="H1268" s="32" t="str">
        <f ca="1">+IF(B1268&gt;'sap nuevo'!$V$1,"cargar",IF(C1268="","cargar","pagado"))</f>
        <v>pagado</v>
      </c>
      <c r="I1268" s="32">
        <f t="shared" si="162"/>
        <v>2026</v>
      </c>
      <c r="J1268" s="32">
        <f t="shared" si="163"/>
        <v>5</v>
      </c>
    </row>
    <row r="1269" spans="1:10" x14ac:dyDescent="0.25">
      <c r="A1269" t="s">
        <v>544</v>
      </c>
      <c r="B1269" s="3">
        <v>46170</v>
      </c>
      <c r="C1269">
        <v>97124417</v>
      </c>
      <c r="D1269">
        <v>140</v>
      </c>
      <c r="E1269" s="4">
        <v>-6905805.8399999999</v>
      </c>
      <c r="F1269" t="s">
        <v>62</v>
      </c>
      <c r="G1269">
        <v>0</v>
      </c>
      <c r="H1269" s="32" t="str">
        <f ca="1">+IF(B1269&gt;'sap nuevo'!$V$1,"cargar",IF(C1269="","cargar","pagado"))</f>
        <v>pagado</v>
      </c>
      <c r="I1269" s="32">
        <f t="shared" si="162"/>
        <v>2026</v>
      </c>
      <c r="J1269" s="32">
        <f t="shared" si="163"/>
        <v>5</v>
      </c>
    </row>
    <row r="1270" spans="1:10" x14ac:dyDescent="0.25">
      <c r="A1270" t="s">
        <v>544</v>
      </c>
      <c r="B1270" s="3">
        <v>46171</v>
      </c>
      <c r="C1270">
        <v>97124431</v>
      </c>
      <c r="D1270">
        <v>140</v>
      </c>
      <c r="E1270" s="4">
        <v>-22000000</v>
      </c>
      <c r="F1270" t="s">
        <v>62</v>
      </c>
      <c r="G1270">
        <v>0</v>
      </c>
      <c r="H1270" s="32" t="str">
        <f ca="1">+IF(B1270&gt;'sap nuevo'!$V$1,"cargar",IF(C1270="","cargar","pagado"))</f>
        <v>pagado</v>
      </c>
      <c r="I1270" s="32">
        <f t="shared" si="162"/>
        <v>2026</v>
      </c>
      <c r="J1270" s="32">
        <f t="shared" si="163"/>
        <v>5</v>
      </c>
    </row>
    <row r="1271" spans="1:10" x14ac:dyDescent="0.25">
      <c r="A1271" t="s">
        <v>544</v>
      </c>
      <c r="B1271" s="3">
        <v>46171</v>
      </c>
      <c r="C1271">
        <v>97124429</v>
      </c>
      <c r="D1271">
        <v>140</v>
      </c>
      <c r="E1271" s="4">
        <v>-21325187.800000001</v>
      </c>
      <c r="F1271" t="s">
        <v>62</v>
      </c>
      <c r="G1271">
        <v>0</v>
      </c>
      <c r="H1271" s="32" t="str">
        <f ca="1">+IF(B1271&gt;'sap nuevo'!$V$1,"cargar",IF(C1271="","cargar","pagado"))</f>
        <v>pagado</v>
      </c>
      <c r="I1271" s="32">
        <f t="shared" ref="I1271:I1275" si="164">+YEAR(B1271)</f>
        <v>2026</v>
      </c>
      <c r="J1271" s="32">
        <f t="shared" ref="J1271:J1275" si="165">+MONTH(B1271)</f>
        <v>5</v>
      </c>
    </row>
    <row r="1272" spans="1:10" x14ac:dyDescent="0.25">
      <c r="A1272" t="s">
        <v>12</v>
      </c>
      <c r="B1272" s="3">
        <v>46171</v>
      </c>
      <c r="C1272">
        <v>97124434</v>
      </c>
      <c r="D1272">
        <v>140</v>
      </c>
      <c r="E1272" s="4">
        <v>-20000000</v>
      </c>
      <c r="F1272" t="s">
        <v>63</v>
      </c>
      <c r="G1272">
        <v>0</v>
      </c>
      <c r="H1272" s="32" t="str">
        <f ca="1">+IF(B1272&gt;'sap nuevo'!$V$1,"cargar",IF(C1272="","cargar","pagado"))</f>
        <v>pagado</v>
      </c>
      <c r="I1272" s="32">
        <f t="shared" si="164"/>
        <v>2026</v>
      </c>
      <c r="J1272" s="32">
        <f t="shared" si="165"/>
        <v>5</v>
      </c>
    </row>
    <row r="1273" spans="1:10" x14ac:dyDescent="0.25">
      <c r="A1273" t="s">
        <v>544</v>
      </c>
      <c r="B1273" s="3">
        <v>46171</v>
      </c>
      <c r="C1273">
        <v>97124428</v>
      </c>
      <c r="D1273">
        <v>140</v>
      </c>
      <c r="E1273" s="4">
        <v>-19170614.399999999</v>
      </c>
      <c r="F1273" t="s">
        <v>62</v>
      </c>
      <c r="G1273">
        <v>0</v>
      </c>
      <c r="H1273" s="32" t="str">
        <f ca="1">+IF(B1273&gt;'sap nuevo'!$V$1,"cargar",IF(C1273="","cargar","pagado"))</f>
        <v>pagado</v>
      </c>
      <c r="I1273" s="32">
        <f t="shared" si="164"/>
        <v>2026</v>
      </c>
      <c r="J1273" s="32">
        <f t="shared" si="165"/>
        <v>5</v>
      </c>
    </row>
    <row r="1274" spans="1:10" x14ac:dyDescent="0.25">
      <c r="A1274" t="s">
        <v>12</v>
      </c>
      <c r="B1274" s="3">
        <v>46171</v>
      </c>
      <c r="C1274">
        <v>97124430</v>
      </c>
      <c r="D1274">
        <v>140</v>
      </c>
      <c r="E1274" s="4">
        <v>-16986475</v>
      </c>
      <c r="F1274" t="s">
        <v>63</v>
      </c>
      <c r="G1274">
        <v>0</v>
      </c>
      <c r="H1274" s="32" t="str">
        <f ca="1">+IF(B1274&gt;'sap nuevo'!$V$1,"cargar",IF(C1274="","cargar","pagado"))</f>
        <v>pagado</v>
      </c>
      <c r="I1274" s="32">
        <f t="shared" si="164"/>
        <v>2026</v>
      </c>
      <c r="J1274" s="32">
        <f t="shared" si="165"/>
        <v>5</v>
      </c>
    </row>
    <row r="1275" spans="1:10" x14ac:dyDescent="0.25">
      <c r="A1275" t="s">
        <v>544</v>
      </c>
      <c r="B1275" s="3">
        <v>46171</v>
      </c>
      <c r="C1275">
        <v>97124427</v>
      </c>
      <c r="D1275">
        <v>140</v>
      </c>
      <c r="E1275" s="4">
        <v>-15800091.18</v>
      </c>
      <c r="F1275" t="s">
        <v>62</v>
      </c>
      <c r="G1275">
        <v>0</v>
      </c>
      <c r="H1275" s="32" t="str">
        <f ca="1">+IF(B1275&gt;'sap nuevo'!$V$1,"cargar",IF(C1275="","cargar","pagado"))</f>
        <v>pagado</v>
      </c>
      <c r="I1275" s="32">
        <f t="shared" si="164"/>
        <v>2026</v>
      </c>
      <c r="J1275" s="32">
        <f t="shared" si="165"/>
        <v>5</v>
      </c>
    </row>
    <row r="1276" spans="1:10" x14ac:dyDescent="0.25">
      <c r="A1276" t="s">
        <v>544</v>
      </c>
      <c r="B1276" s="3">
        <v>46171</v>
      </c>
      <c r="C1276">
        <v>97124433</v>
      </c>
      <c r="D1276">
        <v>140</v>
      </c>
      <c r="E1276" s="4">
        <v>-13230926.49</v>
      </c>
      <c r="F1276" t="s">
        <v>62</v>
      </c>
      <c r="G1276">
        <v>0</v>
      </c>
      <c r="H1276" s="32" t="str">
        <f ca="1">+IF(B1276&gt;'sap nuevo'!$V$1,"cargar",IF(C1276="","cargar","pagado"))</f>
        <v>pagado</v>
      </c>
      <c r="I1276" s="32">
        <f t="shared" ref="I1276:I1310" si="166">+YEAR(B1276)</f>
        <v>2026</v>
      </c>
      <c r="J1276" s="32">
        <f t="shared" ref="J1276:J1310" si="167">+MONTH(B1276)</f>
        <v>5</v>
      </c>
    </row>
    <row r="1277" spans="1:10" x14ac:dyDescent="0.25">
      <c r="A1277" t="s">
        <v>544</v>
      </c>
      <c r="B1277" s="3">
        <v>46171</v>
      </c>
      <c r="C1277">
        <v>97124424</v>
      </c>
      <c r="D1277">
        <v>140</v>
      </c>
      <c r="E1277" s="4">
        <v>-7999281.9299999997</v>
      </c>
      <c r="F1277" t="s">
        <v>62</v>
      </c>
      <c r="G1277">
        <v>0</v>
      </c>
      <c r="H1277" s="32" t="str">
        <f ca="1">+IF(B1277&gt;'sap nuevo'!$V$1,"cargar",IF(C1277="","cargar","pagado"))</f>
        <v>pagado</v>
      </c>
      <c r="I1277" s="32">
        <f t="shared" si="166"/>
        <v>2026</v>
      </c>
      <c r="J1277" s="32">
        <f t="shared" si="167"/>
        <v>5</v>
      </c>
    </row>
    <row r="1278" spans="1:10" x14ac:dyDescent="0.25">
      <c r="A1278" t="s">
        <v>544</v>
      </c>
      <c r="B1278" s="3">
        <v>46171</v>
      </c>
      <c r="C1278">
        <v>97124436</v>
      </c>
      <c r="D1278">
        <v>140</v>
      </c>
      <c r="E1278" s="4">
        <v>-7851768.5499999998</v>
      </c>
      <c r="F1278" t="s">
        <v>62</v>
      </c>
      <c r="G1278">
        <v>0</v>
      </c>
      <c r="H1278" s="32" t="str">
        <f ca="1">+IF(B1278&gt;'sap nuevo'!$V$1,"cargar",IF(C1278="","cargar","pagado"))</f>
        <v>pagado</v>
      </c>
      <c r="I1278" s="32">
        <f t="shared" si="166"/>
        <v>2026</v>
      </c>
      <c r="J1278" s="32">
        <f t="shared" si="167"/>
        <v>5</v>
      </c>
    </row>
    <row r="1279" spans="1:10" x14ac:dyDescent="0.25">
      <c r="A1279" t="s">
        <v>544</v>
      </c>
      <c r="B1279" s="3">
        <v>46171</v>
      </c>
      <c r="C1279">
        <v>97124425</v>
      </c>
      <c r="D1279">
        <v>140</v>
      </c>
      <c r="E1279" s="4">
        <v>-6231435.5999999996</v>
      </c>
      <c r="F1279" t="s">
        <v>62</v>
      </c>
      <c r="G1279">
        <v>0</v>
      </c>
      <c r="H1279" s="32" t="str">
        <f ca="1">+IF(B1279&gt;'sap nuevo'!$V$1,"cargar",IF(C1279="","cargar","pagado"))</f>
        <v>pagado</v>
      </c>
      <c r="I1279" s="32">
        <f t="shared" si="166"/>
        <v>2026</v>
      </c>
      <c r="J1279" s="32">
        <f t="shared" si="167"/>
        <v>5</v>
      </c>
    </row>
    <row r="1280" spans="1:10" x14ac:dyDescent="0.25">
      <c r="A1280" t="s">
        <v>12</v>
      </c>
      <c r="B1280" s="3">
        <v>46174</v>
      </c>
      <c r="C1280">
        <v>97124438</v>
      </c>
      <c r="D1280">
        <v>140</v>
      </c>
      <c r="E1280" s="4">
        <v>-27931324.600000001</v>
      </c>
      <c r="F1280" t="s">
        <v>63</v>
      </c>
      <c r="G1280">
        <v>0</v>
      </c>
      <c r="H1280" s="32" t="str">
        <f ca="1">+IF(B1280&gt;'sap nuevo'!$V$1,"cargar",IF(C1280="","cargar","pagado"))</f>
        <v>pagado</v>
      </c>
      <c r="I1280" s="32">
        <f t="shared" si="166"/>
        <v>2026</v>
      </c>
      <c r="J1280" s="32">
        <f t="shared" si="167"/>
        <v>6</v>
      </c>
    </row>
    <row r="1281" spans="1:10" x14ac:dyDescent="0.25">
      <c r="A1281" t="s">
        <v>544</v>
      </c>
      <c r="B1281" s="3">
        <v>46174</v>
      </c>
      <c r="C1281">
        <v>97124432</v>
      </c>
      <c r="D1281">
        <v>140</v>
      </c>
      <c r="E1281" s="4">
        <v>-22845348.390000001</v>
      </c>
      <c r="F1281" t="s">
        <v>62</v>
      </c>
      <c r="G1281">
        <v>0</v>
      </c>
      <c r="H1281" s="32" t="str">
        <f ca="1">+IF(B1281&gt;'sap nuevo'!$V$1,"cargar",IF(C1281="","cargar","pagado"))</f>
        <v>pagado</v>
      </c>
      <c r="I1281" s="32">
        <f t="shared" si="166"/>
        <v>2026</v>
      </c>
      <c r="J1281" s="32">
        <f t="shared" si="167"/>
        <v>6</v>
      </c>
    </row>
    <row r="1282" spans="1:10" x14ac:dyDescent="0.25">
      <c r="A1282" t="s">
        <v>544</v>
      </c>
      <c r="B1282" s="3">
        <v>46174</v>
      </c>
      <c r="C1282">
        <v>97124426</v>
      </c>
      <c r="D1282">
        <v>140</v>
      </c>
      <c r="E1282" s="4">
        <v>-4206842.33</v>
      </c>
      <c r="F1282" t="s">
        <v>62</v>
      </c>
      <c r="G1282">
        <v>0</v>
      </c>
      <c r="H1282" s="32" t="str">
        <f ca="1">+IF(B1282&gt;'sap nuevo'!$V$1,"cargar",IF(C1282="","cargar","pagado"))</f>
        <v>pagado</v>
      </c>
      <c r="I1282" s="32">
        <f t="shared" si="166"/>
        <v>2026</v>
      </c>
      <c r="J1282" s="32">
        <f t="shared" si="167"/>
        <v>6</v>
      </c>
    </row>
    <row r="1283" spans="1:10" x14ac:dyDescent="0.25">
      <c r="A1283" t="s">
        <v>12</v>
      </c>
      <c r="B1283" s="3">
        <v>46175</v>
      </c>
      <c r="C1283">
        <v>97124435</v>
      </c>
      <c r="D1283">
        <v>140</v>
      </c>
      <c r="E1283" s="4">
        <v>-17568570.309999999</v>
      </c>
      <c r="F1283" t="s">
        <v>63</v>
      </c>
      <c r="G1283">
        <v>0</v>
      </c>
      <c r="H1283" s="32" t="str">
        <f ca="1">+IF(B1283&gt;'sap nuevo'!$V$1,"cargar",IF(C1283="","cargar","pagado"))</f>
        <v>pagado</v>
      </c>
      <c r="I1283" s="32">
        <f t="shared" si="166"/>
        <v>2026</v>
      </c>
      <c r="J1283" s="32">
        <f t="shared" si="167"/>
        <v>6</v>
      </c>
    </row>
    <row r="1284" spans="1:10" x14ac:dyDescent="0.25">
      <c r="A1284" t="s">
        <v>544</v>
      </c>
      <c r="B1284" s="3">
        <v>46177</v>
      </c>
      <c r="C1284">
        <v>97124437</v>
      </c>
      <c r="D1284">
        <v>140</v>
      </c>
      <c r="E1284" s="4">
        <v>-25082412.280000001</v>
      </c>
      <c r="F1284" t="s">
        <v>62</v>
      </c>
      <c r="G1284">
        <v>0</v>
      </c>
      <c r="H1284" s="32" t="str">
        <f ca="1">+IF(B1284&gt;'sap nuevo'!$V$1,"cargar",IF(C1284="","cargar","pagado"))</f>
        <v>pagado</v>
      </c>
      <c r="I1284" s="32">
        <f t="shared" si="166"/>
        <v>2026</v>
      </c>
      <c r="J1284" s="32">
        <f t="shared" si="167"/>
        <v>6</v>
      </c>
    </row>
    <row r="1285" spans="1:10" x14ac:dyDescent="0.25">
      <c r="A1285" t="s">
        <v>544</v>
      </c>
      <c r="B1285" s="3">
        <v>46178</v>
      </c>
      <c r="C1285">
        <v>97124440</v>
      </c>
      <c r="D1285">
        <v>140</v>
      </c>
      <c r="E1285" s="4">
        <v>-39510383.93</v>
      </c>
      <c r="F1285" t="s">
        <v>62</v>
      </c>
      <c r="G1285">
        <v>0</v>
      </c>
      <c r="H1285" s="32" t="str">
        <f ca="1">+IF(B1285&gt;'sap nuevo'!$V$1,"cargar",IF(C1285="","cargar","pagado"))</f>
        <v>pagado</v>
      </c>
      <c r="I1285" s="32">
        <f t="shared" si="166"/>
        <v>2026</v>
      </c>
      <c r="J1285" s="32">
        <f t="shared" si="167"/>
        <v>6</v>
      </c>
    </row>
    <row r="1286" spans="1:10" x14ac:dyDescent="0.25">
      <c r="A1286" t="s">
        <v>544</v>
      </c>
      <c r="B1286" s="3">
        <v>46178</v>
      </c>
      <c r="C1286">
        <v>97124442</v>
      </c>
      <c r="D1286">
        <v>140</v>
      </c>
      <c r="E1286" s="4">
        <v>-24707948.550000001</v>
      </c>
      <c r="F1286" t="s">
        <v>62</v>
      </c>
      <c r="G1286">
        <v>0</v>
      </c>
      <c r="H1286" s="32" t="str">
        <f ca="1">+IF(B1286&gt;'sap nuevo'!$V$1,"cargar",IF(C1286="","cargar","pagado"))</f>
        <v>pagado</v>
      </c>
      <c r="I1286" s="32">
        <f t="shared" si="166"/>
        <v>2026</v>
      </c>
      <c r="J1286" s="32">
        <f t="shared" si="167"/>
        <v>6</v>
      </c>
    </row>
    <row r="1287" spans="1:10" x14ac:dyDescent="0.25">
      <c r="A1287" t="s">
        <v>544</v>
      </c>
      <c r="B1287" s="3">
        <v>46178</v>
      </c>
      <c r="C1287">
        <v>97124446</v>
      </c>
      <c r="D1287">
        <v>140</v>
      </c>
      <c r="E1287" s="4">
        <v>-20749620.039999999</v>
      </c>
      <c r="F1287" t="s">
        <v>62</v>
      </c>
      <c r="G1287">
        <v>0</v>
      </c>
      <c r="H1287" s="32" t="str">
        <f ca="1">+IF(B1287&gt;'sap nuevo'!$V$1,"cargar",IF(C1287="","cargar","pagado"))</f>
        <v>pagado</v>
      </c>
      <c r="I1287" s="32">
        <f t="shared" si="166"/>
        <v>2026</v>
      </c>
      <c r="J1287" s="32">
        <f t="shared" si="167"/>
        <v>6</v>
      </c>
    </row>
    <row r="1288" spans="1:10" x14ac:dyDescent="0.25">
      <c r="A1288" t="s">
        <v>12</v>
      </c>
      <c r="B1288" s="3">
        <v>46178</v>
      </c>
      <c r="C1288">
        <v>97124443</v>
      </c>
      <c r="D1288">
        <v>140</v>
      </c>
      <c r="E1288" s="4">
        <v>-16760426.4</v>
      </c>
      <c r="F1288" t="s">
        <v>63</v>
      </c>
      <c r="G1288">
        <v>0</v>
      </c>
      <c r="H1288" s="32" t="str">
        <f ca="1">+IF(B1288&gt;'sap nuevo'!$V$1,"cargar",IF(C1288="","cargar","pagado"))</f>
        <v>pagado</v>
      </c>
      <c r="I1288" s="32">
        <f t="shared" si="166"/>
        <v>2026</v>
      </c>
      <c r="J1288" s="32">
        <f t="shared" si="167"/>
        <v>6</v>
      </c>
    </row>
    <row r="1289" spans="1:10" x14ac:dyDescent="0.25">
      <c r="A1289" t="s">
        <v>544</v>
      </c>
      <c r="B1289" s="3">
        <v>46178</v>
      </c>
      <c r="C1289">
        <v>97124441</v>
      </c>
      <c r="D1289">
        <v>140</v>
      </c>
      <c r="E1289" s="4">
        <v>-11421078.9</v>
      </c>
      <c r="F1289" t="s">
        <v>62</v>
      </c>
      <c r="G1289">
        <v>0</v>
      </c>
      <c r="H1289" s="32" t="str">
        <f ca="1">+IF(B1289&gt;'sap nuevo'!$V$1,"cargar",IF(C1289="","cargar","pagado"))</f>
        <v>pagado</v>
      </c>
      <c r="I1289" s="32">
        <f t="shared" si="166"/>
        <v>2026</v>
      </c>
      <c r="J1289" s="32">
        <f t="shared" si="167"/>
        <v>6</v>
      </c>
    </row>
    <row r="1290" spans="1:10" x14ac:dyDescent="0.25">
      <c r="A1290" t="s">
        <v>544</v>
      </c>
      <c r="B1290" s="3">
        <v>46178</v>
      </c>
      <c r="C1290">
        <v>97124439</v>
      </c>
      <c r="D1290">
        <v>140</v>
      </c>
      <c r="E1290" s="4">
        <v>-1729418.55</v>
      </c>
      <c r="F1290" t="s">
        <v>62</v>
      </c>
      <c r="G1290">
        <v>0</v>
      </c>
      <c r="H1290" s="32" t="str">
        <f ca="1">+IF(B1290&gt;'sap nuevo'!$V$1,"cargar",IF(C1290="","cargar","pagado"))</f>
        <v>pagado</v>
      </c>
      <c r="I1290" s="32">
        <f t="shared" si="166"/>
        <v>2026</v>
      </c>
      <c r="J1290" s="32">
        <f t="shared" si="167"/>
        <v>6</v>
      </c>
    </row>
    <row r="1291" spans="1:10" x14ac:dyDescent="0.25">
      <c r="A1291" t="s">
        <v>544</v>
      </c>
      <c r="B1291" t="s">
        <v>549</v>
      </c>
      <c r="C1291">
        <v>97124448</v>
      </c>
      <c r="D1291">
        <v>140</v>
      </c>
      <c r="E1291" s="4">
        <v>-27326253.989999998</v>
      </c>
      <c r="F1291" t="s">
        <v>62</v>
      </c>
      <c r="G1291">
        <v>0</v>
      </c>
      <c r="H1291" s="32" t="str">
        <f ca="1">+IF(B1291&gt;'sap nuevo'!$V$1,"cargar",IF(C1291="","cargar","pagado"))</f>
        <v>cargar</v>
      </c>
      <c r="I1291" s="32">
        <f t="shared" si="166"/>
        <v>2026</v>
      </c>
      <c r="J1291" s="32">
        <f t="shared" si="167"/>
        <v>6</v>
      </c>
    </row>
    <row r="1292" spans="1:10" x14ac:dyDescent="0.25">
      <c r="A1292" t="s">
        <v>12</v>
      </c>
      <c r="B1292" t="s">
        <v>549</v>
      </c>
      <c r="C1292">
        <v>97124455</v>
      </c>
      <c r="D1292">
        <v>140</v>
      </c>
      <c r="E1292" s="4">
        <v>-13223336.6</v>
      </c>
      <c r="F1292" t="s">
        <v>63</v>
      </c>
      <c r="G1292">
        <v>0</v>
      </c>
      <c r="H1292" s="32" t="str">
        <f ca="1">+IF(B1292&gt;'sap nuevo'!$V$1,"cargar",IF(C1292="","cargar","pagado"))</f>
        <v>cargar</v>
      </c>
      <c r="I1292" s="32">
        <f t="shared" si="166"/>
        <v>2026</v>
      </c>
      <c r="J1292" s="32">
        <f t="shared" si="167"/>
        <v>6</v>
      </c>
    </row>
    <row r="1293" spans="1:10" x14ac:dyDescent="0.25">
      <c r="A1293" t="s">
        <v>544</v>
      </c>
      <c r="B1293" t="s">
        <v>550</v>
      </c>
      <c r="C1293">
        <v>97124454</v>
      </c>
      <c r="D1293">
        <v>140</v>
      </c>
      <c r="E1293" s="4">
        <v>-26126343.399999999</v>
      </c>
      <c r="F1293" t="s">
        <v>62</v>
      </c>
      <c r="G1293">
        <v>0</v>
      </c>
      <c r="H1293" s="32" t="str">
        <f ca="1">+IF(B1293&gt;'sap nuevo'!$V$1,"cargar",IF(C1293="","cargar","pagado"))</f>
        <v>cargar</v>
      </c>
      <c r="I1293" s="32">
        <f t="shared" si="166"/>
        <v>2026</v>
      </c>
      <c r="J1293" s="32">
        <f t="shared" si="167"/>
        <v>6</v>
      </c>
    </row>
    <row r="1294" spans="1:10" x14ac:dyDescent="0.25">
      <c r="A1294" t="s">
        <v>544</v>
      </c>
      <c r="B1294" t="s">
        <v>550</v>
      </c>
      <c r="C1294">
        <v>97124449</v>
      </c>
      <c r="D1294">
        <v>140</v>
      </c>
      <c r="E1294" s="4">
        <v>-26125000</v>
      </c>
      <c r="F1294" t="s">
        <v>62</v>
      </c>
      <c r="G1294">
        <v>0</v>
      </c>
      <c r="H1294" s="32" t="str">
        <f ca="1">+IF(B1294&gt;'sap nuevo'!$V$1,"cargar",IF(C1294="","cargar","pagado"))</f>
        <v>cargar</v>
      </c>
      <c r="I1294" s="32">
        <f t="shared" si="166"/>
        <v>2026</v>
      </c>
      <c r="J1294" s="32">
        <f t="shared" si="167"/>
        <v>6</v>
      </c>
    </row>
    <row r="1295" spans="1:10" x14ac:dyDescent="0.25">
      <c r="A1295" t="s">
        <v>544</v>
      </c>
      <c r="B1295" t="s">
        <v>550</v>
      </c>
      <c r="C1295">
        <v>97124450</v>
      </c>
      <c r="D1295">
        <v>140</v>
      </c>
      <c r="E1295" s="4">
        <v>-26125000</v>
      </c>
      <c r="F1295" t="s">
        <v>62</v>
      </c>
      <c r="G1295">
        <v>0</v>
      </c>
      <c r="H1295" s="32" t="str">
        <f ca="1">+IF(B1295&gt;'sap nuevo'!$V$1,"cargar",IF(C1295="","cargar","pagado"))</f>
        <v>cargar</v>
      </c>
      <c r="I1295" s="32">
        <f t="shared" si="166"/>
        <v>2026</v>
      </c>
      <c r="J1295" s="32">
        <f t="shared" si="167"/>
        <v>6</v>
      </c>
    </row>
    <row r="1296" spans="1:10" x14ac:dyDescent="0.25">
      <c r="A1296" t="s">
        <v>544</v>
      </c>
      <c r="B1296" t="s">
        <v>550</v>
      </c>
      <c r="C1296">
        <v>97124451</v>
      </c>
      <c r="D1296">
        <v>140</v>
      </c>
      <c r="E1296" s="4">
        <v>-26125000</v>
      </c>
      <c r="F1296" t="s">
        <v>62</v>
      </c>
      <c r="G1296">
        <v>0</v>
      </c>
      <c r="H1296" s="32" t="str">
        <f ca="1">+IF(B1296&gt;'sap nuevo'!$V$1,"cargar",IF(C1296="","cargar","pagado"))</f>
        <v>cargar</v>
      </c>
      <c r="I1296" s="32">
        <f t="shared" si="166"/>
        <v>2026</v>
      </c>
      <c r="J1296" s="32">
        <f t="shared" si="167"/>
        <v>6</v>
      </c>
    </row>
    <row r="1297" spans="1:10" x14ac:dyDescent="0.25">
      <c r="A1297" t="s">
        <v>544</v>
      </c>
      <c r="B1297" t="s">
        <v>550</v>
      </c>
      <c r="C1297">
        <v>97124452</v>
      </c>
      <c r="D1297">
        <v>140</v>
      </c>
      <c r="E1297" s="4">
        <v>-26125000</v>
      </c>
      <c r="F1297" t="s">
        <v>62</v>
      </c>
      <c r="G1297">
        <v>0</v>
      </c>
      <c r="H1297" s="32" t="str">
        <f ca="1">+IF(B1297&gt;'sap nuevo'!$V$1,"cargar",IF(C1297="","cargar","pagado"))</f>
        <v>cargar</v>
      </c>
      <c r="I1297" s="32">
        <f t="shared" si="166"/>
        <v>2026</v>
      </c>
      <c r="J1297" s="32">
        <f t="shared" si="167"/>
        <v>6</v>
      </c>
    </row>
    <row r="1298" spans="1:10" x14ac:dyDescent="0.25">
      <c r="A1298" t="s">
        <v>544</v>
      </c>
      <c r="B1298" t="s">
        <v>550</v>
      </c>
      <c r="C1298">
        <v>97124453</v>
      </c>
      <c r="D1298">
        <v>140</v>
      </c>
      <c r="E1298" s="4">
        <v>-26125000</v>
      </c>
      <c r="F1298" t="s">
        <v>62</v>
      </c>
      <c r="G1298">
        <v>0</v>
      </c>
      <c r="H1298" s="32" t="str">
        <f ca="1">+IF(B1298&gt;'sap nuevo'!$V$1,"cargar",IF(C1298="","cargar","pagado"))</f>
        <v>cargar</v>
      </c>
      <c r="I1298" s="32">
        <f t="shared" si="166"/>
        <v>2026</v>
      </c>
      <c r="J1298" s="32">
        <f t="shared" si="167"/>
        <v>6</v>
      </c>
    </row>
    <row r="1299" spans="1:10" x14ac:dyDescent="0.25">
      <c r="A1299" t="s">
        <v>544</v>
      </c>
      <c r="B1299" t="s">
        <v>550</v>
      </c>
      <c r="C1299">
        <v>97124459</v>
      </c>
      <c r="D1299">
        <v>140</v>
      </c>
      <c r="E1299" s="4">
        <v>-10000000</v>
      </c>
      <c r="F1299" t="s">
        <v>62</v>
      </c>
      <c r="G1299">
        <v>0</v>
      </c>
      <c r="H1299" s="32" t="str">
        <f ca="1">+IF(B1299&gt;'sap nuevo'!$V$1,"cargar",IF(C1299="","cargar","pagado"))</f>
        <v>cargar</v>
      </c>
      <c r="I1299" s="32">
        <f t="shared" si="166"/>
        <v>2026</v>
      </c>
      <c r="J1299" s="32">
        <f t="shared" si="167"/>
        <v>6</v>
      </c>
    </row>
    <row r="1300" spans="1:10" x14ac:dyDescent="0.25">
      <c r="A1300" t="s">
        <v>12</v>
      </c>
      <c r="B1300" t="s">
        <v>550</v>
      </c>
      <c r="C1300">
        <v>97124456</v>
      </c>
      <c r="D1300">
        <v>140</v>
      </c>
      <c r="E1300" s="4">
        <v>-10000000</v>
      </c>
      <c r="F1300" t="s">
        <v>63</v>
      </c>
      <c r="G1300">
        <v>0</v>
      </c>
      <c r="H1300" s="32" t="str">
        <f ca="1">+IF(B1300&gt;'sap nuevo'!$V$1,"cargar",IF(C1300="","cargar","pagado"))</f>
        <v>cargar</v>
      </c>
      <c r="I1300" s="32">
        <f t="shared" si="166"/>
        <v>2026</v>
      </c>
      <c r="J1300" s="32">
        <f t="shared" si="167"/>
        <v>6</v>
      </c>
    </row>
    <row r="1301" spans="1:10" x14ac:dyDescent="0.25">
      <c r="A1301" t="s">
        <v>12</v>
      </c>
      <c r="B1301" t="s">
        <v>550</v>
      </c>
      <c r="C1301">
        <v>97124462</v>
      </c>
      <c r="D1301">
        <v>140</v>
      </c>
      <c r="E1301" s="4">
        <v>-8566961.3000000007</v>
      </c>
      <c r="F1301" t="s">
        <v>63</v>
      </c>
      <c r="G1301">
        <v>0</v>
      </c>
      <c r="H1301" s="32" t="str">
        <f ca="1">+IF(B1301&gt;'sap nuevo'!$V$1,"cargar",IF(C1301="","cargar","pagado"))</f>
        <v>cargar</v>
      </c>
      <c r="I1301" s="32">
        <f t="shared" si="166"/>
        <v>2026</v>
      </c>
      <c r="J1301" s="32">
        <f t="shared" si="167"/>
        <v>6</v>
      </c>
    </row>
    <row r="1302" spans="1:10" x14ac:dyDescent="0.25">
      <c r="A1302" t="s">
        <v>544</v>
      </c>
      <c r="B1302" t="s">
        <v>551</v>
      </c>
      <c r="C1302">
        <v>97124458</v>
      </c>
      <c r="D1302">
        <v>140</v>
      </c>
      <c r="E1302" s="4">
        <v>-10000000</v>
      </c>
      <c r="F1302" t="s">
        <v>62</v>
      </c>
      <c r="G1302">
        <v>0</v>
      </c>
      <c r="H1302" s="32" t="str">
        <f ca="1">+IF(B1302&gt;'sap nuevo'!$V$1,"cargar",IF(C1302="","cargar","pagado"))</f>
        <v>cargar</v>
      </c>
      <c r="I1302" s="32">
        <f t="shared" si="166"/>
        <v>2026</v>
      </c>
      <c r="J1302" s="32">
        <f t="shared" si="167"/>
        <v>6</v>
      </c>
    </row>
    <row r="1303" spans="1:10" x14ac:dyDescent="0.25">
      <c r="A1303" t="s">
        <v>12</v>
      </c>
      <c r="B1303" t="s">
        <v>552</v>
      </c>
      <c r="C1303">
        <v>97124444</v>
      </c>
      <c r="D1303">
        <v>140</v>
      </c>
      <c r="E1303" s="4">
        <v>-5347592.75</v>
      </c>
      <c r="F1303" t="s">
        <v>63</v>
      </c>
      <c r="G1303">
        <v>0</v>
      </c>
      <c r="H1303" s="32" t="str">
        <f ca="1">+IF(B1303&gt;'sap nuevo'!$V$1,"cargar",IF(C1303="","cargar","pagado"))</f>
        <v>cargar</v>
      </c>
      <c r="I1303" s="32">
        <f t="shared" si="166"/>
        <v>2026</v>
      </c>
      <c r="J1303" s="32">
        <f t="shared" si="167"/>
        <v>6</v>
      </c>
    </row>
    <row r="1304" spans="1:10" x14ac:dyDescent="0.25">
      <c r="A1304" t="s">
        <v>544</v>
      </c>
      <c r="B1304" t="s">
        <v>552</v>
      </c>
      <c r="C1304">
        <v>97124463</v>
      </c>
      <c r="D1304">
        <v>140</v>
      </c>
      <c r="E1304" s="4">
        <v>-386632.5</v>
      </c>
      <c r="F1304" t="s">
        <v>62</v>
      </c>
      <c r="G1304">
        <v>0</v>
      </c>
      <c r="H1304" s="32" t="str">
        <f ca="1">+IF(B1304&gt;'sap nuevo'!$V$1,"cargar",IF(C1304="","cargar","pagado"))</f>
        <v>cargar</v>
      </c>
      <c r="I1304" s="32">
        <f t="shared" si="166"/>
        <v>2026</v>
      </c>
      <c r="J1304" s="32">
        <f t="shared" si="167"/>
        <v>6</v>
      </c>
    </row>
    <row r="1305" spans="1:10" x14ac:dyDescent="0.25">
      <c r="A1305" t="s">
        <v>544</v>
      </c>
      <c r="B1305" t="s">
        <v>553</v>
      </c>
      <c r="C1305">
        <v>97124447</v>
      </c>
      <c r="D1305">
        <v>140</v>
      </c>
      <c r="E1305" s="4">
        <v>-47956213.560000002</v>
      </c>
      <c r="F1305" t="s">
        <v>62</v>
      </c>
      <c r="G1305">
        <v>0</v>
      </c>
      <c r="H1305" s="32" t="str">
        <f ca="1">+IF(B1305&gt;'sap nuevo'!$V$1,"cargar",IF(C1305="","cargar","pagado"))</f>
        <v>cargar</v>
      </c>
      <c r="I1305" s="32">
        <f t="shared" si="166"/>
        <v>2026</v>
      </c>
      <c r="J1305" s="32">
        <f t="shared" si="167"/>
        <v>6</v>
      </c>
    </row>
    <row r="1306" spans="1:10" x14ac:dyDescent="0.25">
      <c r="A1306" t="s">
        <v>544</v>
      </c>
      <c r="B1306" t="s">
        <v>553</v>
      </c>
      <c r="C1306">
        <v>97124467</v>
      </c>
      <c r="D1306">
        <v>140</v>
      </c>
      <c r="E1306" s="4">
        <v>-30975818.530000001</v>
      </c>
      <c r="F1306" t="s">
        <v>62</v>
      </c>
      <c r="G1306">
        <v>0</v>
      </c>
      <c r="H1306" s="32" t="str">
        <f ca="1">+IF(B1306&gt;'sap nuevo'!$V$1,"cargar",IF(C1306="","cargar","pagado"))</f>
        <v>cargar</v>
      </c>
      <c r="I1306" s="32">
        <f t="shared" si="166"/>
        <v>2026</v>
      </c>
      <c r="J1306" s="32">
        <f t="shared" si="167"/>
        <v>6</v>
      </c>
    </row>
    <row r="1307" spans="1:10" x14ac:dyDescent="0.25">
      <c r="A1307" t="s">
        <v>544</v>
      </c>
      <c r="B1307" t="s">
        <v>553</v>
      </c>
      <c r="C1307">
        <v>97124461</v>
      </c>
      <c r="D1307">
        <v>140</v>
      </c>
      <c r="E1307" s="4">
        <v>-8848172.2400000002</v>
      </c>
      <c r="F1307" t="s">
        <v>62</v>
      </c>
      <c r="G1307">
        <v>0</v>
      </c>
      <c r="H1307" s="32" t="str">
        <f ca="1">+IF(B1307&gt;'sap nuevo'!$V$1,"cargar",IF(C1307="","cargar","pagado"))</f>
        <v>cargar</v>
      </c>
      <c r="I1307" s="32">
        <f t="shared" si="166"/>
        <v>2026</v>
      </c>
      <c r="J1307" s="32">
        <f t="shared" si="167"/>
        <v>6</v>
      </c>
    </row>
    <row r="1308" spans="1:10" x14ac:dyDescent="0.25">
      <c r="A1308" t="s">
        <v>544</v>
      </c>
      <c r="B1308" t="s">
        <v>553</v>
      </c>
      <c r="C1308">
        <v>97124466</v>
      </c>
      <c r="D1308">
        <v>140</v>
      </c>
      <c r="E1308" s="4">
        <v>-7160429.4000000004</v>
      </c>
      <c r="F1308" t="s">
        <v>62</v>
      </c>
      <c r="G1308">
        <v>0</v>
      </c>
      <c r="H1308" s="32" t="str">
        <f ca="1">+IF(B1308&gt;'sap nuevo'!$V$1,"cargar",IF(C1308="","cargar","pagado"))</f>
        <v>cargar</v>
      </c>
      <c r="I1308" s="32">
        <f t="shared" si="166"/>
        <v>2026</v>
      </c>
      <c r="J1308" s="32">
        <f t="shared" si="167"/>
        <v>6</v>
      </c>
    </row>
    <row r="1309" spans="1:10" x14ac:dyDescent="0.25">
      <c r="A1309" t="s">
        <v>544</v>
      </c>
      <c r="B1309" t="s">
        <v>553</v>
      </c>
      <c r="C1309">
        <v>97124445</v>
      </c>
      <c r="D1309">
        <v>140</v>
      </c>
      <c r="E1309" s="4">
        <v>-6045237.5800000001</v>
      </c>
      <c r="F1309" t="s">
        <v>62</v>
      </c>
      <c r="G1309">
        <v>0</v>
      </c>
      <c r="H1309" s="32" t="str">
        <f ca="1">+IF(B1309&gt;'sap nuevo'!$V$1,"cargar",IF(C1309="","cargar","pagado"))</f>
        <v>cargar</v>
      </c>
      <c r="I1309" s="32">
        <f t="shared" si="166"/>
        <v>2026</v>
      </c>
      <c r="J1309" s="32">
        <f t="shared" si="167"/>
        <v>6</v>
      </c>
    </row>
    <row r="1310" spans="1:10" x14ac:dyDescent="0.25">
      <c r="A1310" t="s">
        <v>12</v>
      </c>
      <c r="B1310" t="s">
        <v>553</v>
      </c>
      <c r="C1310">
        <v>97124465</v>
      </c>
      <c r="D1310">
        <v>140</v>
      </c>
      <c r="E1310" s="4">
        <v>-4029520</v>
      </c>
      <c r="F1310" t="s">
        <v>63</v>
      </c>
      <c r="G1310">
        <v>0</v>
      </c>
      <c r="H1310" s="32" t="str">
        <f ca="1">+IF(B1310&gt;'sap nuevo'!$V$1,"cargar",IF(C1310="","cargar","pagado"))</f>
        <v>cargar</v>
      </c>
      <c r="I1310" s="32">
        <f t="shared" si="166"/>
        <v>2026</v>
      </c>
      <c r="J1310" s="32">
        <f t="shared" si="167"/>
        <v>6</v>
      </c>
    </row>
    <row r="1311" spans="1:10" x14ac:dyDescent="0.25">
      <c r="A1311" t="s">
        <v>544</v>
      </c>
      <c r="B1311" t="s">
        <v>554</v>
      </c>
      <c r="C1311">
        <v>97124473</v>
      </c>
      <c r="D1311">
        <v>140</v>
      </c>
      <c r="E1311" s="4">
        <v>-14191958.359999999</v>
      </c>
      <c r="F1311" t="s">
        <v>62</v>
      </c>
      <c r="G1311">
        <v>0</v>
      </c>
      <c r="H1311" s="32" t="str">
        <f ca="1">+IF(B1311&gt;'sap nuevo'!$V$1,"cargar",IF(C1311="","cargar","pagado"))</f>
        <v>cargar</v>
      </c>
      <c r="I1311" s="32">
        <f t="shared" ref="I1311:I1317" si="168">+YEAR(B1311)</f>
        <v>2026</v>
      </c>
      <c r="J1311" s="32">
        <f t="shared" ref="J1311:J1317" si="169">+MONTH(B1311)</f>
        <v>6</v>
      </c>
    </row>
    <row r="1312" spans="1:10" x14ac:dyDescent="0.25">
      <c r="A1312" t="s">
        <v>544</v>
      </c>
      <c r="B1312" t="s">
        <v>554</v>
      </c>
      <c r="C1312">
        <v>97124470</v>
      </c>
      <c r="D1312">
        <v>140</v>
      </c>
      <c r="E1312" s="4">
        <v>-11180191.359999999</v>
      </c>
      <c r="F1312" t="s">
        <v>62</v>
      </c>
      <c r="G1312">
        <v>0</v>
      </c>
      <c r="H1312" s="32" t="str">
        <f ca="1">+IF(B1312&gt;'sap nuevo'!$V$1,"cargar",IF(C1312="","cargar","pagado"))</f>
        <v>cargar</v>
      </c>
      <c r="I1312" s="32">
        <f t="shared" si="168"/>
        <v>2026</v>
      </c>
      <c r="J1312" s="32">
        <f t="shared" si="169"/>
        <v>6</v>
      </c>
    </row>
    <row r="1313" spans="1:10" x14ac:dyDescent="0.25">
      <c r="A1313" t="s">
        <v>12</v>
      </c>
      <c r="B1313" t="s">
        <v>554</v>
      </c>
      <c r="C1313">
        <v>97124468</v>
      </c>
      <c r="D1313">
        <v>140</v>
      </c>
      <c r="E1313" s="4">
        <v>-6266927.9400000004</v>
      </c>
      <c r="F1313" t="s">
        <v>63</v>
      </c>
      <c r="G1313">
        <v>0</v>
      </c>
      <c r="H1313" s="32" t="str">
        <f ca="1">+IF(B1313&gt;'sap nuevo'!$V$1,"cargar",IF(C1313="","cargar","pagado"))</f>
        <v>cargar</v>
      </c>
      <c r="I1313" s="32">
        <f t="shared" si="168"/>
        <v>2026</v>
      </c>
      <c r="J1313" s="32">
        <f t="shared" si="169"/>
        <v>6</v>
      </c>
    </row>
    <row r="1314" spans="1:10" x14ac:dyDescent="0.25">
      <c r="A1314" t="s">
        <v>544</v>
      </c>
      <c r="B1314" t="s">
        <v>554</v>
      </c>
      <c r="C1314">
        <v>97124464</v>
      </c>
      <c r="D1314">
        <v>140</v>
      </c>
      <c r="E1314" s="4">
        <v>-3930543.4</v>
      </c>
      <c r="F1314" t="s">
        <v>62</v>
      </c>
      <c r="G1314">
        <v>0</v>
      </c>
      <c r="H1314" s="32" t="str">
        <f ca="1">+IF(B1314&gt;'sap nuevo'!$V$1,"cargar",IF(C1314="","cargar","pagado"))</f>
        <v>cargar</v>
      </c>
      <c r="I1314" s="32">
        <f t="shared" si="168"/>
        <v>2026</v>
      </c>
      <c r="J1314" s="32">
        <f t="shared" si="169"/>
        <v>6</v>
      </c>
    </row>
    <row r="1315" spans="1:10" x14ac:dyDescent="0.25">
      <c r="A1315" t="s">
        <v>544</v>
      </c>
      <c r="B1315" t="s">
        <v>555</v>
      </c>
      <c r="C1315">
        <v>97124469</v>
      </c>
      <c r="D1315">
        <v>140</v>
      </c>
      <c r="E1315" s="4">
        <v>-22805764.469999999</v>
      </c>
      <c r="F1315" t="s">
        <v>62</v>
      </c>
      <c r="G1315">
        <v>0</v>
      </c>
      <c r="H1315" s="32" t="str">
        <f ca="1">+IF(B1315&gt;'sap nuevo'!$V$1,"cargar",IF(C1315="","cargar","pagado"))</f>
        <v>cargar</v>
      </c>
      <c r="I1315" s="32">
        <f t="shared" si="168"/>
        <v>2026</v>
      </c>
      <c r="J1315" s="32">
        <f t="shared" si="169"/>
        <v>6</v>
      </c>
    </row>
    <row r="1316" spans="1:10" x14ac:dyDescent="0.25">
      <c r="A1316" t="s">
        <v>12</v>
      </c>
      <c r="B1316" t="s">
        <v>555</v>
      </c>
      <c r="C1316">
        <v>97124471</v>
      </c>
      <c r="D1316">
        <v>140</v>
      </c>
      <c r="E1316" s="4">
        <v>-12469246.310000001</v>
      </c>
      <c r="F1316" t="s">
        <v>63</v>
      </c>
      <c r="G1316">
        <v>0</v>
      </c>
      <c r="H1316" s="32" t="str">
        <f ca="1">+IF(B1316&gt;'sap nuevo'!$V$1,"cargar",IF(C1316="","cargar","pagado"))</f>
        <v>cargar</v>
      </c>
      <c r="I1316" s="32">
        <f t="shared" si="168"/>
        <v>2026</v>
      </c>
      <c r="J1316" s="32">
        <f t="shared" si="169"/>
        <v>6</v>
      </c>
    </row>
    <row r="1317" spans="1:10" x14ac:dyDescent="0.25">
      <c r="A1317" t="s">
        <v>12</v>
      </c>
      <c r="B1317" t="s">
        <v>556</v>
      </c>
      <c r="C1317">
        <v>97124481</v>
      </c>
      <c r="D1317">
        <v>140</v>
      </c>
      <c r="E1317" s="4">
        <v>-21621949.449999999</v>
      </c>
      <c r="F1317" t="s">
        <v>63</v>
      </c>
      <c r="G1317">
        <v>0</v>
      </c>
      <c r="H1317" s="32" t="str">
        <f ca="1">+IF(B1317&gt;'sap nuevo'!$V$1,"cargar",IF(C1317="","cargar","pagado"))</f>
        <v>cargar</v>
      </c>
      <c r="I1317" s="32">
        <f t="shared" si="168"/>
        <v>2026</v>
      </c>
      <c r="J1317" s="32">
        <f t="shared" si="169"/>
        <v>6</v>
      </c>
    </row>
    <row r="1318" spans="1:10" x14ac:dyDescent="0.25">
      <c r="A1318" t="s">
        <v>12</v>
      </c>
      <c r="B1318" t="s">
        <v>556</v>
      </c>
      <c r="C1318">
        <v>97124476</v>
      </c>
      <c r="D1318">
        <v>140</v>
      </c>
      <c r="E1318" s="4">
        <v>-11517045.15</v>
      </c>
      <c r="F1318" t="s">
        <v>63</v>
      </c>
      <c r="G1318">
        <v>0</v>
      </c>
      <c r="H1318" s="32" t="str">
        <f ca="1">+IF(B1318&gt;'sap nuevo'!$V$1,"cargar",IF(C1318="","cargar","pagado"))</f>
        <v>cargar</v>
      </c>
      <c r="I1318" s="32">
        <f t="shared" ref="I1318:I1321" si="170">+YEAR(B1318)</f>
        <v>2026</v>
      </c>
      <c r="J1318" s="32">
        <f t="shared" ref="J1318:J1321" si="171">+MONTH(B1318)</f>
        <v>6</v>
      </c>
    </row>
    <row r="1319" spans="1:10" x14ac:dyDescent="0.25">
      <c r="A1319" t="s">
        <v>12</v>
      </c>
      <c r="B1319" t="s">
        <v>556</v>
      </c>
      <c r="C1319">
        <v>97124477</v>
      </c>
      <c r="D1319">
        <v>140</v>
      </c>
      <c r="E1319" s="4">
        <v>-11485588.4</v>
      </c>
      <c r="F1319" t="s">
        <v>63</v>
      </c>
      <c r="G1319">
        <v>0</v>
      </c>
      <c r="H1319" s="32" t="str">
        <f ca="1">+IF(B1319&gt;'sap nuevo'!$V$1,"cargar",IF(C1319="","cargar","pagado"))</f>
        <v>cargar</v>
      </c>
      <c r="I1319" s="32">
        <f t="shared" si="170"/>
        <v>2026</v>
      </c>
      <c r="J1319" s="32">
        <f t="shared" si="171"/>
        <v>6</v>
      </c>
    </row>
    <row r="1320" spans="1:10" x14ac:dyDescent="0.25">
      <c r="A1320" t="s">
        <v>12</v>
      </c>
      <c r="B1320" t="s">
        <v>556</v>
      </c>
      <c r="C1320">
        <v>97124474</v>
      </c>
      <c r="D1320">
        <v>140</v>
      </c>
      <c r="E1320" s="4">
        <v>-10897105</v>
      </c>
      <c r="F1320" t="s">
        <v>63</v>
      </c>
      <c r="G1320">
        <v>0</v>
      </c>
      <c r="H1320" s="32" t="str">
        <f ca="1">+IF(B1320&gt;'sap nuevo'!$V$1,"cargar",IF(C1320="","cargar","pagado"))</f>
        <v>cargar</v>
      </c>
      <c r="I1320" s="32">
        <f t="shared" si="170"/>
        <v>2026</v>
      </c>
      <c r="J1320" s="32">
        <f t="shared" si="171"/>
        <v>6</v>
      </c>
    </row>
    <row r="1321" spans="1:10" x14ac:dyDescent="0.25">
      <c r="A1321" t="s">
        <v>544</v>
      </c>
      <c r="B1321" t="s">
        <v>556</v>
      </c>
      <c r="C1321">
        <v>97124480</v>
      </c>
      <c r="D1321">
        <v>140</v>
      </c>
      <c r="E1321" s="4">
        <v>-8802519.6999999993</v>
      </c>
      <c r="F1321" t="s">
        <v>62</v>
      </c>
      <c r="G1321">
        <v>0</v>
      </c>
      <c r="H1321" s="32" t="str">
        <f ca="1">+IF(B1321&gt;'sap nuevo'!$V$1,"cargar",IF(C1321="","cargar","pagado"))</f>
        <v>cargar</v>
      </c>
      <c r="I1321" s="32">
        <f t="shared" si="170"/>
        <v>2026</v>
      </c>
      <c r="J1321" s="32">
        <f t="shared" si="171"/>
        <v>6</v>
      </c>
    </row>
    <row r="1322" spans="1:10" x14ac:dyDescent="0.25">
      <c r="A1322" t="s">
        <v>544</v>
      </c>
      <c r="B1322" t="s">
        <v>556</v>
      </c>
      <c r="C1322">
        <v>97124475</v>
      </c>
      <c r="D1322">
        <v>140</v>
      </c>
      <c r="E1322" s="4">
        <v>-6774027.6399999997</v>
      </c>
      <c r="F1322" t="s">
        <v>62</v>
      </c>
      <c r="G1322">
        <v>0</v>
      </c>
      <c r="H1322" s="32" t="str">
        <f ca="1">+IF(B1322&gt;'sap nuevo'!$V$1,"cargar",IF(C1322="","cargar","pagado"))</f>
        <v>cargar</v>
      </c>
      <c r="I1322" s="32">
        <f t="shared" ref="I1322:I1333" si="172">+YEAR(B1322)</f>
        <v>2026</v>
      </c>
      <c r="J1322" s="32">
        <f t="shared" ref="J1322:J1333" si="173">+MONTH(B1322)</f>
        <v>6</v>
      </c>
    </row>
    <row r="1323" spans="1:10" x14ac:dyDescent="0.25">
      <c r="A1323" t="s">
        <v>544</v>
      </c>
      <c r="B1323" t="s">
        <v>557</v>
      </c>
      <c r="C1323">
        <v>97123863</v>
      </c>
      <c r="D1323">
        <v>140</v>
      </c>
      <c r="E1323" s="4">
        <v>-364044267.37</v>
      </c>
      <c r="F1323" t="s">
        <v>62</v>
      </c>
      <c r="G1323">
        <v>0</v>
      </c>
      <c r="H1323" s="32" t="str">
        <f ca="1">+IF(B1323&gt;'sap nuevo'!$V$1,"cargar",IF(C1323="","cargar","pagado"))</f>
        <v>cargar</v>
      </c>
      <c r="I1323" s="32">
        <f t="shared" si="172"/>
        <v>2026</v>
      </c>
      <c r="J1323" s="32">
        <f t="shared" si="173"/>
        <v>6</v>
      </c>
    </row>
    <row r="1324" spans="1:10" x14ac:dyDescent="0.25">
      <c r="A1324" t="s">
        <v>544</v>
      </c>
      <c r="B1324" t="s">
        <v>557</v>
      </c>
      <c r="C1324">
        <v>97124483</v>
      </c>
      <c r="D1324">
        <v>140</v>
      </c>
      <c r="E1324" s="4">
        <v>-41101116.460000001</v>
      </c>
      <c r="F1324" t="s">
        <v>62</v>
      </c>
      <c r="G1324">
        <v>0</v>
      </c>
      <c r="H1324" s="32" t="str">
        <f ca="1">+IF(B1324&gt;'sap nuevo'!$V$1,"cargar",IF(C1324="","cargar","pagado"))</f>
        <v>cargar</v>
      </c>
      <c r="I1324" s="32">
        <f t="shared" si="172"/>
        <v>2026</v>
      </c>
      <c r="J1324" s="32">
        <f t="shared" si="173"/>
        <v>6</v>
      </c>
    </row>
    <row r="1325" spans="1:10" x14ac:dyDescent="0.25">
      <c r="A1325" t="s">
        <v>544</v>
      </c>
      <c r="B1325" t="s">
        <v>557</v>
      </c>
      <c r="C1325">
        <v>97124478</v>
      </c>
      <c r="D1325">
        <v>140</v>
      </c>
      <c r="E1325" s="4">
        <v>-20517150.07</v>
      </c>
      <c r="F1325" t="s">
        <v>62</v>
      </c>
      <c r="G1325">
        <v>0</v>
      </c>
      <c r="H1325" s="32" t="str">
        <f ca="1">+IF(B1325&gt;'sap nuevo'!$V$1,"cargar",IF(C1325="","cargar","pagado"))</f>
        <v>cargar</v>
      </c>
      <c r="I1325" s="32">
        <f t="shared" si="172"/>
        <v>2026</v>
      </c>
      <c r="J1325" s="32">
        <f t="shared" si="173"/>
        <v>6</v>
      </c>
    </row>
    <row r="1326" spans="1:10" x14ac:dyDescent="0.25">
      <c r="A1326" t="s">
        <v>544</v>
      </c>
      <c r="B1326" t="s">
        <v>557</v>
      </c>
      <c r="C1326">
        <v>97124488</v>
      </c>
      <c r="D1326">
        <v>140</v>
      </c>
      <c r="E1326" s="4">
        <v>-14125784.199999999</v>
      </c>
      <c r="F1326" t="s">
        <v>62</v>
      </c>
      <c r="G1326">
        <v>0</v>
      </c>
      <c r="H1326" s="32" t="str">
        <f ca="1">+IF(B1326&gt;'sap nuevo'!$V$1,"cargar",IF(C1326="","cargar","pagado"))</f>
        <v>cargar</v>
      </c>
      <c r="I1326" s="32">
        <f t="shared" si="172"/>
        <v>2026</v>
      </c>
      <c r="J1326" s="32">
        <f t="shared" si="173"/>
        <v>6</v>
      </c>
    </row>
    <row r="1327" spans="1:10" x14ac:dyDescent="0.25">
      <c r="A1327" t="s">
        <v>12</v>
      </c>
      <c r="B1327" t="s">
        <v>557</v>
      </c>
      <c r="C1327">
        <v>97124485</v>
      </c>
      <c r="D1327">
        <v>140</v>
      </c>
      <c r="E1327" s="4">
        <v>-11355557.26</v>
      </c>
      <c r="F1327" t="s">
        <v>63</v>
      </c>
      <c r="G1327">
        <v>0</v>
      </c>
      <c r="H1327" s="32" t="str">
        <f ca="1">+IF(B1327&gt;'sap nuevo'!$V$1,"cargar",IF(C1327="","cargar","pagado"))</f>
        <v>cargar</v>
      </c>
      <c r="I1327" s="32">
        <f t="shared" si="172"/>
        <v>2026</v>
      </c>
      <c r="J1327" s="32">
        <f t="shared" si="173"/>
        <v>6</v>
      </c>
    </row>
    <row r="1328" spans="1:10" x14ac:dyDescent="0.25">
      <c r="A1328" t="s">
        <v>544</v>
      </c>
      <c r="B1328" t="s">
        <v>557</v>
      </c>
      <c r="C1328">
        <v>97124484</v>
      </c>
      <c r="D1328">
        <v>140</v>
      </c>
      <c r="E1328" s="4">
        <v>-10343247.779999999</v>
      </c>
      <c r="F1328" t="s">
        <v>62</v>
      </c>
      <c r="G1328">
        <v>0</v>
      </c>
      <c r="H1328" s="32" t="str">
        <f ca="1">+IF(B1328&gt;'sap nuevo'!$V$1,"cargar",IF(C1328="","cargar","pagado"))</f>
        <v>cargar</v>
      </c>
      <c r="I1328" s="32">
        <f t="shared" si="172"/>
        <v>2026</v>
      </c>
      <c r="J1328" s="32">
        <f t="shared" si="173"/>
        <v>6</v>
      </c>
    </row>
    <row r="1329" spans="1:10" x14ac:dyDescent="0.25">
      <c r="A1329" t="s">
        <v>544</v>
      </c>
      <c r="B1329" t="s">
        <v>557</v>
      </c>
      <c r="C1329">
        <v>97124489</v>
      </c>
      <c r="D1329">
        <v>140</v>
      </c>
      <c r="E1329" s="4">
        <v>-8687299.3599999994</v>
      </c>
      <c r="F1329" t="s">
        <v>62</v>
      </c>
      <c r="G1329">
        <v>0</v>
      </c>
      <c r="H1329" s="32" t="str">
        <f ca="1">+IF(B1329&gt;'sap nuevo'!$V$1,"cargar",IF(C1329="","cargar","pagado"))</f>
        <v>cargar</v>
      </c>
      <c r="I1329" s="32">
        <f t="shared" si="172"/>
        <v>2026</v>
      </c>
      <c r="J1329" s="32">
        <f t="shared" si="173"/>
        <v>6</v>
      </c>
    </row>
    <row r="1330" spans="1:10" x14ac:dyDescent="0.25">
      <c r="A1330" t="s">
        <v>12</v>
      </c>
      <c r="B1330" t="s">
        <v>557</v>
      </c>
      <c r="C1330">
        <v>97124487</v>
      </c>
      <c r="D1330">
        <v>140</v>
      </c>
      <c r="E1330" s="4">
        <v>-7284326.3700000001</v>
      </c>
      <c r="F1330" t="s">
        <v>63</v>
      </c>
      <c r="G1330">
        <v>0</v>
      </c>
      <c r="H1330" s="32" t="str">
        <f ca="1">+IF(B1330&gt;'sap nuevo'!$V$1,"cargar",IF(C1330="","cargar","pagado"))</f>
        <v>cargar</v>
      </c>
      <c r="I1330" s="32">
        <f t="shared" si="172"/>
        <v>2026</v>
      </c>
      <c r="J1330" s="32">
        <f t="shared" si="173"/>
        <v>6</v>
      </c>
    </row>
    <row r="1331" spans="1:10" x14ac:dyDescent="0.25">
      <c r="A1331" t="s">
        <v>544</v>
      </c>
      <c r="B1331" t="s">
        <v>557</v>
      </c>
      <c r="C1331">
        <v>97124482</v>
      </c>
      <c r="D1331">
        <v>140</v>
      </c>
      <c r="E1331" s="4">
        <v>-6035817.04</v>
      </c>
      <c r="F1331" t="s">
        <v>62</v>
      </c>
      <c r="G1331">
        <v>0</v>
      </c>
      <c r="H1331" s="32" t="str">
        <f ca="1">+IF(B1331&gt;'sap nuevo'!$V$1,"cargar",IF(C1331="","cargar","pagado"))</f>
        <v>cargar</v>
      </c>
      <c r="I1331" s="32">
        <f t="shared" si="172"/>
        <v>2026</v>
      </c>
      <c r="J1331" s="32">
        <f t="shared" si="173"/>
        <v>6</v>
      </c>
    </row>
    <row r="1332" spans="1:10" x14ac:dyDescent="0.25">
      <c r="A1332" t="s">
        <v>544</v>
      </c>
      <c r="B1332" t="s">
        <v>560</v>
      </c>
      <c r="C1332">
        <v>97124457</v>
      </c>
      <c r="D1332">
        <v>140</v>
      </c>
      <c r="E1332" s="4">
        <v>-18325012.579999998</v>
      </c>
      <c r="F1332" t="s">
        <v>62</v>
      </c>
      <c r="G1332">
        <v>0</v>
      </c>
      <c r="H1332" s="32" t="str">
        <f ca="1">+IF(B1332&gt;'sap nuevo'!$V$1,"cargar",IF(C1332="","cargar","pagado"))</f>
        <v>cargar</v>
      </c>
      <c r="I1332" s="32">
        <f t="shared" si="172"/>
        <v>2026</v>
      </c>
      <c r="J1332" s="32">
        <f t="shared" si="173"/>
        <v>6</v>
      </c>
    </row>
    <row r="1333" spans="1:10" x14ac:dyDescent="0.25">
      <c r="A1333" t="s">
        <v>544</v>
      </c>
      <c r="B1333" t="s">
        <v>561</v>
      </c>
      <c r="C1333">
        <v>97124479</v>
      </c>
      <c r="D1333">
        <v>140</v>
      </c>
      <c r="E1333" s="4">
        <v>-25452864.899999999</v>
      </c>
      <c r="F1333" t="s">
        <v>62</v>
      </c>
      <c r="G1333">
        <v>0</v>
      </c>
      <c r="H1333" s="32" t="str">
        <f ca="1">+IF(B1333&gt;'sap nuevo'!$V$1,"cargar",IF(C1333="","cargar","pagado"))</f>
        <v>cargar</v>
      </c>
      <c r="I1333" s="32">
        <f t="shared" si="172"/>
        <v>2026</v>
      </c>
      <c r="J1333" s="32">
        <f t="shared" si="173"/>
        <v>6</v>
      </c>
    </row>
    <row r="1334" spans="1:10" x14ac:dyDescent="0.25">
      <c r="A1334" t="s">
        <v>544</v>
      </c>
      <c r="B1334" t="s">
        <v>561</v>
      </c>
      <c r="C1334">
        <v>97124492</v>
      </c>
      <c r="D1334">
        <v>140</v>
      </c>
      <c r="E1334" s="4">
        <v>-9873160</v>
      </c>
      <c r="F1334" t="s">
        <v>62</v>
      </c>
      <c r="G1334">
        <v>0</v>
      </c>
      <c r="H1334" s="32" t="str">
        <f ca="1">+IF(B1334&gt;'sap nuevo'!$V$1,"cargar",IF(C1334="","cargar","pagado"))</f>
        <v>cargar</v>
      </c>
      <c r="I1334" s="32">
        <f t="shared" ref="I1334:I1335" si="174">+YEAR(B1334)</f>
        <v>2026</v>
      </c>
      <c r="J1334" s="32">
        <f t="shared" ref="J1334:J1335" si="175">+MONTH(B1334)</f>
        <v>6</v>
      </c>
    </row>
    <row r="1335" spans="1:10" x14ac:dyDescent="0.25">
      <c r="A1335" t="s">
        <v>544</v>
      </c>
      <c r="B1335" t="s">
        <v>561</v>
      </c>
      <c r="C1335">
        <v>97124493</v>
      </c>
      <c r="D1335">
        <v>140</v>
      </c>
      <c r="E1335" s="4">
        <v>-9808121.3300000001</v>
      </c>
      <c r="F1335" t="s">
        <v>62</v>
      </c>
      <c r="G1335">
        <v>0</v>
      </c>
      <c r="H1335" s="32" t="str">
        <f ca="1">+IF(B1335&gt;'sap nuevo'!$V$1,"cargar",IF(C1335="","cargar","pagado"))</f>
        <v>cargar</v>
      </c>
      <c r="I1335" s="32">
        <f t="shared" si="174"/>
        <v>2026</v>
      </c>
      <c r="J1335" s="32">
        <f t="shared" si="175"/>
        <v>6</v>
      </c>
    </row>
    <row r="1336" spans="1:10" x14ac:dyDescent="0.25">
      <c r="A1336" t="s">
        <v>544</v>
      </c>
      <c r="B1336" t="s">
        <v>561</v>
      </c>
      <c r="C1336">
        <v>97124494</v>
      </c>
      <c r="D1336">
        <v>140</v>
      </c>
      <c r="E1336" s="4">
        <v>-2097127.05</v>
      </c>
      <c r="F1336" t="s">
        <v>62</v>
      </c>
      <c r="G1336">
        <v>0</v>
      </c>
      <c r="H1336" s="32" t="str">
        <f ca="1">+IF(B1336&gt;'sap nuevo'!$V$1,"cargar",IF(C1336="","cargar","pagado"))</f>
        <v>cargar</v>
      </c>
      <c r="I1336" s="32">
        <f t="shared" ref="I1336:I1348" si="176">+YEAR(B1336)</f>
        <v>2026</v>
      </c>
      <c r="J1336" s="32">
        <f t="shared" ref="J1336:J1348" si="177">+MONTH(B1336)</f>
        <v>6</v>
      </c>
    </row>
    <row r="1337" spans="1:10" x14ac:dyDescent="0.25">
      <c r="A1337" t="s">
        <v>544</v>
      </c>
      <c r="B1337" t="s">
        <v>564</v>
      </c>
      <c r="C1337">
        <v>97124486</v>
      </c>
      <c r="D1337">
        <v>140</v>
      </c>
      <c r="E1337" s="4">
        <v>-37723375.840000004</v>
      </c>
      <c r="F1337" t="s">
        <v>62</v>
      </c>
      <c r="G1337">
        <v>0</v>
      </c>
      <c r="H1337" s="32" t="str">
        <f ca="1">+IF(B1337&gt;'sap nuevo'!$V$1,"cargar",IF(C1337="","cargar","pagado"))</f>
        <v>cargar</v>
      </c>
      <c r="I1337" s="32">
        <f t="shared" si="176"/>
        <v>2026</v>
      </c>
      <c r="J1337" s="32">
        <f t="shared" si="177"/>
        <v>6</v>
      </c>
    </row>
    <row r="1338" spans="1:10" x14ac:dyDescent="0.25">
      <c r="A1338" t="s">
        <v>12</v>
      </c>
      <c r="B1338" t="s">
        <v>564</v>
      </c>
      <c r="C1338">
        <v>97124490</v>
      </c>
      <c r="D1338">
        <v>140</v>
      </c>
      <c r="E1338" s="4">
        <v>-14822176.32</v>
      </c>
      <c r="F1338" t="s">
        <v>63</v>
      </c>
      <c r="G1338">
        <v>0</v>
      </c>
      <c r="H1338" s="32" t="str">
        <f ca="1">+IF(B1338&gt;'sap nuevo'!$V$1,"cargar",IF(C1338="","cargar","pagado"))</f>
        <v>cargar</v>
      </c>
      <c r="I1338" s="32">
        <f t="shared" si="176"/>
        <v>2026</v>
      </c>
      <c r="J1338" s="32">
        <f t="shared" si="177"/>
        <v>6</v>
      </c>
    </row>
    <row r="1339" spans="1:10" x14ac:dyDescent="0.25">
      <c r="A1339" t="s">
        <v>544</v>
      </c>
      <c r="B1339" t="s">
        <v>565</v>
      </c>
      <c r="C1339">
        <v>97124497</v>
      </c>
      <c r="D1339">
        <v>140</v>
      </c>
      <c r="E1339" s="4">
        <v>-22174245.18</v>
      </c>
      <c r="F1339" t="s">
        <v>62</v>
      </c>
      <c r="G1339">
        <v>0</v>
      </c>
      <c r="H1339" s="32" t="str">
        <f ca="1">+IF(B1339&gt;'sap nuevo'!$V$1,"cargar",IF(C1339="","cargar","pagado"))</f>
        <v>cargar</v>
      </c>
      <c r="I1339" s="32">
        <f t="shared" si="176"/>
        <v>2026</v>
      </c>
      <c r="J1339" s="32">
        <f t="shared" si="177"/>
        <v>6</v>
      </c>
    </row>
    <row r="1340" spans="1:10" x14ac:dyDescent="0.25">
      <c r="A1340" t="s">
        <v>544</v>
      </c>
      <c r="B1340" t="s">
        <v>565</v>
      </c>
      <c r="C1340">
        <v>97124495</v>
      </c>
      <c r="D1340">
        <v>140</v>
      </c>
      <c r="E1340" s="4">
        <v>-3385381.52</v>
      </c>
      <c r="F1340" t="s">
        <v>62</v>
      </c>
      <c r="G1340">
        <v>0</v>
      </c>
      <c r="H1340" s="32" t="str">
        <f ca="1">+IF(B1340&gt;'sap nuevo'!$V$1,"cargar",IF(C1340="","cargar","pagado"))</f>
        <v>cargar</v>
      </c>
      <c r="I1340" s="32">
        <f t="shared" si="176"/>
        <v>2026</v>
      </c>
      <c r="J1340" s="32">
        <f t="shared" si="177"/>
        <v>6</v>
      </c>
    </row>
    <row r="1341" spans="1:10" x14ac:dyDescent="0.25">
      <c r="A1341" t="s">
        <v>12</v>
      </c>
      <c r="B1341" t="s">
        <v>566</v>
      </c>
      <c r="C1341">
        <v>97123779</v>
      </c>
      <c r="D1341">
        <v>140</v>
      </c>
      <c r="E1341" s="4">
        <v>-137166528.97999999</v>
      </c>
      <c r="F1341" t="s">
        <v>63</v>
      </c>
      <c r="G1341">
        <v>0</v>
      </c>
      <c r="H1341" s="32" t="str">
        <f ca="1">+IF(B1341&gt;'sap nuevo'!$V$1,"cargar",IF(C1341="","cargar","pagado"))</f>
        <v>cargar</v>
      </c>
      <c r="I1341" s="32">
        <f t="shared" si="176"/>
        <v>2026</v>
      </c>
      <c r="J1341" s="32">
        <f t="shared" si="177"/>
        <v>7</v>
      </c>
    </row>
    <row r="1342" spans="1:10" x14ac:dyDescent="0.25">
      <c r="A1342" t="s">
        <v>12</v>
      </c>
      <c r="B1342" t="s">
        <v>566</v>
      </c>
      <c r="C1342">
        <v>97124491</v>
      </c>
      <c r="D1342">
        <v>140</v>
      </c>
      <c r="E1342" s="4">
        <v>-5539094.4299999997</v>
      </c>
      <c r="F1342" t="s">
        <v>63</v>
      </c>
      <c r="G1342">
        <v>0</v>
      </c>
      <c r="H1342" s="32" t="str">
        <f ca="1">+IF(B1342&gt;'sap nuevo'!$V$1,"cargar",IF(C1342="","cargar","pagado"))</f>
        <v>cargar</v>
      </c>
      <c r="I1342" s="32">
        <f t="shared" si="176"/>
        <v>2026</v>
      </c>
      <c r="J1342" s="32">
        <f t="shared" si="177"/>
        <v>7</v>
      </c>
    </row>
    <row r="1343" spans="1:10" x14ac:dyDescent="0.25">
      <c r="A1343" t="s">
        <v>544</v>
      </c>
      <c r="B1343" t="s">
        <v>566</v>
      </c>
      <c r="C1343">
        <v>97124498</v>
      </c>
      <c r="D1343">
        <v>140</v>
      </c>
      <c r="E1343" s="4">
        <v>-1805517.4</v>
      </c>
      <c r="F1343" t="s">
        <v>62</v>
      </c>
      <c r="G1343">
        <v>0</v>
      </c>
      <c r="H1343" s="32" t="str">
        <f ca="1">+IF(B1343&gt;'sap nuevo'!$V$1,"cargar",IF(C1343="","cargar","pagado"))</f>
        <v>cargar</v>
      </c>
      <c r="I1343" s="32">
        <f t="shared" si="176"/>
        <v>2026</v>
      </c>
      <c r="J1343" s="32">
        <f t="shared" si="177"/>
        <v>7</v>
      </c>
    </row>
    <row r="1344" spans="1:10" x14ac:dyDescent="0.25">
      <c r="A1344" t="s">
        <v>12</v>
      </c>
      <c r="B1344" t="s">
        <v>567</v>
      </c>
      <c r="C1344">
        <v>97124504</v>
      </c>
      <c r="D1344">
        <v>140</v>
      </c>
      <c r="E1344" s="4">
        <v>-20747224.84</v>
      </c>
      <c r="F1344" t="s">
        <v>63</v>
      </c>
      <c r="G1344">
        <v>0</v>
      </c>
      <c r="H1344" s="32" t="str">
        <f ca="1">+IF(B1344&gt;'sap nuevo'!$V$1,"cargar",IF(C1344="","cargar","pagado"))</f>
        <v>cargar</v>
      </c>
      <c r="I1344" s="32">
        <f t="shared" si="176"/>
        <v>2026</v>
      </c>
      <c r="J1344" s="32">
        <f t="shared" si="177"/>
        <v>7</v>
      </c>
    </row>
    <row r="1345" spans="1:10" x14ac:dyDescent="0.25">
      <c r="A1345" t="s">
        <v>544</v>
      </c>
      <c r="B1345" t="s">
        <v>567</v>
      </c>
      <c r="C1345">
        <v>97124499</v>
      </c>
      <c r="D1345">
        <v>140</v>
      </c>
      <c r="E1345" s="4">
        <v>-15829312.57</v>
      </c>
      <c r="F1345" t="s">
        <v>62</v>
      </c>
      <c r="G1345">
        <v>0</v>
      </c>
      <c r="H1345" s="32" t="str">
        <f ca="1">+IF(B1345&gt;'sap nuevo'!$V$1,"cargar",IF(C1345="","cargar","pagado"))</f>
        <v>cargar</v>
      </c>
      <c r="I1345" s="32">
        <f t="shared" si="176"/>
        <v>2026</v>
      </c>
      <c r="J1345" s="32">
        <f t="shared" si="177"/>
        <v>7</v>
      </c>
    </row>
    <row r="1346" spans="1:10" x14ac:dyDescent="0.25">
      <c r="A1346" t="s">
        <v>544</v>
      </c>
      <c r="B1346" t="s">
        <v>567</v>
      </c>
      <c r="C1346">
        <v>97124505</v>
      </c>
      <c r="D1346">
        <v>140</v>
      </c>
      <c r="E1346" s="4">
        <v>-11348690.77</v>
      </c>
      <c r="F1346" t="s">
        <v>62</v>
      </c>
      <c r="G1346">
        <v>0</v>
      </c>
      <c r="H1346" s="32" t="str">
        <f ca="1">+IF(B1346&gt;'sap nuevo'!$V$1,"cargar",IF(C1346="","cargar","pagado"))</f>
        <v>cargar</v>
      </c>
      <c r="I1346" s="32">
        <f t="shared" si="176"/>
        <v>2026</v>
      </c>
      <c r="J1346" s="32">
        <f t="shared" si="177"/>
        <v>7</v>
      </c>
    </row>
    <row r="1347" spans="1:10" x14ac:dyDescent="0.25">
      <c r="A1347" t="s">
        <v>544</v>
      </c>
      <c r="B1347" t="s">
        <v>567</v>
      </c>
      <c r="C1347">
        <v>97124501</v>
      </c>
      <c r="D1347">
        <v>140</v>
      </c>
      <c r="E1347" s="4">
        <v>-10861100.939999999</v>
      </c>
      <c r="F1347" t="s">
        <v>62</v>
      </c>
      <c r="G1347">
        <v>0</v>
      </c>
      <c r="H1347" s="32" t="str">
        <f ca="1">+IF(B1347&gt;'sap nuevo'!$V$1,"cargar",IF(C1347="","cargar","pagado"))</f>
        <v>cargar</v>
      </c>
      <c r="I1347" s="32">
        <f t="shared" si="176"/>
        <v>2026</v>
      </c>
      <c r="J1347" s="32">
        <f t="shared" si="177"/>
        <v>7</v>
      </c>
    </row>
    <row r="1348" spans="1:10" x14ac:dyDescent="0.25">
      <c r="A1348" t="s">
        <v>12</v>
      </c>
      <c r="B1348" t="s">
        <v>567</v>
      </c>
      <c r="C1348">
        <v>97124506</v>
      </c>
      <c r="D1348">
        <v>140</v>
      </c>
      <c r="E1348" s="4">
        <v>-8193693.7199999997</v>
      </c>
      <c r="F1348" t="s">
        <v>63</v>
      </c>
      <c r="G1348">
        <v>0</v>
      </c>
      <c r="H1348" s="32" t="str">
        <f ca="1">+IF(B1348&gt;'sap nuevo'!$V$1,"cargar",IF(C1348="","cargar","pagado"))</f>
        <v>cargar</v>
      </c>
      <c r="I1348" s="32">
        <f t="shared" si="176"/>
        <v>2026</v>
      </c>
      <c r="J1348" s="32">
        <f t="shared" si="177"/>
        <v>7</v>
      </c>
    </row>
    <row r="1349" spans="1:10" x14ac:dyDescent="0.25">
      <c r="A1349" t="s">
        <v>12</v>
      </c>
      <c r="B1349" t="s">
        <v>567</v>
      </c>
      <c r="C1349">
        <v>97124500</v>
      </c>
      <c r="D1349">
        <v>140</v>
      </c>
      <c r="E1349" s="4">
        <v>-7812295</v>
      </c>
      <c r="F1349" t="s">
        <v>63</v>
      </c>
      <c r="G1349">
        <v>0</v>
      </c>
      <c r="H1349" s="32" t="str">
        <f ca="1">+IF(B1349&gt;'sap nuevo'!$V$1,"cargar",IF(C1349="","cargar","pagado"))</f>
        <v>cargar</v>
      </c>
      <c r="I1349" s="32">
        <f t="shared" ref="I1349:I1355" si="178">+YEAR(B1349)</f>
        <v>2026</v>
      </c>
      <c r="J1349" s="32">
        <f t="shared" ref="J1349:J1355" si="179">+MONTH(B1349)</f>
        <v>7</v>
      </c>
    </row>
    <row r="1350" spans="1:10" x14ac:dyDescent="0.25">
      <c r="A1350" t="s">
        <v>12</v>
      </c>
      <c r="B1350" t="s">
        <v>567</v>
      </c>
      <c r="C1350">
        <v>97124503</v>
      </c>
      <c r="D1350">
        <v>140</v>
      </c>
      <c r="E1350" s="4">
        <v>-7771500</v>
      </c>
      <c r="F1350" t="s">
        <v>63</v>
      </c>
      <c r="G1350">
        <v>0</v>
      </c>
      <c r="H1350" s="32" t="str">
        <f ca="1">+IF(B1350&gt;'sap nuevo'!$V$1,"cargar",IF(C1350="","cargar","pagado"))</f>
        <v>cargar</v>
      </c>
      <c r="I1350" s="32">
        <f t="shared" si="178"/>
        <v>2026</v>
      </c>
      <c r="J1350" s="32">
        <f t="shared" si="179"/>
        <v>7</v>
      </c>
    </row>
    <row r="1351" spans="1:10" x14ac:dyDescent="0.25">
      <c r="A1351" t="s">
        <v>544</v>
      </c>
      <c r="B1351" t="s">
        <v>567</v>
      </c>
      <c r="C1351">
        <v>97124507</v>
      </c>
      <c r="D1351">
        <v>140</v>
      </c>
      <c r="E1351" s="4">
        <v>-6782084.4500000002</v>
      </c>
      <c r="F1351" t="s">
        <v>62</v>
      </c>
      <c r="G1351">
        <v>0</v>
      </c>
      <c r="H1351" s="32" t="str">
        <f ca="1">+IF(B1351&gt;'sap nuevo'!$V$1,"cargar",IF(C1351="","cargar","pagado"))</f>
        <v>cargar</v>
      </c>
      <c r="I1351" s="32">
        <f t="shared" si="178"/>
        <v>2026</v>
      </c>
      <c r="J1351" s="32">
        <f t="shared" si="179"/>
        <v>7</v>
      </c>
    </row>
    <row r="1352" spans="1:10" x14ac:dyDescent="0.25">
      <c r="A1352" t="s">
        <v>544</v>
      </c>
      <c r="B1352" t="s">
        <v>567</v>
      </c>
      <c r="C1352">
        <v>97124496</v>
      </c>
      <c r="D1352">
        <v>140</v>
      </c>
      <c r="E1352" s="4">
        <v>-3077021.59</v>
      </c>
      <c r="F1352" t="s">
        <v>62</v>
      </c>
      <c r="G1352">
        <v>0</v>
      </c>
      <c r="H1352" s="32" t="str">
        <f ca="1">+IF(B1352&gt;'sap nuevo'!$V$1,"cargar",IF(C1352="","cargar","pagado"))</f>
        <v>cargar</v>
      </c>
      <c r="I1352" s="32">
        <f t="shared" si="178"/>
        <v>2026</v>
      </c>
      <c r="J1352" s="32">
        <f t="shared" si="179"/>
        <v>7</v>
      </c>
    </row>
    <row r="1353" spans="1:10" x14ac:dyDescent="0.25">
      <c r="A1353" t="s">
        <v>544</v>
      </c>
      <c r="B1353" t="s">
        <v>568</v>
      </c>
      <c r="C1353">
        <v>97124502</v>
      </c>
      <c r="D1353">
        <v>140</v>
      </c>
      <c r="E1353" s="4">
        <v>-7269071.96</v>
      </c>
      <c r="F1353" t="s">
        <v>62</v>
      </c>
      <c r="G1353">
        <v>0</v>
      </c>
      <c r="H1353" s="32" t="str">
        <f ca="1">+IF(B1353&gt;'sap nuevo'!$V$1,"cargar",IF(C1353="","cargar","pagado"))</f>
        <v>cargar</v>
      </c>
      <c r="I1353" s="32">
        <f t="shared" si="178"/>
        <v>2026</v>
      </c>
      <c r="J1353" s="32">
        <f t="shared" si="179"/>
        <v>7</v>
      </c>
    </row>
    <row r="1354" spans="1:10" x14ac:dyDescent="0.25">
      <c r="A1354" t="s">
        <v>544</v>
      </c>
      <c r="B1354" t="s">
        <v>568</v>
      </c>
      <c r="C1354">
        <v>97124472</v>
      </c>
      <c r="D1354">
        <v>140</v>
      </c>
      <c r="E1354" s="4">
        <v>-5559589.7300000004</v>
      </c>
      <c r="F1354" t="s">
        <v>62</v>
      </c>
      <c r="G1354">
        <v>0</v>
      </c>
      <c r="H1354" s="32" t="str">
        <f ca="1">+IF(B1354&gt;'sap nuevo'!$V$1,"cargar",IF(C1354="","cargar","pagado"))</f>
        <v>cargar</v>
      </c>
      <c r="I1354" s="32">
        <f t="shared" si="178"/>
        <v>2026</v>
      </c>
      <c r="J1354" s="32">
        <f t="shared" si="179"/>
        <v>7</v>
      </c>
    </row>
    <row r="1355" spans="1:10" x14ac:dyDescent="0.25">
      <c r="A1355" t="s">
        <v>544</v>
      </c>
      <c r="B1355" t="s">
        <v>569</v>
      </c>
      <c r="C1355">
        <v>97124515</v>
      </c>
      <c r="D1355">
        <v>140</v>
      </c>
      <c r="E1355" s="4">
        <v>-19203466.359999999</v>
      </c>
      <c r="F1355" t="s">
        <v>62</v>
      </c>
      <c r="G1355">
        <v>0</v>
      </c>
      <c r="H1355" s="32" t="str">
        <f ca="1">+IF(B1355&gt;'sap nuevo'!$V$1,"cargar",IF(C1355="","cargar","pagado"))</f>
        <v>cargar</v>
      </c>
      <c r="I1355" s="32">
        <f t="shared" si="178"/>
        <v>2026</v>
      </c>
      <c r="J1355" s="32">
        <f t="shared" si="179"/>
        <v>7</v>
      </c>
    </row>
    <row r="1356" spans="1:10" x14ac:dyDescent="0.25">
      <c r="A1356" t="s">
        <v>12</v>
      </c>
      <c r="B1356" t="s">
        <v>569</v>
      </c>
      <c r="C1356">
        <v>97124514</v>
      </c>
      <c r="D1356">
        <v>140</v>
      </c>
      <c r="E1356" s="4">
        <v>-16382120.58</v>
      </c>
      <c r="F1356" t="s">
        <v>63</v>
      </c>
      <c r="G1356">
        <v>0</v>
      </c>
      <c r="H1356" s="32" t="str">
        <f ca="1">+IF(B1356&gt;'sap nuevo'!$V$1,"cargar",IF(C1356="","cargar","pagado"))</f>
        <v>cargar</v>
      </c>
      <c r="I1356" s="32">
        <f t="shared" ref="I1356:I1358" si="180">+YEAR(B1356)</f>
        <v>2026</v>
      </c>
      <c r="J1356" s="32">
        <f t="shared" ref="J1356:J1358" si="181">+MONTH(B1356)</f>
        <v>7</v>
      </c>
    </row>
    <row r="1357" spans="1:10" x14ac:dyDescent="0.25">
      <c r="A1357" t="s">
        <v>12</v>
      </c>
      <c r="B1357" t="s">
        <v>569</v>
      </c>
      <c r="C1357">
        <v>97124511</v>
      </c>
      <c r="D1357">
        <v>140</v>
      </c>
      <c r="E1357" s="4">
        <v>-13435725.32</v>
      </c>
      <c r="F1357" t="s">
        <v>63</v>
      </c>
      <c r="G1357">
        <v>0</v>
      </c>
      <c r="H1357" s="32" t="str">
        <f ca="1">+IF(B1357&gt;'sap nuevo'!$V$1,"cargar",IF(C1357="","cargar","pagado"))</f>
        <v>cargar</v>
      </c>
      <c r="I1357" s="32">
        <f t="shared" si="180"/>
        <v>2026</v>
      </c>
      <c r="J1357" s="32">
        <f t="shared" si="181"/>
        <v>7</v>
      </c>
    </row>
    <row r="1358" spans="1:10" x14ac:dyDescent="0.25">
      <c r="A1358" t="s">
        <v>544</v>
      </c>
      <c r="B1358" t="s">
        <v>569</v>
      </c>
      <c r="C1358">
        <v>97124513</v>
      </c>
      <c r="D1358">
        <v>140</v>
      </c>
      <c r="E1358" s="4">
        <v>-11987886.460000001</v>
      </c>
      <c r="F1358" t="s">
        <v>62</v>
      </c>
      <c r="G1358">
        <v>0</v>
      </c>
      <c r="H1358" s="32" t="str">
        <f ca="1">+IF(B1358&gt;'sap nuevo'!$V$1,"cargar",IF(C1358="","cargar","pagado"))</f>
        <v>cargar</v>
      </c>
      <c r="I1358" s="32">
        <f t="shared" si="180"/>
        <v>2026</v>
      </c>
      <c r="J1358" s="32">
        <f t="shared" si="181"/>
        <v>7</v>
      </c>
    </row>
    <row r="1359" spans="1:10" x14ac:dyDescent="0.25">
      <c r="A1359" t="s">
        <v>544</v>
      </c>
      <c r="B1359" t="s">
        <v>569</v>
      </c>
      <c r="C1359">
        <v>97124460</v>
      </c>
      <c r="D1359">
        <v>140</v>
      </c>
      <c r="E1359" s="4">
        <v>-8666567.9199999999</v>
      </c>
      <c r="F1359" t="s">
        <v>62</v>
      </c>
      <c r="G1359">
        <v>0</v>
      </c>
      <c r="H1359" s="32" t="str">
        <f ca="1">+IF(B1359&gt;'sap nuevo'!$V$1,"cargar",IF(C1359="","cargar","pagado"))</f>
        <v>cargar</v>
      </c>
      <c r="I1359" s="32">
        <f t="shared" ref="I1359:I1374" si="182">+YEAR(B1359)</f>
        <v>2026</v>
      </c>
      <c r="J1359" s="32">
        <f t="shared" ref="J1359:J1374" si="183">+MONTH(B1359)</f>
        <v>7</v>
      </c>
    </row>
    <row r="1360" spans="1:10" x14ac:dyDescent="0.25">
      <c r="A1360" t="s">
        <v>544</v>
      </c>
      <c r="B1360" t="s">
        <v>569</v>
      </c>
      <c r="C1360">
        <v>97124510</v>
      </c>
      <c r="D1360">
        <v>140</v>
      </c>
      <c r="E1360" s="4">
        <v>-7897880.0199999996</v>
      </c>
      <c r="F1360" t="s">
        <v>62</v>
      </c>
      <c r="G1360">
        <v>0</v>
      </c>
      <c r="H1360" s="32" t="str">
        <f ca="1">+IF(B1360&gt;'sap nuevo'!$V$1,"cargar",IF(C1360="","cargar","pagado"))</f>
        <v>cargar</v>
      </c>
      <c r="I1360" s="32">
        <f t="shared" si="182"/>
        <v>2026</v>
      </c>
      <c r="J1360" s="32">
        <f t="shared" si="183"/>
        <v>7</v>
      </c>
    </row>
    <row r="1361" spans="1:10" x14ac:dyDescent="0.25">
      <c r="A1361" t="s">
        <v>544</v>
      </c>
      <c r="B1361" t="s">
        <v>570</v>
      </c>
      <c r="C1361">
        <v>97124508</v>
      </c>
      <c r="D1361">
        <v>140</v>
      </c>
      <c r="E1361" s="4">
        <v>-9006315.8900000006</v>
      </c>
      <c r="F1361" t="s">
        <v>62</v>
      </c>
      <c r="G1361">
        <v>0</v>
      </c>
      <c r="H1361" s="32" t="str">
        <f ca="1">+IF(B1361&gt;'sap nuevo'!$V$1,"cargar",IF(C1361="","cargar","pagado"))</f>
        <v>cargar</v>
      </c>
      <c r="I1361" s="32">
        <f t="shared" si="182"/>
        <v>2026</v>
      </c>
      <c r="J1361" s="32">
        <f t="shared" si="183"/>
        <v>7</v>
      </c>
    </row>
    <row r="1362" spans="1:10" x14ac:dyDescent="0.25">
      <c r="A1362" t="s">
        <v>544</v>
      </c>
      <c r="B1362" t="s">
        <v>572</v>
      </c>
      <c r="C1362">
        <v>97124516</v>
      </c>
      <c r="D1362">
        <v>140</v>
      </c>
      <c r="E1362" s="4">
        <v>-30141525.699999999</v>
      </c>
      <c r="F1362" t="s">
        <v>62</v>
      </c>
      <c r="G1362">
        <v>0</v>
      </c>
      <c r="H1362" s="32" t="str">
        <f ca="1">+IF(B1362&gt;'sap nuevo'!$V$1,"cargar",IF(C1362="","cargar","pagado"))</f>
        <v>cargar</v>
      </c>
      <c r="I1362" s="32">
        <f t="shared" si="182"/>
        <v>2026</v>
      </c>
      <c r="J1362" s="32">
        <f t="shared" si="183"/>
        <v>7</v>
      </c>
    </row>
    <row r="1363" spans="1:10" x14ac:dyDescent="0.25">
      <c r="A1363" t="s">
        <v>12</v>
      </c>
      <c r="B1363" t="s">
        <v>572</v>
      </c>
      <c r="C1363">
        <v>97124522</v>
      </c>
      <c r="D1363">
        <v>140</v>
      </c>
      <c r="E1363" s="4">
        <v>-23154483.899999999</v>
      </c>
      <c r="F1363" t="s">
        <v>63</v>
      </c>
      <c r="G1363">
        <v>0</v>
      </c>
      <c r="H1363" s="32" t="str">
        <f ca="1">+IF(B1363&gt;'sap nuevo'!$V$1,"cargar",IF(C1363="","cargar","pagado"))</f>
        <v>cargar</v>
      </c>
      <c r="I1363" s="32">
        <f t="shared" si="182"/>
        <v>2026</v>
      </c>
      <c r="J1363" s="32">
        <f t="shared" si="183"/>
        <v>7</v>
      </c>
    </row>
    <row r="1364" spans="1:10" x14ac:dyDescent="0.25">
      <c r="A1364" t="s">
        <v>12</v>
      </c>
      <c r="B1364" t="s">
        <v>572</v>
      </c>
      <c r="C1364">
        <v>97124519</v>
      </c>
      <c r="D1364">
        <v>140</v>
      </c>
      <c r="E1364" s="4">
        <v>-13423667.92</v>
      </c>
      <c r="F1364" t="s">
        <v>63</v>
      </c>
      <c r="G1364">
        <v>0</v>
      </c>
      <c r="H1364" s="32" t="str">
        <f ca="1">+IF(B1364&gt;'sap nuevo'!$V$1,"cargar",IF(C1364="","cargar","pagado"))</f>
        <v>cargar</v>
      </c>
      <c r="I1364" s="32">
        <f t="shared" si="182"/>
        <v>2026</v>
      </c>
      <c r="J1364" s="32">
        <f t="shared" si="183"/>
        <v>7</v>
      </c>
    </row>
    <row r="1365" spans="1:10" x14ac:dyDescent="0.25">
      <c r="A1365" t="s">
        <v>544</v>
      </c>
      <c r="B1365" t="s">
        <v>572</v>
      </c>
      <c r="C1365">
        <v>97124521</v>
      </c>
      <c r="D1365">
        <v>140</v>
      </c>
      <c r="E1365" s="4">
        <v>-10319600.529999999</v>
      </c>
      <c r="F1365" t="s">
        <v>62</v>
      </c>
      <c r="G1365">
        <v>0</v>
      </c>
      <c r="H1365" s="32" t="str">
        <f ca="1">+IF(B1365&gt;'sap nuevo'!$V$1,"cargar",IF(C1365="","cargar","pagado"))</f>
        <v>cargar</v>
      </c>
      <c r="I1365" s="32">
        <f t="shared" si="182"/>
        <v>2026</v>
      </c>
      <c r="J1365" s="32">
        <f t="shared" si="183"/>
        <v>7</v>
      </c>
    </row>
    <row r="1366" spans="1:10" x14ac:dyDescent="0.25">
      <c r="A1366" t="s">
        <v>544</v>
      </c>
      <c r="B1366" t="s">
        <v>572</v>
      </c>
      <c r="C1366">
        <v>97124518</v>
      </c>
      <c r="D1366">
        <v>140</v>
      </c>
      <c r="E1366" s="4">
        <v>-5805977.9299999997</v>
      </c>
      <c r="F1366" t="s">
        <v>62</v>
      </c>
      <c r="G1366">
        <v>0</v>
      </c>
      <c r="H1366" s="32" t="str">
        <f ca="1">+IF(B1366&gt;'sap nuevo'!$V$1,"cargar",IF(C1366="","cargar","pagado"))</f>
        <v>cargar</v>
      </c>
      <c r="I1366" s="32">
        <f t="shared" si="182"/>
        <v>2026</v>
      </c>
      <c r="J1366" s="32">
        <f t="shared" si="183"/>
        <v>7</v>
      </c>
    </row>
    <row r="1367" spans="1:10" x14ac:dyDescent="0.25">
      <c r="A1367" t="s">
        <v>544</v>
      </c>
      <c r="B1367" t="s">
        <v>573</v>
      </c>
      <c r="C1367">
        <v>97124517</v>
      </c>
      <c r="D1367">
        <v>140</v>
      </c>
      <c r="E1367" s="4">
        <v>-15720081.48</v>
      </c>
      <c r="F1367" t="s">
        <v>62</v>
      </c>
      <c r="G1367">
        <v>0</v>
      </c>
      <c r="H1367" s="32" t="str">
        <f ca="1">+IF(B1367&gt;'sap nuevo'!$V$1,"cargar",IF(C1367="","cargar","pagado"))</f>
        <v>cargar</v>
      </c>
      <c r="I1367" s="32">
        <f t="shared" si="182"/>
        <v>2026</v>
      </c>
      <c r="J1367" s="32">
        <f t="shared" si="183"/>
        <v>7</v>
      </c>
    </row>
    <row r="1368" spans="1:10" x14ac:dyDescent="0.25">
      <c r="A1368" t="s">
        <v>544</v>
      </c>
      <c r="B1368" t="s">
        <v>573</v>
      </c>
      <c r="C1368">
        <v>97124512</v>
      </c>
      <c r="D1368">
        <v>140</v>
      </c>
      <c r="E1368" s="4">
        <v>-14261542.75</v>
      </c>
      <c r="F1368" t="s">
        <v>62</v>
      </c>
      <c r="G1368">
        <v>0</v>
      </c>
      <c r="H1368" s="32" t="str">
        <f ca="1">+IF(B1368&gt;'sap nuevo'!$V$1,"cargar",IF(C1368="","cargar","pagado"))</f>
        <v>cargar</v>
      </c>
      <c r="I1368" s="32">
        <f t="shared" si="182"/>
        <v>2026</v>
      </c>
      <c r="J1368" s="32">
        <f t="shared" si="183"/>
        <v>7</v>
      </c>
    </row>
    <row r="1369" spans="1:10" x14ac:dyDescent="0.25">
      <c r="A1369" t="s">
        <v>544</v>
      </c>
      <c r="B1369" t="s">
        <v>576</v>
      </c>
      <c r="C1369">
        <v>97124523</v>
      </c>
      <c r="D1369">
        <v>140</v>
      </c>
      <c r="E1369" s="4">
        <v>-10485049.050000001</v>
      </c>
      <c r="F1369" t="s">
        <v>62</v>
      </c>
      <c r="G1369">
        <v>0</v>
      </c>
      <c r="H1369" s="32" t="str">
        <f ca="1">+IF(B1369&gt;'sap nuevo'!$V$1,"cargar",IF(C1369="","cargar","pagado"))</f>
        <v>cargar</v>
      </c>
      <c r="I1369" s="32">
        <f t="shared" si="182"/>
        <v>2026</v>
      </c>
      <c r="J1369" s="32">
        <f t="shared" si="183"/>
        <v>7</v>
      </c>
    </row>
    <row r="1370" spans="1:10" x14ac:dyDescent="0.25">
      <c r="A1370" t="s">
        <v>544</v>
      </c>
      <c r="B1370" t="s">
        <v>577</v>
      </c>
      <c r="C1370">
        <v>97124525</v>
      </c>
      <c r="D1370">
        <v>140</v>
      </c>
      <c r="E1370" s="4">
        <v>-9825984.3399999999</v>
      </c>
      <c r="F1370" t="s">
        <v>62</v>
      </c>
      <c r="G1370">
        <v>0</v>
      </c>
      <c r="H1370" s="32" t="str">
        <f ca="1">+IF(B1370&gt;'sap nuevo'!$V$1,"cargar",IF(C1370="","cargar","pagado"))</f>
        <v>cargar</v>
      </c>
      <c r="I1370" s="32">
        <f t="shared" si="182"/>
        <v>2026</v>
      </c>
      <c r="J1370" s="32">
        <f t="shared" si="183"/>
        <v>7</v>
      </c>
    </row>
    <row r="1371" spans="1:10" x14ac:dyDescent="0.25">
      <c r="A1371" t="s">
        <v>12</v>
      </c>
      <c r="B1371" t="s">
        <v>577</v>
      </c>
      <c r="C1371">
        <v>97124528</v>
      </c>
      <c r="D1371">
        <v>140</v>
      </c>
      <c r="E1371" s="4">
        <v>-8371185.4900000002</v>
      </c>
      <c r="F1371" t="s">
        <v>63</v>
      </c>
      <c r="G1371">
        <v>0</v>
      </c>
      <c r="H1371" s="32" t="str">
        <f ca="1">+IF(B1371&gt;'sap nuevo'!$V$1,"cargar",IF(C1371="","cargar","pagado"))</f>
        <v>cargar</v>
      </c>
      <c r="I1371" s="32">
        <f t="shared" si="182"/>
        <v>2026</v>
      </c>
      <c r="J1371" s="32">
        <f t="shared" si="183"/>
        <v>7</v>
      </c>
    </row>
    <row r="1372" spans="1:10" x14ac:dyDescent="0.25">
      <c r="A1372" t="s">
        <v>544</v>
      </c>
      <c r="B1372" t="s">
        <v>578</v>
      </c>
      <c r="C1372">
        <v>97124520</v>
      </c>
      <c r="D1372">
        <v>140</v>
      </c>
      <c r="E1372" s="4">
        <v>-5858098.1500000004</v>
      </c>
      <c r="F1372" t="s">
        <v>62</v>
      </c>
      <c r="G1372">
        <v>0</v>
      </c>
      <c r="H1372" s="32" t="str">
        <f ca="1">+IF(B1372&gt;'sap nuevo'!$V$1,"cargar",IF(C1372="","cargar","pagado"))</f>
        <v>cargar</v>
      </c>
      <c r="I1372" s="32">
        <f t="shared" si="182"/>
        <v>2026</v>
      </c>
      <c r="J1372" s="32">
        <f t="shared" si="183"/>
        <v>7</v>
      </c>
    </row>
    <row r="1373" spans="1:10" x14ac:dyDescent="0.25">
      <c r="A1373" t="s">
        <v>12</v>
      </c>
      <c r="B1373" t="s">
        <v>579</v>
      </c>
      <c r="C1373">
        <v>97124509</v>
      </c>
      <c r="D1373">
        <v>140</v>
      </c>
      <c r="E1373" s="4">
        <v>-9031874.2599999998</v>
      </c>
      <c r="F1373" t="s">
        <v>63</v>
      </c>
      <c r="G1373">
        <v>0</v>
      </c>
      <c r="H1373" s="32" t="str">
        <f ca="1">+IF(B1373&gt;'sap nuevo'!$V$1,"cargar",IF(C1373="","cargar","pagado"))</f>
        <v>cargar</v>
      </c>
      <c r="I1373" s="32">
        <f t="shared" si="182"/>
        <v>2026</v>
      </c>
      <c r="J1373" s="32">
        <f t="shared" si="183"/>
        <v>7</v>
      </c>
    </row>
    <row r="1374" spans="1:10" x14ac:dyDescent="0.25">
      <c r="A1374" t="s">
        <v>544</v>
      </c>
      <c r="B1374" t="s">
        <v>580</v>
      </c>
      <c r="C1374">
        <v>97124526</v>
      </c>
      <c r="D1374">
        <v>140</v>
      </c>
      <c r="E1374" s="4">
        <v>-30000000</v>
      </c>
      <c r="F1374" t="s">
        <v>62</v>
      </c>
      <c r="G1374">
        <v>0</v>
      </c>
      <c r="H1374" s="32" t="str">
        <f ca="1">+IF(B1374&gt;'sap nuevo'!$V$1,"cargar",IF(C1374="","cargar","pagado"))</f>
        <v>cargar</v>
      </c>
      <c r="I1374" s="32">
        <f t="shared" si="182"/>
        <v>2026</v>
      </c>
      <c r="J1374" s="32">
        <f t="shared" si="183"/>
        <v>7</v>
      </c>
    </row>
    <row r="1375" spans="1:10" x14ac:dyDescent="0.25">
      <c r="A1375" t="s">
        <v>12</v>
      </c>
      <c r="B1375" t="s">
        <v>580</v>
      </c>
      <c r="C1375">
        <v>97124531</v>
      </c>
      <c r="D1375">
        <v>140</v>
      </c>
      <c r="E1375" s="4">
        <v>-22608000</v>
      </c>
      <c r="F1375" t="s">
        <v>63</v>
      </c>
      <c r="G1375">
        <v>0</v>
      </c>
      <c r="H1375" s="32" t="str">
        <f ca="1">+IF(B1375&gt;'sap nuevo'!$V$1,"cargar",IF(C1375="","cargar","pagado"))</f>
        <v>cargar</v>
      </c>
      <c r="I1375" s="32">
        <f t="shared" ref="I1375:I1381" si="184">+YEAR(B1375)</f>
        <v>2026</v>
      </c>
      <c r="J1375" s="32">
        <f t="shared" ref="J1375:J1381" si="185">+MONTH(B1375)</f>
        <v>7</v>
      </c>
    </row>
    <row r="1376" spans="1:10" x14ac:dyDescent="0.25">
      <c r="A1376" t="s">
        <v>12</v>
      </c>
      <c r="B1376" t="s">
        <v>580</v>
      </c>
      <c r="C1376">
        <v>97124534</v>
      </c>
      <c r="D1376">
        <v>140</v>
      </c>
      <c r="E1376" s="4">
        <v>-20509347.620000001</v>
      </c>
      <c r="F1376" t="s">
        <v>63</v>
      </c>
      <c r="G1376">
        <v>0</v>
      </c>
      <c r="H1376" s="32" t="str">
        <f ca="1">+IF(B1376&gt;'sap nuevo'!$V$1,"cargar",IF(C1376="","cargar","pagado"))</f>
        <v>cargar</v>
      </c>
      <c r="I1376" s="32">
        <f t="shared" si="184"/>
        <v>2026</v>
      </c>
      <c r="J1376" s="32">
        <f t="shared" si="185"/>
        <v>7</v>
      </c>
    </row>
    <row r="1377" spans="1:10" x14ac:dyDescent="0.25">
      <c r="A1377" t="s">
        <v>544</v>
      </c>
      <c r="B1377" t="s">
        <v>580</v>
      </c>
      <c r="C1377">
        <v>97124535</v>
      </c>
      <c r="D1377">
        <v>140</v>
      </c>
      <c r="E1377" s="4">
        <v>-11830993.4</v>
      </c>
      <c r="F1377" t="s">
        <v>62</v>
      </c>
      <c r="G1377">
        <v>0</v>
      </c>
      <c r="H1377" s="32" t="str">
        <f ca="1">+IF(B1377&gt;'sap nuevo'!$V$1,"cargar",IF(C1377="","cargar","pagado"))</f>
        <v>cargar</v>
      </c>
      <c r="I1377" s="32">
        <f t="shared" si="184"/>
        <v>2026</v>
      </c>
      <c r="J1377" s="32">
        <f t="shared" si="185"/>
        <v>7</v>
      </c>
    </row>
    <row r="1378" spans="1:10" x14ac:dyDescent="0.25">
      <c r="A1378" t="s">
        <v>12</v>
      </c>
      <c r="B1378" t="s">
        <v>580</v>
      </c>
      <c r="C1378">
        <v>97124538</v>
      </c>
      <c r="D1378">
        <v>140</v>
      </c>
      <c r="E1378" s="4">
        <v>-11050117.720000001</v>
      </c>
      <c r="F1378" t="s">
        <v>63</v>
      </c>
      <c r="G1378">
        <v>0</v>
      </c>
      <c r="H1378" s="32" t="str">
        <f ca="1">+IF(B1378&gt;'sap nuevo'!$V$1,"cargar",IF(C1378="","cargar","pagado"))</f>
        <v>cargar</v>
      </c>
      <c r="I1378" s="32">
        <f t="shared" si="184"/>
        <v>2026</v>
      </c>
      <c r="J1378" s="32">
        <f t="shared" si="185"/>
        <v>7</v>
      </c>
    </row>
    <row r="1379" spans="1:10" x14ac:dyDescent="0.25">
      <c r="A1379" t="s">
        <v>544</v>
      </c>
      <c r="B1379" t="s">
        <v>580</v>
      </c>
      <c r="C1379">
        <v>97124532</v>
      </c>
      <c r="D1379">
        <v>140</v>
      </c>
      <c r="E1379" s="4">
        <v>-10141885.949999999</v>
      </c>
      <c r="F1379" t="s">
        <v>62</v>
      </c>
      <c r="G1379">
        <v>0</v>
      </c>
      <c r="H1379" s="32" t="str">
        <f ca="1">+IF(B1379&gt;'sap nuevo'!$V$1,"cargar",IF(C1379="","cargar","pagado"))</f>
        <v>cargar</v>
      </c>
      <c r="I1379" s="32">
        <f t="shared" si="184"/>
        <v>2026</v>
      </c>
      <c r="J1379" s="32">
        <f t="shared" si="185"/>
        <v>7</v>
      </c>
    </row>
    <row r="1380" spans="1:10" x14ac:dyDescent="0.25">
      <c r="A1380" t="s">
        <v>544</v>
      </c>
      <c r="B1380" t="s">
        <v>580</v>
      </c>
      <c r="C1380">
        <v>97124529</v>
      </c>
      <c r="D1380">
        <v>140</v>
      </c>
      <c r="E1380" s="4">
        <v>-8579684.5299999993</v>
      </c>
      <c r="F1380" t="s">
        <v>62</v>
      </c>
      <c r="G1380">
        <v>0</v>
      </c>
      <c r="H1380" s="32" t="str">
        <f ca="1">+IF(B1380&gt;'sap nuevo'!$V$1,"cargar",IF(C1380="","cargar","pagado"))</f>
        <v>cargar</v>
      </c>
      <c r="I1380" s="32">
        <f t="shared" si="184"/>
        <v>2026</v>
      </c>
      <c r="J1380" s="32">
        <f t="shared" si="185"/>
        <v>7</v>
      </c>
    </row>
    <row r="1381" spans="1:10" x14ac:dyDescent="0.25">
      <c r="A1381" t="s">
        <v>544</v>
      </c>
      <c r="B1381" t="s">
        <v>580</v>
      </c>
      <c r="C1381">
        <v>97124533</v>
      </c>
      <c r="D1381">
        <v>140</v>
      </c>
      <c r="E1381" s="4">
        <v>-7630354.5099999998</v>
      </c>
      <c r="F1381" t="s">
        <v>62</v>
      </c>
      <c r="G1381">
        <v>0</v>
      </c>
      <c r="H1381" s="32" t="str">
        <f ca="1">+IF(B1381&gt;'sap nuevo'!$V$1,"cargar",IF(C1381="","cargar","pagado"))</f>
        <v>cargar</v>
      </c>
      <c r="I1381" s="32">
        <f t="shared" si="184"/>
        <v>2026</v>
      </c>
      <c r="J1381" s="32">
        <f t="shared" si="185"/>
        <v>7</v>
      </c>
    </row>
    <row r="1382" spans="1:10" x14ac:dyDescent="0.25">
      <c r="A1382" t="s">
        <v>544</v>
      </c>
      <c r="B1382" t="s">
        <v>580</v>
      </c>
      <c r="C1382">
        <v>97124530</v>
      </c>
      <c r="D1382">
        <v>140</v>
      </c>
      <c r="E1382" s="4">
        <v>-6423589.4199999999</v>
      </c>
      <c r="F1382" t="s">
        <v>62</v>
      </c>
      <c r="G1382">
        <v>0</v>
      </c>
      <c r="H1382" s="32" t="str">
        <f ca="1">+IF(B1382&gt;'sap nuevo'!$V$1,"cargar",IF(C1382="","cargar","pagado"))</f>
        <v>cargar</v>
      </c>
      <c r="I1382" s="32">
        <f t="shared" ref="I1382" si="186">+YEAR(B1382)</f>
        <v>2026</v>
      </c>
      <c r="J1382" s="32">
        <f t="shared" ref="J1382" si="187">+MONTH(B1382)</f>
        <v>7</v>
      </c>
    </row>
    <row r="1383" spans="1:10" x14ac:dyDescent="0.25">
      <c r="A1383" t="s">
        <v>544</v>
      </c>
      <c r="B1383" t="s">
        <v>580</v>
      </c>
      <c r="C1383">
        <v>97124536</v>
      </c>
      <c r="D1383">
        <v>140</v>
      </c>
      <c r="E1383" s="4">
        <v>-5802305.3799999999</v>
      </c>
      <c r="F1383" t="s">
        <v>62</v>
      </c>
      <c r="G1383">
        <v>0</v>
      </c>
      <c r="H1383" s="32" t="str">
        <f ca="1">+IF(B1383&gt;'sap nuevo'!$V$1,"cargar",IF(C1383="","cargar","pagado"))</f>
        <v>cargar</v>
      </c>
      <c r="I1383" s="32">
        <f t="shared" ref="I1383:I1396" si="188">+YEAR(B1383)</f>
        <v>2026</v>
      </c>
      <c r="J1383" s="32">
        <f t="shared" ref="J1383:J1396" si="189">+MONTH(B1383)</f>
        <v>7</v>
      </c>
    </row>
    <row r="1384" spans="1:10" x14ac:dyDescent="0.25">
      <c r="A1384" t="s">
        <v>12</v>
      </c>
      <c r="B1384" t="s">
        <v>581</v>
      </c>
      <c r="C1384">
        <v>97124537</v>
      </c>
      <c r="D1384">
        <v>140</v>
      </c>
      <c r="E1384" s="4">
        <v>-6200993.4000000004</v>
      </c>
      <c r="F1384" t="s">
        <v>63</v>
      </c>
      <c r="G1384">
        <v>0</v>
      </c>
      <c r="H1384" s="32" t="str">
        <f ca="1">+IF(B1384&gt;'sap nuevo'!$V$1,"cargar",IF(C1384="","cargar","pagado"))</f>
        <v>cargar</v>
      </c>
      <c r="I1384" s="32">
        <f t="shared" si="188"/>
        <v>2026</v>
      </c>
      <c r="J1384" s="32">
        <f t="shared" si="189"/>
        <v>7</v>
      </c>
    </row>
    <row r="1385" spans="1:10" x14ac:dyDescent="0.25">
      <c r="A1385" t="s">
        <v>544</v>
      </c>
      <c r="B1385" t="s">
        <v>582</v>
      </c>
      <c r="C1385">
        <v>97124542</v>
      </c>
      <c r="D1385">
        <v>140</v>
      </c>
      <c r="E1385" s="4">
        <v>-26777571.600000001</v>
      </c>
      <c r="F1385" t="s">
        <v>62</v>
      </c>
      <c r="G1385">
        <v>0</v>
      </c>
      <c r="H1385" s="32" t="str">
        <f ca="1">+IF(B1385&gt;'sap nuevo'!$V$1,"cargar",IF(C1385="","cargar","pagado"))</f>
        <v>cargar</v>
      </c>
      <c r="I1385" s="32">
        <f t="shared" si="188"/>
        <v>2026</v>
      </c>
      <c r="J1385" s="32">
        <f t="shared" si="189"/>
        <v>7</v>
      </c>
    </row>
    <row r="1386" spans="1:10" x14ac:dyDescent="0.25">
      <c r="A1386" t="s">
        <v>12</v>
      </c>
      <c r="B1386" t="s">
        <v>582</v>
      </c>
      <c r="C1386">
        <v>97124543</v>
      </c>
      <c r="D1386">
        <v>140</v>
      </c>
      <c r="E1386" s="4">
        <v>-23348431.379999999</v>
      </c>
      <c r="F1386" t="s">
        <v>63</v>
      </c>
      <c r="G1386">
        <v>0</v>
      </c>
      <c r="H1386" s="32" t="str">
        <f ca="1">+IF(B1386&gt;'sap nuevo'!$V$1,"cargar",IF(C1386="","cargar","pagado"))</f>
        <v>cargar</v>
      </c>
      <c r="I1386" s="32">
        <f t="shared" si="188"/>
        <v>2026</v>
      </c>
      <c r="J1386" s="32">
        <f t="shared" si="189"/>
        <v>7</v>
      </c>
    </row>
    <row r="1387" spans="1:10" x14ac:dyDescent="0.25">
      <c r="A1387" t="s">
        <v>544</v>
      </c>
      <c r="B1387" t="s">
        <v>583</v>
      </c>
      <c r="C1387">
        <v>97124539</v>
      </c>
      <c r="D1387">
        <v>140</v>
      </c>
      <c r="E1387" s="4">
        <v>-3160406.72</v>
      </c>
      <c r="F1387" t="s">
        <v>62</v>
      </c>
      <c r="G1387">
        <v>0</v>
      </c>
      <c r="H1387" s="32" t="str">
        <f ca="1">+IF(B1387&gt;'sap nuevo'!$V$1,"cargar",IF(C1387="","cargar","pagado"))</f>
        <v>cargar</v>
      </c>
      <c r="I1387" s="32">
        <f t="shared" si="188"/>
        <v>2026</v>
      </c>
      <c r="J1387" s="32">
        <f t="shared" si="189"/>
        <v>8</v>
      </c>
    </row>
    <row r="1388" spans="1:10" x14ac:dyDescent="0.25">
      <c r="A1388" t="s">
        <v>12</v>
      </c>
      <c r="B1388" t="s">
        <v>586</v>
      </c>
      <c r="C1388">
        <v>97124552</v>
      </c>
      <c r="D1388">
        <v>140</v>
      </c>
      <c r="E1388" s="4">
        <v>-23411119.449999999</v>
      </c>
      <c r="F1388" t="s">
        <v>63</v>
      </c>
      <c r="G1388">
        <v>0</v>
      </c>
      <c r="H1388" s="32" t="str">
        <f ca="1">+IF(B1388&gt;'sap nuevo'!$V$1,"cargar",IF(C1388="","cargar","pagado"))</f>
        <v>cargar</v>
      </c>
      <c r="I1388" s="32">
        <f t="shared" si="188"/>
        <v>2026</v>
      </c>
      <c r="J1388" s="32">
        <f t="shared" si="189"/>
        <v>8</v>
      </c>
    </row>
    <row r="1389" spans="1:10" x14ac:dyDescent="0.25">
      <c r="A1389" t="s">
        <v>544</v>
      </c>
      <c r="B1389" t="s">
        <v>586</v>
      </c>
      <c r="C1389">
        <v>97124548</v>
      </c>
      <c r="D1389">
        <v>140</v>
      </c>
      <c r="E1389" s="4">
        <v>-17022511.420000002</v>
      </c>
      <c r="F1389" t="s">
        <v>62</v>
      </c>
      <c r="G1389">
        <v>0</v>
      </c>
      <c r="H1389" s="32" t="str">
        <f ca="1">+IF(B1389&gt;'sap nuevo'!$V$1,"cargar",IF(C1389="","cargar","pagado"))</f>
        <v>cargar</v>
      </c>
      <c r="I1389" s="32">
        <f t="shared" si="188"/>
        <v>2026</v>
      </c>
      <c r="J1389" s="32">
        <f t="shared" si="189"/>
        <v>8</v>
      </c>
    </row>
    <row r="1390" spans="1:10" x14ac:dyDescent="0.25">
      <c r="A1390" t="s">
        <v>544</v>
      </c>
      <c r="B1390" t="s">
        <v>586</v>
      </c>
      <c r="C1390">
        <v>97124546</v>
      </c>
      <c r="D1390">
        <v>140</v>
      </c>
      <c r="E1390" s="4">
        <v>-15126590.32</v>
      </c>
      <c r="F1390" t="s">
        <v>62</v>
      </c>
      <c r="G1390">
        <v>0</v>
      </c>
      <c r="H1390" s="32" t="str">
        <f ca="1">+IF(B1390&gt;'sap nuevo'!$V$1,"cargar",IF(C1390="","cargar","pagado"))</f>
        <v>cargar</v>
      </c>
      <c r="I1390" s="32">
        <f t="shared" si="188"/>
        <v>2026</v>
      </c>
      <c r="J1390" s="32">
        <f t="shared" si="189"/>
        <v>8</v>
      </c>
    </row>
    <row r="1391" spans="1:10" x14ac:dyDescent="0.25">
      <c r="A1391" t="s">
        <v>544</v>
      </c>
      <c r="B1391" t="s">
        <v>586</v>
      </c>
      <c r="C1391">
        <v>97124547</v>
      </c>
      <c r="D1391">
        <v>140</v>
      </c>
      <c r="E1391" s="4">
        <v>-13223837.07</v>
      </c>
      <c r="F1391" t="s">
        <v>62</v>
      </c>
      <c r="G1391">
        <v>0</v>
      </c>
      <c r="H1391" s="32" t="str">
        <f ca="1">+IF(B1391&gt;'sap nuevo'!$V$1,"cargar",IF(C1391="","cargar","pagado"))</f>
        <v>cargar</v>
      </c>
      <c r="I1391" s="32">
        <f t="shared" si="188"/>
        <v>2026</v>
      </c>
      <c r="J1391" s="32">
        <f t="shared" si="189"/>
        <v>8</v>
      </c>
    </row>
    <row r="1392" spans="1:10" x14ac:dyDescent="0.25">
      <c r="A1392" t="s">
        <v>12</v>
      </c>
      <c r="B1392" t="s">
        <v>586</v>
      </c>
      <c r="C1392">
        <v>97124550</v>
      </c>
      <c r="D1392">
        <v>140</v>
      </c>
      <c r="E1392" s="4">
        <v>-7595580.4800000004</v>
      </c>
      <c r="F1392" t="s">
        <v>63</v>
      </c>
      <c r="G1392">
        <v>0</v>
      </c>
      <c r="H1392" s="32" t="str">
        <f ca="1">+IF(B1392&gt;'sap nuevo'!$V$1,"cargar",IF(C1392="","cargar","pagado"))</f>
        <v>cargar</v>
      </c>
      <c r="I1392" s="32">
        <f t="shared" si="188"/>
        <v>2026</v>
      </c>
      <c r="J1392" s="32">
        <f t="shared" si="189"/>
        <v>8</v>
      </c>
    </row>
    <row r="1393" spans="1:10" x14ac:dyDescent="0.25">
      <c r="A1393" t="s">
        <v>12</v>
      </c>
      <c r="B1393" t="s">
        <v>586</v>
      </c>
      <c r="C1393">
        <v>97124549</v>
      </c>
      <c r="D1393">
        <v>140</v>
      </c>
      <c r="E1393" s="4">
        <v>-7294060.7199999997</v>
      </c>
      <c r="F1393" t="s">
        <v>63</v>
      </c>
      <c r="G1393">
        <v>0</v>
      </c>
      <c r="H1393" s="32" t="str">
        <f ca="1">+IF(B1393&gt;'sap nuevo'!$V$1,"cargar",IF(C1393="","cargar","pagado"))</f>
        <v>cargar</v>
      </c>
      <c r="I1393" s="32">
        <f t="shared" si="188"/>
        <v>2026</v>
      </c>
      <c r="J1393" s="32">
        <f t="shared" si="189"/>
        <v>8</v>
      </c>
    </row>
    <row r="1394" spans="1:10" x14ac:dyDescent="0.25">
      <c r="A1394" t="s">
        <v>12</v>
      </c>
      <c r="B1394" t="s">
        <v>586</v>
      </c>
      <c r="C1394">
        <v>97124544</v>
      </c>
      <c r="D1394">
        <v>140</v>
      </c>
      <c r="E1394" s="4">
        <v>-5720868.3700000001</v>
      </c>
      <c r="F1394" t="s">
        <v>63</v>
      </c>
      <c r="G1394">
        <v>0</v>
      </c>
      <c r="H1394" s="32" t="str">
        <f ca="1">+IF(B1394&gt;'sap nuevo'!$V$1,"cargar",IF(C1394="","cargar","pagado"))</f>
        <v>cargar</v>
      </c>
      <c r="I1394" s="32">
        <f t="shared" si="188"/>
        <v>2026</v>
      </c>
      <c r="J1394" s="32">
        <f t="shared" si="189"/>
        <v>8</v>
      </c>
    </row>
    <row r="1395" spans="1:10" x14ac:dyDescent="0.25">
      <c r="A1395" t="s">
        <v>12</v>
      </c>
      <c r="B1395" t="s">
        <v>586</v>
      </c>
      <c r="C1395">
        <v>97124545</v>
      </c>
      <c r="D1395">
        <v>140</v>
      </c>
      <c r="E1395" s="4">
        <v>-5670205.5499999998</v>
      </c>
      <c r="F1395" t="s">
        <v>63</v>
      </c>
      <c r="G1395">
        <v>0</v>
      </c>
      <c r="H1395" s="32" t="str">
        <f ca="1">+IF(B1395&gt;'sap nuevo'!$V$1,"cargar",IF(C1395="","cargar","pagado"))</f>
        <v>cargar</v>
      </c>
      <c r="I1395" s="32">
        <f t="shared" si="188"/>
        <v>2026</v>
      </c>
      <c r="J1395" s="32">
        <f t="shared" si="189"/>
        <v>8</v>
      </c>
    </row>
    <row r="1396" spans="1:10" x14ac:dyDescent="0.25">
      <c r="A1396" t="s">
        <v>544</v>
      </c>
      <c r="B1396" t="s">
        <v>586</v>
      </c>
      <c r="C1396">
        <v>97124551</v>
      </c>
      <c r="D1396">
        <v>140</v>
      </c>
      <c r="E1396" s="4">
        <v>-792616.06</v>
      </c>
      <c r="F1396" t="s">
        <v>62</v>
      </c>
      <c r="G1396">
        <v>0</v>
      </c>
      <c r="H1396" s="32" t="str">
        <f ca="1">+IF(B1396&gt;'sap nuevo'!$V$1,"cargar",IF(C1396="","cargar","pagado"))</f>
        <v>cargar</v>
      </c>
      <c r="I1396" s="32">
        <f t="shared" si="188"/>
        <v>2026</v>
      </c>
      <c r="J1396" s="32">
        <f t="shared" si="189"/>
        <v>8</v>
      </c>
    </row>
    <row r="1397" spans="1:10" x14ac:dyDescent="0.25">
      <c r="A1397" t="s">
        <v>544</v>
      </c>
      <c r="B1397" t="s">
        <v>589</v>
      </c>
      <c r="C1397">
        <v>97124553</v>
      </c>
      <c r="D1397">
        <v>140</v>
      </c>
      <c r="E1397">
        <v>-10000000</v>
      </c>
      <c r="F1397" t="s">
        <v>62</v>
      </c>
      <c r="G1397">
        <v>0</v>
      </c>
      <c r="H1397" s="32" t="str">
        <f ca="1">+IF(B1397&gt;'sap nuevo'!$V$1,"cargar",IF(C1397="","cargar","pagado"))</f>
        <v>cargar</v>
      </c>
      <c r="I1397" s="32">
        <f t="shared" ref="I1397:I1413" si="190">+YEAR(B1397)</f>
        <v>2026</v>
      </c>
      <c r="J1397" s="32">
        <f t="shared" ref="J1397:J1413" si="191">+MONTH(B1397)</f>
        <v>8</v>
      </c>
    </row>
    <row r="1398" spans="1:10" x14ac:dyDescent="0.25">
      <c r="A1398" t="s">
        <v>544</v>
      </c>
      <c r="B1398" t="s">
        <v>589</v>
      </c>
      <c r="C1398">
        <v>97124554</v>
      </c>
      <c r="D1398">
        <v>140</v>
      </c>
      <c r="E1398">
        <v>-10000000</v>
      </c>
      <c r="F1398" t="s">
        <v>62</v>
      </c>
      <c r="G1398">
        <v>0</v>
      </c>
      <c r="H1398" s="32" t="str">
        <f ca="1">+IF(B1398&gt;'sap nuevo'!$V$1,"cargar",IF(C1398="","cargar","pagado"))</f>
        <v>cargar</v>
      </c>
      <c r="I1398" s="32">
        <f t="shared" si="190"/>
        <v>2026</v>
      </c>
      <c r="J1398" s="32">
        <f t="shared" si="191"/>
        <v>8</v>
      </c>
    </row>
    <row r="1399" spans="1:10" x14ac:dyDescent="0.25">
      <c r="A1399" t="s">
        <v>544</v>
      </c>
      <c r="B1399" t="s">
        <v>589</v>
      </c>
      <c r="C1399">
        <v>97124555</v>
      </c>
      <c r="D1399">
        <v>140</v>
      </c>
      <c r="E1399">
        <v>-10000000</v>
      </c>
      <c r="F1399" t="s">
        <v>62</v>
      </c>
      <c r="G1399">
        <v>0</v>
      </c>
      <c r="H1399" s="32" t="str">
        <f ca="1">+IF(B1399&gt;'sap nuevo'!$V$1,"cargar",IF(C1399="","cargar","pagado"))</f>
        <v>cargar</v>
      </c>
      <c r="I1399" s="32">
        <f t="shared" si="190"/>
        <v>2026</v>
      </c>
      <c r="J1399" s="32">
        <f t="shared" si="191"/>
        <v>8</v>
      </c>
    </row>
    <row r="1400" spans="1:10" x14ac:dyDescent="0.25">
      <c r="A1400" t="s">
        <v>544</v>
      </c>
      <c r="B1400" t="s">
        <v>589</v>
      </c>
      <c r="C1400">
        <v>97124556</v>
      </c>
      <c r="D1400">
        <v>140</v>
      </c>
      <c r="E1400">
        <v>-9744627.7200000007</v>
      </c>
      <c r="F1400" t="s">
        <v>62</v>
      </c>
      <c r="G1400">
        <v>0</v>
      </c>
      <c r="H1400" s="32" t="str">
        <f ca="1">+IF(B1400&gt;'sap nuevo'!$V$1,"cargar",IF(C1400="","cargar","pagado"))</f>
        <v>cargar</v>
      </c>
      <c r="I1400" s="32">
        <f t="shared" si="190"/>
        <v>2026</v>
      </c>
      <c r="J1400" s="32">
        <f t="shared" si="191"/>
        <v>8</v>
      </c>
    </row>
    <row r="1401" spans="1:10" x14ac:dyDescent="0.25">
      <c r="A1401" t="s">
        <v>12</v>
      </c>
      <c r="B1401" t="s">
        <v>590</v>
      </c>
      <c r="C1401">
        <v>97124559</v>
      </c>
      <c r="D1401">
        <v>140</v>
      </c>
      <c r="E1401">
        <v>-45921778.399999999</v>
      </c>
      <c r="F1401" t="s">
        <v>63</v>
      </c>
      <c r="G1401">
        <v>0</v>
      </c>
      <c r="H1401" s="32" t="str">
        <f ca="1">+IF(B1401&gt;'sap nuevo'!$V$1,"cargar",IF(C1401="","cargar","pagado"))</f>
        <v>cargar</v>
      </c>
      <c r="I1401" s="32">
        <f t="shared" si="190"/>
        <v>2026</v>
      </c>
      <c r="J1401" s="32">
        <f t="shared" si="191"/>
        <v>8</v>
      </c>
    </row>
    <row r="1402" spans="1:10" x14ac:dyDescent="0.25">
      <c r="A1402" t="s">
        <v>544</v>
      </c>
      <c r="B1402" t="s">
        <v>590</v>
      </c>
      <c r="C1402">
        <v>97124560</v>
      </c>
      <c r="D1402">
        <v>140</v>
      </c>
      <c r="E1402">
        <v>-10167538.4</v>
      </c>
      <c r="F1402" t="s">
        <v>62</v>
      </c>
      <c r="G1402">
        <v>0</v>
      </c>
      <c r="H1402" s="32" t="str">
        <f ca="1">+IF(B1402&gt;'sap nuevo'!$V$1,"cargar",IF(C1402="","cargar","pagado"))</f>
        <v>cargar</v>
      </c>
      <c r="I1402" s="32">
        <f t="shared" si="190"/>
        <v>2026</v>
      </c>
      <c r="J1402" s="32">
        <f t="shared" si="191"/>
        <v>8</v>
      </c>
    </row>
    <row r="1403" spans="1:10" x14ac:dyDescent="0.25">
      <c r="A1403" t="s">
        <v>12</v>
      </c>
      <c r="B1403" t="s">
        <v>590</v>
      </c>
      <c r="C1403">
        <v>97124558</v>
      </c>
      <c r="D1403">
        <v>140</v>
      </c>
      <c r="E1403">
        <v>-7547084.4000000004</v>
      </c>
      <c r="F1403" t="s">
        <v>63</v>
      </c>
      <c r="G1403">
        <v>0</v>
      </c>
      <c r="H1403" s="32" t="str">
        <f ca="1">+IF(B1403&gt;'sap nuevo'!$V$1,"cargar",IF(C1403="","cargar","pagado"))</f>
        <v>cargar</v>
      </c>
      <c r="I1403" s="32">
        <f t="shared" si="190"/>
        <v>2026</v>
      </c>
      <c r="J1403" s="32">
        <f t="shared" si="191"/>
        <v>8</v>
      </c>
    </row>
    <row r="1404" spans="1:10" x14ac:dyDescent="0.25">
      <c r="A1404" t="s">
        <v>544</v>
      </c>
      <c r="B1404" t="s">
        <v>590</v>
      </c>
      <c r="C1404">
        <v>97124557</v>
      </c>
      <c r="D1404">
        <v>140</v>
      </c>
      <c r="E1404">
        <v>-6956819.2800000003</v>
      </c>
      <c r="F1404" t="s">
        <v>62</v>
      </c>
      <c r="G1404">
        <v>0</v>
      </c>
      <c r="H1404" s="32" t="str">
        <f ca="1">+IF(B1404&gt;'sap nuevo'!$V$1,"cargar",IF(C1404="","cargar","pagado"))</f>
        <v>cargar</v>
      </c>
      <c r="I1404" s="32">
        <f t="shared" si="190"/>
        <v>2026</v>
      </c>
      <c r="J1404" s="32">
        <f t="shared" si="191"/>
        <v>8</v>
      </c>
    </row>
    <row r="1405" spans="1:10" x14ac:dyDescent="0.25">
      <c r="A1405" t="s">
        <v>544</v>
      </c>
      <c r="B1405" t="s">
        <v>591</v>
      </c>
      <c r="C1405">
        <v>97124562</v>
      </c>
      <c r="D1405">
        <v>140</v>
      </c>
      <c r="E1405">
        <v>-17772649.149999999</v>
      </c>
      <c r="F1405" t="s">
        <v>62</v>
      </c>
      <c r="G1405">
        <v>0</v>
      </c>
      <c r="H1405" s="32" t="str">
        <f ca="1">+IF(B1405&gt;'sap nuevo'!$V$1,"cargar",IF(C1405="","cargar","pagado"))</f>
        <v>cargar</v>
      </c>
      <c r="I1405" s="32">
        <f t="shared" si="190"/>
        <v>2026</v>
      </c>
      <c r="J1405" s="32">
        <f t="shared" si="191"/>
        <v>8</v>
      </c>
    </row>
    <row r="1406" spans="1:10" x14ac:dyDescent="0.25">
      <c r="A1406" t="s">
        <v>544</v>
      </c>
      <c r="B1406" t="s">
        <v>591</v>
      </c>
      <c r="C1406">
        <v>97124563</v>
      </c>
      <c r="D1406">
        <v>140</v>
      </c>
      <c r="E1406">
        <v>-9539475.5399999991</v>
      </c>
      <c r="F1406" t="s">
        <v>62</v>
      </c>
      <c r="G1406">
        <v>0</v>
      </c>
      <c r="H1406" s="32" t="str">
        <f ca="1">+IF(B1406&gt;'sap nuevo'!$V$1,"cargar",IF(C1406="","cargar","pagado"))</f>
        <v>cargar</v>
      </c>
      <c r="I1406" s="32">
        <f t="shared" si="190"/>
        <v>2026</v>
      </c>
      <c r="J1406" s="32">
        <f t="shared" si="191"/>
        <v>8</v>
      </c>
    </row>
    <row r="1407" spans="1:10" x14ac:dyDescent="0.25">
      <c r="A1407" t="s">
        <v>544</v>
      </c>
      <c r="B1407" t="s">
        <v>591</v>
      </c>
      <c r="C1407">
        <v>97124564</v>
      </c>
      <c r="D1407">
        <v>140</v>
      </c>
      <c r="E1407">
        <v>-8291483.7599999998</v>
      </c>
      <c r="F1407" t="s">
        <v>62</v>
      </c>
      <c r="G1407">
        <v>0</v>
      </c>
      <c r="H1407" s="32" t="str">
        <f ca="1">+IF(B1407&gt;'sap nuevo'!$V$1,"cargar",IF(C1407="","cargar","pagado"))</f>
        <v>cargar</v>
      </c>
      <c r="I1407" s="32">
        <f t="shared" si="190"/>
        <v>2026</v>
      </c>
      <c r="J1407" s="32">
        <f t="shared" si="191"/>
        <v>8</v>
      </c>
    </row>
    <row r="1408" spans="1:10" x14ac:dyDescent="0.25">
      <c r="A1408" t="s">
        <v>544</v>
      </c>
      <c r="B1408" t="s">
        <v>591</v>
      </c>
      <c r="C1408">
        <v>97124566</v>
      </c>
      <c r="D1408">
        <v>140</v>
      </c>
      <c r="E1408">
        <v>-7471579.0899999999</v>
      </c>
      <c r="F1408" t="s">
        <v>62</v>
      </c>
      <c r="G1408">
        <v>0</v>
      </c>
      <c r="H1408" s="32" t="str">
        <f ca="1">+IF(B1408&gt;'sap nuevo'!$V$1,"cargar",IF(C1408="","cargar","pagado"))</f>
        <v>cargar</v>
      </c>
      <c r="I1408" s="32">
        <f t="shared" si="190"/>
        <v>2026</v>
      </c>
      <c r="J1408" s="32">
        <f t="shared" si="191"/>
        <v>8</v>
      </c>
    </row>
    <row r="1409" spans="1:10" x14ac:dyDescent="0.25">
      <c r="A1409" t="s">
        <v>544</v>
      </c>
      <c r="B1409" t="s">
        <v>591</v>
      </c>
      <c r="C1409">
        <v>97124561</v>
      </c>
      <c r="D1409">
        <v>140</v>
      </c>
      <c r="E1409">
        <v>-5733803.6500000004</v>
      </c>
      <c r="F1409" t="s">
        <v>62</v>
      </c>
      <c r="G1409">
        <v>0</v>
      </c>
      <c r="H1409" s="32" t="str">
        <f ca="1">+IF(B1409&gt;'sap nuevo'!$V$1,"cargar",IF(C1409="","cargar","pagado"))</f>
        <v>cargar</v>
      </c>
      <c r="I1409" s="32">
        <f t="shared" si="190"/>
        <v>2026</v>
      </c>
      <c r="J1409" s="32">
        <f t="shared" si="191"/>
        <v>8</v>
      </c>
    </row>
    <row r="1410" spans="1:10" x14ac:dyDescent="0.25">
      <c r="A1410" t="s">
        <v>544</v>
      </c>
      <c r="B1410" t="s">
        <v>591</v>
      </c>
      <c r="C1410">
        <v>97124565</v>
      </c>
      <c r="D1410">
        <v>140</v>
      </c>
      <c r="E1410">
        <v>-3757704</v>
      </c>
      <c r="F1410" t="s">
        <v>62</v>
      </c>
      <c r="G1410">
        <v>0</v>
      </c>
      <c r="H1410" s="32" t="str">
        <f ca="1">+IF(B1410&gt;'sap nuevo'!$V$1,"cargar",IF(C1410="","cargar","pagado"))</f>
        <v>cargar</v>
      </c>
      <c r="I1410" s="32">
        <f t="shared" si="190"/>
        <v>2026</v>
      </c>
      <c r="J1410" s="32">
        <f t="shared" si="191"/>
        <v>8</v>
      </c>
    </row>
    <row r="1411" spans="1:10" x14ac:dyDescent="0.25">
      <c r="A1411" t="s">
        <v>12</v>
      </c>
      <c r="B1411" t="s">
        <v>592</v>
      </c>
      <c r="C1411">
        <v>97124524</v>
      </c>
      <c r="D1411">
        <v>140</v>
      </c>
      <c r="E1411">
        <v>-10981812.15</v>
      </c>
      <c r="F1411" t="s">
        <v>63</v>
      </c>
      <c r="G1411">
        <v>0</v>
      </c>
      <c r="H1411" s="32" t="str">
        <f ca="1">+IF(B1411&gt;'sap nuevo'!$V$1,"cargar",IF(C1411="","cargar","pagado"))</f>
        <v>cargar</v>
      </c>
      <c r="I1411" s="32">
        <f t="shared" si="190"/>
        <v>2026</v>
      </c>
      <c r="J1411" s="32">
        <f t="shared" si="191"/>
        <v>8</v>
      </c>
    </row>
    <row r="1412" spans="1:10" x14ac:dyDescent="0.25">
      <c r="A1412" t="s">
        <v>544</v>
      </c>
      <c r="B1412" t="s">
        <v>593</v>
      </c>
      <c r="C1412">
        <v>97124567</v>
      </c>
      <c r="D1412">
        <v>140</v>
      </c>
      <c r="E1412">
        <v>-4730418.83</v>
      </c>
      <c r="F1412" t="s">
        <v>62</v>
      </c>
      <c r="G1412">
        <v>0</v>
      </c>
      <c r="H1412" s="32" t="str">
        <f ca="1">+IF(B1412&gt;'sap nuevo'!$V$1,"cargar",IF(C1412="","cargar","pagado"))</f>
        <v>cargar</v>
      </c>
      <c r="I1412" s="32">
        <f t="shared" si="190"/>
        <v>2026</v>
      </c>
      <c r="J1412" s="32">
        <f t="shared" si="191"/>
        <v>8</v>
      </c>
    </row>
    <row r="1413" spans="1:10" x14ac:dyDescent="0.25">
      <c r="A1413" t="s">
        <v>544</v>
      </c>
      <c r="B1413" t="s">
        <v>593</v>
      </c>
      <c r="C1413">
        <v>12452662</v>
      </c>
      <c r="D1413">
        <v>140</v>
      </c>
      <c r="E1413">
        <v>-600002.55000000005</v>
      </c>
      <c r="F1413" t="s">
        <v>62</v>
      </c>
      <c r="G1413">
        <v>0</v>
      </c>
      <c r="H1413" s="32" t="str">
        <f ca="1">+IF(B1413&gt;'sap nuevo'!$V$1,"cargar",IF(C1413="","cargar","pagado"))</f>
        <v>cargar</v>
      </c>
      <c r="I1413" s="32">
        <f t="shared" si="190"/>
        <v>2026</v>
      </c>
      <c r="J1413" s="32">
        <f t="shared" si="191"/>
        <v>8</v>
      </c>
    </row>
    <row r="1414" spans="1:10" x14ac:dyDescent="0.25">
      <c r="A1414" t="s">
        <v>544</v>
      </c>
      <c r="B1414" t="s">
        <v>596</v>
      </c>
      <c r="C1414">
        <v>97123862</v>
      </c>
      <c r="D1414">
        <v>140</v>
      </c>
      <c r="E1414">
        <v>-112710920</v>
      </c>
      <c r="F1414" t="s">
        <v>62</v>
      </c>
      <c r="G1414">
        <v>0</v>
      </c>
      <c r="H1414" s="32" t="str">
        <f ca="1">+IF(B1414&gt;'sap nuevo'!$V$1,"cargar",IF(C1414="","cargar","pagado"))</f>
        <v>cargar</v>
      </c>
      <c r="I1414" s="32">
        <f t="shared" ref="I1414:I1449" si="192">+YEAR(B1414)</f>
        <v>2026</v>
      </c>
      <c r="J1414" s="32">
        <f t="shared" ref="J1414:J1449" si="193">+MONTH(B1414)</f>
        <v>8</v>
      </c>
    </row>
    <row r="1415" spans="1:10" x14ac:dyDescent="0.25">
      <c r="A1415" t="s">
        <v>12</v>
      </c>
      <c r="B1415" t="s">
        <v>596</v>
      </c>
      <c r="C1415">
        <v>97124573</v>
      </c>
      <c r="D1415">
        <v>140</v>
      </c>
      <c r="E1415">
        <v>-19033404.379999999</v>
      </c>
      <c r="F1415" t="s">
        <v>63</v>
      </c>
      <c r="G1415">
        <v>0</v>
      </c>
      <c r="H1415" s="32" t="str">
        <f ca="1">+IF(B1415&gt;'sap nuevo'!$V$1,"cargar",IF(C1415="","cargar","pagado"))</f>
        <v>cargar</v>
      </c>
      <c r="I1415" s="32">
        <f t="shared" si="192"/>
        <v>2026</v>
      </c>
      <c r="J1415" s="32">
        <f t="shared" si="193"/>
        <v>8</v>
      </c>
    </row>
    <row r="1416" spans="1:10" x14ac:dyDescent="0.25">
      <c r="A1416" t="s">
        <v>12</v>
      </c>
      <c r="B1416" t="s">
        <v>596</v>
      </c>
      <c r="C1416">
        <v>97124574</v>
      </c>
      <c r="D1416">
        <v>140</v>
      </c>
      <c r="E1416">
        <v>-14938322.109999999</v>
      </c>
      <c r="F1416" t="s">
        <v>63</v>
      </c>
      <c r="G1416">
        <v>0</v>
      </c>
      <c r="H1416" s="32" t="str">
        <f ca="1">+IF(B1416&gt;'sap nuevo'!$V$1,"cargar",IF(C1416="","cargar","pagado"))</f>
        <v>cargar</v>
      </c>
      <c r="I1416" s="32">
        <f t="shared" si="192"/>
        <v>2026</v>
      </c>
      <c r="J1416" s="32">
        <f t="shared" si="193"/>
        <v>8</v>
      </c>
    </row>
    <row r="1417" spans="1:10" x14ac:dyDescent="0.25">
      <c r="A1417" t="s">
        <v>12</v>
      </c>
      <c r="B1417" t="s">
        <v>596</v>
      </c>
      <c r="C1417">
        <v>97124572</v>
      </c>
      <c r="D1417">
        <v>140</v>
      </c>
      <c r="E1417">
        <v>-14076451.49</v>
      </c>
      <c r="F1417" t="s">
        <v>63</v>
      </c>
      <c r="G1417">
        <v>0</v>
      </c>
      <c r="H1417" s="32" t="str">
        <f ca="1">+IF(B1417&gt;'sap nuevo'!$V$1,"cargar",IF(C1417="","cargar","pagado"))</f>
        <v>cargar</v>
      </c>
      <c r="I1417" s="32">
        <f t="shared" si="192"/>
        <v>2026</v>
      </c>
      <c r="J1417" s="32">
        <f t="shared" si="193"/>
        <v>8</v>
      </c>
    </row>
    <row r="1418" spans="1:10" x14ac:dyDescent="0.25">
      <c r="A1418" t="s">
        <v>12</v>
      </c>
      <c r="B1418" t="s">
        <v>596</v>
      </c>
      <c r="C1418">
        <v>97124569</v>
      </c>
      <c r="D1418">
        <v>140</v>
      </c>
      <c r="E1418">
        <v>-6068600.8799999999</v>
      </c>
      <c r="F1418" t="s">
        <v>63</v>
      </c>
      <c r="G1418">
        <v>0</v>
      </c>
      <c r="H1418" s="32" t="str">
        <f ca="1">+IF(B1418&gt;'sap nuevo'!$V$1,"cargar",IF(C1418="","cargar","pagado"))</f>
        <v>cargar</v>
      </c>
      <c r="I1418" s="32">
        <f t="shared" si="192"/>
        <v>2026</v>
      </c>
      <c r="J1418" s="32">
        <f t="shared" si="193"/>
        <v>8</v>
      </c>
    </row>
    <row r="1419" spans="1:10" x14ac:dyDescent="0.25">
      <c r="A1419" t="s">
        <v>12</v>
      </c>
      <c r="B1419" t="s">
        <v>597</v>
      </c>
      <c r="C1419">
        <v>97124595</v>
      </c>
      <c r="D1419">
        <v>140</v>
      </c>
      <c r="E1419">
        <v>-29610909.670000002</v>
      </c>
      <c r="F1419" t="s">
        <v>63</v>
      </c>
      <c r="G1419">
        <v>0</v>
      </c>
      <c r="H1419" s="32" t="str">
        <f ca="1">+IF(B1419&gt;'sap nuevo'!$V$1,"cargar",IF(C1419="","cargar","pagado"))</f>
        <v>cargar</v>
      </c>
      <c r="I1419" s="32">
        <f t="shared" si="192"/>
        <v>2026</v>
      </c>
      <c r="J1419" s="32">
        <f t="shared" si="193"/>
        <v>8</v>
      </c>
    </row>
    <row r="1420" spans="1:10" x14ac:dyDescent="0.25">
      <c r="A1420" t="s">
        <v>544</v>
      </c>
      <c r="B1420" t="s">
        <v>597</v>
      </c>
      <c r="C1420">
        <v>97124599</v>
      </c>
      <c r="D1420">
        <v>140</v>
      </c>
      <c r="E1420">
        <v>-28482262.600000001</v>
      </c>
      <c r="F1420" t="s">
        <v>62</v>
      </c>
      <c r="G1420">
        <v>0</v>
      </c>
      <c r="H1420" s="32" t="str">
        <f ca="1">+IF(B1420&gt;'sap nuevo'!$V$1,"cargar",IF(C1420="","cargar","pagado"))</f>
        <v>cargar</v>
      </c>
      <c r="I1420" s="32">
        <f t="shared" si="192"/>
        <v>2026</v>
      </c>
      <c r="J1420" s="32">
        <f t="shared" si="193"/>
        <v>8</v>
      </c>
    </row>
    <row r="1421" spans="1:10" x14ac:dyDescent="0.25">
      <c r="A1421" t="s">
        <v>544</v>
      </c>
      <c r="B1421" t="s">
        <v>597</v>
      </c>
      <c r="C1421">
        <v>97124585</v>
      </c>
      <c r="D1421">
        <v>140</v>
      </c>
      <c r="E1421">
        <v>-27642343.399999999</v>
      </c>
      <c r="F1421" t="s">
        <v>62</v>
      </c>
      <c r="G1421">
        <v>0</v>
      </c>
      <c r="H1421" s="32" t="str">
        <f ca="1">+IF(B1421&gt;'sap nuevo'!$V$1,"cargar",IF(C1421="","cargar","pagado"))</f>
        <v>cargar</v>
      </c>
      <c r="I1421" s="32">
        <f t="shared" si="192"/>
        <v>2026</v>
      </c>
      <c r="J1421" s="32">
        <f t="shared" si="193"/>
        <v>8</v>
      </c>
    </row>
    <row r="1422" spans="1:10" x14ac:dyDescent="0.25">
      <c r="A1422" t="s">
        <v>12</v>
      </c>
      <c r="B1422" t="s">
        <v>597</v>
      </c>
      <c r="C1422">
        <v>97124593</v>
      </c>
      <c r="D1422">
        <v>140</v>
      </c>
      <c r="E1422">
        <v>-27154458.43</v>
      </c>
      <c r="F1422" t="s">
        <v>63</v>
      </c>
      <c r="G1422">
        <v>0</v>
      </c>
      <c r="H1422" s="32" t="str">
        <f ca="1">+IF(B1422&gt;'sap nuevo'!$V$1,"cargar",IF(C1422="","cargar","pagado"))</f>
        <v>cargar</v>
      </c>
      <c r="I1422" s="32">
        <f t="shared" si="192"/>
        <v>2026</v>
      </c>
      <c r="J1422" s="32">
        <f t="shared" si="193"/>
        <v>8</v>
      </c>
    </row>
    <row r="1423" spans="1:10" x14ac:dyDescent="0.25">
      <c r="A1423" t="s">
        <v>544</v>
      </c>
      <c r="B1423" t="s">
        <v>597</v>
      </c>
      <c r="C1423">
        <v>97124588</v>
      </c>
      <c r="D1423">
        <v>140</v>
      </c>
      <c r="E1423">
        <v>-20231172.510000002</v>
      </c>
      <c r="F1423" t="s">
        <v>62</v>
      </c>
      <c r="G1423">
        <v>0</v>
      </c>
      <c r="H1423" s="32" t="str">
        <f ca="1">+IF(B1423&gt;'sap nuevo'!$V$1,"cargar",IF(C1423="","cargar","pagado"))</f>
        <v>cargar</v>
      </c>
      <c r="I1423" s="32">
        <f t="shared" si="192"/>
        <v>2026</v>
      </c>
      <c r="J1423" s="32">
        <f t="shared" si="193"/>
        <v>8</v>
      </c>
    </row>
    <row r="1424" spans="1:10" x14ac:dyDescent="0.25">
      <c r="A1424" t="s">
        <v>12</v>
      </c>
      <c r="B1424" t="s">
        <v>597</v>
      </c>
      <c r="C1424">
        <v>97124597</v>
      </c>
      <c r="D1424">
        <v>140</v>
      </c>
      <c r="E1424">
        <v>-17057543.399999999</v>
      </c>
      <c r="F1424" t="s">
        <v>63</v>
      </c>
      <c r="G1424">
        <v>0</v>
      </c>
      <c r="H1424" s="32" t="str">
        <f ca="1">+IF(B1424&gt;'sap nuevo'!$V$1,"cargar",IF(C1424="","cargar","pagado"))</f>
        <v>cargar</v>
      </c>
      <c r="I1424" s="32">
        <f t="shared" si="192"/>
        <v>2026</v>
      </c>
      <c r="J1424" s="32">
        <f t="shared" si="193"/>
        <v>8</v>
      </c>
    </row>
    <row r="1425" spans="1:10" x14ac:dyDescent="0.25">
      <c r="A1425" t="s">
        <v>544</v>
      </c>
      <c r="B1425" t="s">
        <v>597</v>
      </c>
      <c r="C1425">
        <v>97124591</v>
      </c>
      <c r="D1425">
        <v>140</v>
      </c>
      <c r="E1425">
        <v>-13217657.550000001</v>
      </c>
      <c r="F1425" t="s">
        <v>62</v>
      </c>
      <c r="G1425">
        <v>0</v>
      </c>
      <c r="H1425" s="32" t="str">
        <f ca="1">+IF(B1425&gt;'sap nuevo'!$V$1,"cargar",IF(C1425="","cargar","pagado"))</f>
        <v>cargar</v>
      </c>
      <c r="I1425" s="32">
        <f t="shared" si="192"/>
        <v>2026</v>
      </c>
      <c r="J1425" s="32">
        <f t="shared" si="193"/>
        <v>8</v>
      </c>
    </row>
    <row r="1426" spans="1:10" x14ac:dyDescent="0.25">
      <c r="A1426" t="s">
        <v>12</v>
      </c>
      <c r="B1426" t="s">
        <v>597</v>
      </c>
      <c r="C1426">
        <v>97124590</v>
      </c>
      <c r="D1426">
        <v>140</v>
      </c>
      <c r="E1426">
        <v>-11198543.4</v>
      </c>
      <c r="F1426" t="s">
        <v>63</v>
      </c>
      <c r="G1426">
        <v>0</v>
      </c>
      <c r="H1426" s="32" t="str">
        <f ca="1">+IF(B1426&gt;'sap nuevo'!$V$1,"cargar",IF(C1426="","cargar","pagado"))</f>
        <v>cargar</v>
      </c>
      <c r="I1426" s="32">
        <f t="shared" si="192"/>
        <v>2026</v>
      </c>
      <c r="J1426" s="32">
        <f t="shared" si="193"/>
        <v>8</v>
      </c>
    </row>
    <row r="1427" spans="1:10" x14ac:dyDescent="0.25">
      <c r="A1427" t="s">
        <v>544</v>
      </c>
      <c r="B1427" t="s">
        <v>597</v>
      </c>
      <c r="C1427">
        <v>97124586</v>
      </c>
      <c r="D1427">
        <v>140</v>
      </c>
      <c r="E1427">
        <v>-5085818.84</v>
      </c>
      <c r="F1427" t="s">
        <v>62</v>
      </c>
      <c r="G1427">
        <v>0</v>
      </c>
      <c r="H1427" s="32" t="str">
        <f ca="1">+IF(B1427&gt;'sap nuevo'!$V$1,"cargar",IF(C1427="","cargar","pagado"))</f>
        <v>cargar</v>
      </c>
      <c r="I1427" s="32">
        <f t="shared" si="192"/>
        <v>2026</v>
      </c>
      <c r="J1427" s="32">
        <f t="shared" si="193"/>
        <v>8</v>
      </c>
    </row>
    <row r="1428" spans="1:10" x14ac:dyDescent="0.25">
      <c r="A1428" t="s">
        <v>544</v>
      </c>
      <c r="B1428" t="s">
        <v>597</v>
      </c>
      <c r="C1428">
        <v>97124589</v>
      </c>
      <c r="D1428">
        <v>140</v>
      </c>
      <c r="E1428">
        <v>-4908915.92</v>
      </c>
      <c r="F1428" t="s">
        <v>62</v>
      </c>
      <c r="G1428">
        <v>0</v>
      </c>
      <c r="H1428" s="32" t="str">
        <f ca="1">+IF(B1428&gt;'sap nuevo'!$V$1,"cargar",IF(C1428="","cargar","pagado"))</f>
        <v>cargar</v>
      </c>
      <c r="I1428" s="32">
        <f t="shared" si="192"/>
        <v>2026</v>
      </c>
      <c r="J1428" s="32">
        <f t="shared" si="193"/>
        <v>8</v>
      </c>
    </row>
    <row r="1429" spans="1:10" x14ac:dyDescent="0.25">
      <c r="A1429" t="s">
        <v>544</v>
      </c>
      <c r="B1429" t="s">
        <v>597</v>
      </c>
      <c r="C1429">
        <v>97124598</v>
      </c>
      <c r="D1429">
        <v>140</v>
      </c>
      <c r="E1429">
        <v>-4380397.5199999996</v>
      </c>
      <c r="F1429" t="s">
        <v>62</v>
      </c>
      <c r="G1429">
        <v>0</v>
      </c>
      <c r="H1429" s="32" t="str">
        <f ca="1">+IF(B1429&gt;'sap nuevo'!$V$1,"cargar",IF(C1429="","cargar","pagado"))</f>
        <v>cargar</v>
      </c>
      <c r="I1429" s="32">
        <f t="shared" si="192"/>
        <v>2026</v>
      </c>
      <c r="J1429" s="32">
        <f t="shared" si="193"/>
        <v>8</v>
      </c>
    </row>
    <row r="1430" spans="1:10" x14ac:dyDescent="0.25">
      <c r="A1430" t="s">
        <v>12</v>
      </c>
      <c r="B1430" t="s">
        <v>597</v>
      </c>
      <c r="C1430">
        <v>97124596</v>
      </c>
      <c r="D1430">
        <v>140</v>
      </c>
      <c r="E1430">
        <v>-3504787.91</v>
      </c>
      <c r="F1430" t="s">
        <v>63</v>
      </c>
      <c r="G1430">
        <v>0</v>
      </c>
      <c r="H1430" s="32" t="str">
        <f ca="1">+IF(B1430&gt;'sap nuevo'!$V$1,"cargar",IF(C1430="","cargar","pagado"))</f>
        <v>cargar</v>
      </c>
      <c r="I1430" s="32">
        <f t="shared" si="192"/>
        <v>2026</v>
      </c>
      <c r="J1430" s="32">
        <f t="shared" si="193"/>
        <v>8</v>
      </c>
    </row>
    <row r="1431" spans="1:10" x14ac:dyDescent="0.25">
      <c r="A1431" t="s">
        <v>544</v>
      </c>
      <c r="B1431" t="s">
        <v>597</v>
      </c>
      <c r="C1431">
        <v>97124582</v>
      </c>
      <c r="D1431">
        <v>140</v>
      </c>
      <c r="E1431">
        <v>-2307494.96</v>
      </c>
      <c r="F1431" t="s">
        <v>62</v>
      </c>
      <c r="G1431">
        <v>0</v>
      </c>
      <c r="H1431" s="32" t="str">
        <f ca="1">+IF(B1431&gt;'sap nuevo'!$V$1,"cargar",IF(C1431="","cargar","pagado"))</f>
        <v>cargar</v>
      </c>
      <c r="I1431" s="32">
        <f t="shared" si="192"/>
        <v>2026</v>
      </c>
      <c r="J1431" s="32">
        <f t="shared" si="193"/>
        <v>8</v>
      </c>
    </row>
    <row r="1432" spans="1:10" x14ac:dyDescent="0.25">
      <c r="A1432" t="s">
        <v>544</v>
      </c>
      <c r="B1432" t="s">
        <v>597</v>
      </c>
      <c r="C1432">
        <v>97124583</v>
      </c>
      <c r="D1432">
        <v>140</v>
      </c>
      <c r="E1432">
        <v>-2199922.09</v>
      </c>
      <c r="F1432" t="s">
        <v>62</v>
      </c>
      <c r="G1432">
        <v>0</v>
      </c>
      <c r="H1432" s="32" t="str">
        <f ca="1">+IF(B1432&gt;'sap nuevo'!$V$1,"cargar",IF(C1432="","cargar","pagado"))</f>
        <v>cargar</v>
      </c>
      <c r="I1432" s="32">
        <f t="shared" si="192"/>
        <v>2026</v>
      </c>
      <c r="J1432" s="32">
        <f t="shared" si="193"/>
        <v>8</v>
      </c>
    </row>
    <row r="1433" spans="1:10" x14ac:dyDescent="0.25">
      <c r="A1433" t="s">
        <v>544</v>
      </c>
      <c r="B1433" t="s">
        <v>597</v>
      </c>
      <c r="C1433">
        <v>97124581</v>
      </c>
      <c r="D1433">
        <v>140</v>
      </c>
      <c r="E1433">
        <v>-2128465.09</v>
      </c>
      <c r="F1433" t="s">
        <v>62</v>
      </c>
      <c r="G1433">
        <v>0</v>
      </c>
      <c r="H1433" s="32" t="str">
        <f ca="1">+IF(B1433&gt;'sap nuevo'!$V$1,"cargar",IF(C1433="","cargar","pagado"))</f>
        <v>cargar</v>
      </c>
      <c r="I1433" s="32">
        <f t="shared" si="192"/>
        <v>2026</v>
      </c>
      <c r="J1433" s="32">
        <f t="shared" si="193"/>
        <v>8</v>
      </c>
    </row>
    <row r="1434" spans="1:10" x14ac:dyDescent="0.25">
      <c r="A1434" t="s">
        <v>544</v>
      </c>
      <c r="B1434" t="s">
        <v>597</v>
      </c>
      <c r="C1434">
        <v>97124570</v>
      </c>
      <c r="D1434">
        <v>140</v>
      </c>
      <c r="E1434">
        <v>-1945285.65</v>
      </c>
      <c r="F1434" t="s">
        <v>62</v>
      </c>
      <c r="G1434">
        <v>0</v>
      </c>
      <c r="H1434" s="32" t="str">
        <f ca="1">+IF(B1434&gt;'sap nuevo'!$V$1,"cargar",IF(C1434="","cargar","pagado"))</f>
        <v>cargar</v>
      </c>
      <c r="I1434" s="32">
        <f t="shared" si="192"/>
        <v>2026</v>
      </c>
      <c r="J1434" s="32">
        <f t="shared" si="193"/>
        <v>8</v>
      </c>
    </row>
    <row r="1435" spans="1:10" x14ac:dyDescent="0.25">
      <c r="A1435" t="s">
        <v>544</v>
      </c>
      <c r="B1435" t="s">
        <v>597</v>
      </c>
      <c r="C1435">
        <v>97124579</v>
      </c>
      <c r="D1435">
        <v>140</v>
      </c>
      <c r="E1435">
        <v>-1700000</v>
      </c>
      <c r="F1435" t="s">
        <v>62</v>
      </c>
      <c r="G1435">
        <v>0</v>
      </c>
      <c r="H1435" s="32" t="str">
        <f ca="1">+IF(B1435&gt;'sap nuevo'!$V$1,"cargar",IF(C1435="","cargar","pagado"))</f>
        <v>cargar</v>
      </c>
      <c r="I1435" s="32">
        <f t="shared" si="192"/>
        <v>2026</v>
      </c>
      <c r="J1435" s="32">
        <f t="shared" si="193"/>
        <v>8</v>
      </c>
    </row>
    <row r="1436" spans="1:10" x14ac:dyDescent="0.25">
      <c r="A1436" t="s">
        <v>544</v>
      </c>
      <c r="B1436" t="s">
        <v>597</v>
      </c>
      <c r="C1436">
        <v>97124600</v>
      </c>
      <c r="D1436">
        <v>140</v>
      </c>
      <c r="E1436">
        <v>-1522501.04</v>
      </c>
      <c r="F1436" t="s">
        <v>62</v>
      </c>
      <c r="G1436">
        <v>0</v>
      </c>
      <c r="H1436" s="32" t="str">
        <f ca="1">+IF(B1436&gt;'sap nuevo'!$V$1,"cargar",IF(C1436="","cargar","pagado"))</f>
        <v>cargar</v>
      </c>
      <c r="I1436" s="32">
        <f t="shared" si="192"/>
        <v>2026</v>
      </c>
      <c r="J1436" s="32">
        <f t="shared" si="193"/>
        <v>8</v>
      </c>
    </row>
    <row r="1437" spans="1:10" x14ac:dyDescent="0.25">
      <c r="A1437" t="s">
        <v>544</v>
      </c>
      <c r="B1437" t="s">
        <v>597</v>
      </c>
      <c r="C1437">
        <v>97124580</v>
      </c>
      <c r="D1437">
        <v>140</v>
      </c>
      <c r="E1437">
        <v>-1454760.61</v>
      </c>
      <c r="F1437" t="s">
        <v>62</v>
      </c>
      <c r="G1437">
        <v>0</v>
      </c>
      <c r="H1437" s="32" t="str">
        <f ca="1">+IF(B1437&gt;'sap nuevo'!$V$1,"cargar",IF(C1437="","cargar","pagado"))</f>
        <v>cargar</v>
      </c>
      <c r="I1437" s="32">
        <f t="shared" si="192"/>
        <v>2026</v>
      </c>
      <c r="J1437" s="32">
        <f t="shared" si="193"/>
        <v>8</v>
      </c>
    </row>
    <row r="1438" spans="1:10" x14ac:dyDescent="0.25">
      <c r="A1438" t="s">
        <v>544</v>
      </c>
      <c r="B1438" t="s">
        <v>597</v>
      </c>
      <c r="C1438">
        <v>97124575</v>
      </c>
      <c r="D1438">
        <v>140</v>
      </c>
      <c r="E1438">
        <v>-961845.52</v>
      </c>
      <c r="F1438" t="s">
        <v>62</v>
      </c>
      <c r="G1438">
        <v>0</v>
      </c>
      <c r="H1438" s="32" t="str">
        <f ca="1">+IF(B1438&gt;'sap nuevo'!$V$1,"cargar",IF(C1438="","cargar","pagado"))</f>
        <v>cargar</v>
      </c>
      <c r="I1438" s="32">
        <f t="shared" si="192"/>
        <v>2026</v>
      </c>
      <c r="J1438" s="32">
        <f t="shared" si="193"/>
        <v>8</v>
      </c>
    </row>
    <row r="1439" spans="1:10" x14ac:dyDescent="0.25">
      <c r="A1439" t="s">
        <v>12</v>
      </c>
      <c r="B1439" t="s">
        <v>598</v>
      </c>
      <c r="C1439">
        <v>97124587</v>
      </c>
      <c r="D1439">
        <v>140</v>
      </c>
      <c r="E1439">
        <v>-4094806.23</v>
      </c>
      <c r="F1439" t="s">
        <v>63</v>
      </c>
      <c r="G1439">
        <v>0</v>
      </c>
      <c r="H1439" s="32" t="str">
        <f ca="1">+IF(B1439&gt;'sap nuevo'!$V$1,"cargar",IF(C1439="","cargar","pagado"))</f>
        <v>cargar</v>
      </c>
      <c r="I1439" s="32">
        <f t="shared" si="192"/>
        <v>2026</v>
      </c>
      <c r="J1439" s="32">
        <f t="shared" si="193"/>
        <v>8</v>
      </c>
    </row>
    <row r="1440" spans="1:10" x14ac:dyDescent="0.25">
      <c r="A1440" t="s">
        <v>544</v>
      </c>
      <c r="B1440" t="s">
        <v>599</v>
      </c>
      <c r="C1440">
        <v>97124594</v>
      </c>
      <c r="D1440">
        <v>140</v>
      </c>
      <c r="E1440">
        <v>-9061038.2300000004</v>
      </c>
      <c r="F1440" t="s">
        <v>62</v>
      </c>
      <c r="G1440">
        <v>0</v>
      </c>
      <c r="H1440" s="32" t="str">
        <f ca="1">+IF(B1440&gt;'sap nuevo'!$V$1,"cargar",IF(C1440="","cargar","pagado"))</f>
        <v>cargar</v>
      </c>
      <c r="I1440" s="32">
        <f t="shared" si="192"/>
        <v>2026</v>
      </c>
      <c r="J1440" s="32">
        <f t="shared" si="193"/>
        <v>8</v>
      </c>
    </row>
    <row r="1441" spans="1:10" x14ac:dyDescent="0.25">
      <c r="A1441" t="s">
        <v>544</v>
      </c>
      <c r="B1441" t="s">
        <v>599</v>
      </c>
      <c r="C1441">
        <v>97121400</v>
      </c>
      <c r="D1441">
        <v>140</v>
      </c>
      <c r="E1441">
        <v>-3901560.17</v>
      </c>
      <c r="F1441" t="s">
        <v>62</v>
      </c>
      <c r="G1441">
        <v>0</v>
      </c>
      <c r="H1441" s="32" t="str">
        <f ca="1">+IF(B1441&gt;'sap nuevo'!$V$1,"cargar",IF(C1441="","cargar","pagado"))</f>
        <v>cargar</v>
      </c>
      <c r="I1441" s="32">
        <f t="shared" si="192"/>
        <v>2026</v>
      </c>
      <c r="J1441" s="32">
        <f t="shared" si="193"/>
        <v>8</v>
      </c>
    </row>
    <row r="1442" spans="1:10" x14ac:dyDescent="0.25">
      <c r="A1442" t="s">
        <v>12</v>
      </c>
      <c r="B1442" t="s">
        <v>599</v>
      </c>
      <c r="C1442">
        <v>97124576</v>
      </c>
      <c r="D1442">
        <v>140</v>
      </c>
      <c r="E1442">
        <v>-1005454.13</v>
      </c>
      <c r="F1442" t="s">
        <v>63</v>
      </c>
      <c r="G1442">
        <v>0</v>
      </c>
      <c r="H1442" s="32" t="str">
        <f ca="1">+IF(B1442&gt;'sap nuevo'!$V$1,"cargar",IF(C1442="","cargar","pagado"))</f>
        <v>cargar</v>
      </c>
      <c r="I1442" s="32">
        <f t="shared" si="192"/>
        <v>2026</v>
      </c>
      <c r="J1442" s="32">
        <f t="shared" si="193"/>
        <v>8</v>
      </c>
    </row>
    <row r="1443" spans="1:10" x14ac:dyDescent="0.25">
      <c r="A1443" t="s">
        <v>12</v>
      </c>
      <c r="B1443" t="s">
        <v>602</v>
      </c>
      <c r="C1443">
        <v>97124571</v>
      </c>
      <c r="D1443">
        <v>140</v>
      </c>
      <c r="E1443">
        <v>-6995139.4100000001</v>
      </c>
      <c r="F1443" t="s">
        <v>63</v>
      </c>
      <c r="G1443">
        <v>0</v>
      </c>
      <c r="H1443" s="32" t="str">
        <f ca="1">+IF(B1443&gt;'sap nuevo'!$V$1,"cargar",IF(C1443="","cargar","pagado"))</f>
        <v>cargar</v>
      </c>
      <c r="I1443" s="32">
        <f t="shared" si="192"/>
        <v>2026</v>
      </c>
      <c r="J1443" s="32">
        <f t="shared" si="193"/>
        <v>8</v>
      </c>
    </row>
    <row r="1444" spans="1:10" x14ac:dyDescent="0.25">
      <c r="A1444" t="s">
        <v>544</v>
      </c>
      <c r="B1444" t="s">
        <v>603</v>
      </c>
      <c r="C1444">
        <v>97124540</v>
      </c>
      <c r="D1444">
        <v>140</v>
      </c>
      <c r="E1444">
        <v>-470000000</v>
      </c>
      <c r="F1444" t="s">
        <v>62</v>
      </c>
      <c r="G1444">
        <v>0</v>
      </c>
      <c r="H1444" s="32" t="str">
        <f ca="1">+IF(B1444&gt;'sap nuevo'!$V$1,"cargar",IF(C1444="","cargar","pagado"))</f>
        <v>cargar</v>
      </c>
      <c r="I1444" s="32">
        <f t="shared" si="192"/>
        <v>2026</v>
      </c>
      <c r="J1444" s="32">
        <f t="shared" si="193"/>
        <v>8</v>
      </c>
    </row>
    <row r="1445" spans="1:10" x14ac:dyDescent="0.25">
      <c r="A1445" t="s">
        <v>544</v>
      </c>
      <c r="B1445" t="s">
        <v>603</v>
      </c>
      <c r="C1445">
        <v>97124578</v>
      </c>
      <c r="D1445">
        <v>140</v>
      </c>
      <c r="E1445">
        <v>-2517703.4</v>
      </c>
      <c r="F1445" t="s">
        <v>62</v>
      </c>
      <c r="G1445">
        <v>0</v>
      </c>
      <c r="H1445" s="32" t="str">
        <f ca="1">+IF(B1445&gt;'sap nuevo'!$V$1,"cargar",IF(C1445="","cargar","pagado"))</f>
        <v>cargar</v>
      </c>
      <c r="I1445" s="32">
        <f t="shared" si="192"/>
        <v>2026</v>
      </c>
      <c r="J1445" s="32">
        <f t="shared" si="193"/>
        <v>8</v>
      </c>
    </row>
    <row r="1446" spans="1:10" x14ac:dyDescent="0.25">
      <c r="A1446" t="s">
        <v>544</v>
      </c>
      <c r="B1446" t="s">
        <v>604</v>
      </c>
      <c r="C1446">
        <v>97124620</v>
      </c>
      <c r="D1446">
        <v>140</v>
      </c>
      <c r="E1446">
        <v>-39119079.82</v>
      </c>
      <c r="F1446" t="s">
        <v>62</v>
      </c>
      <c r="G1446">
        <v>0</v>
      </c>
      <c r="H1446" s="32" t="str">
        <f ca="1">+IF(B1446&gt;'sap nuevo'!$V$1,"cargar",IF(C1446="","cargar","pagado"))</f>
        <v>cargar</v>
      </c>
      <c r="I1446" s="32">
        <f t="shared" si="192"/>
        <v>2026</v>
      </c>
      <c r="J1446" s="32">
        <f t="shared" si="193"/>
        <v>8</v>
      </c>
    </row>
    <row r="1447" spans="1:10" x14ac:dyDescent="0.25">
      <c r="A1447" t="s">
        <v>544</v>
      </c>
      <c r="B1447" t="s">
        <v>604</v>
      </c>
      <c r="C1447">
        <v>97124602</v>
      </c>
      <c r="D1447">
        <v>140</v>
      </c>
      <c r="E1447">
        <v>-32516843.399999999</v>
      </c>
      <c r="F1447" t="s">
        <v>62</v>
      </c>
      <c r="G1447">
        <v>0</v>
      </c>
      <c r="H1447" s="32" t="str">
        <f ca="1">+IF(B1447&gt;'sap nuevo'!$V$1,"cargar",IF(C1447="","cargar","pagado"))</f>
        <v>cargar</v>
      </c>
      <c r="I1447" s="32">
        <f t="shared" si="192"/>
        <v>2026</v>
      </c>
      <c r="J1447" s="32">
        <f t="shared" si="193"/>
        <v>8</v>
      </c>
    </row>
    <row r="1448" spans="1:10" x14ac:dyDescent="0.25">
      <c r="A1448" t="s">
        <v>544</v>
      </c>
      <c r="B1448" t="s">
        <v>604</v>
      </c>
      <c r="C1448">
        <v>97124527</v>
      </c>
      <c r="D1448">
        <v>140</v>
      </c>
      <c r="E1448">
        <v>-30262600</v>
      </c>
      <c r="F1448" t="s">
        <v>62</v>
      </c>
      <c r="G1448">
        <v>0</v>
      </c>
      <c r="H1448" s="32" t="str">
        <f ca="1">+IF(B1448&gt;'sap nuevo'!$V$1,"cargar",IF(C1448="","cargar","pagado"))</f>
        <v>cargar</v>
      </c>
      <c r="I1448" s="32">
        <f t="shared" si="192"/>
        <v>2026</v>
      </c>
      <c r="J1448" s="32">
        <f t="shared" si="193"/>
        <v>8</v>
      </c>
    </row>
    <row r="1449" spans="1:10" x14ac:dyDescent="0.25">
      <c r="A1449" t="s">
        <v>12</v>
      </c>
      <c r="B1449" t="s">
        <v>604</v>
      </c>
      <c r="C1449">
        <v>97124604</v>
      </c>
      <c r="D1449">
        <v>140</v>
      </c>
      <c r="E1449">
        <v>-26695988</v>
      </c>
      <c r="F1449" t="s">
        <v>63</v>
      </c>
      <c r="G1449">
        <v>0</v>
      </c>
      <c r="H1449" s="32" t="str">
        <f ca="1">+IF(B1449&gt;'sap nuevo'!$V$1,"cargar",IF(C1449="","cargar","pagado"))</f>
        <v>cargar</v>
      </c>
      <c r="I1449" s="32">
        <f t="shared" si="192"/>
        <v>2026</v>
      </c>
      <c r="J1449" s="32">
        <f t="shared" si="193"/>
        <v>8</v>
      </c>
    </row>
    <row r="1450" spans="1:10" x14ac:dyDescent="0.25">
      <c r="A1450" t="s">
        <v>544</v>
      </c>
      <c r="B1450" t="s">
        <v>604</v>
      </c>
      <c r="C1450">
        <v>97124610</v>
      </c>
      <c r="D1450">
        <v>140</v>
      </c>
      <c r="E1450">
        <v>-25651738.300000001</v>
      </c>
      <c r="F1450" t="s">
        <v>62</v>
      </c>
      <c r="G1450">
        <v>0</v>
      </c>
      <c r="H1450" s="32" t="str">
        <f ca="1">+IF(B1450&gt;'sap nuevo'!$V$1,"cargar",IF(C1450="","cargar","pagado"))</f>
        <v>cargar</v>
      </c>
      <c r="I1450" s="32">
        <f t="shared" ref="I1450:I1478" si="194">+YEAR(B1450)</f>
        <v>2026</v>
      </c>
      <c r="J1450" s="32">
        <f t="shared" ref="J1450:J1478" si="195">+MONTH(B1450)</f>
        <v>8</v>
      </c>
    </row>
    <row r="1451" spans="1:10" x14ac:dyDescent="0.25">
      <c r="A1451" t="s">
        <v>12</v>
      </c>
      <c r="B1451" t="s">
        <v>604</v>
      </c>
      <c r="C1451">
        <v>97124603</v>
      </c>
      <c r="D1451">
        <v>140</v>
      </c>
      <c r="E1451">
        <v>-16771441.75</v>
      </c>
      <c r="F1451" t="s">
        <v>63</v>
      </c>
      <c r="G1451">
        <v>0</v>
      </c>
      <c r="H1451" s="32" t="str">
        <f ca="1">+IF(B1451&gt;'sap nuevo'!$V$1,"cargar",IF(C1451="","cargar","pagado"))</f>
        <v>cargar</v>
      </c>
      <c r="I1451" s="32">
        <f t="shared" si="194"/>
        <v>2026</v>
      </c>
      <c r="J1451" s="32">
        <f t="shared" si="195"/>
        <v>8</v>
      </c>
    </row>
    <row r="1452" spans="1:10" x14ac:dyDescent="0.25">
      <c r="A1452" t="s">
        <v>12</v>
      </c>
      <c r="B1452" t="s">
        <v>604</v>
      </c>
      <c r="C1452">
        <v>97124592</v>
      </c>
      <c r="D1452">
        <v>140</v>
      </c>
      <c r="E1452">
        <v>-15651790</v>
      </c>
      <c r="F1452" t="s">
        <v>63</v>
      </c>
      <c r="G1452">
        <v>0</v>
      </c>
      <c r="H1452" s="32" t="str">
        <f ca="1">+IF(B1452&gt;'sap nuevo'!$V$1,"cargar",IF(C1452="","cargar","pagado"))</f>
        <v>cargar</v>
      </c>
      <c r="I1452" s="32">
        <f t="shared" si="194"/>
        <v>2026</v>
      </c>
      <c r="J1452" s="32">
        <f t="shared" si="195"/>
        <v>8</v>
      </c>
    </row>
    <row r="1453" spans="1:10" x14ac:dyDescent="0.25">
      <c r="A1453" t="s">
        <v>544</v>
      </c>
      <c r="B1453" t="s">
        <v>604</v>
      </c>
      <c r="C1453">
        <v>97124609</v>
      </c>
      <c r="D1453">
        <v>140</v>
      </c>
      <c r="E1453">
        <v>-13387257.369999999</v>
      </c>
      <c r="F1453" t="s">
        <v>62</v>
      </c>
      <c r="G1453">
        <v>0</v>
      </c>
      <c r="H1453" s="32" t="str">
        <f ca="1">+IF(B1453&gt;'sap nuevo'!$V$1,"cargar",IF(C1453="","cargar","pagado"))</f>
        <v>cargar</v>
      </c>
      <c r="I1453" s="32">
        <f t="shared" si="194"/>
        <v>2026</v>
      </c>
      <c r="J1453" s="32">
        <f t="shared" si="195"/>
        <v>8</v>
      </c>
    </row>
    <row r="1454" spans="1:10" x14ac:dyDescent="0.25">
      <c r="A1454" t="s">
        <v>544</v>
      </c>
      <c r="B1454" t="s">
        <v>604</v>
      </c>
      <c r="C1454">
        <v>97124607</v>
      </c>
      <c r="D1454">
        <v>140</v>
      </c>
      <c r="E1454">
        <v>-13320893.58</v>
      </c>
      <c r="F1454" t="s">
        <v>62</v>
      </c>
      <c r="G1454">
        <v>0</v>
      </c>
      <c r="H1454" s="32" t="str">
        <f ca="1">+IF(B1454&gt;'sap nuevo'!$V$1,"cargar",IF(C1454="","cargar","pagado"))</f>
        <v>cargar</v>
      </c>
      <c r="I1454" s="32">
        <f t="shared" si="194"/>
        <v>2026</v>
      </c>
      <c r="J1454" s="32">
        <f t="shared" si="195"/>
        <v>8</v>
      </c>
    </row>
    <row r="1455" spans="1:10" x14ac:dyDescent="0.25">
      <c r="A1455" t="s">
        <v>544</v>
      </c>
      <c r="B1455" t="s">
        <v>604</v>
      </c>
      <c r="C1455">
        <v>97124601</v>
      </c>
      <c r="D1455">
        <v>140</v>
      </c>
      <c r="E1455">
        <v>-6614654.2300000004</v>
      </c>
      <c r="F1455" t="s">
        <v>62</v>
      </c>
      <c r="G1455">
        <v>0</v>
      </c>
      <c r="H1455" s="32" t="str">
        <f ca="1">+IF(B1455&gt;'sap nuevo'!$V$1,"cargar",IF(C1455="","cargar","pagado"))</f>
        <v>cargar</v>
      </c>
      <c r="I1455" s="32">
        <f t="shared" si="194"/>
        <v>2026</v>
      </c>
      <c r="J1455" s="32">
        <f t="shared" si="195"/>
        <v>8</v>
      </c>
    </row>
    <row r="1456" spans="1:10" x14ac:dyDescent="0.25">
      <c r="A1456" t="s">
        <v>12</v>
      </c>
      <c r="B1456" t="s">
        <v>604</v>
      </c>
      <c r="C1456">
        <v>97124605</v>
      </c>
      <c r="D1456">
        <v>140</v>
      </c>
      <c r="E1456">
        <v>-5355577.2699999996</v>
      </c>
      <c r="F1456" t="s">
        <v>63</v>
      </c>
      <c r="G1456">
        <v>0</v>
      </c>
      <c r="H1456" s="32" t="str">
        <f ca="1">+IF(B1456&gt;'sap nuevo'!$V$1,"cargar",IF(C1456="","cargar","pagado"))</f>
        <v>cargar</v>
      </c>
      <c r="I1456" s="32">
        <f t="shared" si="194"/>
        <v>2026</v>
      </c>
      <c r="J1456" s="32">
        <f t="shared" si="195"/>
        <v>8</v>
      </c>
    </row>
    <row r="1457" spans="1:10" x14ac:dyDescent="0.25">
      <c r="A1457" t="s">
        <v>544</v>
      </c>
      <c r="B1457" t="s">
        <v>605</v>
      </c>
      <c r="C1457">
        <v>97124615</v>
      </c>
      <c r="D1457">
        <v>140</v>
      </c>
      <c r="E1457">
        <v>-21703321.93</v>
      </c>
      <c r="F1457" t="s">
        <v>62</v>
      </c>
      <c r="G1457">
        <v>0</v>
      </c>
      <c r="H1457" s="32" t="str">
        <f ca="1">+IF(B1457&gt;'sap nuevo'!$V$1,"cargar",IF(C1457="","cargar","pagado"))</f>
        <v>cargar</v>
      </c>
      <c r="I1457" s="32">
        <f t="shared" si="194"/>
        <v>2026</v>
      </c>
      <c r="J1457" s="32">
        <f t="shared" si="195"/>
        <v>8</v>
      </c>
    </row>
    <row r="1458" spans="1:10" x14ac:dyDescent="0.25">
      <c r="A1458" t="s">
        <v>12</v>
      </c>
      <c r="B1458" t="s">
        <v>605</v>
      </c>
      <c r="C1458">
        <v>97124613</v>
      </c>
      <c r="D1458">
        <v>140</v>
      </c>
      <c r="E1458">
        <v>-13415875.960000001</v>
      </c>
      <c r="F1458" t="s">
        <v>63</v>
      </c>
      <c r="G1458">
        <v>0</v>
      </c>
      <c r="H1458" s="32" t="str">
        <f ca="1">+IF(B1458&gt;'sap nuevo'!$V$1,"cargar",IF(C1458="","cargar","pagado"))</f>
        <v>cargar</v>
      </c>
      <c r="I1458" s="32">
        <f t="shared" si="194"/>
        <v>2026</v>
      </c>
      <c r="J1458" s="32">
        <f t="shared" si="195"/>
        <v>8</v>
      </c>
    </row>
    <row r="1459" spans="1:10" x14ac:dyDescent="0.25">
      <c r="A1459" t="s">
        <v>12</v>
      </c>
      <c r="B1459" t="s">
        <v>605</v>
      </c>
      <c r="C1459">
        <v>97124614</v>
      </c>
      <c r="D1459">
        <v>140</v>
      </c>
      <c r="E1459">
        <v>-11901343.4</v>
      </c>
      <c r="F1459" t="s">
        <v>63</v>
      </c>
      <c r="G1459">
        <v>0</v>
      </c>
      <c r="H1459" s="32" t="str">
        <f ca="1">+IF(B1459&gt;'sap nuevo'!$V$1,"cargar",IF(C1459="","cargar","pagado"))</f>
        <v>cargar</v>
      </c>
      <c r="I1459" s="32">
        <f t="shared" si="194"/>
        <v>2026</v>
      </c>
      <c r="J1459" s="32">
        <f t="shared" si="195"/>
        <v>8</v>
      </c>
    </row>
    <row r="1460" spans="1:10" x14ac:dyDescent="0.25">
      <c r="A1460" t="s">
        <v>544</v>
      </c>
      <c r="B1460" t="s">
        <v>605</v>
      </c>
      <c r="C1460">
        <v>97124616</v>
      </c>
      <c r="D1460">
        <v>140</v>
      </c>
      <c r="E1460">
        <v>-9122652.75</v>
      </c>
      <c r="F1460" t="s">
        <v>62</v>
      </c>
      <c r="G1460">
        <v>0</v>
      </c>
      <c r="H1460" s="32" t="str">
        <f ca="1">+IF(B1460&gt;'sap nuevo'!$V$1,"cargar",IF(C1460="","cargar","pagado"))</f>
        <v>cargar</v>
      </c>
      <c r="I1460" s="32">
        <f t="shared" si="194"/>
        <v>2026</v>
      </c>
      <c r="J1460" s="32">
        <f t="shared" si="195"/>
        <v>8</v>
      </c>
    </row>
    <row r="1461" spans="1:10" x14ac:dyDescent="0.25">
      <c r="A1461" t="s">
        <v>544</v>
      </c>
      <c r="B1461" t="s">
        <v>605</v>
      </c>
      <c r="C1461">
        <v>97124618</v>
      </c>
      <c r="D1461">
        <v>140</v>
      </c>
      <c r="E1461">
        <v>-8269643.5499999998</v>
      </c>
      <c r="F1461" t="s">
        <v>62</v>
      </c>
      <c r="G1461">
        <v>0</v>
      </c>
      <c r="H1461" s="32" t="str">
        <f ca="1">+IF(B1461&gt;'sap nuevo'!$V$1,"cargar",IF(C1461="","cargar","pagado"))</f>
        <v>cargar</v>
      </c>
      <c r="I1461" s="32">
        <f t="shared" si="194"/>
        <v>2026</v>
      </c>
      <c r="J1461" s="32">
        <f t="shared" si="195"/>
        <v>8</v>
      </c>
    </row>
    <row r="1462" spans="1:10" x14ac:dyDescent="0.25">
      <c r="A1462" t="s">
        <v>12</v>
      </c>
      <c r="B1462" t="s">
        <v>605</v>
      </c>
      <c r="C1462">
        <v>97124611</v>
      </c>
      <c r="D1462">
        <v>140</v>
      </c>
      <c r="E1462">
        <v>-4285746.5999999996</v>
      </c>
      <c r="F1462" t="s">
        <v>63</v>
      </c>
      <c r="G1462">
        <v>0</v>
      </c>
      <c r="H1462" s="32" t="str">
        <f ca="1">+IF(B1462&gt;'sap nuevo'!$V$1,"cargar",IF(C1462="","cargar","pagado"))</f>
        <v>cargar</v>
      </c>
      <c r="I1462" s="32">
        <f t="shared" si="194"/>
        <v>2026</v>
      </c>
      <c r="J1462" s="32">
        <f t="shared" si="195"/>
        <v>8</v>
      </c>
    </row>
    <row r="1463" spans="1:10" x14ac:dyDescent="0.25">
      <c r="A1463" t="s">
        <v>544</v>
      </c>
      <c r="B1463" t="s">
        <v>605</v>
      </c>
      <c r="C1463">
        <v>97124612</v>
      </c>
      <c r="D1463">
        <v>140</v>
      </c>
      <c r="E1463">
        <v>-3639813.28</v>
      </c>
      <c r="F1463" t="s">
        <v>62</v>
      </c>
      <c r="G1463">
        <v>0</v>
      </c>
      <c r="H1463" s="32" t="str">
        <f ca="1">+IF(B1463&gt;'sap nuevo'!$V$1,"cargar",IF(C1463="","cargar","pagado"))</f>
        <v>cargar</v>
      </c>
      <c r="I1463" s="32">
        <f t="shared" si="194"/>
        <v>2026</v>
      </c>
      <c r="J1463" s="32">
        <f t="shared" si="195"/>
        <v>8</v>
      </c>
    </row>
    <row r="1464" spans="1:10" x14ac:dyDescent="0.25">
      <c r="A1464" t="s">
        <v>12</v>
      </c>
      <c r="B1464" t="s">
        <v>605</v>
      </c>
      <c r="C1464">
        <v>97124584</v>
      </c>
      <c r="D1464">
        <v>140</v>
      </c>
      <c r="E1464">
        <v>-1798877.51</v>
      </c>
      <c r="F1464" t="s">
        <v>63</v>
      </c>
      <c r="G1464">
        <v>0</v>
      </c>
      <c r="H1464" s="32" t="str">
        <f ca="1">+IF(B1464&gt;'sap nuevo'!$V$1,"cargar",IF(C1464="","cargar","pagado"))</f>
        <v>cargar</v>
      </c>
      <c r="I1464" s="32">
        <f t="shared" si="194"/>
        <v>2026</v>
      </c>
      <c r="J1464" s="32">
        <f t="shared" si="195"/>
        <v>8</v>
      </c>
    </row>
    <row r="1465" spans="1:10" x14ac:dyDescent="0.25">
      <c r="A1465" t="s">
        <v>544</v>
      </c>
      <c r="B1465" t="s">
        <v>606</v>
      </c>
      <c r="C1465">
        <v>97124606</v>
      </c>
      <c r="D1465">
        <v>140</v>
      </c>
      <c r="E1465">
        <v>-10153294.92</v>
      </c>
      <c r="F1465" t="s">
        <v>62</v>
      </c>
      <c r="G1465">
        <v>0</v>
      </c>
      <c r="H1465" s="32" t="str">
        <f ca="1">+IF(B1465&gt;'sap nuevo'!$V$1,"cargar",IF(C1465="","cargar","pagado"))</f>
        <v>cargar</v>
      </c>
      <c r="I1465" s="32">
        <f t="shared" si="194"/>
        <v>2026</v>
      </c>
      <c r="J1465" s="32">
        <f t="shared" si="195"/>
        <v>8</v>
      </c>
    </row>
    <row r="1466" spans="1:10" x14ac:dyDescent="0.25">
      <c r="A1466" t="s">
        <v>544</v>
      </c>
      <c r="B1466" t="s">
        <v>606</v>
      </c>
      <c r="C1466">
        <v>97124619</v>
      </c>
      <c r="D1466">
        <v>140</v>
      </c>
      <c r="E1466">
        <v>-8145986.96</v>
      </c>
      <c r="F1466" t="s">
        <v>62</v>
      </c>
      <c r="G1466">
        <v>0</v>
      </c>
      <c r="H1466" s="32" t="str">
        <f ca="1">+IF(B1466&gt;'sap nuevo'!$V$1,"cargar",IF(C1466="","cargar","pagado"))</f>
        <v>cargar</v>
      </c>
      <c r="I1466" s="32">
        <f t="shared" si="194"/>
        <v>2026</v>
      </c>
      <c r="J1466" s="32">
        <f t="shared" si="195"/>
        <v>8</v>
      </c>
    </row>
    <row r="1467" spans="1:10" x14ac:dyDescent="0.25">
      <c r="A1467" t="s">
        <v>12</v>
      </c>
      <c r="B1467" t="s">
        <v>606</v>
      </c>
      <c r="C1467">
        <v>97124617</v>
      </c>
      <c r="D1467">
        <v>140</v>
      </c>
      <c r="E1467">
        <v>-6740095.9500000002</v>
      </c>
      <c r="F1467" t="s">
        <v>63</v>
      </c>
      <c r="G1467">
        <v>0</v>
      </c>
      <c r="H1467" s="32" t="str">
        <f ca="1">+IF(B1467&gt;'sap nuevo'!$V$1,"cargar",IF(C1467="","cargar","pagado"))</f>
        <v>cargar</v>
      </c>
      <c r="I1467" s="32">
        <f t="shared" si="194"/>
        <v>2026</v>
      </c>
      <c r="J1467" s="32">
        <f t="shared" si="195"/>
        <v>8</v>
      </c>
    </row>
    <row r="1468" spans="1:10" x14ac:dyDescent="0.25">
      <c r="A1468" t="s">
        <v>12</v>
      </c>
      <c r="B1468" t="s">
        <v>608</v>
      </c>
      <c r="C1468">
        <v>97124608</v>
      </c>
      <c r="D1468">
        <v>140</v>
      </c>
      <c r="E1468">
        <v>-8475041.1199999992</v>
      </c>
      <c r="F1468" t="s">
        <v>63</v>
      </c>
      <c r="G1468">
        <v>0</v>
      </c>
      <c r="H1468" s="32" t="str">
        <f ca="1">+IF(B1468&gt;'sap nuevo'!$V$1,"cargar",IF(C1468="","cargar","pagado"))</f>
        <v>cargar</v>
      </c>
      <c r="I1468" s="32">
        <f t="shared" si="194"/>
        <v>2026</v>
      </c>
      <c r="J1468" s="32">
        <f t="shared" si="195"/>
        <v>8</v>
      </c>
    </row>
    <row r="1469" spans="1:10" x14ac:dyDescent="0.25">
      <c r="A1469" t="s">
        <v>544</v>
      </c>
      <c r="B1469" t="s">
        <v>609</v>
      </c>
      <c r="C1469">
        <v>97124541</v>
      </c>
      <c r="D1469">
        <v>140</v>
      </c>
      <c r="E1469">
        <v>-468216094.19999999</v>
      </c>
      <c r="F1469" t="s">
        <v>62</v>
      </c>
      <c r="G1469">
        <v>0</v>
      </c>
      <c r="H1469" s="32" t="str">
        <f ca="1">+IF(B1469&gt;'sap nuevo'!$V$1,"cargar",IF(C1469="","cargar","pagado"))</f>
        <v>cargar</v>
      </c>
      <c r="I1469" s="32">
        <f t="shared" si="194"/>
        <v>2026</v>
      </c>
      <c r="J1469" s="32">
        <f t="shared" si="195"/>
        <v>9</v>
      </c>
    </row>
    <row r="1470" spans="1:10" x14ac:dyDescent="0.25">
      <c r="A1470" t="s">
        <v>544</v>
      </c>
      <c r="B1470" t="s">
        <v>610</v>
      </c>
      <c r="C1470">
        <v>97124577</v>
      </c>
      <c r="D1470">
        <v>140</v>
      </c>
      <c r="E1470">
        <v>-986143.72</v>
      </c>
      <c r="F1470" t="s">
        <v>62</v>
      </c>
      <c r="G1470">
        <v>0</v>
      </c>
      <c r="H1470" s="32" t="str">
        <f ca="1">+IF(B1470&gt;'sap nuevo'!$V$1,"cargar",IF(C1470="","cargar","pagado"))</f>
        <v>cargar</v>
      </c>
      <c r="I1470" s="32">
        <f t="shared" si="194"/>
        <v>2026</v>
      </c>
      <c r="J1470" s="32">
        <f t="shared" si="195"/>
        <v>9</v>
      </c>
    </row>
    <row r="1471" spans="1:10" x14ac:dyDescent="0.25">
      <c r="A1471" t="s">
        <v>12</v>
      </c>
      <c r="B1471" t="s">
        <v>611</v>
      </c>
      <c r="C1471">
        <v>97124623</v>
      </c>
      <c r="D1471">
        <v>140</v>
      </c>
      <c r="E1471">
        <v>-23961670.82</v>
      </c>
      <c r="F1471" t="s">
        <v>63</v>
      </c>
      <c r="G1471">
        <v>0</v>
      </c>
      <c r="H1471" s="32" t="str">
        <f ca="1">+IF(B1471&gt;'sap nuevo'!$V$1,"cargar",IF(C1471="","cargar","pagado"))</f>
        <v>cargar</v>
      </c>
      <c r="I1471" s="32">
        <f t="shared" si="194"/>
        <v>2026</v>
      </c>
      <c r="J1471" s="32">
        <f t="shared" si="195"/>
        <v>9</v>
      </c>
    </row>
    <row r="1472" spans="1:10" x14ac:dyDescent="0.25">
      <c r="A1472" t="s">
        <v>12</v>
      </c>
      <c r="B1472" t="s">
        <v>611</v>
      </c>
      <c r="C1472">
        <v>97124630</v>
      </c>
      <c r="D1472">
        <v>140</v>
      </c>
      <c r="E1472">
        <v>-23213701.489999998</v>
      </c>
      <c r="F1472" t="s">
        <v>63</v>
      </c>
      <c r="G1472">
        <v>0</v>
      </c>
      <c r="H1472" s="32" t="str">
        <f ca="1">+IF(B1472&gt;'sap nuevo'!$V$1,"cargar",IF(C1472="","cargar","pagado"))</f>
        <v>cargar</v>
      </c>
      <c r="I1472" s="32">
        <f t="shared" si="194"/>
        <v>2026</v>
      </c>
      <c r="J1472" s="32">
        <f t="shared" si="195"/>
        <v>9</v>
      </c>
    </row>
    <row r="1473" spans="1:10" x14ac:dyDescent="0.25">
      <c r="A1473" t="s">
        <v>544</v>
      </c>
      <c r="B1473" t="s">
        <v>611</v>
      </c>
      <c r="C1473">
        <v>97124633</v>
      </c>
      <c r="D1473">
        <v>140</v>
      </c>
      <c r="E1473">
        <v>-21597500</v>
      </c>
      <c r="F1473" t="s">
        <v>62</v>
      </c>
      <c r="G1473">
        <v>0</v>
      </c>
      <c r="H1473" s="32" t="str">
        <f ca="1">+IF(B1473&gt;'sap nuevo'!$V$1,"cargar",IF(C1473="","cargar","pagado"))</f>
        <v>cargar</v>
      </c>
      <c r="I1473" s="32">
        <f t="shared" si="194"/>
        <v>2026</v>
      </c>
      <c r="J1473" s="32">
        <f t="shared" si="195"/>
        <v>9</v>
      </c>
    </row>
    <row r="1474" spans="1:10" x14ac:dyDescent="0.25">
      <c r="A1474" t="s">
        <v>544</v>
      </c>
      <c r="B1474" t="s">
        <v>611</v>
      </c>
      <c r="C1474">
        <v>97124627</v>
      </c>
      <c r="D1474">
        <v>140</v>
      </c>
      <c r="E1474">
        <v>-21422548.719999999</v>
      </c>
      <c r="F1474" t="s">
        <v>62</v>
      </c>
      <c r="G1474">
        <v>0</v>
      </c>
      <c r="H1474" s="32" t="str">
        <f ca="1">+IF(B1474&gt;'sap nuevo'!$V$1,"cargar",IF(C1474="","cargar","pagado"))</f>
        <v>cargar</v>
      </c>
      <c r="I1474" s="32">
        <f t="shared" si="194"/>
        <v>2026</v>
      </c>
      <c r="J1474" s="32">
        <f t="shared" si="195"/>
        <v>9</v>
      </c>
    </row>
    <row r="1475" spans="1:10" x14ac:dyDescent="0.25">
      <c r="A1475" t="s">
        <v>544</v>
      </c>
      <c r="B1475" t="s">
        <v>611</v>
      </c>
      <c r="C1475">
        <v>97124628</v>
      </c>
      <c r="D1475">
        <v>140</v>
      </c>
      <c r="E1475">
        <v>-19715626.260000002</v>
      </c>
      <c r="F1475" t="s">
        <v>62</v>
      </c>
      <c r="G1475">
        <v>0</v>
      </c>
      <c r="H1475" s="32" t="str">
        <f ca="1">+IF(B1475&gt;'sap nuevo'!$V$1,"cargar",IF(C1475="","cargar","pagado"))</f>
        <v>cargar</v>
      </c>
      <c r="I1475" s="32">
        <f t="shared" si="194"/>
        <v>2026</v>
      </c>
      <c r="J1475" s="32">
        <f t="shared" si="195"/>
        <v>9</v>
      </c>
    </row>
    <row r="1476" spans="1:10" x14ac:dyDescent="0.25">
      <c r="A1476" t="s">
        <v>544</v>
      </c>
      <c r="B1476" t="s">
        <v>611</v>
      </c>
      <c r="C1476">
        <v>97124634</v>
      </c>
      <c r="D1476">
        <v>140</v>
      </c>
      <c r="E1476">
        <v>-17915480</v>
      </c>
      <c r="F1476" t="s">
        <v>62</v>
      </c>
      <c r="G1476">
        <v>0</v>
      </c>
      <c r="H1476" s="32" t="str">
        <f ca="1">+IF(B1476&gt;'sap nuevo'!$V$1,"cargar",IF(C1476="","cargar","pagado"))</f>
        <v>cargar</v>
      </c>
      <c r="I1476" s="32">
        <f t="shared" si="194"/>
        <v>2026</v>
      </c>
      <c r="J1476" s="32">
        <f t="shared" si="195"/>
        <v>9</v>
      </c>
    </row>
    <row r="1477" spans="1:10" x14ac:dyDescent="0.25">
      <c r="A1477" t="s">
        <v>544</v>
      </c>
      <c r="B1477" t="s">
        <v>611</v>
      </c>
      <c r="C1477">
        <v>97124624</v>
      </c>
      <c r="D1477">
        <v>140</v>
      </c>
      <c r="E1477">
        <v>-16518800.85</v>
      </c>
      <c r="F1477" t="s">
        <v>62</v>
      </c>
      <c r="G1477">
        <v>0</v>
      </c>
      <c r="H1477" s="32" t="str">
        <f ca="1">+IF(B1477&gt;'sap nuevo'!$V$1,"cargar",IF(C1477="","cargar","pagado"))</f>
        <v>cargar</v>
      </c>
      <c r="I1477" s="32">
        <f t="shared" si="194"/>
        <v>2026</v>
      </c>
      <c r="J1477" s="32">
        <f t="shared" si="195"/>
        <v>9</v>
      </c>
    </row>
    <row r="1478" spans="1:10" x14ac:dyDescent="0.25">
      <c r="A1478" t="s">
        <v>544</v>
      </c>
      <c r="B1478" t="s">
        <v>611</v>
      </c>
      <c r="C1478">
        <v>97124626</v>
      </c>
      <c r="D1478">
        <v>140</v>
      </c>
      <c r="E1478">
        <v>-15852618.869999999</v>
      </c>
      <c r="F1478" t="s">
        <v>62</v>
      </c>
      <c r="G1478">
        <v>0</v>
      </c>
      <c r="H1478" s="32" t="str">
        <f ca="1">+IF(B1478&gt;'sap nuevo'!$V$1,"cargar",IF(C1478="","cargar","pagado"))</f>
        <v>cargar</v>
      </c>
      <c r="I1478" s="32">
        <f t="shared" si="194"/>
        <v>2026</v>
      </c>
      <c r="J1478" s="32">
        <f t="shared" si="195"/>
        <v>9</v>
      </c>
    </row>
    <row r="1479" spans="1:10" x14ac:dyDescent="0.25">
      <c r="A1479" t="s">
        <v>12</v>
      </c>
      <c r="B1479" t="s">
        <v>611</v>
      </c>
      <c r="C1479">
        <v>97124622</v>
      </c>
      <c r="D1479">
        <v>140</v>
      </c>
      <c r="E1479">
        <v>-13745643.689999999</v>
      </c>
      <c r="F1479" t="s">
        <v>63</v>
      </c>
      <c r="G1479">
        <v>0</v>
      </c>
      <c r="H1479" s="32" t="str">
        <f ca="1">+IF(B1479&gt;'sap nuevo'!$V$1,"cargar",IF(C1479="","cargar","pagado"))</f>
        <v>cargar</v>
      </c>
      <c r="I1479" s="32">
        <f t="shared" ref="I1479:I1487" si="196">+YEAR(B1479)</f>
        <v>2026</v>
      </c>
      <c r="J1479" s="32">
        <f t="shared" ref="J1479:J1487" si="197">+MONTH(B1479)</f>
        <v>9</v>
      </c>
    </row>
    <row r="1480" spans="1:10" x14ac:dyDescent="0.25">
      <c r="A1480" t="s">
        <v>544</v>
      </c>
      <c r="B1480" t="s">
        <v>611</v>
      </c>
      <c r="C1480">
        <v>97124631</v>
      </c>
      <c r="D1480">
        <v>140</v>
      </c>
      <c r="E1480">
        <v>-12117029.67</v>
      </c>
      <c r="F1480" t="s">
        <v>62</v>
      </c>
      <c r="G1480">
        <v>0</v>
      </c>
      <c r="H1480" s="32" t="str">
        <f ca="1">+IF(B1480&gt;'sap nuevo'!$V$1,"cargar",IF(C1480="","cargar","pagado"))</f>
        <v>cargar</v>
      </c>
      <c r="I1480" s="32">
        <f t="shared" si="196"/>
        <v>2026</v>
      </c>
      <c r="J1480" s="32">
        <f t="shared" si="197"/>
        <v>9</v>
      </c>
    </row>
    <row r="1481" spans="1:10" x14ac:dyDescent="0.25">
      <c r="A1481" t="s">
        <v>544</v>
      </c>
      <c r="B1481" t="s">
        <v>611</v>
      </c>
      <c r="C1481">
        <v>97124629</v>
      </c>
      <c r="D1481">
        <v>140</v>
      </c>
      <c r="E1481">
        <v>-8602316.4399999995</v>
      </c>
      <c r="F1481" t="s">
        <v>62</v>
      </c>
      <c r="G1481">
        <v>0</v>
      </c>
      <c r="H1481" s="32" t="str">
        <f ca="1">+IF(B1481&gt;'sap nuevo'!$V$1,"cargar",IF(C1481="","cargar","pagado"))</f>
        <v>cargar</v>
      </c>
      <c r="I1481" s="32">
        <f t="shared" si="196"/>
        <v>2026</v>
      </c>
      <c r="J1481" s="32">
        <f t="shared" si="197"/>
        <v>9</v>
      </c>
    </row>
    <row r="1482" spans="1:10" x14ac:dyDescent="0.25">
      <c r="A1482" t="s">
        <v>544</v>
      </c>
      <c r="B1482" t="s">
        <v>611</v>
      </c>
      <c r="C1482">
        <v>97124625</v>
      </c>
      <c r="D1482">
        <v>140</v>
      </c>
      <c r="E1482">
        <v>-7201730.7199999997</v>
      </c>
      <c r="F1482" t="s">
        <v>62</v>
      </c>
      <c r="G1482">
        <v>0</v>
      </c>
      <c r="H1482" s="32" t="str">
        <f ca="1">+IF(B1482&gt;'sap nuevo'!$V$1,"cargar",IF(C1482="","cargar","pagado"))</f>
        <v>cargar</v>
      </c>
      <c r="I1482" s="32">
        <f t="shared" si="196"/>
        <v>2026</v>
      </c>
      <c r="J1482" s="32">
        <f t="shared" si="197"/>
        <v>9</v>
      </c>
    </row>
    <row r="1483" spans="1:10" x14ac:dyDescent="0.25">
      <c r="A1483" t="s">
        <v>12</v>
      </c>
      <c r="B1483" t="s">
        <v>611</v>
      </c>
      <c r="C1483">
        <v>97124632</v>
      </c>
      <c r="D1483">
        <v>140</v>
      </c>
      <c r="E1483">
        <v>-5434059.75</v>
      </c>
      <c r="F1483" t="s">
        <v>63</v>
      </c>
      <c r="G1483">
        <v>0</v>
      </c>
      <c r="H1483" s="32" t="str">
        <f ca="1">+IF(B1483&gt;'sap nuevo'!$V$1,"cargar",IF(C1483="","cargar","pagado"))</f>
        <v>cargar</v>
      </c>
      <c r="I1483" s="32">
        <f t="shared" si="196"/>
        <v>2026</v>
      </c>
      <c r="J1483" s="32">
        <f t="shared" si="197"/>
        <v>9</v>
      </c>
    </row>
    <row r="1484" spans="1:10" x14ac:dyDescent="0.25">
      <c r="A1484" t="s">
        <v>544</v>
      </c>
      <c r="B1484" t="s">
        <v>611</v>
      </c>
      <c r="C1484">
        <v>97124638</v>
      </c>
      <c r="D1484">
        <v>140</v>
      </c>
      <c r="E1484">
        <v>-5268011</v>
      </c>
      <c r="F1484" t="s">
        <v>62</v>
      </c>
      <c r="G1484">
        <v>0</v>
      </c>
      <c r="H1484" s="32" t="str">
        <f ca="1">+IF(B1484&gt;'sap nuevo'!$V$1,"cargar",IF(C1484="","cargar","pagado"))</f>
        <v>cargar</v>
      </c>
      <c r="I1484" s="32">
        <f t="shared" si="196"/>
        <v>2026</v>
      </c>
      <c r="J1484" s="32">
        <f t="shared" si="197"/>
        <v>9</v>
      </c>
    </row>
    <row r="1485" spans="1:10" x14ac:dyDescent="0.25">
      <c r="A1485" t="s">
        <v>544</v>
      </c>
      <c r="B1485" t="s">
        <v>611</v>
      </c>
      <c r="C1485">
        <v>97124621</v>
      </c>
      <c r="D1485">
        <v>140</v>
      </c>
      <c r="E1485">
        <v>-5112382.3499999996</v>
      </c>
      <c r="F1485" t="s">
        <v>62</v>
      </c>
      <c r="G1485">
        <v>0</v>
      </c>
      <c r="H1485" s="32" t="str">
        <f ca="1">+IF(B1485&gt;'sap nuevo'!$V$1,"cargar",IF(C1485="","cargar","pagado"))</f>
        <v>cargar</v>
      </c>
      <c r="I1485" s="32">
        <f t="shared" si="196"/>
        <v>2026</v>
      </c>
      <c r="J1485" s="32">
        <f t="shared" si="197"/>
        <v>9</v>
      </c>
    </row>
    <row r="1486" spans="1:10" x14ac:dyDescent="0.25">
      <c r="A1486" t="s">
        <v>12</v>
      </c>
      <c r="B1486" t="s">
        <v>611</v>
      </c>
      <c r="C1486">
        <v>97124636</v>
      </c>
      <c r="D1486">
        <v>140</v>
      </c>
      <c r="E1486">
        <v>-4239167.92</v>
      </c>
      <c r="F1486" t="s">
        <v>63</v>
      </c>
      <c r="G1486">
        <v>0</v>
      </c>
      <c r="H1486" s="32" t="str">
        <f ca="1">+IF(B1486&gt;'sap nuevo'!$V$1,"cargar",IF(C1486="","cargar","pagado"))</f>
        <v>cargar</v>
      </c>
      <c r="I1486" s="32">
        <f t="shared" si="196"/>
        <v>2026</v>
      </c>
      <c r="J1486" s="32">
        <f t="shared" si="197"/>
        <v>9</v>
      </c>
    </row>
    <row r="1487" spans="1:10" x14ac:dyDescent="0.25">
      <c r="A1487" t="s">
        <v>544</v>
      </c>
      <c r="B1487" t="s">
        <v>611</v>
      </c>
      <c r="C1487">
        <v>97124637</v>
      </c>
      <c r="D1487">
        <v>140</v>
      </c>
      <c r="E1487">
        <v>-1896020.5</v>
      </c>
      <c r="F1487" t="s">
        <v>62</v>
      </c>
      <c r="G1487">
        <v>0</v>
      </c>
      <c r="H1487" s="32" t="str">
        <f ca="1">+IF(B1487&gt;'sap nuevo'!$V$1,"cargar",IF(C1487="","cargar","pagado"))</f>
        <v>cargar</v>
      </c>
      <c r="I1487" s="32">
        <f t="shared" si="196"/>
        <v>2026</v>
      </c>
      <c r="J1487" s="32">
        <f t="shared" si="197"/>
        <v>9</v>
      </c>
    </row>
    <row r="1488" spans="1:10" x14ac:dyDescent="0.25">
      <c r="A1488" t="s">
        <v>544</v>
      </c>
      <c r="B1488" t="s">
        <v>612</v>
      </c>
      <c r="C1488">
        <v>97124641</v>
      </c>
      <c r="D1488">
        <v>140</v>
      </c>
      <c r="E1488">
        <v>-12445216.41</v>
      </c>
      <c r="F1488" t="s">
        <v>62</v>
      </c>
      <c r="G1488">
        <v>0</v>
      </c>
      <c r="H1488" s="32" t="str">
        <f ca="1">+IF(B1488&gt;'sap nuevo'!$V$1,"cargar",IF(C1488="","cargar","pagado"))</f>
        <v>cargar</v>
      </c>
      <c r="I1488" s="32">
        <f t="shared" ref="I1488:I1518" si="198">+YEAR(B1488)</f>
        <v>2026</v>
      </c>
      <c r="J1488" s="32">
        <f t="shared" ref="J1488:J1518" si="199">+MONTH(B1488)</f>
        <v>9</v>
      </c>
    </row>
    <row r="1489" spans="1:10" x14ac:dyDescent="0.25">
      <c r="A1489" t="s">
        <v>544</v>
      </c>
      <c r="B1489" t="s">
        <v>612</v>
      </c>
      <c r="C1489">
        <v>97124639</v>
      </c>
      <c r="D1489">
        <v>140</v>
      </c>
      <c r="E1489">
        <v>-9622132.0299999993</v>
      </c>
      <c r="F1489" t="s">
        <v>62</v>
      </c>
      <c r="G1489">
        <v>0</v>
      </c>
      <c r="H1489" s="32" t="str">
        <f ca="1">+IF(B1489&gt;'sap nuevo'!$V$1,"cargar",IF(C1489="","cargar","pagado"))</f>
        <v>cargar</v>
      </c>
      <c r="I1489" s="32">
        <f t="shared" si="198"/>
        <v>2026</v>
      </c>
      <c r="J1489" s="32">
        <f t="shared" si="199"/>
        <v>9</v>
      </c>
    </row>
    <row r="1490" spans="1:10" x14ac:dyDescent="0.25">
      <c r="A1490" t="s">
        <v>544</v>
      </c>
      <c r="B1490" t="s">
        <v>612</v>
      </c>
      <c r="C1490">
        <v>97124640</v>
      </c>
      <c r="D1490">
        <v>140</v>
      </c>
      <c r="E1490">
        <v>-7168098.4500000002</v>
      </c>
      <c r="F1490" t="s">
        <v>62</v>
      </c>
      <c r="G1490">
        <v>0</v>
      </c>
      <c r="H1490" s="32" t="str">
        <f ca="1">+IF(B1490&gt;'sap nuevo'!$V$1,"cargar",IF(C1490="","cargar","pagado"))</f>
        <v>cargar</v>
      </c>
      <c r="I1490" s="32">
        <f t="shared" si="198"/>
        <v>2026</v>
      </c>
      <c r="J1490" s="32">
        <f t="shared" si="199"/>
        <v>9</v>
      </c>
    </row>
    <row r="1491" spans="1:10" x14ac:dyDescent="0.25">
      <c r="A1491" t="s">
        <v>12</v>
      </c>
      <c r="B1491" t="s">
        <v>612</v>
      </c>
      <c r="C1491">
        <v>12452663</v>
      </c>
      <c r="D1491">
        <v>140</v>
      </c>
      <c r="E1491">
        <v>-6682500.8799999999</v>
      </c>
      <c r="F1491" t="s">
        <v>63</v>
      </c>
      <c r="G1491">
        <v>0</v>
      </c>
      <c r="H1491" s="32" t="str">
        <f ca="1">+IF(B1491&gt;'sap nuevo'!$V$1,"cargar",IF(C1491="","cargar","pagado"))</f>
        <v>cargar</v>
      </c>
      <c r="I1491" s="32">
        <f t="shared" si="198"/>
        <v>2026</v>
      </c>
      <c r="J1491" s="32">
        <f t="shared" si="199"/>
        <v>9</v>
      </c>
    </row>
    <row r="1492" spans="1:10" x14ac:dyDescent="0.25">
      <c r="A1492"/>
      <c r="B1492"/>
      <c r="G1492">
        <v>0</v>
      </c>
      <c r="H1492" s="32" t="str">
        <f ca="1">+IF(B1492&gt;'sap nuevo'!$V$1,"cargar",IF(C1492="","cargar","pagado"))</f>
        <v>cargar</v>
      </c>
      <c r="I1492" s="32">
        <f t="shared" si="198"/>
        <v>1900</v>
      </c>
      <c r="J1492" s="32">
        <f t="shared" si="199"/>
        <v>1</v>
      </c>
    </row>
    <row r="1493" spans="1:10" x14ac:dyDescent="0.25">
      <c r="A1493"/>
      <c r="B1493"/>
      <c r="G1493">
        <v>0</v>
      </c>
      <c r="H1493" s="32" t="str">
        <f ca="1">+IF(B1493&gt;'sap nuevo'!$V$1,"cargar",IF(C1493="","cargar","pagado"))</f>
        <v>cargar</v>
      </c>
      <c r="I1493" s="32">
        <f t="shared" si="198"/>
        <v>1900</v>
      </c>
      <c r="J1493" s="32">
        <f t="shared" si="199"/>
        <v>1</v>
      </c>
    </row>
    <row r="1494" spans="1:10" x14ac:dyDescent="0.25">
      <c r="A1494"/>
      <c r="B1494"/>
      <c r="G1494">
        <v>0</v>
      </c>
      <c r="H1494" s="32" t="str">
        <f ca="1">+IF(B1494&gt;'sap nuevo'!$V$1,"cargar",IF(C1494="","cargar","pagado"))</f>
        <v>cargar</v>
      </c>
      <c r="I1494" s="32">
        <f t="shared" si="198"/>
        <v>1900</v>
      </c>
      <c r="J1494" s="32">
        <f t="shared" si="199"/>
        <v>1</v>
      </c>
    </row>
    <row r="1495" spans="1:10" x14ac:dyDescent="0.25">
      <c r="A1495"/>
      <c r="B1495"/>
      <c r="G1495">
        <v>0</v>
      </c>
      <c r="H1495" s="32" t="str">
        <f ca="1">+IF(B1495&gt;'sap nuevo'!$V$1,"cargar",IF(C1495="","cargar","pagado"))</f>
        <v>cargar</v>
      </c>
      <c r="I1495" s="32">
        <f t="shared" si="198"/>
        <v>1900</v>
      </c>
      <c r="J1495" s="32">
        <f t="shared" si="199"/>
        <v>1</v>
      </c>
    </row>
    <row r="1496" spans="1:10" x14ac:dyDescent="0.25">
      <c r="A1496"/>
      <c r="B1496"/>
      <c r="G1496">
        <v>0</v>
      </c>
      <c r="H1496" s="32" t="str">
        <f ca="1">+IF(B1496&gt;'sap nuevo'!$V$1,"cargar",IF(C1496="","cargar","pagado"))</f>
        <v>cargar</v>
      </c>
      <c r="I1496" s="32">
        <f t="shared" si="198"/>
        <v>1900</v>
      </c>
      <c r="J1496" s="32">
        <f t="shared" si="199"/>
        <v>1</v>
      </c>
    </row>
    <row r="1497" spans="1:10" x14ac:dyDescent="0.25">
      <c r="A1497"/>
      <c r="B1497"/>
      <c r="G1497">
        <v>0</v>
      </c>
      <c r="H1497" s="32" t="str">
        <f ca="1">+IF(B1497&gt;'sap nuevo'!$V$1,"cargar",IF(C1497="","cargar","pagado"))</f>
        <v>cargar</v>
      </c>
      <c r="I1497" s="32">
        <f t="shared" si="198"/>
        <v>1900</v>
      </c>
      <c r="J1497" s="32">
        <f t="shared" si="199"/>
        <v>1</v>
      </c>
    </row>
    <row r="1498" spans="1:10" x14ac:dyDescent="0.25">
      <c r="A1498"/>
      <c r="B1498"/>
      <c r="G1498"/>
      <c r="H1498" s="32" t="str">
        <f ca="1">+IF(B1498&gt;'sap nuevo'!$V$1,"cargar",IF(C1498="","cargar","pagado"))</f>
        <v>cargar</v>
      </c>
      <c r="I1498" s="32">
        <f t="shared" si="198"/>
        <v>1900</v>
      </c>
      <c r="J1498" s="32">
        <f t="shared" si="199"/>
        <v>1</v>
      </c>
    </row>
    <row r="1499" spans="1:10" x14ac:dyDescent="0.25">
      <c r="A1499"/>
      <c r="B1499"/>
      <c r="G1499"/>
      <c r="H1499" s="32" t="str">
        <f ca="1">+IF(B1499&gt;'sap nuevo'!$V$1,"cargar",IF(C1499="","cargar","pagado"))</f>
        <v>cargar</v>
      </c>
      <c r="I1499" s="32">
        <f t="shared" si="198"/>
        <v>1900</v>
      </c>
      <c r="J1499" s="32">
        <f t="shared" si="199"/>
        <v>1</v>
      </c>
    </row>
    <row r="1500" spans="1:10" x14ac:dyDescent="0.25">
      <c r="A1500"/>
      <c r="B1500"/>
      <c r="G1500"/>
      <c r="H1500" s="32" t="str">
        <f ca="1">+IF(B1500&gt;'sap nuevo'!$V$1,"cargar",IF(C1500="","cargar","pagado"))</f>
        <v>cargar</v>
      </c>
      <c r="I1500" s="32">
        <f t="shared" si="198"/>
        <v>1900</v>
      </c>
      <c r="J1500" s="32">
        <f t="shared" si="199"/>
        <v>1</v>
      </c>
    </row>
    <row r="1501" spans="1:10" x14ac:dyDescent="0.25">
      <c r="A1501"/>
      <c r="B1501"/>
      <c r="G1501"/>
      <c r="H1501" s="32" t="str">
        <f ca="1">+IF(B1501&gt;'sap nuevo'!$V$1,"cargar",IF(C1501="","cargar","pagado"))</f>
        <v>cargar</v>
      </c>
      <c r="I1501" s="32">
        <f t="shared" si="198"/>
        <v>1900</v>
      </c>
      <c r="J1501" s="32">
        <f t="shared" si="199"/>
        <v>1</v>
      </c>
    </row>
    <row r="1502" spans="1:10" x14ac:dyDescent="0.25">
      <c r="A1502"/>
      <c r="B1502"/>
      <c r="G1502"/>
      <c r="H1502" s="32" t="str">
        <f ca="1">+IF(B1502&gt;'sap nuevo'!$V$1,"cargar",IF(C1502="","cargar","pagado"))</f>
        <v>cargar</v>
      </c>
      <c r="I1502" s="32">
        <f t="shared" si="198"/>
        <v>1900</v>
      </c>
      <c r="J1502" s="32">
        <f t="shared" si="199"/>
        <v>1</v>
      </c>
    </row>
    <row r="1503" spans="1:10" x14ac:dyDescent="0.25">
      <c r="A1503"/>
      <c r="B1503"/>
      <c r="G1503"/>
      <c r="H1503" s="32" t="str">
        <f ca="1">+IF(B1503&gt;'sap nuevo'!$V$1,"cargar",IF(C1503="","cargar","pagado"))</f>
        <v>cargar</v>
      </c>
      <c r="I1503" s="32">
        <f t="shared" si="198"/>
        <v>1900</v>
      </c>
      <c r="J1503" s="32">
        <f t="shared" si="199"/>
        <v>1</v>
      </c>
    </row>
    <row r="1504" spans="1:10" x14ac:dyDescent="0.25">
      <c r="A1504"/>
      <c r="B1504"/>
      <c r="G1504"/>
      <c r="H1504" s="32" t="str">
        <f ca="1">+IF(B1504&gt;'sap nuevo'!$V$1,"cargar",IF(C1504="","cargar","pagado"))</f>
        <v>cargar</v>
      </c>
      <c r="I1504" s="32">
        <f t="shared" si="198"/>
        <v>1900</v>
      </c>
      <c r="J1504" s="32">
        <f t="shared" si="199"/>
        <v>1</v>
      </c>
    </row>
    <row r="1505" spans="1:10" x14ac:dyDescent="0.25">
      <c r="A1505"/>
      <c r="B1505"/>
      <c r="G1505"/>
      <c r="H1505" s="32" t="str">
        <f ca="1">+IF(B1505&gt;'sap nuevo'!$V$1,"cargar",IF(C1505="","cargar","pagado"))</f>
        <v>cargar</v>
      </c>
      <c r="I1505" s="32">
        <f t="shared" si="198"/>
        <v>1900</v>
      </c>
      <c r="J1505" s="32">
        <f t="shared" si="199"/>
        <v>1</v>
      </c>
    </row>
    <row r="1506" spans="1:10" x14ac:dyDescent="0.25">
      <c r="A1506"/>
      <c r="B1506"/>
      <c r="G1506"/>
      <c r="H1506" s="32" t="str">
        <f ca="1">+IF(B1506&gt;'sap nuevo'!$V$1,"cargar",IF(C1506="","cargar","pagado"))</f>
        <v>cargar</v>
      </c>
      <c r="I1506" s="32">
        <f t="shared" si="198"/>
        <v>1900</v>
      </c>
      <c r="J1506" s="32">
        <f t="shared" si="199"/>
        <v>1</v>
      </c>
    </row>
    <row r="1507" spans="1:10" x14ac:dyDescent="0.25">
      <c r="A1507"/>
      <c r="B1507"/>
      <c r="G1507"/>
      <c r="H1507" s="32" t="str">
        <f ca="1">+IF(B1507&gt;'sap nuevo'!$V$1,"cargar",IF(C1507="","cargar","pagado"))</f>
        <v>cargar</v>
      </c>
      <c r="I1507" s="32">
        <f t="shared" si="198"/>
        <v>1900</v>
      </c>
      <c r="J1507" s="32">
        <f t="shared" si="199"/>
        <v>1</v>
      </c>
    </row>
    <row r="1508" spans="1:10" x14ac:dyDescent="0.25">
      <c r="A1508"/>
      <c r="B1508"/>
      <c r="G1508"/>
      <c r="H1508" s="32" t="str">
        <f ca="1">+IF(B1508&gt;'sap nuevo'!$V$1,"cargar",IF(C1508="","cargar","pagado"))</f>
        <v>cargar</v>
      </c>
      <c r="I1508" s="32">
        <f t="shared" si="198"/>
        <v>1900</v>
      </c>
      <c r="J1508" s="32">
        <f t="shared" si="199"/>
        <v>1</v>
      </c>
    </row>
    <row r="1509" spans="1:10" x14ac:dyDescent="0.25">
      <c r="A1509"/>
      <c r="B1509"/>
      <c r="G1509"/>
      <c r="H1509" s="32" t="str">
        <f ca="1">+IF(B1509&gt;'sap nuevo'!$V$1,"cargar",IF(C1509="","cargar","pagado"))</f>
        <v>cargar</v>
      </c>
      <c r="I1509" s="32">
        <f t="shared" si="198"/>
        <v>1900</v>
      </c>
      <c r="J1509" s="32">
        <f t="shared" si="199"/>
        <v>1</v>
      </c>
    </row>
    <row r="1510" spans="1:10" x14ac:dyDescent="0.25">
      <c r="A1510"/>
      <c r="B1510"/>
      <c r="G1510"/>
      <c r="H1510" s="32" t="str">
        <f ca="1">+IF(B1510&gt;'sap nuevo'!$V$1,"cargar",IF(C1510="","cargar","pagado"))</f>
        <v>cargar</v>
      </c>
      <c r="I1510" s="32">
        <f t="shared" si="198"/>
        <v>1900</v>
      </c>
      <c r="J1510" s="32">
        <f t="shared" si="199"/>
        <v>1</v>
      </c>
    </row>
    <row r="1511" spans="1:10" x14ac:dyDescent="0.25">
      <c r="A1511"/>
      <c r="B1511"/>
      <c r="G1511"/>
      <c r="H1511" s="32" t="str">
        <f ca="1">+IF(B1511&gt;'sap nuevo'!$V$1,"cargar",IF(C1511="","cargar","pagado"))</f>
        <v>cargar</v>
      </c>
      <c r="I1511" s="32">
        <f t="shared" si="198"/>
        <v>1900</v>
      </c>
      <c r="J1511" s="32">
        <f t="shared" si="199"/>
        <v>1</v>
      </c>
    </row>
    <row r="1512" spans="1:10" x14ac:dyDescent="0.25">
      <c r="A1512"/>
      <c r="B1512"/>
      <c r="G1512"/>
      <c r="H1512" s="32" t="str">
        <f ca="1">+IF(B1512&gt;'sap nuevo'!$V$1,"cargar",IF(C1512="","cargar","pagado"))</f>
        <v>cargar</v>
      </c>
      <c r="I1512" s="32">
        <f t="shared" si="198"/>
        <v>1900</v>
      </c>
      <c r="J1512" s="32">
        <f t="shared" si="199"/>
        <v>1</v>
      </c>
    </row>
    <row r="1513" spans="1:10" x14ac:dyDescent="0.25">
      <c r="A1513"/>
      <c r="B1513"/>
      <c r="G1513"/>
      <c r="H1513" s="32" t="str">
        <f ca="1">+IF(B1513&gt;'sap nuevo'!$V$1,"cargar",IF(C1513="","cargar","pagado"))</f>
        <v>cargar</v>
      </c>
      <c r="I1513" s="32">
        <f t="shared" si="198"/>
        <v>1900</v>
      </c>
      <c r="J1513" s="32">
        <f t="shared" si="199"/>
        <v>1</v>
      </c>
    </row>
    <row r="1514" spans="1:10" x14ac:dyDescent="0.25">
      <c r="A1514"/>
      <c r="B1514"/>
      <c r="G1514"/>
      <c r="H1514" s="32" t="str">
        <f ca="1">+IF(B1514&gt;'sap nuevo'!$V$1,"cargar",IF(C1514="","cargar","pagado"))</f>
        <v>cargar</v>
      </c>
      <c r="I1514" s="32">
        <f t="shared" si="198"/>
        <v>1900</v>
      </c>
      <c r="J1514" s="32">
        <f t="shared" si="199"/>
        <v>1</v>
      </c>
    </row>
    <row r="1515" spans="1:10" x14ac:dyDescent="0.25">
      <c r="A1515"/>
      <c r="B1515"/>
      <c r="G1515"/>
      <c r="H1515" s="32" t="str">
        <f ca="1">+IF(B1515&gt;'sap nuevo'!$V$1,"cargar",IF(C1515="","cargar","pagado"))</f>
        <v>cargar</v>
      </c>
      <c r="I1515" s="32">
        <f t="shared" si="198"/>
        <v>1900</v>
      </c>
      <c r="J1515" s="32">
        <f t="shared" si="199"/>
        <v>1</v>
      </c>
    </row>
    <row r="1516" spans="1:10" x14ac:dyDescent="0.25">
      <c r="A1516"/>
      <c r="B1516"/>
      <c r="G1516"/>
      <c r="H1516" s="32" t="str">
        <f ca="1">+IF(B1516&gt;'sap nuevo'!$V$1,"cargar",IF(C1516="","cargar","pagado"))</f>
        <v>cargar</v>
      </c>
      <c r="I1516" s="32">
        <f t="shared" si="198"/>
        <v>1900</v>
      </c>
      <c r="J1516" s="32">
        <f t="shared" si="199"/>
        <v>1</v>
      </c>
    </row>
    <row r="1517" spans="1:10" x14ac:dyDescent="0.25">
      <c r="A1517"/>
      <c r="B1517"/>
      <c r="G1517"/>
      <c r="H1517" s="32" t="str">
        <f ca="1">+IF(B1517&gt;'sap nuevo'!$V$1,"cargar",IF(C1517="","cargar","pagado"))</f>
        <v>cargar</v>
      </c>
      <c r="I1517" s="32">
        <f t="shared" si="198"/>
        <v>1900</v>
      </c>
      <c r="J1517" s="32">
        <f t="shared" si="199"/>
        <v>1</v>
      </c>
    </row>
    <row r="1518" spans="1:10" x14ac:dyDescent="0.25">
      <c r="A1518"/>
      <c r="B1518"/>
      <c r="G1518"/>
      <c r="H1518" s="32" t="str">
        <f ca="1">+IF(B1518&gt;'sap nuevo'!$V$1,"cargar",IF(C1518="","cargar","pagado"))</f>
        <v>cargar</v>
      </c>
      <c r="I1518" s="32">
        <f t="shared" si="198"/>
        <v>1900</v>
      </c>
      <c r="J1518" s="32">
        <f t="shared" si="199"/>
        <v>1</v>
      </c>
    </row>
    <row r="1519" spans="1:10" x14ac:dyDescent="0.25">
      <c r="A1519"/>
      <c r="B1519"/>
      <c r="G1519"/>
      <c r="H1519" s="32" t="str">
        <f ca="1">+IF(B1519&gt;'sap nuevo'!$V$1,"cargar",IF(C1519="","cargar","pagado"))</f>
        <v>cargar</v>
      </c>
      <c r="I1519" s="32">
        <f t="shared" ref="I1519:I1538" si="200">+YEAR(B1519)</f>
        <v>1900</v>
      </c>
      <c r="J1519" s="32">
        <f t="shared" ref="J1519:J1538" si="201">+MONTH(B1519)</f>
        <v>1</v>
      </c>
    </row>
    <row r="1520" spans="1:10" x14ac:dyDescent="0.25">
      <c r="A1520"/>
      <c r="B1520"/>
      <c r="G1520"/>
      <c r="H1520" s="32" t="str">
        <f ca="1">+IF(B1520&gt;'sap nuevo'!$V$1,"cargar",IF(C1520="","cargar","pagado"))</f>
        <v>cargar</v>
      </c>
      <c r="I1520" s="32">
        <f t="shared" si="200"/>
        <v>1900</v>
      </c>
      <c r="J1520" s="32">
        <f t="shared" si="201"/>
        <v>1</v>
      </c>
    </row>
    <row r="1521" spans="1:10" x14ac:dyDescent="0.25">
      <c r="A1521"/>
      <c r="B1521"/>
      <c r="G1521"/>
      <c r="H1521" s="32" t="str">
        <f ca="1">+IF(B1521&gt;'sap nuevo'!$V$1,"cargar",IF(C1521="","cargar","pagado"))</f>
        <v>cargar</v>
      </c>
      <c r="I1521" s="32">
        <f t="shared" si="200"/>
        <v>1900</v>
      </c>
      <c r="J1521" s="32">
        <f t="shared" si="201"/>
        <v>1</v>
      </c>
    </row>
    <row r="1522" spans="1:10" x14ac:dyDescent="0.25">
      <c r="A1522"/>
      <c r="B1522"/>
      <c r="G1522"/>
      <c r="H1522" s="32" t="str">
        <f ca="1">+IF(B1522&gt;'sap nuevo'!$V$1,"cargar",IF(C1522="","cargar","pagado"))</f>
        <v>cargar</v>
      </c>
      <c r="I1522" s="32">
        <f t="shared" si="200"/>
        <v>1900</v>
      </c>
      <c r="J1522" s="32">
        <f t="shared" si="201"/>
        <v>1</v>
      </c>
    </row>
    <row r="1523" spans="1:10" x14ac:dyDescent="0.25">
      <c r="A1523"/>
      <c r="B1523"/>
      <c r="G1523"/>
      <c r="H1523" s="32" t="str">
        <f ca="1">+IF(B1523&gt;'sap nuevo'!$V$1,"cargar",IF(C1523="","cargar","pagado"))</f>
        <v>cargar</v>
      </c>
      <c r="I1523" s="32">
        <f t="shared" si="200"/>
        <v>1900</v>
      </c>
      <c r="J1523" s="32">
        <f t="shared" si="201"/>
        <v>1</v>
      </c>
    </row>
    <row r="1524" spans="1:10" x14ac:dyDescent="0.25">
      <c r="A1524"/>
      <c r="B1524"/>
      <c r="G1524"/>
      <c r="H1524" s="32" t="str">
        <f ca="1">+IF(B1524&gt;'sap nuevo'!$V$1,"cargar",IF(C1524="","cargar","pagado"))</f>
        <v>cargar</v>
      </c>
      <c r="I1524" s="32">
        <f t="shared" si="200"/>
        <v>1900</v>
      </c>
      <c r="J1524" s="32">
        <f t="shared" si="201"/>
        <v>1</v>
      </c>
    </row>
    <row r="1525" spans="1:10" x14ac:dyDescent="0.25">
      <c r="A1525"/>
      <c r="B1525"/>
      <c r="G1525"/>
      <c r="H1525" s="32" t="str">
        <f ca="1">+IF(B1525&gt;'sap nuevo'!$V$1,"cargar",IF(C1525="","cargar","pagado"))</f>
        <v>cargar</v>
      </c>
      <c r="I1525" s="32">
        <f t="shared" si="200"/>
        <v>1900</v>
      </c>
      <c r="J1525" s="32">
        <f t="shared" si="201"/>
        <v>1</v>
      </c>
    </row>
    <row r="1526" spans="1:10" x14ac:dyDescent="0.25">
      <c r="A1526"/>
      <c r="B1526"/>
      <c r="G1526"/>
      <c r="H1526" s="32" t="str">
        <f ca="1">+IF(B1526&gt;'sap nuevo'!$V$1,"cargar",IF(C1526="","cargar","pagado"))</f>
        <v>cargar</v>
      </c>
      <c r="I1526" s="32">
        <f t="shared" si="200"/>
        <v>1900</v>
      </c>
      <c r="J1526" s="32">
        <f t="shared" si="201"/>
        <v>1</v>
      </c>
    </row>
    <row r="1527" spans="1:10" x14ac:dyDescent="0.25">
      <c r="A1527"/>
      <c r="B1527"/>
      <c r="G1527"/>
      <c r="H1527" s="32" t="str">
        <f ca="1">+IF(B1527&gt;'sap nuevo'!$V$1,"cargar",IF(C1527="","cargar","pagado"))</f>
        <v>cargar</v>
      </c>
      <c r="I1527" s="32">
        <f t="shared" si="200"/>
        <v>1900</v>
      </c>
      <c r="J1527" s="32">
        <f t="shared" si="201"/>
        <v>1</v>
      </c>
    </row>
    <row r="1528" spans="1:10" x14ac:dyDescent="0.25">
      <c r="A1528"/>
      <c r="B1528"/>
      <c r="G1528"/>
      <c r="H1528" s="32" t="str">
        <f ca="1">+IF(B1528&gt;'sap nuevo'!$V$1,"cargar",IF(C1528="","cargar","pagado"))</f>
        <v>cargar</v>
      </c>
      <c r="I1528" s="32">
        <f t="shared" si="200"/>
        <v>1900</v>
      </c>
      <c r="J1528" s="32">
        <f t="shared" si="201"/>
        <v>1</v>
      </c>
    </row>
    <row r="1529" spans="1:10" x14ac:dyDescent="0.25">
      <c r="A1529"/>
      <c r="B1529"/>
      <c r="G1529"/>
      <c r="H1529" s="32" t="str">
        <f ca="1">+IF(B1529&gt;'sap nuevo'!$V$1,"cargar",IF(C1529="","cargar","pagado"))</f>
        <v>cargar</v>
      </c>
      <c r="I1529" s="32">
        <f t="shared" si="200"/>
        <v>1900</v>
      </c>
      <c r="J1529" s="32">
        <f t="shared" si="201"/>
        <v>1</v>
      </c>
    </row>
    <row r="1530" spans="1:10" x14ac:dyDescent="0.25">
      <c r="A1530"/>
      <c r="B1530"/>
      <c r="G1530"/>
      <c r="H1530" s="32" t="str">
        <f ca="1">+IF(B1530&gt;'sap nuevo'!$V$1,"cargar",IF(C1530="","cargar","pagado"))</f>
        <v>cargar</v>
      </c>
      <c r="I1530" s="32">
        <f t="shared" si="200"/>
        <v>1900</v>
      </c>
      <c r="J1530" s="32">
        <f t="shared" si="201"/>
        <v>1</v>
      </c>
    </row>
    <row r="1531" spans="1:10" x14ac:dyDescent="0.25">
      <c r="A1531"/>
      <c r="B1531"/>
      <c r="G1531"/>
      <c r="H1531" s="32" t="str">
        <f ca="1">+IF(B1531&gt;'sap nuevo'!$V$1,"cargar",IF(C1531="","cargar","pagado"))</f>
        <v>cargar</v>
      </c>
      <c r="I1531" s="32">
        <f t="shared" si="200"/>
        <v>1900</v>
      </c>
      <c r="J1531" s="32">
        <f t="shared" si="201"/>
        <v>1</v>
      </c>
    </row>
    <row r="1532" spans="1:10" x14ac:dyDescent="0.25">
      <c r="A1532"/>
      <c r="B1532"/>
      <c r="G1532"/>
      <c r="H1532" s="32" t="str">
        <f ca="1">+IF(B1532&gt;'sap nuevo'!$V$1,"cargar",IF(C1532="","cargar","pagado"))</f>
        <v>cargar</v>
      </c>
      <c r="I1532" s="32">
        <f t="shared" si="200"/>
        <v>1900</v>
      </c>
      <c r="J1532" s="32">
        <f t="shared" si="201"/>
        <v>1</v>
      </c>
    </row>
    <row r="1533" spans="1:10" x14ac:dyDescent="0.25">
      <c r="A1533"/>
      <c r="B1533"/>
      <c r="G1533"/>
      <c r="H1533" s="32" t="str">
        <f ca="1">+IF(B1533&gt;'sap nuevo'!$V$1,"cargar",IF(C1533="","cargar","pagado"))</f>
        <v>cargar</v>
      </c>
      <c r="I1533" s="32">
        <f t="shared" si="200"/>
        <v>1900</v>
      </c>
      <c r="J1533" s="32">
        <f t="shared" si="201"/>
        <v>1</v>
      </c>
    </row>
    <row r="1534" spans="1:10" x14ac:dyDescent="0.25">
      <c r="A1534"/>
      <c r="B1534"/>
      <c r="G1534"/>
      <c r="H1534" s="32" t="str">
        <f ca="1">+IF(B1534&gt;'sap nuevo'!$V$1,"cargar",IF(C1534="","cargar","pagado"))</f>
        <v>cargar</v>
      </c>
      <c r="I1534" s="32">
        <f t="shared" si="200"/>
        <v>1900</v>
      </c>
      <c r="J1534" s="32">
        <f t="shared" si="201"/>
        <v>1</v>
      </c>
    </row>
    <row r="1535" spans="1:10" x14ac:dyDescent="0.25">
      <c r="A1535"/>
      <c r="B1535"/>
      <c r="G1535"/>
      <c r="H1535" s="32" t="str">
        <f ca="1">+IF(B1535&gt;'sap nuevo'!$V$1,"cargar",IF(C1535="","cargar","pagado"))</f>
        <v>cargar</v>
      </c>
      <c r="I1535" s="32">
        <f t="shared" si="200"/>
        <v>1900</v>
      </c>
      <c r="J1535" s="32">
        <f t="shared" si="201"/>
        <v>1</v>
      </c>
    </row>
    <row r="1536" spans="1:10" x14ac:dyDescent="0.25">
      <c r="A1536"/>
      <c r="B1536"/>
      <c r="G1536"/>
      <c r="H1536" s="32" t="str">
        <f ca="1">+IF(B1536&gt;'sap nuevo'!$V$1,"cargar",IF(C1536="","cargar","pagado"))</f>
        <v>cargar</v>
      </c>
      <c r="I1536" s="32">
        <f t="shared" si="200"/>
        <v>1900</v>
      </c>
      <c r="J1536" s="32">
        <f t="shared" si="201"/>
        <v>1</v>
      </c>
    </row>
    <row r="1537" spans="1:10" x14ac:dyDescent="0.25">
      <c r="A1537"/>
      <c r="B1537"/>
      <c r="G1537"/>
      <c r="H1537" s="32" t="str">
        <f ca="1">+IF(B1537&gt;'sap nuevo'!$V$1,"cargar",IF(C1537="","cargar","pagado"))</f>
        <v>cargar</v>
      </c>
      <c r="I1537" s="32">
        <f t="shared" si="200"/>
        <v>1900</v>
      </c>
      <c r="J1537" s="32">
        <f t="shared" si="201"/>
        <v>1</v>
      </c>
    </row>
    <row r="1538" spans="1:10" x14ac:dyDescent="0.25">
      <c r="A1538"/>
      <c r="B1538"/>
      <c r="G1538"/>
      <c r="H1538" s="32" t="str">
        <f ca="1">+IF(B1538&gt;'sap nuevo'!$V$1,"cargar",IF(C1538="","cargar","pagado"))</f>
        <v>cargar</v>
      </c>
      <c r="I1538" s="32">
        <f t="shared" si="200"/>
        <v>1900</v>
      </c>
      <c r="J1538" s="32">
        <f t="shared" si="201"/>
        <v>1</v>
      </c>
    </row>
    <row r="1539" spans="1:10" x14ac:dyDescent="0.25">
      <c r="A1539"/>
      <c r="B1539"/>
      <c r="G1539"/>
      <c r="H1539" s="32" t="str">
        <f ca="1">+IF(B1539&gt;'sap nuevo'!$V$1,"cargar",IF(C1539="","cargar","pagado"))</f>
        <v>cargar</v>
      </c>
      <c r="I1539" s="32">
        <f t="shared" ref="I1539:I1546" si="202">+YEAR(B1539)</f>
        <v>1900</v>
      </c>
      <c r="J1539" s="32">
        <f t="shared" ref="J1539:J1546" si="203">+MONTH(B1539)</f>
        <v>1</v>
      </c>
    </row>
    <row r="1540" spans="1:10" x14ac:dyDescent="0.25">
      <c r="A1540"/>
      <c r="B1540"/>
      <c r="G1540"/>
      <c r="H1540" s="32" t="str">
        <f ca="1">+IF(B1540&gt;'sap nuevo'!$V$1,"cargar",IF(C1540="","cargar","pagado"))</f>
        <v>cargar</v>
      </c>
      <c r="I1540" s="32">
        <f t="shared" si="202"/>
        <v>1900</v>
      </c>
      <c r="J1540" s="32">
        <f t="shared" si="203"/>
        <v>1</v>
      </c>
    </row>
    <row r="1541" spans="1:10" x14ac:dyDescent="0.25">
      <c r="A1541"/>
      <c r="B1541"/>
      <c r="G1541"/>
      <c r="H1541" s="32" t="str">
        <f ca="1">+IF(B1541&gt;'sap nuevo'!$V$1,"cargar",IF(C1541="","cargar","pagado"))</f>
        <v>cargar</v>
      </c>
      <c r="I1541" s="32">
        <f t="shared" si="202"/>
        <v>1900</v>
      </c>
      <c r="J1541" s="32">
        <f t="shared" si="203"/>
        <v>1</v>
      </c>
    </row>
    <row r="1542" spans="1:10" x14ac:dyDescent="0.25">
      <c r="A1542"/>
      <c r="B1542"/>
      <c r="G1542"/>
      <c r="H1542" s="32" t="str">
        <f ca="1">+IF(B1542&gt;'sap nuevo'!$V$1,"cargar",IF(C1542="","cargar","pagado"))</f>
        <v>cargar</v>
      </c>
      <c r="I1542" s="32">
        <f t="shared" si="202"/>
        <v>1900</v>
      </c>
      <c r="J1542" s="32">
        <f t="shared" si="203"/>
        <v>1</v>
      </c>
    </row>
    <row r="1543" spans="1:10" x14ac:dyDescent="0.25">
      <c r="A1543"/>
      <c r="B1543"/>
      <c r="G1543"/>
      <c r="H1543" s="32" t="str">
        <f ca="1">+IF(B1543&gt;'sap nuevo'!$V$1,"cargar",IF(C1543="","cargar","pagado"))</f>
        <v>cargar</v>
      </c>
      <c r="I1543" s="32">
        <f t="shared" si="202"/>
        <v>1900</v>
      </c>
      <c r="J1543" s="32">
        <f t="shared" si="203"/>
        <v>1</v>
      </c>
    </row>
    <row r="1544" spans="1:10" x14ac:dyDescent="0.25">
      <c r="A1544"/>
      <c r="B1544"/>
      <c r="G1544"/>
      <c r="H1544" s="32" t="str">
        <f ca="1">+IF(B1544&gt;'sap nuevo'!$V$1,"cargar",IF(C1544="","cargar","pagado"))</f>
        <v>cargar</v>
      </c>
      <c r="I1544" s="32">
        <f t="shared" si="202"/>
        <v>1900</v>
      </c>
      <c r="J1544" s="32">
        <f t="shared" si="203"/>
        <v>1</v>
      </c>
    </row>
    <row r="1545" spans="1:10" x14ac:dyDescent="0.25">
      <c r="A1545"/>
      <c r="B1545"/>
      <c r="G1545"/>
      <c r="H1545" s="32" t="str">
        <f ca="1">+IF(B1545&gt;'sap nuevo'!$V$1,"cargar",IF(C1545="","cargar","pagado"))</f>
        <v>cargar</v>
      </c>
      <c r="I1545" s="32">
        <f t="shared" si="202"/>
        <v>1900</v>
      </c>
      <c r="J1545" s="32">
        <f t="shared" si="203"/>
        <v>1</v>
      </c>
    </row>
    <row r="1546" spans="1:10" x14ac:dyDescent="0.25">
      <c r="A1546"/>
      <c r="B1546"/>
      <c r="G1546"/>
      <c r="H1546" s="32" t="str">
        <f ca="1">+IF(B1546&gt;'sap nuevo'!$V$1,"cargar",IF(C1546="","cargar","pagado"))</f>
        <v>cargar</v>
      </c>
      <c r="I1546" s="32">
        <f t="shared" si="202"/>
        <v>1900</v>
      </c>
      <c r="J1546" s="32">
        <f t="shared" si="203"/>
        <v>1</v>
      </c>
    </row>
    <row r="1547" spans="1:10" x14ac:dyDescent="0.25">
      <c r="A1547"/>
      <c r="B1547"/>
      <c r="G1547"/>
      <c r="H1547" s="32" t="str">
        <f ca="1">+IF(B1547&gt;'sap nuevo'!$V$1,"cargar",IF(C1547="","cargar","pagado"))</f>
        <v>cargar</v>
      </c>
      <c r="I1547" s="32">
        <f t="shared" ref="I1547:I1562" si="204">+YEAR(B1547)</f>
        <v>1900</v>
      </c>
      <c r="J1547" s="32">
        <f t="shared" ref="J1547:J1562" si="205">+MONTH(B1547)</f>
        <v>1</v>
      </c>
    </row>
    <row r="1548" spans="1:10" x14ac:dyDescent="0.25">
      <c r="A1548"/>
      <c r="B1548"/>
      <c r="G1548"/>
      <c r="H1548" s="32" t="str">
        <f ca="1">+IF(B1548&gt;'sap nuevo'!$V$1,"cargar",IF(C1548="","cargar","pagado"))</f>
        <v>cargar</v>
      </c>
      <c r="I1548" s="32">
        <f t="shared" si="204"/>
        <v>1900</v>
      </c>
      <c r="J1548" s="32">
        <f t="shared" si="205"/>
        <v>1</v>
      </c>
    </row>
    <row r="1549" spans="1:10" x14ac:dyDescent="0.25">
      <c r="A1549"/>
      <c r="B1549"/>
      <c r="G1549"/>
      <c r="H1549" s="32" t="str">
        <f ca="1">+IF(B1549&gt;'sap nuevo'!$V$1,"cargar",IF(C1549="","cargar","pagado"))</f>
        <v>cargar</v>
      </c>
      <c r="I1549" s="32">
        <f t="shared" si="204"/>
        <v>1900</v>
      </c>
      <c r="J1549" s="32">
        <f t="shared" si="205"/>
        <v>1</v>
      </c>
    </row>
    <row r="1550" spans="1:10" x14ac:dyDescent="0.25">
      <c r="A1550"/>
      <c r="B1550"/>
      <c r="G1550"/>
      <c r="H1550" s="32" t="str">
        <f ca="1">+IF(B1550&gt;'sap nuevo'!$V$1,"cargar",IF(C1550="","cargar","pagado"))</f>
        <v>cargar</v>
      </c>
      <c r="I1550" s="32">
        <f t="shared" si="204"/>
        <v>1900</v>
      </c>
      <c r="J1550" s="32">
        <f t="shared" si="205"/>
        <v>1</v>
      </c>
    </row>
    <row r="1551" spans="1:10" x14ac:dyDescent="0.25">
      <c r="A1551"/>
      <c r="B1551"/>
      <c r="G1551"/>
      <c r="H1551" s="32" t="str">
        <f ca="1">+IF(B1551&gt;'sap nuevo'!$V$1,"cargar",IF(C1551="","cargar","pagado"))</f>
        <v>cargar</v>
      </c>
      <c r="I1551" s="32">
        <f t="shared" si="204"/>
        <v>1900</v>
      </c>
      <c r="J1551" s="32">
        <f t="shared" si="205"/>
        <v>1</v>
      </c>
    </row>
    <row r="1552" spans="1:10" x14ac:dyDescent="0.25">
      <c r="A1552"/>
      <c r="B1552"/>
      <c r="G1552"/>
      <c r="H1552" s="32" t="str">
        <f ca="1">+IF(B1552&gt;'sap nuevo'!$V$1,"cargar",IF(C1552="","cargar","pagado"))</f>
        <v>cargar</v>
      </c>
      <c r="I1552" s="32">
        <f t="shared" si="204"/>
        <v>1900</v>
      </c>
      <c r="J1552" s="32">
        <f t="shared" si="205"/>
        <v>1</v>
      </c>
    </row>
    <row r="1553" spans="1:10" x14ac:dyDescent="0.25">
      <c r="A1553"/>
      <c r="B1553"/>
      <c r="G1553"/>
      <c r="H1553" s="32" t="str">
        <f ca="1">+IF(B1553&gt;'sap nuevo'!$V$1,"cargar",IF(C1553="","cargar","pagado"))</f>
        <v>cargar</v>
      </c>
      <c r="I1553" s="32">
        <f t="shared" si="204"/>
        <v>1900</v>
      </c>
      <c r="J1553" s="32">
        <f t="shared" si="205"/>
        <v>1</v>
      </c>
    </row>
    <row r="1554" spans="1:10" x14ac:dyDescent="0.25">
      <c r="A1554"/>
      <c r="B1554"/>
      <c r="G1554"/>
      <c r="H1554" s="32" t="str">
        <f ca="1">+IF(B1554&gt;'sap nuevo'!$V$1,"cargar",IF(C1554="","cargar","pagado"))</f>
        <v>cargar</v>
      </c>
      <c r="I1554" s="32">
        <f t="shared" si="204"/>
        <v>1900</v>
      </c>
      <c r="J1554" s="32">
        <f t="shared" si="205"/>
        <v>1</v>
      </c>
    </row>
    <row r="1555" spans="1:10" x14ac:dyDescent="0.25">
      <c r="A1555"/>
      <c r="B1555"/>
      <c r="G1555"/>
      <c r="H1555" s="32" t="str">
        <f ca="1">+IF(B1555&gt;'sap nuevo'!$V$1,"cargar",IF(C1555="","cargar","pagado"))</f>
        <v>cargar</v>
      </c>
      <c r="I1555" s="32">
        <f t="shared" si="204"/>
        <v>1900</v>
      </c>
      <c r="J1555" s="32">
        <f t="shared" si="205"/>
        <v>1</v>
      </c>
    </row>
    <row r="1556" spans="1:10" x14ac:dyDescent="0.25">
      <c r="A1556"/>
      <c r="B1556"/>
      <c r="G1556"/>
      <c r="H1556" s="32" t="str">
        <f ca="1">+IF(B1556&gt;'sap nuevo'!$V$1,"cargar",IF(C1556="","cargar","pagado"))</f>
        <v>cargar</v>
      </c>
      <c r="I1556" s="32">
        <f t="shared" si="204"/>
        <v>1900</v>
      </c>
      <c r="J1556" s="32">
        <f t="shared" si="205"/>
        <v>1</v>
      </c>
    </row>
    <row r="1557" spans="1:10" x14ac:dyDescent="0.25">
      <c r="A1557"/>
      <c r="B1557"/>
      <c r="G1557"/>
      <c r="H1557" s="32" t="str">
        <f ca="1">+IF(B1557&gt;'sap nuevo'!$V$1,"cargar",IF(C1557="","cargar","pagado"))</f>
        <v>cargar</v>
      </c>
      <c r="I1557" s="32">
        <f t="shared" si="204"/>
        <v>1900</v>
      </c>
      <c r="J1557" s="32">
        <f t="shared" si="205"/>
        <v>1</v>
      </c>
    </row>
    <row r="1558" spans="1:10" x14ac:dyDescent="0.25">
      <c r="A1558"/>
      <c r="B1558"/>
      <c r="G1558"/>
      <c r="H1558" s="32" t="str">
        <f ca="1">+IF(B1558&gt;'sap nuevo'!$V$1,"cargar",IF(C1558="","cargar","pagado"))</f>
        <v>cargar</v>
      </c>
      <c r="I1558" s="32">
        <f t="shared" si="204"/>
        <v>1900</v>
      </c>
      <c r="J1558" s="32">
        <f t="shared" si="205"/>
        <v>1</v>
      </c>
    </row>
    <row r="1559" spans="1:10" x14ac:dyDescent="0.25">
      <c r="A1559"/>
      <c r="B1559"/>
      <c r="G1559"/>
      <c r="H1559" s="32" t="str">
        <f ca="1">+IF(B1559&gt;'sap nuevo'!$V$1,"cargar",IF(C1559="","cargar","pagado"))</f>
        <v>cargar</v>
      </c>
      <c r="I1559" s="32">
        <f t="shared" si="204"/>
        <v>1900</v>
      </c>
      <c r="J1559" s="32">
        <f t="shared" si="205"/>
        <v>1</v>
      </c>
    </row>
    <row r="1560" spans="1:10" x14ac:dyDescent="0.25">
      <c r="A1560"/>
      <c r="B1560"/>
      <c r="G1560"/>
      <c r="H1560" s="32" t="str">
        <f ca="1">+IF(B1560&gt;'sap nuevo'!$V$1,"cargar",IF(C1560="","cargar","pagado"))</f>
        <v>cargar</v>
      </c>
      <c r="I1560" s="32">
        <f t="shared" si="204"/>
        <v>1900</v>
      </c>
      <c r="J1560" s="32">
        <f t="shared" si="205"/>
        <v>1</v>
      </c>
    </row>
    <row r="1561" spans="1:10" x14ac:dyDescent="0.25">
      <c r="A1561"/>
      <c r="B1561"/>
      <c r="G1561"/>
      <c r="H1561" s="32" t="str">
        <f ca="1">+IF(B1561&gt;'sap nuevo'!$V$1,"cargar",IF(C1561="","cargar","pagado"))</f>
        <v>cargar</v>
      </c>
      <c r="I1561" s="32">
        <f t="shared" si="204"/>
        <v>1900</v>
      </c>
      <c r="J1561" s="32">
        <f t="shared" si="205"/>
        <v>1</v>
      </c>
    </row>
    <row r="1562" spans="1:10" x14ac:dyDescent="0.25">
      <c r="A1562"/>
      <c r="B1562"/>
      <c r="G1562"/>
      <c r="H1562" s="32" t="str">
        <f ca="1">+IF(B1562&gt;'sap nuevo'!$V$1,"cargar",IF(C1562="","cargar","pagado"))</f>
        <v>cargar</v>
      </c>
      <c r="I1562" s="32">
        <f t="shared" si="204"/>
        <v>1900</v>
      </c>
      <c r="J1562" s="32">
        <f t="shared" si="205"/>
        <v>1</v>
      </c>
    </row>
    <row r="1563" spans="1:10" x14ac:dyDescent="0.25">
      <c r="A1563"/>
      <c r="B1563"/>
      <c r="G1563"/>
      <c r="H1563" s="32" t="str">
        <f ca="1">+IF(B1563&gt;'sap nuevo'!$V$1,"cargar",IF(C1563="","cargar","pagado"))</f>
        <v>cargar</v>
      </c>
      <c r="I1563" s="32">
        <f t="shared" ref="I1563:I1578" si="206">+YEAR(B1563)</f>
        <v>1900</v>
      </c>
      <c r="J1563" s="32">
        <f t="shared" ref="J1563:J1578" si="207">+MONTH(B1563)</f>
        <v>1</v>
      </c>
    </row>
    <row r="1564" spans="1:10" x14ac:dyDescent="0.25">
      <c r="A1564"/>
      <c r="B1564"/>
      <c r="G1564"/>
      <c r="H1564" s="32" t="str">
        <f ca="1">+IF(B1564&gt;'sap nuevo'!$V$1,"cargar",IF(C1564="","cargar","pagado"))</f>
        <v>cargar</v>
      </c>
      <c r="I1564" s="32">
        <f t="shared" si="206"/>
        <v>1900</v>
      </c>
      <c r="J1564" s="32">
        <f t="shared" si="207"/>
        <v>1</v>
      </c>
    </row>
    <row r="1565" spans="1:10" x14ac:dyDescent="0.25">
      <c r="A1565"/>
      <c r="B1565"/>
      <c r="G1565"/>
      <c r="H1565" s="32" t="str">
        <f ca="1">+IF(B1565&gt;'sap nuevo'!$V$1,"cargar",IF(C1565="","cargar","pagado"))</f>
        <v>cargar</v>
      </c>
      <c r="I1565" s="32">
        <f t="shared" si="206"/>
        <v>1900</v>
      </c>
      <c r="J1565" s="32">
        <f t="shared" si="207"/>
        <v>1</v>
      </c>
    </row>
    <row r="1566" spans="1:10" x14ac:dyDescent="0.25">
      <c r="A1566"/>
      <c r="B1566"/>
      <c r="G1566"/>
      <c r="H1566" s="32" t="str">
        <f ca="1">+IF(B1566&gt;'sap nuevo'!$V$1,"cargar",IF(C1566="","cargar","pagado"))</f>
        <v>cargar</v>
      </c>
      <c r="I1566" s="32">
        <f t="shared" si="206"/>
        <v>1900</v>
      </c>
      <c r="J1566" s="32">
        <f t="shared" si="207"/>
        <v>1</v>
      </c>
    </row>
    <row r="1567" spans="1:10" x14ac:dyDescent="0.25">
      <c r="A1567"/>
      <c r="B1567"/>
      <c r="G1567"/>
      <c r="H1567" s="32" t="str">
        <f ca="1">+IF(B1567&gt;'sap nuevo'!$V$1,"cargar",IF(C1567="","cargar","pagado"))</f>
        <v>cargar</v>
      </c>
      <c r="I1567" s="32">
        <f t="shared" si="206"/>
        <v>1900</v>
      </c>
      <c r="J1567" s="32">
        <f t="shared" si="207"/>
        <v>1</v>
      </c>
    </row>
    <row r="1568" spans="1:10" x14ac:dyDescent="0.25">
      <c r="A1568"/>
      <c r="B1568"/>
      <c r="G1568"/>
      <c r="H1568" s="32" t="str">
        <f ca="1">+IF(B1568&gt;'sap nuevo'!$V$1,"cargar",IF(C1568="","cargar","pagado"))</f>
        <v>cargar</v>
      </c>
      <c r="I1568" s="32">
        <f t="shared" si="206"/>
        <v>1900</v>
      </c>
      <c r="J1568" s="32">
        <f t="shared" si="207"/>
        <v>1</v>
      </c>
    </row>
    <row r="1569" spans="1:10" x14ac:dyDescent="0.25">
      <c r="A1569"/>
      <c r="B1569"/>
      <c r="G1569"/>
      <c r="H1569" s="32" t="str">
        <f ca="1">+IF(B1569&gt;'sap nuevo'!$V$1,"cargar",IF(C1569="","cargar","pagado"))</f>
        <v>cargar</v>
      </c>
      <c r="I1569" s="32">
        <f t="shared" si="206"/>
        <v>1900</v>
      </c>
      <c r="J1569" s="32">
        <f t="shared" si="207"/>
        <v>1</v>
      </c>
    </row>
    <row r="1570" spans="1:10" x14ac:dyDescent="0.25">
      <c r="A1570"/>
      <c r="B1570"/>
      <c r="G1570"/>
      <c r="H1570" s="32" t="str">
        <f ca="1">+IF(B1570&gt;'sap nuevo'!$V$1,"cargar",IF(C1570="","cargar","pagado"))</f>
        <v>cargar</v>
      </c>
      <c r="I1570" s="32">
        <f t="shared" si="206"/>
        <v>1900</v>
      </c>
      <c r="J1570" s="32">
        <f t="shared" si="207"/>
        <v>1</v>
      </c>
    </row>
    <row r="1571" spans="1:10" x14ac:dyDescent="0.25">
      <c r="A1571"/>
      <c r="B1571"/>
      <c r="G1571"/>
      <c r="H1571" s="32" t="str">
        <f ca="1">+IF(B1571&gt;'sap nuevo'!$V$1,"cargar",IF(C1571="","cargar","pagado"))</f>
        <v>cargar</v>
      </c>
      <c r="I1571" s="32">
        <f t="shared" si="206"/>
        <v>1900</v>
      </c>
      <c r="J1571" s="32">
        <f t="shared" si="207"/>
        <v>1</v>
      </c>
    </row>
    <row r="1572" spans="1:10" x14ac:dyDescent="0.25">
      <c r="A1572"/>
      <c r="B1572"/>
      <c r="G1572"/>
      <c r="H1572" s="32" t="str">
        <f ca="1">+IF(B1572&gt;'sap nuevo'!$V$1,"cargar",IF(C1572="","cargar","pagado"))</f>
        <v>cargar</v>
      </c>
      <c r="I1572" s="32">
        <f t="shared" si="206"/>
        <v>1900</v>
      </c>
      <c r="J1572" s="32">
        <f t="shared" si="207"/>
        <v>1</v>
      </c>
    </row>
    <row r="1573" spans="1:10" x14ac:dyDescent="0.25">
      <c r="A1573"/>
      <c r="B1573"/>
      <c r="G1573"/>
      <c r="H1573" s="32" t="str">
        <f ca="1">+IF(B1573&gt;'sap nuevo'!$V$1,"cargar",IF(C1573="","cargar","pagado"))</f>
        <v>cargar</v>
      </c>
      <c r="I1573" s="32">
        <f t="shared" si="206"/>
        <v>1900</v>
      </c>
      <c r="J1573" s="32">
        <f t="shared" si="207"/>
        <v>1</v>
      </c>
    </row>
    <row r="1574" spans="1:10" x14ac:dyDescent="0.25">
      <c r="A1574"/>
      <c r="B1574"/>
      <c r="G1574"/>
      <c r="H1574" s="32" t="str">
        <f ca="1">+IF(B1574&gt;'sap nuevo'!$V$1,"cargar",IF(C1574="","cargar","pagado"))</f>
        <v>cargar</v>
      </c>
      <c r="I1574" s="32">
        <f t="shared" si="206"/>
        <v>1900</v>
      </c>
      <c r="J1574" s="32">
        <f t="shared" si="207"/>
        <v>1</v>
      </c>
    </row>
    <row r="1575" spans="1:10" x14ac:dyDescent="0.25">
      <c r="A1575"/>
      <c r="B1575"/>
      <c r="G1575"/>
      <c r="H1575" s="32" t="str">
        <f ca="1">+IF(B1575&gt;'sap nuevo'!$V$1,"cargar",IF(C1575="","cargar","pagado"))</f>
        <v>cargar</v>
      </c>
      <c r="I1575" s="32">
        <f t="shared" si="206"/>
        <v>1900</v>
      </c>
      <c r="J1575" s="32">
        <f t="shared" si="207"/>
        <v>1</v>
      </c>
    </row>
    <row r="1576" spans="1:10" x14ac:dyDescent="0.25">
      <c r="A1576"/>
      <c r="B1576"/>
      <c r="G1576"/>
      <c r="H1576" s="32" t="str">
        <f ca="1">+IF(B1576&gt;'sap nuevo'!$V$1,"cargar",IF(C1576="","cargar","pagado"))</f>
        <v>cargar</v>
      </c>
      <c r="I1576" s="32">
        <f t="shared" si="206"/>
        <v>1900</v>
      </c>
      <c r="J1576" s="32">
        <f t="shared" si="207"/>
        <v>1</v>
      </c>
    </row>
    <row r="1577" spans="1:10" x14ac:dyDescent="0.25">
      <c r="A1577"/>
      <c r="B1577"/>
      <c r="G1577"/>
      <c r="H1577" s="32" t="str">
        <f ca="1">+IF(B1577&gt;'sap nuevo'!$V$1,"cargar",IF(C1577="","cargar","pagado"))</f>
        <v>cargar</v>
      </c>
      <c r="I1577" s="32">
        <f t="shared" si="206"/>
        <v>1900</v>
      </c>
      <c r="J1577" s="32">
        <f t="shared" si="207"/>
        <v>1</v>
      </c>
    </row>
    <row r="1578" spans="1:10" x14ac:dyDescent="0.25">
      <c r="A1578"/>
      <c r="B1578"/>
      <c r="G1578"/>
      <c r="H1578" s="32" t="str">
        <f ca="1">+IF(B1578&gt;'sap nuevo'!$V$1,"cargar",IF(C1578="","cargar","pagado"))</f>
        <v>cargar</v>
      </c>
      <c r="I1578" s="32">
        <f t="shared" si="206"/>
        <v>1900</v>
      </c>
      <c r="J1578" s="32">
        <f t="shared" si="207"/>
        <v>1</v>
      </c>
    </row>
    <row r="1579" spans="1:10" x14ac:dyDescent="0.25">
      <c r="A1579"/>
      <c r="B1579"/>
      <c r="G1579"/>
      <c r="H1579" s="32" t="str">
        <f ca="1">+IF(B1579&gt;'sap nuevo'!$V$1,"cargar",IF(C1579="","cargar","pagado"))</f>
        <v>cargar</v>
      </c>
      <c r="I1579" s="32">
        <f t="shared" ref="I1579:I1580" si="208">+YEAR(B1579)</f>
        <v>1900</v>
      </c>
      <c r="J1579" s="32">
        <f t="shared" ref="J1579:J1580" si="209">+MONTH(B1579)</f>
        <v>1</v>
      </c>
    </row>
    <row r="1580" spans="1:10" x14ac:dyDescent="0.25">
      <c r="A1580"/>
      <c r="B1580"/>
      <c r="G1580"/>
      <c r="H1580" s="32" t="str">
        <f ca="1">+IF(B1580&gt;'sap nuevo'!$V$1,"cargar",IF(C1580="","cargar","pagado"))</f>
        <v>cargar</v>
      </c>
      <c r="I1580" s="32">
        <f t="shared" si="208"/>
        <v>1900</v>
      </c>
      <c r="J1580" s="32">
        <f t="shared" si="209"/>
        <v>1</v>
      </c>
    </row>
    <row r="1581" spans="1:10" x14ac:dyDescent="0.25">
      <c r="A1581"/>
      <c r="B1581"/>
      <c r="G1581"/>
      <c r="H1581" s="32" t="str">
        <f ca="1">+IF(B1581&gt;'sap nuevo'!$V$1,"cargar",IF(C1581="","cargar","pagado"))</f>
        <v>cargar</v>
      </c>
      <c r="I1581" s="32">
        <f t="shared" ref="I1581:I1600" si="210">+YEAR(B1581)</f>
        <v>1900</v>
      </c>
      <c r="J1581" s="32">
        <f t="shared" ref="J1581:J1600" si="211">+MONTH(B1581)</f>
        <v>1</v>
      </c>
    </row>
    <row r="1582" spans="1:10" x14ac:dyDescent="0.25">
      <c r="A1582"/>
      <c r="B1582"/>
      <c r="G1582"/>
      <c r="H1582" s="32" t="str">
        <f ca="1">+IF(B1582&gt;'sap nuevo'!$V$1,"cargar",IF(C1582="","cargar","pagado"))</f>
        <v>cargar</v>
      </c>
      <c r="I1582" s="32">
        <f t="shared" si="210"/>
        <v>1900</v>
      </c>
      <c r="J1582" s="32">
        <f t="shared" si="211"/>
        <v>1</v>
      </c>
    </row>
    <row r="1583" spans="1:10" x14ac:dyDescent="0.25">
      <c r="A1583"/>
      <c r="B1583"/>
      <c r="G1583"/>
      <c r="H1583" s="32" t="str">
        <f ca="1">+IF(B1583&gt;'sap nuevo'!$V$1,"cargar",IF(C1583="","cargar","pagado"))</f>
        <v>cargar</v>
      </c>
      <c r="I1583" s="32">
        <f t="shared" si="210"/>
        <v>1900</v>
      </c>
      <c r="J1583" s="32">
        <f t="shared" si="211"/>
        <v>1</v>
      </c>
    </row>
    <row r="1584" spans="1:10" x14ac:dyDescent="0.25">
      <c r="A1584"/>
      <c r="B1584"/>
      <c r="G1584"/>
      <c r="H1584" s="32" t="str">
        <f ca="1">+IF(B1584&gt;'sap nuevo'!$V$1,"cargar",IF(C1584="","cargar","pagado"))</f>
        <v>cargar</v>
      </c>
      <c r="I1584" s="32">
        <f t="shared" si="210"/>
        <v>1900</v>
      </c>
      <c r="J1584" s="32">
        <f t="shared" si="211"/>
        <v>1</v>
      </c>
    </row>
    <row r="1585" spans="1:10" x14ac:dyDescent="0.25">
      <c r="A1585"/>
      <c r="B1585"/>
      <c r="G1585"/>
      <c r="H1585" s="32" t="str">
        <f ca="1">+IF(B1585&gt;'sap nuevo'!$V$1,"cargar",IF(C1585="","cargar","pagado"))</f>
        <v>cargar</v>
      </c>
      <c r="I1585" s="32">
        <f t="shared" si="210"/>
        <v>1900</v>
      </c>
      <c r="J1585" s="32">
        <f t="shared" si="211"/>
        <v>1</v>
      </c>
    </row>
    <row r="1586" spans="1:10" x14ac:dyDescent="0.25">
      <c r="A1586"/>
      <c r="B1586"/>
      <c r="G1586"/>
      <c r="H1586" s="32" t="str">
        <f ca="1">+IF(B1586&gt;'sap nuevo'!$V$1,"cargar",IF(C1586="","cargar","pagado"))</f>
        <v>cargar</v>
      </c>
      <c r="I1586" s="32">
        <f t="shared" si="210"/>
        <v>1900</v>
      </c>
      <c r="J1586" s="32">
        <f t="shared" si="211"/>
        <v>1</v>
      </c>
    </row>
    <row r="1587" spans="1:10" x14ac:dyDescent="0.25">
      <c r="A1587"/>
      <c r="B1587"/>
      <c r="G1587"/>
      <c r="H1587" s="32" t="str">
        <f ca="1">+IF(B1587&gt;'sap nuevo'!$V$1,"cargar",IF(C1587="","cargar","pagado"))</f>
        <v>cargar</v>
      </c>
      <c r="I1587" s="32">
        <f t="shared" si="210"/>
        <v>1900</v>
      </c>
      <c r="J1587" s="32">
        <f t="shared" si="211"/>
        <v>1</v>
      </c>
    </row>
    <row r="1588" spans="1:10" x14ac:dyDescent="0.25">
      <c r="A1588"/>
      <c r="B1588"/>
      <c r="G1588"/>
      <c r="H1588" s="32" t="str">
        <f ca="1">+IF(B1588&gt;'sap nuevo'!$V$1,"cargar",IF(C1588="","cargar","pagado"))</f>
        <v>cargar</v>
      </c>
      <c r="I1588" s="32">
        <f t="shared" si="210"/>
        <v>1900</v>
      </c>
      <c r="J1588" s="32">
        <f t="shared" si="211"/>
        <v>1</v>
      </c>
    </row>
    <row r="1589" spans="1:10" x14ac:dyDescent="0.25">
      <c r="A1589"/>
      <c r="B1589"/>
      <c r="G1589"/>
      <c r="H1589" s="32" t="str">
        <f ca="1">+IF(B1589&gt;'sap nuevo'!$V$1,"cargar",IF(C1589="","cargar","pagado"))</f>
        <v>cargar</v>
      </c>
      <c r="I1589" s="32">
        <f t="shared" si="210"/>
        <v>1900</v>
      </c>
      <c r="J1589" s="32">
        <f t="shared" si="211"/>
        <v>1</v>
      </c>
    </row>
    <row r="1590" spans="1:10" x14ac:dyDescent="0.25">
      <c r="A1590"/>
      <c r="B1590"/>
      <c r="G1590"/>
      <c r="H1590" s="32" t="str">
        <f ca="1">+IF(B1590&gt;'sap nuevo'!$V$1,"cargar",IF(C1590="","cargar","pagado"))</f>
        <v>cargar</v>
      </c>
      <c r="I1590" s="32">
        <f t="shared" si="210"/>
        <v>1900</v>
      </c>
      <c r="J1590" s="32">
        <f t="shared" si="211"/>
        <v>1</v>
      </c>
    </row>
    <row r="1591" spans="1:10" x14ac:dyDescent="0.25">
      <c r="A1591"/>
      <c r="B1591"/>
      <c r="G1591"/>
      <c r="H1591" s="32" t="str">
        <f ca="1">+IF(B1591&gt;'sap nuevo'!$V$1,"cargar",IF(C1591="","cargar","pagado"))</f>
        <v>cargar</v>
      </c>
      <c r="I1591" s="32">
        <f t="shared" si="210"/>
        <v>1900</v>
      </c>
      <c r="J1591" s="32">
        <f t="shared" si="211"/>
        <v>1</v>
      </c>
    </row>
    <row r="1592" spans="1:10" x14ac:dyDescent="0.25">
      <c r="A1592"/>
      <c r="B1592"/>
      <c r="G1592"/>
      <c r="H1592" s="32" t="str">
        <f ca="1">+IF(B1592&gt;'sap nuevo'!$V$1,"cargar",IF(C1592="","cargar","pagado"))</f>
        <v>cargar</v>
      </c>
      <c r="I1592" s="32">
        <f t="shared" si="210"/>
        <v>1900</v>
      </c>
      <c r="J1592" s="32">
        <f t="shared" si="211"/>
        <v>1</v>
      </c>
    </row>
    <row r="1593" spans="1:10" x14ac:dyDescent="0.25">
      <c r="A1593"/>
      <c r="B1593"/>
      <c r="G1593"/>
      <c r="H1593" s="32" t="str">
        <f ca="1">+IF(B1593&gt;'sap nuevo'!$V$1,"cargar",IF(C1593="","cargar","pagado"))</f>
        <v>cargar</v>
      </c>
      <c r="I1593" s="32">
        <f t="shared" si="210"/>
        <v>1900</v>
      </c>
      <c r="J1593" s="32">
        <f t="shared" si="211"/>
        <v>1</v>
      </c>
    </row>
    <row r="1594" spans="1:10" x14ac:dyDescent="0.25">
      <c r="A1594"/>
      <c r="B1594"/>
      <c r="G1594"/>
      <c r="H1594" s="32" t="str">
        <f ca="1">+IF(B1594&gt;'sap nuevo'!$V$1,"cargar",IF(C1594="","cargar","pagado"))</f>
        <v>cargar</v>
      </c>
      <c r="I1594" s="32">
        <f t="shared" si="210"/>
        <v>1900</v>
      </c>
      <c r="J1594" s="32">
        <f t="shared" si="211"/>
        <v>1</v>
      </c>
    </row>
    <row r="1595" spans="1:10" x14ac:dyDescent="0.25">
      <c r="A1595"/>
      <c r="B1595"/>
      <c r="G1595"/>
      <c r="H1595" s="32" t="str">
        <f ca="1">+IF(B1595&gt;'sap nuevo'!$V$1,"cargar",IF(C1595="","cargar","pagado"))</f>
        <v>cargar</v>
      </c>
      <c r="I1595" s="32">
        <f t="shared" si="210"/>
        <v>1900</v>
      </c>
      <c r="J1595" s="32">
        <f t="shared" si="211"/>
        <v>1</v>
      </c>
    </row>
    <row r="1596" spans="1:10" x14ac:dyDescent="0.25">
      <c r="A1596"/>
      <c r="B1596"/>
      <c r="G1596"/>
      <c r="H1596" s="32" t="str">
        <f ca="1">+IF(B1596&gt;'sap nuevo'!$V$1,"cargar",IF(C1596="","cargar","pagado"))</f>
        <v>cargar</v>
      </c>
      <c r="I1596" s="32">
        <f t="shared" si="210"/>
        <v>1900</v>
      </c>
      <c r="J1596" s="32">
        <f t="shared" si="211"/>
        <v>1</v>
      </c>
    </row>
    <row r="1597" spans="1:10" x14ac:dyDescent="0.25">
      <c r="A1597"/>
      <c r="B1597"/>
      <c r="G1597"/>
      <c r="H1597" s="32" t="str">
        <f ca="1">+IF(B1597&gt;'sap nuevo'!$V$1,"cargar",IF(C1597="","cargar","pagado"))</f>
        <v>cargar</v>
      </c>
      <c r="I1597" s="32">
        <f t="shared" si="210"/>
        <v>1900</v>
      </c>
      <c r="J1597" s="32">
        <f t="shared" si="211"/>
        <v>1</v>
      </c>
    </row>
    <row r="1598" spans="1:10" x14ac:dyDescent="0.25">
      <c r="A1598"/>
      <c r="B1598"/>
      <c r="G1598"/>
      <c r="H1598" s="32" t="str">
        <f ca="1">+IF(B1598&gt;'sap nuevo'!$V$1,"cargar",IF(C1598="","cargar","pagado"))</f>
        <v>cargar</v>
      </c>
      <c r="I1598" s="32">
        <f t="shared" si="210"/>
        <v>1900</v>
      </c>
      <c r="J1598" s="32">
        <f t="shared" si="211"/>
        <v>1</v>
      </c>
    </row>
    <row r="1599" spans="1:10" x14ac:dyDescent="0.25">
      <c r="A1599"/>
      <c r="B1599"/>
      <c r="G1599"/>
      <c r="H1599" s="32" t="str">
        <f ca="1">+IF(B1599&gt;'sap nuevo'!$V$1,"cargar",IF(C1599="","cargar","pagado"))</f>
        <v>cargar</v>
      </c>
      <c r="I1599" s="32">
        <f t="shared" si="210"/>
        <v>1900</v>
      </c>
      <c r="J1599" s="32">
        <f t="shared" si="211"/>
        <v>1</v>
      </c>
    </row>
    <row r="1600" spans="1:10" x14ac:dyDescent="0.25">
      <c r="A1600"/>
      <c r="B1600"/>
      <c r="G1600"/>
      <c r="H1600" s="32" t="str">
        <f ca="1">+IF(B1600&gt;'sap nuevo'!$V$1,"cargar",IF(C1600="","cargar","pagado"))</f>
        <v>cargar</v>
      </c>
      <c r="I1600" s="32">
        <f t="shared" si="210"/>
        <v>1900</v>
      </c>
      <c r="J1600" s="32">
        <f t="shared" si="211"/>
        <v>1</v>
      </c>
    </row>
    <row r="1601" spans="1:10" x14ac:dyDescent="0.25">
      <c r="A1601"/>
      <c r="B1601"/>
      <c r="G1601"/>
      <c r="H1601" s="32" t="str">
        <f ca="1">+IF(B1601&gt;'sap nuevo'!$V$1,"cargar",IF(C1601="","cargar","pagado"))</f>
        <v>cargar</v>
      </c>
      <c r="I1601" s="32">
        <f t="shared" ref="I1601" si="212">+YEAR(B1601)</f>
        <v>1900</v>
      </c>
      <c r="J1601" s="32">
        <f t="shared" ref="J1601" si="213">+MONTH(B1601)</f>
        <v>1</v>
      </c>
    </row>
    <row r="1602" spans="1:10" x14ac:dyDescent="0.25">
      <c r="A1602"/>
      <c r="B1602"/>
      <c r="G1602"/>
      <c r="H1602" s="32" t="str">
        <f ca="1">+IF(B1602&gt;'sap nuevo'!$V$1,"cargar",IF(C1602="","cargar","pagado"))</f>
        <v>cargar</v>
      </c>
      <c r="I1602" s="32">
        <f t="shared" ref="I1602:I1603" si="214">+YEAR(B1602)</f>
        <v>1900</v>
      </c>
      <c r="J1602" s="32">
        <f t="shared" ref="J1602:J1603" si="215">+MONTH(B1602)</f>
        <v>1</v>
      </c>
    </row>
    <row r="1603" spans="1:10" x14ac:dyDescent="0.25">
      <c r="A1603"/>
      <c r="B1603"/>
      <c r="G1603"/>
      <c r="H1603" s="32" t="str">
        <f ca="1">+IF(B1603&gt;'sap nuevo'!$V$1,"cargar",IF(C1603="","cargar","pagado"))</f>
        <v>cargar</v>
      </c>
      <c r="I1603" s="32">
        <f t="shared" si="214"/>
        <v>1900</v>
      </c>
      <c r="J1603" s="32">
        <f t="shared" si="215"/>
        <v>1</v>
      </c>
    </row>
    <row r="1604" spans="1:10" x14ac:dyDescent="0.25">
      <c r="A1604"/>
      <c r="B1604"/>
      <c r="G1604"/>
      <c r="H1604" s="32" t="str">
        <f ca="1">+IF(B1604&gt;'sap nuevo'!$V$1,"cargar",IF(C1604="","cargar","pagado"))</f>
        <v>cargar</v>
      </c>
      <c r="I1604" s="32">
        <f t="shared" ref="I1604:I1608" si="216">+YEAR(B1604)</f>
        <v>1900</v>
      </c>
      <c r="J1604" s="32">
        <f t="shared" ref="J1604:J1608" si="217">+MONTH(B1604)</f>
        <v>1</v>
      </c>
    </row>
    <row r="1605" spans="1:10" x14ac:dyDescent="0.25">
      <c r="A1605"/>
      <c r="B1605"/>
      <c r="G1605"/>
      <c r="H1605" s="32" t="str">
        <f ca="1">+IF(B1605&gt;'sap nuevo'!$V$1,"cargar",IF(C1605="","cargar","pagado"))</f>
        <v>cargar</v>
      </c>
      <c r="I1605" s="32">
        <f t="shared" si="216"/>
        <v>1900</v>
      </c>
      <c r="J1605" s="32">
        <f t="shared" si="217"/>
        <v>1</v>
      </c>
    </row>
    <row r="1606" spans="1:10" x14ac:dyDescent="0.25">
      <c r="A1606"/>
      <c r="B1606"/>
      <c r="G1606"/>
      <c r="H1606" s="32" t="str">
        <f ca="1">+IF(B1606&gt;'sap nuevo'!$V$1,"cargar",IF(C1606="","cargar","pagado"))</f>
        <v>cargar</v>
      </c>
      <c r="I1606" s="32">
        <f t="shared" si="216"/>
        <v>1900</v>
      </c>
      <c r="J1606" s="32">
        <f t="shared" si="217"/>
        <v>1</v>
      </c>
    </row>
    <row r="1607" spans="1:10" x14ac:dyDescent="0.25">
      <c r="A1607"/>
      <c r="B1607"/>
      <c r="G1607"/>
      <c r="H1607" s="32" t="str">
        <f ca="1">+IF(B1607&gt;'sap nuevo'!$V$1,"cargar",IF(C1607="","cargar","pagado"))</f>
        <v>cargar</v>
      </c>
      <c r="I1607" s="32">
        <f t="shared" si="216"/>
        <v>1900</v>
      </c>
      <c r="J1607" s="32">
        <f t="shared" si="217"/>
        <v>1</v>
      </c>
    </row>
    <row r="1608" spans="1:10" x14ac:dyDescent="0.25">
      <c r="A1608"/>
      <c r="B1608"/>
      <c r="G1608"/>
      <c r="H1608" s="32" t="str">
        <f ca="1">+IF(B1608&gt;'sap nuevo'!$V$1,"cargar",IF(C1608="","cargar","pagado"))</f>
        <v>cargar</v>
      </c>
      <c r="I1608" s="32">
        <f t="shared" si="216"/>
        <v>1900</v>
      </c>
      <c r="J1608" s="32">
        <f t="shared" si="217"/>
        <v>1</v>
      </c>
    </row>
    <row r="1609" spans="1:10" x14ac:dyDescent="0.25">
      <c r="A1609"/>
      <c r="B1609"/>
      <c r="G1609"/>
      <c r="H1609" s="32" t="str">
        <f ca="1">+IF(B1609&gt;'sap nuevo'!$V$1,"cargar",IF(C1609="","cargar","pagado"))</f>
        <v>cargar</v>
      </c>
      <c r="I1609" s="32">
        <f t="shared" ref="I1609:I1632" si="218">+YEAR(B1609)</f>
        <v>1900</v>
      </c>
      <c r="J1609" s="32">
        <f t="shared" ref="J1609:J1632" si="219">+MONTH(B1609)</f>
        <v>1</v>
      </c>
    </row>
    <row r="1610" spans="1:10" x14ac:dyDescent="0.25">
      <c r="A1610"/>
      <c r="B1610"/>
      <c r="G1610"/>
      <c r="H1610" s="32" t="str">
        <f ca="1">+IF(B1610&gt;'sap nuevo'!$V$1,"cargar",IF(C1610="","cargar","pagado"))</f>
        <v>cargar</v>
      </c>
      <c r="I1610" s="32">
        <f t="shared" si="218"/>
        <v>1900</v>
      </c>
      <c r="J1610" s="32">
        <f t="shared" si="219"/>
        <v>1</v>
      </c>
    </row>
    <row r="1611" spans="1:10" x14ac:dyDescent="0.25">
      <c r="A1611"/>
      <c r="B1611"/>
      <c r="G1611"/>
      <c r="H1611" s="32" t="str">
        <f ca="1">+IF(B1611&gt;'sap nuevo'!$V$1,"cargar",IF(C1611="","cargar","pagado"))</f>
        <v>cargar</v>
      </c>
      <c r="I1611" s="32">
        <f t="shared" si="218"/>
        <v>1900</v>
      </c>
      <c r="J1611" s="32">
        <f t="shared" si="219"/>
        <v>1</v>
      </c>
    </row>
    <row r="1612" spans="1:10" x14ac:dyDescent="0.25">
      <c r="A1612"/>
      <c r="B1612"/>
      <c r="G1612"/>
      <c r="H1612" s="32" t="str">
        <f ca="1">+IF(B1612&gt;'sap nuevo'!$V$1,"cargar",IF(C1612="","cargar","pagado"))</f>
        <v>cargar</v>
      </c>
      <c r="I1612" s="32">
        <f t="shared" si="218"/>
        <v>1900</v>
      </c>
      <c r="J1612" s="32">
        <f t="shared" si="219"/>
        <v>1</v>
      </c>
    </row>
    <row r="1613" spans="1:10" x14ac:dyDescent="0.25">
      <c r="A1613"/>
      <c r="B1613"/>
      <c r="G1613"/>
      <c r="H1613" s="32" t="str">
        <f ca="1">+IF(B1613&gt;'sap nuevo'!$V$1,"cargar",IF(C1613="","cargar","pagado"))</f>
        <v>cargar</v>
      </c>
      <c r="I1613" s="32">
        <f t="shared" si="218"/>
        <v>1900</v>
      </c>
      <c r="J1613" s="32">
        <f t="shared" si="219"/>
        <v>1</v>
      </c>
    </row>
    <row r="1614" spans="1:10" x14ac:dyDescent="0.25">
      <c r="A1614"/>
      <c r="B1614"/>
      <c r="G1614"/>
      <c r="H1614" s="32" t="str">
        <f ca="1">+IF(B1614&gt;'sap nuevo'!$V$1,"cargar",IF(C1614="","cargar","pagado"))</f>
        <v>cargar</v>
      </c>
      <c r="I1614" s="32">
        <f t="shared" si="218"/>
        <v>1900</v>
      </c>
      <c r="J1614" s="32">
        <f t="shared" si="219"/>
        <v>1</v>
      </c>
    </row>
    <row r="1615" spans="1:10" x14ac:dyDescent="0.25">
      <c r="A1615"/>
      <c r="B1615"/>
      <c r="G1615"/>
      <c r="H1615" s="32" t="str">
        <f ca="1">+IF(B1615&gt;'sap nuevo'!$V$1,"cargar",IF(C1615="","cargar","pagado"))</f>
        <v>cargar</v>
      </c>
      <c r="I1615" s="32">
        <f t="shared" si="218"/>
        <v>1900</v>
      </c>
      <c r="J1615" s="32">
        <f t="shared" si="219"/>
        <v>1</v>
      </c>
    </row>
    <row r="1616" spans="1:10" x14ac:dyDescent="0.25">
      <c r="A1616"/>
      <c r="B1616"/>
      <c r="G1616"/>
      <c r="H1616" s="32" t="str">
        <f ca="1">+IF(B1616&gt;'sap nuevo'!$V$1,"cargar",IF(C1616="","cargar","pagado"))</f>
        <v>cargar</v>
      </c>
      <c r="I1616" s="32">
        <f t="shared" si="218"/>
        <v>1900</v>
      </c>
      <c r="J1616" s="32">
        <f t="shared" si="219"/>
        <v>1</v>
      </c>
    </row>
    <row r="1617" spans="1:10" x14ac:dyDescent="0.25">
      <c r="A1617"/>
      <c r="B1617"/>
      <c r="G1617"/>
      <c r="H1617" s="32" t="str">
        <f ca="1">+IF(B1617&gt;'sap nuevo'!$V$1,"cargar",IF(C1617="","cargar","pagado"))</f>
        <v>cargar</v>
      </c>
      <c r="I1617" s="32">
        <f t="shared" si="218"/>
        <v>1900</v>
      </c>
      <c r="J1617" s="32">
        <f t="shared" si="219"/>
        <v>1</v>
      </c>
    </row>
    <row r="1618" spans="1:10" x14ac:dyDescent="0.25">
      <c r="A1618"/>
      <c r="B1618"/>
      <c r="G1618"/>
      <c r="H1618" s="32" t="str">
        <f ca="1">+IF(B1618&gt;'sap nuevo'!$V$1,"cargar",IF(C1618="","cargar","pagado"))</f>
        <v>cargar</v>
      </c>
      <c r="I1618" s="32">
        <f t="shared" si="218"/>
        <v>1900</v>
      </c>
      <c r="J1618" s="32">
        <f t="shared" si="219"/>
        <v>1</v>
      </c>
    </row>
    <row r="1619" spans="1:10" x14ac:dyDescent="0.25">
      <c r="A1619"/>
      <c r="B1619"/>
      <c r="G1619"/>
      <c r="H1619" s="32" t="str">
        <f ca="1">+IF(B1619&gt;'sap nuevo'!$V$1,"cargar",IF(C1619="","cargar","pagado"))</f>
        <v>cargar</v>
      </c>
      <c r="I1619" s="32">
        <f t="shared" si="218"/>
        <v>1900</v>
      </c>
      <c r="J1619" s="32">
        <f t="shared" si="219"/>
        <v>1</v>
      </c>
    </row>
    <row r="1620" spans="1:10" x14ac:dyDescent="0.25">
      <c r="A1620"/>
      <c r="B1620"/>
      <c r="G1620"/>
      <c r="H1620" s="32" t="str">
        <f ca="1">+IF(B1620&gt;'sap nuevo'!$V$1,"cargar",IF(C1620="","cargar","pagado"))</f>
        <v>cargar</v>
      </c>
      <c r="I1620" s="32">
        <f t="shared" si="218"/>
        <v>1900</v>
      </c>
      <c r="J1620" s="32">
        <f t="shared" si="219"/>
        <v>1</v>
      </c>
    </row>
    <row r="1621" spans="1:10" x14ac:dyDescent="0.25">
      <c r="A1621"/>
      <c r="B1621"/>
      <c r="G1621"/>
      <c r="H1621" s="32" t="str">
        <f ca="1">+IF(B1621&gt;'sap nuevo'!$V$1,"cargar",IF(C1621="","cargar","pagado"))</f>
        <v>cargar</v>
      </c>
      <c r="I1621" s="32">
        <f t="shared" si="218"/>
        <v>1900</v>
      </c>
      <c r="J1621" s="32">
        <f t="shared" si="219"/>
        <v>1</v>
      </c>
    </row>
    <row r="1622" spans="1:10" x14ac:dyDescent="0.25">
      <c r="A1622"/>
      <c r="B1622"/>
      <c r="G1622"/>
      <c r="H1622" s="32" t="str">
        <f ca="1">+IF(B1622&gt;'sap nuevo'!$V$1,"cargar",IF(C1622="","cargar","pagado"))</f>
        <v>cargar</v>
      </c>
      <c r="I1622" s="32">
        <f t="shared" si="218"/>
        <v>1900</v>
      </c>
      <c r="J1622" s="32">
        <f t="shared" si="219"/>
        <v>1</v>
      </c>
    </row>
    <row r="1623" spans="1:10" x14ac:dyDescent="0.25">
      <c r="A1623"/>
      <c r="B1623"/>
      <c r="G1623"/>
      <c r="H1623" s="32" t="str">
        <f ca="1">+IF(B1623&gt;'sap nuevo'!$V$1,"cargar",IF(C1623="","cargar","pagado"))</f>
        <v>cargar</v>
      </c>
      <c r="I1623" s="32">
        <f t="shared" si="218"/>
        <v>1900</v>
      </c>
      <c r="J1623" s="32">
        <f t="shared" si="219"/>
        <v>1</v>
      </c>
    </row>
    <row r="1624" spans="1:10" x14ac:dyDescent="0.25">
      <c r="A1624"/>
      <c r="B1624"/>
      <c r="G1624"/>
      <c r="H1624" s="32" t="str">
        <f ca="1">+IF(B1624&gt;'sap nuevo'!$V$1,"cargar",IF(C1624="","cargar","pagado"))</f>
        <v>cargar</v>
      </c>
      <c r="I1624" s="32">
        <f t="shared" si="218"/>
        <v>1900</v>
      </c>
      <c r="J1624" s="32">
        <f t="shared" si="219"/>
        <v>1</v>
      </c>
    </row>
    <row r="1625" spans="1:10" x14ac:dyDescent="0.25">
      <c r="A1625"/>
      <c r="B1625"/>
      <c r="G1625"/>
      <c r="H1625" s="32" t="str">
        <f ca="1">+IF(B1625&gt;'sap nuevo'!$V$1,"cargar",IF(C1625="","cargar","pagado"))</f>
        <v>cargar</v>
      </c>
      <c r="I1625" s="32">
        <f t="shared" si="218"/>
        <v>1900</v>
      </c>
      <c r="J1625" s="32">
        <f t="shared" si="219"/>
        <v>1</v>
      </c>
    </row>
    <row r="1626" spans="1:10" x14ac:dyDescent="0.25">
      <c r="A1626"/>
      <c r="B1626"/>
      <c r="G1626"/>
      <c r="H1626" s="32" t="str">
        <f ca="1">+IF(B1626&gt;'sap nuevo'!$V$1,"cargar",IF(C1626="","cargar","pagado"))</f>
        <v>cargar</v>
      </c>
      <c r="I1626" s="32">
        <f t="shared" si="218"/>
        <v>1900</v>
      </c>
      <c r="J1626" s="32">
        <f t="shared" si="219"/>
        <v>1</v>
      </c>
    </row>
    <row r="1627" spans="1:10" x14ac:dyDescent="0.25">
      <c r="A1627"/>
      <c r="B1627"/>
      <c r="G1627"/>
      <c r="H1627" s="32" t="str">
        <f ca="1">+IF(B1627&gt;'sap nuevo'!$V$1,"cargar",IF(C1627="","cargar","pagado"))</f>
        <v>cargar</v>
      </c>
      <c r="I1627" s="32">
        <f t="shared" si="218"/>
        <v>1900</v>
      </c>
      <c r="J1627" s="32">
        <f t="shared" si="219"/>
        <v>1</v>
      </c>
    </row>
    <row r="1628" spans="1:10" x14ac:dyDescent="0.25">
      <c r="A1628"/>
      <c r="B1628"/>
      <c r="G1628"/>
      <c r="H1628" s="32" t="str">
        <f ca="1">+IF(B1628&gt;'sap nuevo'!$V$1,"cargar",IF(C1628="","cargar","pagado"))</f>
        <v>cargar</v>
      </c>
      <c r="I1628" s="32">
        <f t="shared" si="218"/>
        <v>1900</v>
      </c>
      <c r="J1628" s="32">
        <f t="shared" si="219"/>
        <v>1</v>
      </c>
    </row>
    <row r="1629" spans="1:10" x14ac:dyDescent="0.25">
      <c r="A1629"/>
      <c r="B1629"/>
      <c r="G1629"/>
      <c r="H1629" s="32" t="str">
        <f ca="1">+IF(B1629&gt;'sap nuevo'!$V$1,"cargar",IF(C1629="","cargar","pagado"))</f>
        <v>cargar</v>
      </c>
      <c r="I1629" s="32">
        <f t="shared" si="218"/>
        <v>1900</v>
      </c>
      <c r="J1629" s="32">
        <f t="shared" si="219"/>
        <v>1</v>
      </c>
    </row>
    <row r="1630" spans="1:10" x14ac:dyDescent="0.25">
      <c r="A1630"/>
      <c r="B1630"/>
      <c r="G1630"/>
      <c r="H1630" s="32" t="str">
        <f ca="1">+IF(B1630&gt;'sap nuevo'!$V$1,"cargar",IF(C1630="","cargar","pagado"))</f>
        <v>cargar</v>
      </c>
      <c r="I1630" s="32">
        <f t="shared" si="218"/>
        <v>1900</v>
      </c>
      <c r="J1630" s="32">
        <f t="shared" si="219"/>
        <v>1</v>
      </c>
    </row>
    <row r="1631" spans="1:10" x14ac:dyDescent="0.25">
      <c r="A1631"/>
      <c r="B1631"/>
      <c r="G1631"/>
      <c r="H1631" s="32" t="str">
        <f ca="1">+IF(B1631&gt;'sap nuevo'!$V$1,"cargar",IF(C1631="","cargar","pagado"))</f>
        <v>cargar</v>
      </c>
      <c r="I1631" s="32">
        <f t="shared" si="218"/>
        <v>1900</v>
      </c>
      <c r="J1631" s="32">
        <f t="shared" si="219"/>
        <v>1</v>
      </c>
    </row>
    <row r="1632" spans="1:10" x14ac:dyDescent="0.25">
      <c r="A1632"/>
      <c r="B1632"/>
      <c r="G1632"/>
      <c r="H1632" s="32" t="str">
        <f ca="1">+IF(B1632&gt;'sap nuevo'!$V$1,"cargar",IF(C1632="","cargar","pagado"))</f>
        <v>cargar</v>
      </c>
      <c r="I1632" s="32">
        <f t="shared" si="218"/>
        <v>1900</v>
      </c>
      <c r="J1632" s="32">
        <f t="shared" si="219"/>
        <v>1</v>
      </c>
    </row>
    <row r="1633" spans="1:10" x14ac:dyDescent="0.25">
      <c r="A1633"/>
      <c r="B1633"/>
      <c r="G1633"/>
      <c r="H1633" s="32" t="str">
        <f ca="1">+IF(B1633&gt;'sap nuevo'!$V$1,"cargar",IF(C1633="","cargar","pagado"))</f>
        <v>cargar</v>
      </c>
      <c r="I1633" s="32">
        <f t="shared" ref="I1633:I1642" si="220">+YEAR(B1633)</f>
        <v>1900</v>
      </c>
      <c r="J1633" s="32">
        <f t="shared" ref="J1633:J1642" si="221">+MONTH(B1633)</f>
        <v>1</v>
      </c>
    </row>
    <row r="1634" spans="1:10" x14ac:dyDescent="0.25">
      <c r="A1634"/>
      <c r="B1634"/>
      <c r="G1634"/>
      <c r="H1634" s="32" t="str">
        <f ca="1">+IF(B1634&gt;'sap nuevo'!$V$1,"cargar",IF(C1634="","cargar","pagado"))</f>
        <v>cargar</v>
      </c>
      <c r="I1634" s="32">
        <f t="shared" si="220"/>
        <v>1900</v>
      </c>
      <c r="J1634" s="32">
        <f t="shared" si="221"/>
        <v>1</v>
      </c>
    </row>
    <row r="1635" spans="1:10" x14ac:dyDescent="0.25">
      <c r="A1635"/>
      <c r="B1635"/>
      <c r="G1635"/>
      <c r="H1635" s="32" t="str">
        <f ca="1">+IF(B1635&gt;'sap nuevo'!$V$1,"cargar",IF(C1635="","cargar","pagado"))</f>
        <v>cargar</v>
      </c>
      <c r="I1635" s="32">
        <f t="shared" si="220"/>
        <v>1900</v>
      </c>
      <c r="J1635" s="32">
        <f t="shared" si="221"/>
        <v>1</v>
      </c>
    </row>
    <row r="1636" spans="1:10" x14ac:dyDescent="0.25">
      <c r="A1636"/>
      <c r="B1636"/>
      <c r="G1636"/>
      <c r="H1636" s="32" t="str">
        <f ca="1">+IF(B1636&gt;'sap nuevo'!$V$1,"cargar",IF(C1636="","cargar","pagado"))</f>
        <v>cargar</v>
      </c>
      <c r="I1636" s="32">
        <f t="shared" si="220"/>
        <v>1900</v>
      </c>
      <c r="J1636" s="32">
        <f t="shared" si="221"/>
        <v>1</v>
      </c>
    </row>
    <row r="1637" spans="1:10" x14ac:dyDescent="0.25">
      <c r="A1637"/>
      <c r="B1637"/>
      <c r="G1637"/>
      <c r="H1637" s="32" t="str">
        <f ca="1">+IF(B1637&gt;'sap nuevo'!$V$1,"cargar",IF(C1637="","cargar","pagado"))</f>
        <v>cargar</v>
      </c>
      <c r="I1637" s="32">
        <f t="shared" si="220"/>
        <v>1900</v>
      </c>
      <c r="J1637" s="32">
        <f t="shared" si="221"/>
        <v>1</v>
      </c>
    </row>
    <row r="1638" spans="1:10" x14ac:dyDescent="0.25">
      <c r="A1638"/>
      <c r="B1638"/>
      <c r="G1638"/>
      <c r="H1638" s="32" t="str">
        <f ca="1">+IF(B1638&gt;'sap nuevo'!$V$1,"cargar",IF(C1638="","cargar","pagado"))</f>
        <v>cargar</v>
      </c>
      <c r="I1638" s="32">
        <f t="shared" si="220"/>
        <v>1900</v>
      </c>
      <c r="J1638" s="32">
        <f t="shared" si="221"/>
        <v>1</v>
      </c>
    </row>
    <row r="1639" spans="1:10" x14ac:dyDescent="0.25">
      <c r="A1639"/>
      <c r="B1639"/>
      <c r="G1639"/>
      <c r="H1639" s="32" t="str">
        <f ca="1">+IF(B1639&gt;'sap nuevo'!$V$1,"cargar",IF(C1639="","cargar","pagado"))</f>
        <v>cargar</v>
      </c>
      <c r="I1639" s="32">
        <f t="shared" si="220"/>
        <v>1900</v>
      </c>
      <c r="J1639" s="32">
        <f t="shared" si="221"/>
        <v>1</v>
      </c>
    </row>
    <row r="1640" spans="1:10" x14ac:dyDescent="0.25">
      <c r="A1640"/>
      <c r="B1640"/>
      <c r="G1640"/>
      <c r="H1640" s="32" t="str">
        <f ca="1">+IF(B1640&gt;'sap nuevo'!$V$1,"cargar",IF(C1640="","cargar","pagado"))</f>
        <v>cargar</v>
      </c>
      <c r="I1640" s="32">
        <f t="shared" si="220"/>
        <v>1900</v>
      </c>
      <c r="J1640" s="32">
        <f t="shared" si="221"/>
        <v>1</v>
      </c>
    </row>
    <row r="1641" spans="1:10" x14ac:dyDescent="0.25">
      <c r="A1641"/>
      <c r="B1641"/>
      <c r="G1641"/>
      <c r="H1641" s="32" t="str">
        <f ca="1">+IF(B1641&gt;'sap nuevo'!$V$1,"cargar",IF(C1641="","cargar","pagado"))</f>
        <v>cargar</v>
      </c>
      <c r="I1641" s="32">
        <f t="shared" si="220"/>
        <v>1900</v>
      </c>
      <c r="J1641" s="32">
        <f t="shared" si="221"/>
        <v>1</v>
      </c>
    </row>
    <row r="1642" spans="1:10" x14ac:dyDescent="0.25">
      <c r="A1642"/>
      <c r="B1642"/>
      <c r="G1642"/>
      <c r="H1642" s="32" t="str">
        <f ca="1">+IF(B1642&gt;'sap nuevo'!$V$1,"cargar",IF(C1642="","cargar","pagado"))</f>
        <v>cargar</v>
      </c>
      <c r="I1642" s="32">
        <f t="shared" si="220"/>
        <v>1900</v>
      </c>
      <c r="J1642" s="32">
        <f t="shared" si="221"/>
        <v>1</v>
      </c>
    </row>
    <row r="1643" spans="1:10" x14ac:dyDescent="0.25">
      <c r="A1643"/>
      <c r="B1643"/>
      <c r="G1643"/>
      <c r="H1643" s="32" t="str">
        <f ca="1">+IF(B1643&gt;'sap nuevo'!$V$1,"cargar",IF(C1643="","cargar","pagado"))</f>
        <v>cargar</v>
      </c>
      <c r="I1643" s="32">
        <f t="shared" ref="I1643:I1652" si="222">+YEAR(B1643)</f>
        <v>1900</v>
      </c>
      <c r="J1643" s="32">
        <f t="shared" ref="J1643:J1652" si="223">+MONTH(B1643)</f>
        <v>1</v>
      </c>
    </row>
    <row r="1644" spans="1:10" x14ac:dyDescent="0.25">
      <c r="A1644"/>
      <c r="B1644"/>
      <c r="G1644"/>
      <c r="H1644" s="32" t="str">
        <f ca="1">+IF(B1644&gt;'sap nuevo'!$V$1,"cargar",IF(C1644="","cargar","pagado"))</f>
        <v>cargar</v>
      </c>
      <c r="I1644" s="32">
        <f t="shared" si="222"/>
        <v>1900</v>
      </c>
      <c r="J1644" s="32">
        <f t="shared" si="223"/>
        <v>1</v>
      </c>
    </row>
    <row r="1645" spans="1:10" x14ac:dyDescent="0.25">
      <c r="A1645"/>
      <c r="B1645"/>
      <c r="G1645"/>
      <c r="H1645" s="32" t="str">
        <f ca="1">+IF(B1645&gt;'sap nuevo'!$V$1,"cargar",IF(C1645="","cargar","pagado"))</f>
        <v>cargar</v>
      </c>
      <c r="I1645" s="32">
        <f t="shared" si="222"/>
        <v>1900</v>
      </c>
      <c r="J1645" s="32">
        <f t="shared" si="223"/>
        <v>1</v>
      </c>
    </row>
    <row r="1646" spans="1:10" x14ac:dyDescent="0.25">
      <c r="A1646"/>
      <c r="B1646"/>
      <c r="G1646"/>
      <c r="H1646" s="32" t="str">
        <f ca="1">+IF(B1646&gt;'sap nuevo'!$V$1,"cargar",IF(C1646="","cargar","pagado"))</f>
        <v>cargar</v>
      </c>
      <c r="I1646" s="32">
        <f t="shared" si="222"/>
        <v>1900</v>
      </c>
      <c r="J1646" s="32">
        <f t="shared" si="223"/>
        <v>1</v>
      </c>
    </row>
    <row r="1647" spans="1:10" x14ac:dyDescent="0.25">
      <c r="A1647"/>
      <c r="B1647"/>
      <c r="G1647"/>
      <c r="H1647" s="32" t="str">
        <f ca="1">+IF(B1647&gt;'sap nuevo'!$V$1,"cargar",IF(C1647="","cargar","pagado"))</f>
        <v>cargar</v>
      </c>
      <c r="I1647" s="32">
        <f t="shared" si="222"/>
        <v>1900</v>
      </c>
      <c r="J1647" s="32">
        <f t="shared" si="223"/>
        <v>1</v>
      </c>
    </row>
    <row r="1648" spans="1:10" x14ac:dyDescent="0.25">
      <c r="A1648"/>
      <c r="B1648"/>
      <c r="G1648"/>
      <c r="H1648" s="32" t="str">
        <f ca="1">+IF(B1648&gt;'sap nuevo'!$V$1,"cargar",IF(C1648="","cargar","pagado"))</f>
        <v>cargar</v>
      </c>
      <c r="I1648" s="32">
        <f t="shared" si="222"/>
        <v>1900</v>
      </c>
      <c r="J1648" s="32">
        <f t="shared" si="223"/>
        <v>1</v>
      </c>
    </row>
    <row r="1649" spans="1:10" x14ac:dyDescent="0.25">
      <c r="A1649"/>
      <c r="B1649"/>
      <c r="G1649"/>
      <c r="H1649" s="32" t="str">
        <f ca="1">+IF(B1649&gt;'sap nuevo'!$V$1,"cargar",IF(C1649="","cargar","pagado"))</f>
        <v>cargar</v>
      </c>
      <c r="I1649" s="32">
        <f t="shared" si="222"/>
        <v>1900</v>
      </c>
      <c r="J1649" s="32">
        <f t="shared" si="223"/>
        <v>1</v>
      </c>
    </row>
    <row r="1650" spans="1:10" x14ac:dyDescent="0.25">
      <c r="A1650"/>
      <c r="B1650"/>
      <c r="G1650"/>
      <c r="H1650" s="32" t="str">
        <f ca="1">+IF(B1650&gt;'sap nuevo'!$V$1,"cargar",IF(C1650="","cargar","pagado"))</f>
        <v>cargar</v>
      </c>
      <c r="I1650" s="32">
        <f t="shared" si="222"/>
        <v>1900</v>
      </c>
      <c r="J1650" s="32">
        <f t="shared" si="223"/>
        <v>1</v>
      </c>
    </row>
    <row r="1651" spans="1:10" x14ac:dyDescent="0.25">
      <c r="A1651"/>
      <c r="B1651"/>
      <c r="G1651"/>
      <c r="H1651" s="32" t="str">
        <f ca="1">+IF(B1651&gt;'sap nuevo'!$V$1,"cargar",IF(C1651="","cargar","pagado"))</f>
        <v>cargar</v>
      </c>
      <c r="I1651" s="32">
        <f t="shared" si="222"/>
        <v>1900</v>
      </c>
      <c r="J1651" s="32">
        <f t="shared" si="223"/>
        <v>1</v>
      </c>
    </row>
    <row r="1652" spans="1:10" x14ac:dyDescent="0.25">
      <c r="A1652"/>
      <c r="B1652"/>
      <c r="G1652"/>
      <c r="H1652" s="32" t="str">
        <f ca="1">+IF(B1652&gt;'sap nuevo'!$V$1,"cargar",IF(C1652="","cargar","pagado"))</f>
        <v>cargar</v>
      </c>
      <c r="I1652" s="32">
        <f t="shared" si="222"/>
        <v>1900</v>
      </c>
      <c r="J1652" s="32">
        <f t="shared" si="223"/>
        <v>1</v>
      </c>
    </row>
    <row r="1653" spans="1:10" x14ac:dyDescent="0.25">
      <c r="A1653"/>
      <c r="B1653"/>
      <c r="G1653"/>
      <c r="H1653" s="32" t="str">
        <f ca="1">+IF(B1653&gt;'sap nuevo'!$V$1,"cargar",IF(C1653="","cargar","pagado"))</f>
        <v>cargar</v>
      </c>
      <c r="I1653" s="32">
        <f t="shared" ref="I1653:I1654" si="224">+YEAR(B1653)</f>
        <v>1900</v>
      </c>
      <c r="J1653" s="32">
        <f t="shared" ref="J1653:J1654" si="225">+MONTH(B1653)</f>
        <v>1</v>
      </c>
    </row>
    <row r="1654" spans="1:10" x14ac:dyDescent="0.25">
      <c r="A1654"/>
      <c r="B1654"/>
      <c r="G1654"/>
      <c r="H1654" s="32" t="str">
        <f ca="1">+IF(B1654&gt;'sap nuevo'!$V$1,"cargar",IF(C1654="","cargar","pagado"))</f>
        <v>cargar</v>
      </c>
      <c r="I1654" s="32">
        <f t="shared" si="224"/>
        <v>1900</v>
      </c>
      <c r="J1654" s="32">
        <f t="shared" si="225"/>
        <v>1</v>
      </c>
    </row>
    <row r="1655" spans="1:10" x14ac:dyDescent="0.25">
      <c r="A1655"/>
      <c r="B1655"/>
      <c r="G1655"/>
      <c r="H1655" s="32" t="str">
        <f ca="1">+IF(B1655&gt;'sap nuevo'!$V$1,"cargar",IF(C1655="","cargar","pagado"))</f>
        <v>cargar</v>
      </c>
      <c r="I1655" s="32">
        <f t="shared" ref="I1655" si="226">+YEAR(B1655)</f>
        <v>1900</v>
      </c>
      <c r="J1655" s="32">
        <f t="shared" ref="J1655" si="227">+MONTH(B1655)</f>
        <v>1</v>
      </c>
    </row>
    <row r="1656" spans="1:10" x14ac:dyDescent="0.25">
      <c r="A1656"/>
      <c r="B1656"/>
      <c r="G1656"/>
      <c r="H1656" s="32" t="str">
        <f ca="1">+IF(B1656&gt;'sap nuevo'!$V$1,"cargar",IF(C1656="","cargar","pagado"))</f>
        <v>cargar</v>
      </c>
      <c r="I1656" s="32">
        <f t="shared" ref="I1656:I1661" si="228">+YEAR(B1656)</f>
        <v>1900</v>
      </c>
      <c r="J1656" s="32">
        <f t="shared" ref="J1656:J1661" si="229">+MONTH(B1656)</f>
        <v>1</v>
      </c>
    </row>
    <row r="1657" spans="1:10" x14ac:dyDescent="0.25">
      <c r="A1657"/>
      <c r="B1657"/>
      <c r="G1657"/>
      <c r="H1657" s="32" t="str">
        <f ca="1">+IF(B1657&gt;'sap nuevo'!$V$1,"cargar",IF(C1657="","cargar","pagado"))</f>
        <v>cargar</v>
      </c>
      <c r="I1657" s="32">
        <f t="shared" si="228"/>
        <v>1900</v>
      </c>
      <c r="J1657" s="32">
        <f t="shared" si="229"/>
        <v>1</v>
      </c>
    </row>
    <row r="1658" spans="1:10" x14ac:dyDescent="0.25">
      <c r="A1658"/>
      <c r="B1658"/>
      <c r="G1658"/>
      <c r="H1658" s="32" t="str">
        <f ca="1">+IF(B1658&gt;'sap nuevo'!$V$1,"cargar",IF(C1658="","cargar","pagado"))</f>
        <v>cargar</v>
      </c>
      <c r="I1658" s="32">
        <f t="shared" si="228"/>
        <v>1900</v>
      </c>
      <c r="J1658" s="32">
        <f t="shared" si="229"/>
        <v>1</v>
      </c>
    </row>
    <row r="1659" spans="1:10" x14ac:dyDescent="0.25">
      <c r="A1659"/>
      <c r="B1659"/>
      <c r="G1659"/>
      <c r="H1659" s="32" t="str">
        <f ca="1">+IF(B1659&gt;'sap nuevo'!$V$1,"cargar",IF(C1659="","cargar","pagado"))</f>
        <v>cargar</v>
      </c>
      <c r="I1659" s="32">
        <f t="shared" si="228"/>
        <v>1900</v>
      </c>
      <c r="J1659" s="32">
        <f t="shared" si="229"/>
        <v>1</v>
      </c>
    </row>
    <row r="1660" spans="1:10" x14ac:dyDescent="0.25">
      <c r="A1660"/>
      <c r="B1660"/>
      <c r="G1660"/>
      <c r="H1660" s="32" t="str">
        <f ca="1">+IF(B1660&gt;'sap nuevo'!$V$1,"cargar",IF(C1660="","cargar","pagado"))</f>
        <v>cargar</v>
      </c>
      <c r="I1660" s="32">
        <f t="shared" si="228"/>
        <v>1900</v>
      </c>
      <c r="J1660" s="32">
        <f t="shared" si="229"/>
        <v>1</v>
      </c>
    </row>
    <row r="1661" spans="1:10" x14ac:dyDescent="0.25">
      <c r="A1661"/>
      <c r="B1661"/>
      <c r="G1661"/>
      <c r="H1661" s="32" t="str">
        <f ca="1">+IF(B1661&gt;'sap nuevo'!$V$1,"cargar",IF(C1661="","cargar","pagado"))</f>
        <v>cargar</v>
      </c>
      <c r="I1661" s="32">
        <f t="shared" si="228"/>
        <v>1900</v>
      </c>
      <c r="J1661" s="32">
        <f t="shared" si="229"/>
        <v>1</v>
      </c>
    </row>
    <row r="1662" spans="1:10" x14ac:dyDescent="0.25">
      <c r="A1662"/>
      <c r="B1662"/>
      <c r="G1662"/>
      <c r="H1662" s="32" t="str">
        <f ca="1">+IF(B1662&gt;'sap nuevo'!$V$1,"cargar",IF(C1662="","cargar","pagado"))</f>
        <v>cargar</v>
      </c>
      <c r="I1662" s="32">
        <f t="shared" ref="I1662:I1677" si="230">+YEAR(B1662)</f>
        <v>1900</v>
      </c>
      <c r="J1662" s="32">
        <f t="shared" ref="J1662:J1677" si="231">+MONTH(B1662)</f>
        <v>1</v>
      </c>
    </row>
    <row r="1663" spans="1:10" x14ac:dyDescent="0.25">
      <c r="A1663"/>
      <c r="B1663"/>
      <c r="G1663"/>
      <c r="H1663" s="32" t="str">
        <f ca="1">+IF(B1663&gt;'sap nuevo'!$V$1,"cargar",IF(C1663="","cargar","pagado"))</f>
        <v>cargar</v>
      </c>
      <c r="I1663" s="32">
        <f t="shared" si="230"/>
        <v>1900</v>
      </c>
      <c r="J1663" s="32">
        <f t="shared" si="231"/>
        <v>1</v>
      </c>
    </row>
    <row r="1664" spans="1:10" x14ac:dyDescent="0.25">
      <c r="A1664"/>
      <c r="B1664"/>
      <c r="G1664"/>
      <c r="H1664" s="32" t="str">
        <f ca="1">+IF(B1664&gt;'sap nuevo'!$V$1,"cargar",IF(C1664="","cargar","pagado"))</f>
        <v>cargar</v>
      </c>
      <c r="I1664" s="32">
        <f t="shared" si="230"/>
        <v>1900</v>
      </c>
      <c r="J1664" s="32">
        <f t="shared" si="231"/>
        <v>1</v>
      </c>
    </row>
    <row r="1665" spans="1:10" x14ac:dyDescent="0.25">
      <c r="A1665"/>
      <c r="B1665"/>
      <c r="G1665"/>
      <c r="H1665" s="32" t="str">
        <f ca="1">+IF(B1665&gt;'sap nuevo'!$V$1,"cargar",IF(C1665="","cargar","pagado"))</f>
        <v>cargar</v>
      </c>
      <c r="I1665" s="32">
        <f t="shared" si="230"/>
        <v>1900</v>
      </c>
      <c r="J1665" s="32">
        <f t="shared" si="231"/>
        <v>1</v>
      </c>
    </row>
    <row r="1666" spans="1:10" x14ac:dyDescent="0.25">
      <c r="A1666"/>
      <c r="B1666"/>
      <c r="G1666"/>
      <c r="H1666" s="32" t="str">
        <f ca="1">+IF(B1666&gt;'sap nuevo'!$V$1,"cargar",IF(C1666="","cargar","pagado"))</f>
        <v>cargar</v>
      </c>
      <c r="I1666" s="32">
        <f t="shared" si="230"/>
        <v>1900</v>
      </c>
      <c r="J1666" s="32">
        <f t="shared" si="231"/>
        <v>1</v>
      </c>
    </row>
    <row r="1667" spans="1:10" x14ac:dyDescent="0.25">
      <c r="A1667"/>
      <c r="B1667"/>
      <c r="G1667"/>
      <c r="H1667" s="32" t="str">
        <f ca="1">+IF(B1667&gt;'sap nuevo'!$V$1,"cargar",IF(C1667="","cargar","pagado"))</f>
        <v>cargar</v>
      </c>
      <c r="I1667" s="32">
        <f t="shared" si="230"/>
        <v>1900</v>
      </c>
      <c r="J1667" s="32">
        <f t="shared" si="231"/>
        <v>1</v>
      </c>
    </row>
    <row r="1668" spans="1:10" x14ac:dyDescent="0.25">
      <c r="A1668"/>
      <c r="B1668"/>
      <c r="G1668"/>
      <c r="H1668" s="32" t="str">
        <f ca="1">+IF(B1668&gt;'sap nuevo'!$V$1,"cargar",IF(C1668="","cargar","pagado"))</f>
        <v>cargar</v>
      </c>
      <c r="I1668" s="32">
        <f t="shared" si="230"/>
        <v>1900</v>
      </c>
      <c r="J1668" s="32">
        <f t="shared" si="231"/>
        <v>1</v>
      </c>
    </row>
    <row r="1669" spans="1:10" x14ac:dyDescent="0.25">
      <c r="A1669"/>
      <c r="B1669"/>
      <c r="G1669"/>
      <c r="H1669" s="32" t="str">
        <f ca="1">+IF(B1669&gt;'sap nuevo'!$V$1,"cargar",IF(C1669="","cargar","pagado"))</f>
        <v>cargar</v>
      </c>
      <c r="I1669" s="32">
        <f t="shared" si="230"/>
        <v>1900</v>
      </c>
      <c r="J1669" s="32">
        <f t="shared" si="231"/>
        <v>1</v>
      </c>
    </row>
    <row r="1670" spans="1:10" x14ac:dyDescent="0.25">
      <c r="A1670"/>
      <c r="B1670"/>
      <c r="G1670"/>
      <c r="H1670" s="32" t="str">
        <f ca="1">+IF(B1670&gt;'sap nuevo'!$V$1,"cargar",IF(C1670="","cargar","pagado"))</f>
        <v>cargar</v>
      </c>
      <c r="I1670" s="32">
        <f t="shared" si="230"/>
        <v>1900</v>
      </c>
      <c r="J1670" s="32">
        <f t="shared" si="231"/>
        <v>1</v>
      </c>
    </row>
    <row r="1671" spans="1:10" x14ac:dyDescent="0.25">
      <c r="A1671"/>
      <c r="B1671"/>
      <c r="G1671"/>
      <c r="H1671" s="32" t="str">
        <f ca="1">+IF(B1671&gt;'sap nuevo'!$V$1,"cargar",IF(C1671="","cargar","pagado"))</f>
        <v>cargar</v>
      </c>
      <c r="I1671" s="32">
        <f t="shared" si="230"/>
        <v>1900</v>
      </c>
      <c r="J1671" s="32">
        <f t="shared" si="231"/>
        <v>1</v>
      </c>
    </row>
    <row r="1672" spans="1:10" x14ac:dyDescent="0.25">
      <c r="A1672"/>
      <c r="B1672"/>
      <c r="G1672"/>
      <c r="H1672" s="32" t="str">
        <f ca="1">+IF(B1672&gt;'sap nuevo'!$V$1,"cargar",IF(C1672="","cargar","pagado"))</f>
        <v>cargar</v>
      </c>
      <c r="I1672" s="32">
        <f t="shared" si="230"/>
        <v>1900</v>
      </c>
      <c r="J1672" s="32">
        <f t="shared" si="231"/>
        <v>1</v>
      </c>
    </row>
    <row r="1673" spans="1:10" x14ac:dyDescent="0.25">
      <c r="A1673"/>
      <c r="B1673"/>
      <c r="G1673"/>
      <c r="H1673" s="32" t="str">
        <f ca="1">+IF(B1673&gt;'sap nuevo'!$V$1,"cargar",IF(C1673="","cargar","pagado"))</f>
        <v>cargar</v>
      </c>
      <c r="I1673" s="32">
        <f t="shared" si="230"/>
        <v>1900</v>
      </c>
      <c r="J1673" s="32">
        <f t="shared" si="231"/>
        <v>1</v>
      </c>
    </row>
    <row r="1674" spans="1:10" x14ac:dyDescent="0.25">
      <c r="A1674"/>
      <c r="B1674"/>
      <c r="G1674"/>
      <c r="H1674" s="32" t="str">
        <f ca="1">+IF(B1674&gt;'sap nuevo'!$V$1,"cargar",IF(C1674="","cargar","pagado"))</f>
        <v>cargar</v>
      </c>
      <c r="I1674" s="32">
        <f t="shared" si="230"/>
        <v>1900</v>
      </c>
      <c r="J1674" s="32">
        <f t="shared" si="231"/>
        <v>1</v>
      </c>
    </row>
    <row r="1675" spans="1:10" x14ac:dyDescent="0.25">
      <c r="A1675"/>
      <c r="B1675"/>
      <c r="G1675"/>
      <c r="H1675" s="32" t="str">
        <f ca="1">+IF(B1675&gt;'sap nuevo'!$V$1,"cargar",IF(C1675="","cargar","pagado"))</f>
        <v>cargar</v>
      </c>
      <c r="I1675" s="32">
        <f t="shared" si="230"/>
        <v>1900</v>
      </c>
      <c r="J1675" s="32">
        <f t="shared" si="231"/>
        <v>1</v>
      </c>
    </row>
    <row r="1676" spans="1:10" x14ac:dyDescent="0.25">
      <c r="A1676"/>
      <c r="B1676"/>
      <c r="G1676"/>
      <c r="H1676" s="32" t="str">
        <f ca="1">+IF(B1676&gt;'sap nuevo'!$V$1,"cargar",IF(C1676="","cargar","pagado"))</f>
        <v>cargar</v>
      </c>
      <c r="I1676" s="32">
        <f t="shared" si="230"/>
        <v>1900</v>
      </c>
      <c r="J1676" s="32">
        <f t="shared" si="231"/>
        <v>1</v>
      </c>
    </row>
    <row r="1677" spans="1:10" x14ac:dyDescent="0.25">
      <c r="A1677"/>
      <c r="B1677"/>
      <c r="G1677"/>
      <c r="H1677" s="32" t="str">
        <f ca="1">+IF(B1677&gt;'sap nuevo'!$V$1,"cargar",IF(C1677="","cargar","pagado"))</f>
        <v>cargar</v>
      </c>
      <c r="I1677" s="32">
        <f t="shared" si="230"/>
        <v>1900</v>
      </c>
      <c r="J1677" s="32">
        <f t="shared" si="231"/>
        <v>1</v>
      </c>
    </row>
    <row r="1678" spans="1:10" x14ac:dyDescent="0.25">
      <c r="A1678"/>
      <c r="B1678"/>
      <c r="G1678"/>
      <c r="H1678" s="32" t="str">
        <f ca="1">+IF(B1678&gt;'sap nuevo'!$V$1,"cargar",IF(C1678="","cargar","pagado"))</f>
        <v>cargar</v>
      </c>
      <c r="I1678" s="32">
        <f t="shared" ref="I1678:I1690" si="232">+YEAR(B1678)</f>
        <v>1900</v>
      </c>
      <c r="J1678" s="32">
        <f t="shared" ref="J1678:J1690" si="233">+MONTH(B1678)</f>
        <v>1</v>
      </c>
    </row>
    <row r="1679" spans="1:10" x14ac:dyDescent="0.25">
      <c r="A1679"/>
      <c r="B1679"/>
      <c r="G1679"/>
      <c r="H1679" s="32" t="str">
        <f ca="1">+IF(B1679&gt;'sap nuevo'!$V$1,"cargar",IF(C1679="","cargar","pagado"))</f>
        <v>cargar</v>
      </c>
      <c r="I1679" s="32">
        <f t="shared" si="232"/>
        <v>1900</v>
      </c>
      <c r="J1679" s="32">
        <f t="shared" si="233"/>
        <v>1</v>
      </c>
    </row>
    <row r="1680" spans="1:10" x14ac:dyDescent="0.25">
      <c r="A1680"/>
      <c r="B1680"/>
      <c r="G1680"/>
      <c r="H1680" s="32" t="str">
        <f ca="1">+IF(B1680&gt;'sap nuevo'!$V$1,"cargar",IF(C1680="","cargar","pagado"))</f>
        <v>cargar</v>
      </c>
      <c r="I1680" s="32">
        <f t="shared" si="232"/>
        <v>1900</v>
      </c>
      <c r="J1680" s="32">
        <f t="shared" si="233"/>
        <v>1</v>
      </c>
    </row>
    <row r="1681" spans="1:10" x14ac:dyDescent="0.25">
      <c r="A1681"/>
      <c r="B1681"/>
      <c r="G1681"/>
      <c r="H1681" s="32" t="str">
        <f ca="1">+IF(B1681&gt;'sap nuevo'!$V$1,"cargar",IF(C1681="","cargar","pagado"))</f>
        <v>cargar</v>
      </c>
      <c r="I1681" s="32">
        <f t="shared" si="232"/>
        <v>1900</v>
      </c>
      <c r="J1681" s="32">
        <f t="shared" si="233"/>
        <v>1</v>
      </c>
    </row>
    <row r="1682" spans="1:10" x14ac:dyDescent="0.25">
      <c r="A1682"/>
      <c r="B1682"/>
      <c r="G1682"/>
      <c r="H1682" s="32" t="str">
        <f ca="1">+IF(B1682&gt;'sap nuevo'!$V$1,"cargar",IF(C1682="","cargar","pagado"))</f>
        <v>cargar</v>
      </c>
      <c r="I1682" s="32">
        <f t="shared" si="232"/>
        <v>1900</v>
      </c>
      <c r="J1682" s="32">
        <f t="shared" si="233"/>
        <v>1</v>
      </c>
    </row>
    <row r="1683" spans="1:10" x14ac:dyDescent="0.25">
      <c r="A1683"/>
      <c r="B1683"/>
      <c r="G1683"/>
      <c r="H1683" s="32" t="str">
        <f ca="1">+IF(B1683&gt;'sap nuevo'!$V$1,"cargar",IF(C1683="","cargar","pagado"))</f>
        <v>cargar</v>
      </c>
      <c r="I1683" s="32">
        <f t="shared" si="232"/>
        <v>1900</v>
      </c>
      <c r="J1683" s="32">
        <f t="shared" si="233"/>
        <v>1</v>
      </c>
    </row>
    <row r="1684" spans="1:10" x14ac:dyDescent="0.25">
      <c r="A1684"/>
      <c r="B1684"/>
      <c r="G1684"/>
      <c r="H1684" s="32" t="str">
        <f ca="1">+IF(B1684&gt;'sap nuevo'!$V$1,"cargar",IF(C1684="","cargar","pagado"))</f>
        <v>cargar</v>
      </c>
      <c r="I1684" s="32">
        <f t="shared" si="232"/>
        <v>1900</v>
      </c>
      <c r="J1684" s="32">
        <f t="shared" si="233"/>
        <v>1</v>
      </c>
    </row>
    <row r="1685" spans="1:10" x14ac:dyDescent="0.25">
      <c r="A1685"/>
      <c r="B1685"/>
      <c r="G1685"/>
      <c r="H1685" s="32" t="str">
        <f ca="1">+IF(B1685&gt;'sap nuevo'!$V$1,"cargar",IF(C1685="","cargar","pagado"))</f>
        <v>cargar</v>
      </c>
      <c r="I1685" s="32">
        <f t="shared" si="232"/>
        <v>1900</v>
      </c>
      <c r="J1685" s="32">
        <f t="shared" si="233"/>
        <v>1</v>
      </c>
    </row>
    <row r="1686" spans="1:10" x14ac:dyDescent="0.25">
      <c r="A1686"/>
      <c r="B1686"/>
      <c r="G1686"/>
      <c r="H1686" s="32" t="str">
        <f ca="1">+IF(B1686&gt;'sap nuevo'!$V$1,"cargar",IF(C1686="","cargar","pagado"))</f>
        <v>cargar</v>
      </c>
      <c r="I1686" s="32">
        <f t="shared" si="232"/>
        <v>1900</v>
      </c>
      <c r="J1686" s="32">
        <f t="shared" si="233"/>
        <v>1</v>
      </c>
    </row>
    <row r="1687" spans="1:10" x14ac:dyDescent="0.25">
      <c r="A1687"/>
      <c r="B1687"/>
      <c r="G1687"/>
      <c r="H1687" s="32" t="str">
        <f ca="1">+IF(B1687&gt;'sap nuevo'!$V$1,"cargar",IF(C1687="","cargar","pagado"))</f>
        <v>cargar</v>
      </c>
      <c r="I1687" s="32">
        <f t="shared" si="232"/>
        <v>1900</v>
      </c>
      <c r="J1687" s="32">
        <f t="shared" si="233"/>
        <v>1</v>
      </c>
    </row>
    <row r="1688" spans="1:10" x14ac:dyDescent="0.25">
      <c r="A1688"/>
      <c r="B1688"/>
      <c r="G1688"/>
      <c r="H1688" s="32" t="str">
        <f ca="1">+IF(B1688&gt;'sap nuevo'!$V$1,"cargar",IF(C1688="","cargar","pagado"))</f>
        <v>cargar</v>
      </c>
      <c r="I1688" s="32">
        <f t="shared" si="232"/>
        <v>1900</v>
      </c>
      <c r="J1688" s="32">
        <f t="shared" si="233"/>
        <v>1</v>
      </c>
    </row>
    <row r="1689" spans="1:10" x14ac:dyDescent="0.25">
      <c r="A1689"/>
      <c r="B1689"/>
      <c r="G1689"/>
      <c r="H1689" s="32" t="str">
        <f ca="1">+IF(B1689&gt;'sap nuevo'!$V$1,"cargar",IF(C1689="","cargar","pagado"))</f>
        <v>cargar</v>
      </c>
      <c r="I1689" s="32">
        <f t="shared" si="232"/>
        <v>1900</v>
      </c>
      <c r="J1689" s="32">
        <f t="shared" si="233"/>
        <v>1</v>
      </c>
    </row>
    <row r="1690" spans="1:10" x14ac:dyDescent="0.25">
      <c r="A1690"/>
      <c r="B1690" s="3"/>
      <c r="H1690" s="32" t="str">
        <f ca="1">+IF(B1690&gt;'sap nuevo'!$V$1,"cargar",IF(C1690="","cargar","pagado"))</f>
        <v>cargar</v>
      </c>
      <c r="I1690" s="32">
        <f t="shared" si="232"/>
        <v>1900</v>
      </c>
      <c r="J1690" s="32">
        <f t="shared" si="233"/>
        <v>1</v>
      </c>
    </row>
    <row r="1691" spans="1:10" x14ac:dyDescent="0.25">
      <c r="A1691"/>
      <c r="B1691"/>
      <c r="G1691"/>
      <c r="H1691" s="32" t="str">
        <f ca="1">+IF(B1691&gt;'sap nuevo'!$V$1,"cargar",IF(C1691="","cargar","pagado"))</f>
        <v>cargar</v>
      </c>
      <c r="I1691" s="32">
        <f t="shared" ref="I1691:I1703" si="234">+YEAR(B1691)</f>
        <v>1900</v>
      </c>
      <c r="J1691" s="32">
        <f t="shared" ref="J1691:J1703" si="235">+MONTH(B1691)</f>
        <v>1</v>
      </c>
    </row>
    <row r="1692" spans="1:10" x14ac:dyDescent="0.25">
      <c r="A1692"/>
      <c r="B1692"/>
      <c r="G1692"/>
      <c r="H1692" s="32" t="str">
        <f ca="1">+IF(B1692&gt;'sap nuevo'!$V$1,"cargar",IF(C1692="","cargar","pagado"))</f>
        <v>cargar</v>
      </c>
      <c r="I1692" s="32">
        <f t="shared" si="234"/>
        <v>1900</v>
      </c>
      <c r="J1692" s="32">
        <f t="shared" si="235"/>
        <v>1</v>
      </c>
    </row>
    <row r="1693" spans="1:10" x14ac:dyDescent="0.25">
      <c r="A1693"/>
      <c r="B1693"/>
      <c r="G1693"/>
      <c r="H1693" s="32" t="str">
        <f ca="1">+IF(B1693&gt;'sap nuevo'!$V$1,"cargar",IF(C1693="","cargar","pagado"))</f>
        <v>cargar</v>
      </c>
      <c r="I1693" s="32">
        <f t="shared" si="234"/>
        <v>1900</v>
      </c>
      <c r="J1693" s="32">
        <f t="shared" si="235"/>
        <v>1</v>
      </c>
    </row>
    <row r="1694" spans="1:10" x14ac:dyDescent="0.25">
      <c r="A1694"/>
      <c r="B1694"/>
      <c r="G1694"/>
      <c r="H1694" s="32" t="str">
        <f ca="1">+IF(B1694&gt;'sap nuevo'!$V$1,"cargar",IF(C1694="","cargar","pagado"))</f>
        <v>cargar</v>
      </c>
      <c r="I1694" s="32">
        <f t="shared" si="234"/>
        <v>1900</v>
      </c>
      <c r="J1694" s="32">
        <f t="shared" si="235"/>
        <v>1</v>
      </c>
    </row>
    <row r="1695" spans="1:10" x14ac:dyDescent="0.25">
      <c r="A1695"/>
      <c r="B1695"/>
      <c r="G1695"/>
      <c r="H1695" s="32" t="str">
        <f ca="1">+IF(B1695&gt;'sap nuevo'!$V$1,"cargar",IF(C1695="","cargar","pagado"))</f>
        <v>cargar</v>
      </c>
      <c r="I1695" s="32">
        <f t="shared" si="234"/>
        <v>1900</v>
      </c>
      <c r="J1695" s="32">
        <f t="shared" si="235"/>
        <v>1</v>
      </c>
    </row>
    <row r="1696" spans="1:10" x14ac:dyDescent="0.25">
      <c r="A1696"/>
      <c r="B1696"/>
      <c r="G1696"/>
      <c r="H1696" s="32" t="str">
        <f ca="1">+IF(B1696&gt;'sap nuevo'!$V$1,"cargar",IF(C1696="","cargar","pagado"))</f>
        <v>cargar</v>
      </c>
      <c r="I1696" s="32">
        <f t="shared" si="234"/>
        <v>1900</v>
      </c>
      <c r="J1696" s="32">
        <f t="shared" si="235"/>
        <v>1</v>
      </c>
    </row>
    <row r="1697" spans="1:10" x14ac:dyDescent="0.25">
      <c r="A1697"/>
      <c r="B1697"/>
      <c r="G1697"/>
      <c r="H1697" s="32" t="str">
        <f ca="1">+IF(B1697&gt;'sap nuevo'!$V$1,"cargar",IF(C1697="","cargar","pagado"))</f>
        <v>cargar</v>
      </c>
      <c r="I1697" s="32">
        <f t="shared" si="234"/>
        <v>1900</v>
      </c>
      <c r="J1697" s="32">
        <f t="shared" si="235"/>
        <v>1</v>
      </c>
    </row>
    <row r="1698" spans="1:10" x14ac:dyDescent="0.25">
      <c r="A1698"/>
      <c r="B1698"/>
      <c r="G1698"/>
      <c r="H1698" s="32" t="str">
        <f ca="1">+IF(B1698&gt;'sap nuevo'!$V$1,"cargar",IF(C1698="","cargar","pagado"))</f>
        <v>cargar</v>
      </c>
      <c r="I1698" s="32">
        <f t="shared" si="234"/>
        <v>1900</v>
      </c>
      <c r="J1698" s="32">
        <f t="shared" si="235"/>
        <v>1</v>
      </c>
    </row>
    <row r="1699" spans="1:10" x14ac:dyDescent="0.25">
      <c r="A1699"/>
      <c r="B1699"/>
      <c r="G1699"/>
      <c r="H1699" s="32" t="str">
        <f ca="1">+IF(B1699&gt;'sap nuevo'!$V$1,"cargar",IF(C1699="","cargar","pagado"))</f>
        <v>cargar</v>
      </c>
      <c r="I1699" s="32">
        <f t="shared" si="234"/>
        <v>1900</v>
      </c>
      <c r="J1699" s="32">
        <f t="shared" si="235"/>
        <v>1</v>
      </c>
    </row>
    <row r="1700" spans="1:10" x14ac:dyDescent="0.25">
      <c r="A1700"/>
      <c r="B1700"/>
      <c r="G1700"/>
      <c r="H1700" s="32" t="str">
        <f ca="1">+IF(B1700&gt;'sap nuevo'!$V$1,"cargar",IF(C1700="","cargar","pagado"))</f>
        <v>cargar</v>
      </c>
      <c r="I1700" s="32">
        <f t="shared" si="234"/>
        <v>1900</v>
      </c>
      <c r="J1700" s="32">
        <f t="shared" si="235"/>
        <v>1</v>
      </c>
    </row>
    <row r="1701" spans="1:10" x14ac:dyDescent="0.25">
      <c r="A1701"/>
      <c r="B1701"/>
      <c r="G1701"/>
      <c r="H1701" s="32" t="str">
        <f ca="1">+IF(B1701&gt;'sap nuevo'!$V$1,"cargar",IF(C1701="","cargar","pagado"))</f>
        <v>cargar</v>
      </c>
      <c r="I1701" s="32">
        <f t="shared" si="234"/>
        <v>1900</v>
      </c>
      <c r="J1701" s="32">
        <f t="shared" si="235"/>
        <v>1</v>
      </c>
    </row>
    <row r="1702" spans="1:10" x14ac:dyDescent="0.25">
      <c r="A1702"/>
      <c r="B1702"/>
      <c r="G1702"/>
      <c r="H1702" s="32" t="str">
        <f ca="1">+IF(B1702&gt;'sap nuevo'!$V$1,"cargar",IF(C1702="","cargar","pagado"))</f>
        <v>cargar</v>
      </c>
      <c r="I1702" s="32">
        <f t="shared" si="234"/>
        <v>1900</v>
      </c>
      <c r="J1702" s="32">
        <f t="shared" si="235"/>
        <v>1</v>
      </c>
    </row>
    <row r="1703" spans="1:10" x14ac:dyDescent="0.25">
      <c r="A1703"/>
      <c r="B1703"/>
      <c r="G1703"/>
      <c r="H1703" s="32" t="str">
        <f ca="1">+IF(B1703&gt;'sap nuevo'!$V$1,"cargar",IF(C1703="","cargar","pagado"))</f>
        <v>cargar</v>
      </c>
      <c r="I1703" s="32">
        <f t="shared" si="234"/>
        <v>1900</v>
      </c>
      <c r="J1703" s="32">
        <f t="shared" si="235"/>
        <v>1</v>
      </c>
    </row>
    <row r="1704" spans="1:10" x14ac:dyDescent="0.25">
      <c r="A1704"/>
      <c r="B1704"/>
      <c r="G1704"/>
      <c r="H1704" s="32" t="str">
        <f ca="1">+IF(B1704&gt;'sap nuevo'!$V$1,"cargar",IF(C1704="","cargar","pagado"))</f>
        <v>cargar</v>
      </c>
      <c r="I1704" s="32">
        <f t="shared" ref="I1704:I1720" si="236">+YEAR(B1704)</f>
        <v>1900</v>
      </c>
      <c r="J1704" s="32">
        <f t="shared" ref="J1704:J1720" si="237">+MONTH(B1704)</f>
        <v>1</v>
      </c>
    </row>
    <row r="1705" spans="1:10" x14ac:dyDescent="0.25">
      <c r="A1705"/>
      <c r="B1705"/>
      <c r="G1705"/>
      <c r="H1705" s="32" t="str">
        <f ca="1">+IF(B1705&gt;'sap nuevo'!$V$1,"cargar",IF(C1705="","cargar","pagado"))</f>
        <v>cargar</v>
      </c>
      <c r="I1705" s="32">
        <f t="shared" si="236"/>
        <v>1900</v>
      </c>
      <c r="J1705" s="32">
        <f t="shared" si="237"/>
        <v>1</v>
      </c>
    </row>
    <row r="1706" spans="1:10" x14ac:dyDescent="0.25">
      <c r="H1706" s="32" t="str">
        <f ca="1">+IF(B1706&gt;'sap nuevo'!$V$1,"cargar",IF(C1706="","cargar","pagado"))</f>
        <v>cargar</v>
      </c>
      <c r="I1706" s="32">
        <f t="shared" si="236"/>
        <v>1900</v>
      </c>
      <c r="J1706" s="32">
        <f t="shared" si="237"/>
        <v>1</v>
      </c>
    </row>
    <row r="1707" spans="1:10" x14ac:dyDescent="0.25">
      <c r="H1707" s="32" t="str">
        <f ca="1">+IF(B1707&gt;'sap nuevo'!$V$1,"cargar",IF(C1707="","cargar","pagado"))</f>
        <v>cargar</v>
      </c>
      <c r="I1707" s="32">
        <f t="shared" si="236"/>
        <v>1900</v>
      </c>
      <c r="J1707" s="32">
        <f t="shared" si="237"/>
        <v>1</v>
      </c>
    </row>
    <row r="1708" spans="1:10" x14ac:dyDescent="0.25">
      <c r="H1708" s="32" t="str">
        <f ca="1">+IF(B1708&gt;'sap nuevo'!$V$1,"cargar",IF(C1708="","cargar","pagado"))</f>
        <v>cargar</v>
      </c>
      <c r="I1708" s="32">
        <f t="shared" si="236"/>
        <v>1900</v>
      </c>
      <c r="J1708" s="32">
        <f t="shared" si="237"/>
        <v>1</v>
      </c>
    </row>
    <row r="1709" spans="1:10" x14ac:dyDescent="0.25">
      <c r="H1709" s="32" t="str">
        <f ca="1">+IF(B1709&gt;'sap nuevo'!$V$1,"cargar",IF(C1709="","cargar","pagado"))</f>
        <v>cargar</v>
      </c>
      <c r="I1709" s="32">
        <f t="shared" si="236"/>
        <v>1900</v>
      </c>
      <c r="J1709" s="32">
        <f t="shared" si="237"/>
        <v>1</v>
      </c>
    </row>
    <row r="1710" spans="1:10" x14ac:dyDescent="0.25">
      <c r="H1710" s="32" t="str">
        <f ca="1">+IF(B1710&gt;'sap nuevo'!$V$1,"cargar",IF(C1710="","cargar","pagado"))</f>
        <v>cargar</v>
      </c>
      <c r="I1710" s="32">
        <f t="shared" si="236"/>
        <v>1900</v>
      </c>
      <c r="J1710" s="32">
        <f t="shared" si="237"/>
        <v>1</v>
      </c>
    </row>
    <row r="1711" spans="1:10" x14ac:dyDescent="0.25">
      <c r="H1711" s="32" t="str">
        <f ca="1">+IF(B1711&gt;'sap nuevo'!$V$1,"cargar",IF(C1711="","cargar","pagado"))</f>
        <v>cargar</v>
      </c>
      <c r="I1711" s="32">
        <f t="shared" si="236"/>
        <v>1900</v>
      </c>
      <c r="J1711" s="32">
        <f t="shared" si="237"/>
        <v>1</v>
      </c>
    </row>
    <row r="1712" spans="1:10" x14ac:dyDescent="0.25">
      <c r="H1712" s="32" t="str">
        <f ca="1">+IF(B1712&gt;'sap nuevo'!$V$1,"cargar",IF(C1712="","cargar","pagado"))</f>
        <v>cargar</v>
      </c>
      <c r="I1712" s="32">
        <f t="shared" si="236"/>
        <v>1900</v>
      </c>
      <c r="J1712" s="32">
        <f t="shared" si="237"/>
        <v>1</v>
      </c>
    </row>
    <row r="1713" spans="8:10" x14ac:dyDescent="0.25">
      <c r="H1713" s="32" t="str">
        <f ca="1">+IF(B1713&gt;'sap nuevo'!$V$1,"cargar",IF(C1713="","cargar","pagado"))</f>
        <v>cargar</v>
      </c>
      <c r="I1713" s="32">
        <f t="shared" si="236"/>
        <v>1900</v>
      </c>
      <c r="J1713" s="32">
        <f t="shared" si="237"/>
        <v>1</v>
      </c>
    </row>
    <row r="1714" spans="8:10" x14ac:dyDescent="0.25">
      <c r="H1714" s="32" t="str">
        <f ca="1">+IF(B1714&gt;'sap nuevo'!$V$1,"cargar",IF(C1714="","cargar","pagado"))</f>
        <v>cargar</v>
      </c>
      <c r="I1714" s="32">
        <f t="shared" si="236"/>
        <v>1900</v>
      </c>
      <c r="J1714" s="32">
        <f t="shared" si="237"/>
        <v>1</v>
      </c>
    </row>
    <row r="1715" spans="8:10" x14ac:dyDescent="0.25">
      <c r="H1715" s="32" t="str">
        <f ca="1">+IF(B1715&gt;'sap nuevo'!$V$1,"cargar",IF(C1715="","cargar","pagado"))</f>
        <v>cargar</v>
      </c>
      <c r="I1715" s="32">
        <f t="shared" si="236"/>
        <v>1900</v>
      </c>
      <c r="J1715" s="32">
        <f t="shared" si="237"/>
        <v>1</v>
      </c>
    </row>
    <row r="1716" spans="8:10" x14ac:dyDescent="0.25">
      <c r="H1716" s="32" t="str">
        <f ca="1">+IF(B1716&gt;'sap nuevo'!$V$1,"cargar",IF(C1716="","cargar","pagado"))</f>
        <v>cargar</v>
      </c>
      <c r="I1716" s="32">
        <f t="shared" si="236"/>
        <v>1900</v>
      </c>
      <c r="J1716" s="32">
        <f t="shared" si="237"/>
        <v>1</v>
      </c>
    </row>
    <row r="1717" spans="8:10" x14ac:dyDescent="0.25">
      <c r="H1717" s="32" t="str">
        <f ca="1">+IF(B1717&gt;'sap nuevo'!$V$1,"cargar",IF(C1717="","cargar","pagado"))</f>
        <v>cargar</v>
      </c>
      <c r="I1717" s="32">
        <f t="shared" si="236"/>
        <v>1900</v>
      </c>
      <c r="J1717" s="32">
        <f t="shared" si="237"/>
        <v>1</v>
      </c>
    </row>
    <row r="1718" spans="8:10" x14ac:dyDescent="0.25">
      <c r="H1718" s="32" t="str">
        <f ca="1">+IF(B1718&gt;'sap nuevo'!$V$1,"cargar",IF(C1718="","cargar","pagado"))</f>
        <v>cargar</v>
      </c>
      <c r="I1718" s="32">
        <f t="shared" si="236"/>
        <v>1900</v>
      </c>
      <c r="J1718" s="32">
        <f t="shared" si="237"/>
        <v>1</v>
      </c>
    </row>
    <row r="1719" spans="8:10" x14ac:dyDescent="0.25">
      <c r="H1719" s="32" t="str">
        <f ca="1">+IF(B1719&gt;'sap nuevo'!$V$1,"cargar",IF(C1719="","cargar","pagado"))</f>
        <v>cargar</v>
      </c>
      <c r="I1719" s="32">
        <f t="shared" si="236"/>
        <v>1900</v>
      </c>
      <c r="J1719" s="32">
        <f t="shared" si="237"/>
        <v>1</v>
      </c>
    </row>
    <row r="1720" spans="8:10" x14ac:dyDescent="0.25">
      <c r="H1720" s="32" t="str">
        <f ca="1">+IF(B1720&gt;'sap nuevo'!$V$1,"cargar",IF(C1720="","cargar","pagado"))</f>
        <v>cargar</v>
      </c>
      <c r="I1720" s="32">
        <f t="shared" si="236"/>
        <v>1900</v>
      </c>
      <c r="J1720" s="32">
        <f t="shared" si="237"/>
        <v>1</v>
      </c>
    </row>
  </sheetData>
  <autoFilter ref="A1:J1" xr:uid="{00000000-0009-0000-0000-00000300000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3"/>
  <sheetViews>
    <sheetView workbookViewId="0">
      <selection activeCell="D16" sqref="D16"/>
    </sheetView>
  </sheetViews>
  <sheetFormatPr baseColWidth="10" defaultRowHeight="15" x14ac:dyDescent="0.25"/>
  <cols>
    <col min="1" max="1" width="17.7109375" bestFit="1" customWidth="1"/>
    <col min="2" max="2" width="14.5703125" customWidth="1"/>
    <col min="3" max="3" width="14.42578125" bestFit="1" customWidth="1"/>
    <col min="5" max="5" width="14.42578125" customWidth="1"/>
    <col min="7" max="7" width="14.42578125" bestFit="1" customWidth="1"/>
  </cols>
  <sheetData>
    <row r="1" spans="1:7" ht="23.25" x14ac:dyDescent="0.35">
      <c r="A1" s="27" t="s">
        <v>32</v>
      </c>
      <c r="B1" s="28" t="s">
        <v>7</v>
      </c>
      <c r="C1" s="29" t="s">
        <v>10</v>
      </c>
      <c r="D1" s="29" t="s">
        <v>330</v>
      </c>
      <c r="E1" s="29" t="s">
        <v>17</v>
      </c>
    </row>
    <row r="2" spans="1:7" x14ac:dyDescent="0.25">
      <c r="A2">
        <v>97124642</v>
      </c>
      <c r="B2" t="s">
        <v>613</v>
      </c>
      <c r="C2" s="9">
        <v>-44935981.170000002</v>
      </c>
      <c r="D2" s="11" t="str">
        <f t="shared" ref="D2:D8" si="0">+IF(A2="","cargar","clearing")</f>
        <v>clearing</v>
      </c>
      <c r="E2" s="9" t="str">
        <f>VLOOKUP(A2,'sap nuevo'!E:H,4,FALSE)</f>
        <v>MACRO</v>
      </c>
    </row>
    <row r="3" spans="1:7" x14ac:dyDescent="0.25">
      <c r="A3">
        <v>97124643</v>
      </c>
      <c r="B3" t="s">
        <v>613</v>
      </c>
      <c r="C3" s="9">
        <v>-6617092.5</v>
      </c>
      <c r="D3" s="11" t="str">
        <f t="shared" si="0"/>
        <v>clearing</v>
      </c>
      <c r="E3" s="9" t="str">
        <f>VLOOKUP(A3,'sap nuevo'!E:H,4,FALSE)</f>
        <v>MACRO</v>
      </c>
    </row>
    <row r="4" spans="1:7" x14ac:dyDescent="0.25">
      <c r="A4">
        <v>97124644</v>
      </c>
      <c r="B4" t="s">
        <v>613</v>
      </c>
      <c r="C4" s="9">
        <v>-9242374.6300000008</v>
      </c>
      <c r="D4" s="11" t="str">
        <f t="shared" si="0"/>
        <v>clearing</v>
      </c>
      <c r="E4" s="9" t="str">
        <f>VLOOKUP(A4,'sap nuevo'!E:H,4,FALSE)</f>
        <v>MACRO</v>
      </c>
    </row>
    <row r="5" spans="1:7" x14ac:dyDescent="0.25">
      <c r="A5">
        <v>97124645</v>
      </c>
      <c r="B5" t="s">
        <v>613</v>
      </c>
      <c r="C5" s="9">
        <v>-6838598.46</v>
      </c>
      <c r="D5" s="11" t="str">
        <f t="shared" si="0"/>
        <v>clearing</v>
      </c>
      <c r="E5" s="9" t="str">
        <f>VLOOKUP(A5,'sap nuevo'!E:H,4,FALSE)</f>
        <v>MACRO</v>
      </c>
    </row>
    <row r="6" spans="1:7" x14ac:dyDescent="0.25">
      <c r="A6">
        <v>97124646</v>
      </c>
      <c r="B6" t="s">
        <v>613</v>
      </c>
      <c r="C6" s="9">
        <v>-11569820.039999999</v>
      </c>
      <c r="D6" s="11" t="str">
        <f t="shared" si="0"/>
        <v>clearing</v>
      </c>
      <c r="E6" s="9" t="str">
        <f>VLOOKUP(A6,'sap nuevo'!E:H,4,FALSE)</f>
        <v>MACRO</v>
      </c>
    </row>
    <row r="7" spans="1:7" x14ac:dyDescent="0.25">
      <c r="A7">
        <v>97124647</v>
      </c>
      <c r="B7" t="s">
        <v>613</v>
      </c>
      <c r="C7" s="9">
        <v>-12163459.77</v>
      </c>
      <c r="D7" s="11" t="str">
        <f t="shared" si="0"/>
        <v>clearing</v>
      </c>
      <c r="E7" s="9" t="str">
        <f>VLOOKUP(A7,'sap nuevo'!E:H,4,FALSE)</f>
        <v>MACRO</v>
      </c>
    </row>
    <row r="8" spans="1:7" x14ac:dyDescent="0.25">
      <c r="C8" s="9"/>
      <c r="D8" s="11" t="str">
        <f t="shared" si="0"/>
        <v>cargar</v>
      </c>
      <c r="E8" s="9" t="e">
        <f>VLOOKUP(A8,'sap nuevo'!E:H,4,FALSE)</f>
        <v>#N/A</v>
      </c>
    </row>
    <row r="9" spans="1:7" x14ac:dyDescent="0.25">
      <c r="C9" s="9"/>
      <c r="D9" s="11" t="str">
        <f t="shared" ref="D9:D43" si="1">+IF(A9="","cargar","clearing")</f>
        <v>cargar</v>
      </c>
      <c r="E9" s="9" t="e">
        <f>VLOOKUP(A9,'sap nuevo'!E:H,4,FALSE)</f>
        <v>#N/A</v>
      </c>
    </row>
    <row r="10" spans="1:7" x14ac:dyDescent="0.25">
      <c r="C10" s="9"/>
      <c r="D10" s="11" t="str">
        <f t="shared" si="1"/>
        <v>cargar</v>
      </c>
      <c r="E10" s="9" t="e">
        <f>VLOOKUP(A10,'sap nuevo'!E:H,4,FALSE)</f>
        <v>#N/A</v>
      </c>
    </row>
    <row r="11" spans="1:7" x14ac:dyDescent="0.25">
      <c r="C11" s="9"/>
      <c r="D11" s="11" t="str">
        <f t="shared" si="1"/>
        <v>cargar</v>
      </c>
      <c r="E11" s="9" t="e">
        <f>VLOOKUP(A11,'sap nuevo'!E:H,4,FALSE)</f>
        <v>#N/A</v>
      </c>
      <c r="G11" s="9"/>
    </row>
    <row r="12" spans="1:7" x14ac:dyDescent="0.25">
      <c r="C12" s="9"/>
      <c r="D12" s="11" t="str">
        <f t="shared" si="1"/>
        <v>cargar</v>
      </c>
      <c r="E12" s="9" t="e">
        <f>VLOOKUP(A12,'sap nuevo'!E:H,4,FALSE)</f>
        <v>#N/A</v>
      </c>
    </row>
    <row r="13" spans="1:7" x14ac:dyDescent="0.25">
      <c r="C13" s="9"/>
      <c r="D13" s="11" t="str">
        <f t="shared" si="1"/>
        <v>cargar</v>
      </c>
      <c r="E13" s="9" t="e">
        <f>VLOOKUP(A13,'sap nuevo'!E:H,4,FALSE)</f>
        <v>#N/A</v>
      </c>
    </row>
    <row r="14" spans="1:7" x14ac:dyDescent="0.25">
      <c r="B14" s="3"/>
      <c r="C14" s="9"/>
      <c r="D14" s="11" t="str">
        <f t="shared" si="1"/>
        <v>cargar</v>
      </c>
      <c r="E14" s="9" t="e">
        <f>VLOOKUP(A14,'sap nuevo'!E:H,4,FALSE)</f>
        <v>#N/A</v>
      </c>
    </row>
    <row r="15" spans="1:7" x14ac:dyDescent="0.25">
      <c r="B15" s="3"/>
      <c r="C15" s="9"/>
      <c r="D15" s="11" t="str">
        <f t="shared" si="1"/>
        <v>cargar</v>
      </c>
      <c r="E15" s="9" t="e">
        <f>VLOOKUP(A15,'sap nuevo'!E:H,4,FALSE)</f>
        <v>#N/A</v>
      </c>
    </row>
    <row r="16" spans="1:7" x14ac:dyDescent="0.25">
      <c r="B16" s="3"/>
      <c r="C16" s="9"/>
      <c r="D16" s="11" t="str">
        <f t="shared" si="1"/>
        <v>cargar</v>
      </c>
      <c r="E16" s="9" t="e">
        <f>VLOOKUP(A16,'sap nuevo'!E:H,4,FALSE)</f>
        <v>#N/A</v>
      </c>
    </row>
    <row r="17" spans="2:5" x14ac:dyDescent="0.25">
      <c r="B17" s="3"/>
      <c r="C17" s="9"/>
      <c r="D17" s="11" t="str">
        <f t="shared" si="1"/>
        <v>cargar</v>
      </c>
      <c r="E17" s="9" t="e">
        <f>VLOOKUP(A17,'sap nuevo'!E:H,4,FALSE)</f>
        <v>#N/A</v>
      </c>
    </row>
    <row r="18" spans="2:5" x14ac:dyDescent="0.25">
      <c r="B18" s="3"/>
      <c r="C18" s="9"/>
      <c r="D18" s="11" t="str">
        <f t="shared" si="1"/>
        <v>cargar</v>
      </c>
      <c r="E18" s="9" t="e">
        <f>VLOOKUP(A18,'sap nuevo'!E:H,4,FALSE)</f>
        <v>#N/A</v>
      </c>
    </row>
    <row r="19" spans="2:5" x14ac:dyDescent="0.25">
      <c r="B19" s="3"/>
      <c r="C19" s="9"/>
      <c r="D19" s="11" t="str">
        <f t="shared" si="1"/>
        <v>cargar</v>
      </c>
      <c r="E19" s="9" t="e">
        <f>VLOOKUP(A19,'sap nuevo'!E:H,4,FALSE)</f>
        <v>#N/A</v>
      </c>
    </row>
    <row r="20" spans="2:5" x14ac:dyDescent="0.25">
      <c r="B20" s="3"/>
      <c r="C20" s="9"/>
      <c r="D20" s="11" t="str">
        <f t="shared" si="1"/>
        <v>cargar</v>
      </c>
      <c r="E20" s="9" t="e">
        <f>VLOOKUP(A20,'sap nuevo'!E:H,4,FALSE)</f>
        <v>#N/A</v>
      </c>
    </row>
    <row r="21" spans="2:5" x14ac:dyDescent="0.25">
      <c r="B21" s="3"/>
      <c r="C21" s="9"/>
      <c r="D21" s="11" t="str">
        <f t="shared" si="1"/>
        <v>cargar</v>
      </c>
      <c r="E21" s="9" t="e">
        <f>VLOOKUP(A21,'sap nuevo'!E:H,4,FALSE)</f>
        <v>#N/A</v>
      </c>
    </row>
    <row r="22" spans="2:5" x14ac:dyDescent="0.25">
      <c r="B22" s="3"/>
      <c r="C22" s="9"/>
      <c r="D22" s="11" t="str">
        <f t="shared" si="1"/>
        <v>cargar</v>
      </c>
      <c r="E22" s="9" t="e">
        <f>VLOOKUP(A22,'sap nuevo'!E:H,4,FALSE)</f>
        <v>#N/A</v>
      </c>
    </row>
    <row r="23" spans="2:5" x14ac:dyDescent="0.25">
      <c r="B23" s="3"/>
      <c r="C23" s="9"/>
      <c r="D23" s="11" t="str">
        <f t="shared" si="1"/>
        <v>cargar</v>
      </c>
      <c r="E23" s="9" t="e">
        <f>VLOOKUP(A23,'sap nuevo'!E:H,4,FALSE)</f>
        <v>#N/A</v>
      </c>
    </row>
    <row r="24" spans="2:5" x14ac:dyDescent="0.25">
      <c r="B24" s="3"/>
      <c r="C24" s="9"/>
      <c r="D24" s="11" t="str">
        <f t="shared" si="1"/>
        <v>cargar</v>
      </c>
      <c r="E24" s="9" t="e">
        <f>VLOOKUP(A24,'sap nuevo'!E:H,4,FALSE)</f>
        <v>#N/A</v>
      </c>
    </row>
    <row r="25" spans="2:5" x14ac:dyDescent="0.25">
      <c r="B25" s="3"/>
      <c r="C25" s="9"/>
      <c r="D25" s="11" t="str">
        <f t="shared" si="1"/>
        <v>cargar</v>
      </c>
      <c r="E25" s="9" t="e">
        <f>VLOOKUP(A25,'sap nuevo'!E:H,4,FALSE)</f>
        <v>#N/A</v>
      </c>
    </row>
    <row r="26" spans="2:5" x14ac:dyDescent="0.25">
      <c r="B26" s="3"/>
      <c r="C26" s="9"/>
      <c r="D26" s="11" t="str">
        <f t="shared" si="1"/>
        <v>cargar</v>
      </c>
      <c r="E26" s="9" t="e">
        <f>VLOOKUP(A26,'sap nuevo'!E:H,4,FALSE)</f>
        <v>#N/A</v>
      </c>
    </row>
    <row r="27" spans="2:5" x14ac:dyDescent="0.25">
      <c r="B27" s="3"/>
      <c r="C27" s="9"/>
      <c r="D27" s="11" t="str">
        <f t="shared" si="1"/>
        <v>cargar</v>
      </c>
      <c r="E27" s="9" t="e">
        <f>VLOOKUP(A27,'sap nuevo'!E:H,4,FALSE)</f>
        <v>#N/A</v>
      </c>
    </row>
    <row r="28" spans="2:5" x14ac:dyDescent="0.25">
      <c r="B28" s="3"/>
      <c r="C28" s="9"/>
      <c r="D28" s="11" t="str">
        <f t="shared" si="1"/>
        <v>cargar</v>
      </c>
      <c r="E28" s="9" t="e">
        <f>VLOOKUP(A28,'sap nuevo'!E:H,4,FALSE)</f>
        <v>#N/A</v>
      </c>
    </row>
    <row r="29" spans="2:5" x14ac:dyDescent="0.25">
      <c r="B29" s="3"/>
      <c r="C29" s="9"/>
      <c r="D29" s="11" t="str">
        <f t="shared" si="1"/>
        <v>cargar</v>
      </c>
      <c r="E29" s="9" t="e">
        <f>VLOOKUP(A29,'sap nuevo'!E:H,4,FALSE)</f>
        <v>#N/A</v>
      </c>
    </row>
    <row r="30" spans="2:5" x14ac:dyDescent="0.25">
      <c r="B30" s="3"/>
      <c r="C30" s="9"/>
      <c r="D30" s="11" t="str">
        <f t="shared" si="1"/>
        <v>cargar</v>
      </c>
      <c r="E30" s="9" t="e">
        <f>VLOOKUP(A30,'sap nuevo'!E:H,4,FALSE)</f>
        <v>#N/A</v>
      </c>
    </row>
    <row r="31" spans="2:5" x14ac:dyDescent="0.25">
      <c r="B31" s="3"/>
      <c r="C31" s="9"/>
      <c r="D31" s="11" t="str">
        <f t="shared" si="1"/>
        <v>cargar</v>
      </c>
      <c r="E31" s="9" t="e">
        <f>VLOOKUP(A31,'sap nuevo'!E:H,4,FALSE)</f>
        <v>#N/A</v>
      </c>
    </row>
    <row r="32" spans="2:5" x14ac:dyDescent="0.25">
      <c r="B32" s="3"/>
      <c r="C32" s="9"/>
      <c r="D32" s="11" t="str">
        <f t="shared" si="1"/>
        <v>cargar</v>
      </c>
      <c r="E32" s="9" t="e">
        <f>VLOOKUP(A32,'sap nuevo'!E:H,4,FALSE)</f>
        <v>#N/A</v>
      </c>
    </row>
    <row r="33" spans="2:5" x14ac:dyDescent="0.25">
      <c r="B33" s="3"/>
      <c r="C33" s="9"/>
      <c r="D33" s="11" t="str">
        <f t="shared" si="1"/>
        <v>cargar</v>
      </c>
      <c r="E33" s="9" t="e">
        <f>VLOOKUP(A33,'sap nuevo'!E:H,4,FALSE)</f>
        <v>#N/A</v>
      </c>
    </row>
    <row r="34" spans="2:5" x14ac:dyDescent="0.25">
      <c r="B34" s="3"/>
      <c r="C34" s="9"/>
      <c r="D34" s="11" t="str">
        <f t="shared" si="1"/>
        <v>cargar</v>
      </c>
      <c r="E34" s="9" t="e">
        <f>VLOOKUP(A34,'sap nuevo'!E:H,4,FALSE)</f>
        <v>#N/A</v>
      </c>
    </row>
    <row r="35" spans="2:5" x14ac:dyDescent="0.25">
      <c r="B35" s="3"/>
      <c r="C35" s="9"/>
      <c r="D35" s="11" t="str">
        <f t="shared" si="1"/>
        <v>cargar</v>
      </c>
      <c r="E35" s="9" t="e">
        <f>VLOOKUP(A35,'sap nuevo'!E:H,4,FALSE)</f>
        <v>#N/A</v>
      </c>
    </row>
    <row r="36" spans="2:5" x14ac:dyDescent="0.25">
      <c r="B36" s="3"/>
      <c r="C36" s="9"/>
      <c r="D36" s="11" t="str">
        <f t="shared" si="1"/>
        <v>cargar</v>
      </c>
      <c r="E36" s="9" t="e">
        <f>VLOOKUP(A36,'sap nuevo'!E:H,4,FALSE)</f>
        <v>#N/A</v>
      </c>
    </row>
    <row r="37" spans="2:5" x14ac:dyDescent="0.25">
      <c r="B37" s="3"/>
      <c r="C37" s="9"/>
      <c r="D37" s="11" t="str">
        <f t="shared" si="1"/>
        <v>cargar</v>
      </c>
      <c r="E37" s="9" t="e">
        <f>VLOOKUP(A37,'sap nuevo'!E:H,4,FALSE)</f>
        <v>#N/A</v>
      </c>
    </row>
    <row r="38" spans="2:5" x14ac:dyDescent="0.25">
      <c r="B38" s="3"/>
      <c r="C38" s="9"/>
      <c r="D38" s="11" t="str">
        <f t="shared" si="1"/>
        <v>cargar</v>
      </c>
      <c r="E38" s="9" t="e">
        <f>VLOOKUP(A38,'sap nuevo'!E:H,4,FALSE)</f>
        <v>#N/A</v>
      </c>
    </row>
    <row r="39" spans="2:5" x14ac:dyDescent="0.25">
      <c r="B39" s="3"/>
      <c r="C39" s="9"/>
      <c r="D39" s="11" t="str">
        <f t="shared" si="1"/>
        <v>cargar</v>
      </c>
      <c r="E39" s="9" t="e">
        <f>VLOOKUP(A39,'sap nuevo'!E:H,4,FALSE)</f>
        <v>#N/A</v>
      </c>
    </row>
    <row r="40" spans="2:5" x14ac:dyDescent="0.25">
      <c r="B40" s="3"/>
      <c r="C40" s="9"/>
      <c r="D40" s="11" t="str">
        <f t="shared" si="1"/>
        <v>cargar</v>
      </c>
      <c r="E40" s="9" t="e">
        <f>VLOOKUP(A40,'sap nuevo'!E:H,4,FALSE)</f>
        <v>#N/A</v>
      </c>
    </row>
    <row r="41" spans="2:5" x14ac:dyDescent="0.25">
      <c r="B41" s="3"/>
      <c r="C41" s="9"/>
      <c r="D41" s="11" t="str">
        <f t="shared" si="1"/>
        <v>cargar</v>
      </c>
      <c r="E41" s="9" t="e">
        <f>VLOOKUP(A41,'sap nuevo'!E:H,4,FALSE)</f>
        <v>#N/A</v>
      </c>
    </row>
    <row r="42" spans="2:5" x14ac:dyDescent="0.25">
      <c r="B42" s="3"/>
      <c r="C42" s="9"/>
      <c r="D42" s="11" t="str">
        <f t="shared" si="1"/>
        <v>cargar</v>
      </c>
      <c r="E42" s="9" t="e">
        <f>VLOOKUP(A42,'sap nuevo'!E:H,4,FALSE)</f>
        <v>#N/A</v>
      </c>
    </row>
    <row r="43" spans="2:5" x14ac:dyDescent="0.25">
      <c r="B43" s="3"/>
      <c r="C43" s="9"/>
      <c r="D43" s="11" t="str">
        <f t="shared" si="1"/>
        <v>cargar</v>
      </c>
      <c r="E43" s="9" t="e">
        <f>VLOOKUP(A43,'sap nuevo'!E:H,4,FALSE)</f>
        <v>#N/A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208"/>
  <sheetViews>
    <sheetView showGridLines="0" zoomScale="85" zoomScaleNormal="85" workbookViewId="0">
      <selection activeCell="F8" sqref="F8"/>
    </sheetView>
  </sheetViews>
  <sheetFormatPr baseColWidth="10" defaultRowHeight="15" x14ac:dyDescent="0.25"/>
  <cols>
    <col min="1" max="1" width="17.5703125" bestFit="1" customWidth="1"/>
    <col min="2" max="2" width="10.7109375" style="3" bestFit="1" customWidth="1"/>
    <col min="3" max="3" width="22.42578125" bestFit="1" customWidth="1"/>
    <col min="4" max="4" width="13.7109375" bestFit="1" customWidth="1"/>
    <col min="5" max="5" width="17.7109375" customWidth="1"/>
    <col min="6" max="6" width="18.28515625" bestFit="1" customWidth="1"/>
    <col min="7" max="7" width="18" bestFit="1" customWidth="1"/>
    <col min="8" max="8" width="3.42578125" customWidth="1"/>
    <col min="9" max="9" width="3.7109375" customWidth="1"/>
    <col min="10" max="10" width="17.5703125" bestFit="1" customWidth="1"/>
    <col min="11" max="11" width="20.140625" style="3" bestFit="1" customWidth="1"/>
    <col min="12" max="12" width="22.42578125" bestFit="1" customWidth="1"/>
    <col min="13" max="13" width="13.7109375" bestFit="1" customWidth="1"/>
    <col min="14" max="15" width="5.85546875" customWidth="1"/>
    <col min="16" max="16" width="3.28515625" customWidth="1"/>
    <col min="17" max="17" width="17.5703125" bestFit="1" customWidth="1"/>
    <col min="18" max="18" width="11.28515625" bestFit="1" customWidth="1"/>
    <col min="19" max="19" width="22.42578125" bestFit="1" customWidth="1"/>
    <col min="20" max="20" width="12.7109375" bestFit="1" customWidth="1"/>
    <col min="21" max="21" width="13.7109375" bestFit="1" customWidth="1"/>
    <col min="22" max="22" width="17.5703125" customWidth="1"/>
    <col min="23" max="23" width="10.42578125" customWidth="1"/>
    <col min="24" max="24" width="22.42578125" customWidth="1"/>
    <col min="25" max="25" width="12.5703125" customWidth="1"/>
    <col min="26" max="26" width="3" customWidth="1"/>
    <col min="27" max="27" width="2.7109375" customWidth="1"/>
    <col min="28" max="28" width="3.85546875" customWidth="1"/>
    <col min="29" max="29" width="12.7109375" bestFit="1" customWidth="1"/>
    <col min="30" max="30" width="11" customWidth="1"/>
    <col min="31" max="31" width="15.28515625" bestFit="1" customWidth="1"/>
    <col min="33" max="33" width="15.7109375" bestFit="1" customWidth="1"/>
    <col min="35" max="35" width="15.7109375" bestFit="1" customWidth="1"/>
    <col min="39" max="39" width="17.5703125" bestFit="1" customWidth="1"/>
    <col min="40" max="40" width="21.7109375" customWidth="1"/>
    <col min="41" max="41" width="12.5703125" bestFit="1" customWidth="1"/>
  </cols>
  <sheetData>
    <row r="1" spans="1:27" x14ac:dyDescent="0.25">
      <c r="A1" s="102" t="s">
        <v>523</v>
      </c>
      <c r="B1" s="102"/>
      <c r="C1" s="102"/>
      <c r="D1" s="24" t="s">
        <v>152</v>
      </c>
      <c r="E1" s="24" t="s">
        <v>28</v>
      </c>
      <c r="F1" s="24" t="s">
        <v>61</v>
      </c>
      <c r="G1" s="24" t="s">
        <v>23</v>
      </c>
    </row>
    <row r="2" spans="1:27" x14ac:dyDescent="0.25">
      <c r="A2" s="104" t="s">
        <v>24</v>
      </c>
      <c r="B2" s="104"/>
      <c r="C2" s="31">
        <f ca="1">TODAY()</f>
        <v>46272</v>
      </c>
      <c r="D2" s="10">
        <v>0</v>
      </c>
      <c r="E2" s="10">
        <f>IFERROR(GETPIVOTDATA("importe",$Q$12,"Banco","GALICIA"),0)</f>
        <v>0</v>
      </c>
      <c r="F2" s="10">
        <f>IFERROR(GETPIVOTDATA("importe",$Q$12,"Banco","MACRO"),0)</f>
        <v>91367326.570000008</v>
      </c>
      <c r="G2" s="13">
        <f>+D2+E2+F2</f>
        <v>91367326.570000008</v>
      </c>
    </row>
    <row r="3" spans="1:27" x14ac:dyDescent="0.25">
      <c r="A3" s="30"/>
      <c r="B3" s="30"/>
      <c r="C3" s="30"/>
      <c r="D3" s="16"/>
      <c r="E3" s="16"/>
      <c r="F3" s="16"/>
      <c r="G3" s="14"/>
      <c r="Q3" s="10"/>
    </row>
    <row r="4" spans="1:27" x14ac:dyDescent="0.25">
      <c r="A4" s="104" t="s">
        <v>25</v>
      </c>
      <c r="B4" s="104"/>
      <c r="C4" s="31">
        <f ca="1">+TODAY()-1</f>
        <v>46271</v>
      </c>
      <c r="D4" s="12">
        <v>0</v>
      </c>
      <c r="E4" s="5">
        <f>IFERROR(GETPIVOTDATA("importe",$A$13,"Banco","GALICIA")-E2, 0)</f>
        <v>0</v>
      </c>
      <c r="F4" s="12">
        <f>IFERROR(GETPIVOTDATA("importe",$A$13,"Banco","MACRO")-F2,0)</f>
        <v>175301235.84000003</v>
      </c>
      <c r="G4" s="13">
        <f>+D4+E4+F4</f>
        <v>175301235.84000003</v>
      </c>
      <c r="Q4" s="10"/>
    </row>
    <row r="5" spans="1:27" x14ac:dyDescent="0.25">
      <c r="A5" s="104" t="s">
        <v>607</v>
      </c>
      <c r="B5" s="104"/>
      <c r="C5" s="104"/>
      <c r="D5" s="12">
        <v>0</v>
      </c>
      <c r="E5" s="12">
        <f>SUM(K12)</f>
        <v>0</v>
      </c>
      <c r="F5" s="12">
        <f>SUM(L14:L22)</f>
        <v>131737200.2</v>
      </c>
      <c r="G5" s="13">
        <f>+D5+E5+F5</f>
        <v>131737200.2</v>
      </c>
      <c r="J5" s="19"/>
    </row>
    <row r="6" spans="1:27" x14ac:dyDescent="0.25">
      <c r="A6" s="104" t="s">
        <v>614</v>
      </c>
      <c r="B6" s="104"/>
      <c r="C6" s="104"/>
      <c r="D6" s="12">
        <v>0</v>
      </c>
      <c r="E6" s="12">
        <f>SUM(K13)</f>
        <v>0</v>
      </c>
      <c r="F6" s="12">
        <f>SUM(L13)</f>
        <v>0</v>
      </c>
      <c r="G6" s="13">
        <f>+D6+E6+F6</f>
        <v>0</v>
      </c>
    </row>
    <row r="7" spans="1:27" x14ac:dyDescent="0.25">
      <c r="A7" s="104" t="s">
        <v>615</v>
      </c>
      <c r="B7" s="104"/>
      <c r="C7" s="104"/>
      <c r="D7" s="12">
        <v>0</v>
      </c>
      <c r="E7" s="12">
        <f>SUM(K13)</f>
        <v>0</v>
      </c>
      <c r="F7" s="12">
        <f>SUM(L13)</f>
        <v>0</v>
      </c>
      <c r="G7" s="13">
        <f t="shared" ref="G7" si="0">+D7+E7+F7</f>
        <v>0</v>
      </c>
    </row>
    <row r="8" spans="1:27" x14ac:dyDescent="0.25">
      <c r="A8" s="103" t="s">
        <v>23</v>
      </c>
      <c r="B8" s="103"/>
      <c r="C8" s="103"/>
      <c r="D8" s="15">
        <f>+D4+D5+D2+D6+D7</f>
        <v>0</v>
      </c>
      <c r="E8" s="15">
        <f>+E4+E5+E2+E6+E7</f>
        <v>0</v>
      </c>
      <c r="F8" s="15">
        <f>+F4+F5+F2+F6+F7</f>
        <v>398405762.61000001</v>
      </c>
      <c r="G8" s="15">
        <f>+D8+E8+F8</f>
        <v>398405762.61000001</v>
      </c>
    </row>
    <row r="9" spans="1:27" x14ac:dyDescent="0.25">
      <c r="J9" s="6" t="s">
        <v>37</v>
      </c>
      <c r="K9" t="s">
        <v>123</v>
      </c>
      <c r="Q9" s="17" t="s">
        <v>46</v>
      </c>
      <c r="R9" s="17"/>
    </row>
    <row r="10" spans="1:27" x14ac:dyDescent="0.25">
      <c r="A10" s="25" t="s">
        <v>45</v>
      </c>
      <c r="B10" s="26"/>
      <c r="C10" s="25"/>
      <c r="J10" s="6" t="s">
        <v>40</v>
      </c>
      <c r="K10" t="s">
        <v>52</v>
      </c>
      <c r="Q10" s="6" t="s">
        <v>41</v>
      </c>
      <c r="R10" t="s">
        <v>587</v>
      </c>
    </row>
    <row r="11" spans="1:27" x14ac:dyDescent="0.25">
      <c r="A11" s="6" t="s">
        <v>37</v>
      </c>
      <c r="B11" t="s">
        <v>39</v>
      </c>
      <c r="K11"/>
    </row>
    <row r="12" spans="1:27" x14ac:dyDescent="0.25">
      <c r="B12"/>
      <c r="J12" s="6" t="s">
        <v>38</v>
      </c>
      <c r="K12"/>
      <c r="L12" s="6" t="s">
        <v>18</v>
      </c>
      <c r="Q12" s="6" t="s">
        <v>38</v>
      </c>
      <c r="S12" s="6" t="s">
        <v>18</v>
      </c>
    </row>
    <row r="13" spans="1:27" x14ac:dyDescent="0.25">
      <c r="A13" s="6" t="s">
        <v>38</v>
      </c>
      <c r="B13"/>
      <c r="C13" s="6" t="s">
        <v>18</v>
      </c>
      <c r="J13" s="101" t="s">
        <v>0</v>
      </c>
      <c r="K13" s="6" t="s">
        <v>33</v>
      </c>
      <c r="L13" t="s">
        <v>61</v>
      </c>
      <c r="M13" t="s">
        <v>1</v>
      </c>
      <c r="Q13" s="6" t="s">
        <v>0</v>
      </c>
      <c r="R13" s="101" t="s">
        <v>6</v>
      </c>
      <c r="S13" t="s">
        <v>61</v>
      </c>
      <c r="T13" t="s">
        <v>1</v>
      </c>
    </row>
    <row r="14" spans="1:27" x14ac:dyDescent="0.25">
      <c r="A14" s="6" t="s">
        <v>0</v>
      </c>
      <c r="B14" s="101" t="s">
        <v>6</v>
      </c>
      <c r="C14" t="s">
        <v>61</v>
      </c>
      <c r="D14" t="s">
        <v>1</v>
      </c>
      <c r="H14" s="9"/>
      <c r="I14" s="9"/>
      <c r="J14" s="3">
        <v>46273</v>
      </c>
      <c r="K14">
        <v>97124648</v>
      </c>
      <c r="L14" s="9">
        <v>14441329.720000001</v>
      </c>
      <c r="M14" s="9">
        <v>14441329.720000001</v>
      </c>
      <c r="Q14" s="7">
        <v>97124642</v>
      </c>
      <c r="R14" s="8">
        <v>46269</v>
      </c>
      <c r="S14" s="9">
        <v>44935981.170000002</v>
      </c>
      <c r="T14" s="9">
        <v>44935981.170000002</v>
      </c>
      <c r="Z14" s="9"/>
      <c r="AA14" s="9"/>
    </row>
    <row r="15" spans="1:27" x14ac:dyDescent="0.25">
      <c r="A15" s="7">
        <v>97123951</v>
      </c>
      <c r="B15" s="8">
        <v>46270</v>
      </c>
      <c r="C15" s="9">
        <v>135434769.36000001</v>
      </c>
      <c r="D15" s="9">
        <v>135434769.36000001</v>
      </c>
      <c r="G15" s="9"/>
      <c r="H15" s="9"/>
      <c r="I15" s="9"/>
      <c r="K15">
        <v>97124649</v>
      </c>
      <c r="L15" s="9">
        <v>9377491.0399999991</v>
      </c>
      <c r="M15" s="9">
        <v>9377491.0399999991</v>
      </c>
      <c r="Q15" s="7">
        <v>97124643</v>
      </c>
      <c r="R15" s="8">
        <v>46269</v>
      </c>
      <c r="S15" s="9">
        <v>6617092.5</v>
      </c>
      <c r="T15" s="9">
        <v>6617092.5</v>
      </c>
      <c r="Z15" s="9"/>
      <c r="AA15" s="9"/>
    </row>
    <row r="16" spans="1:27" x14ac:dyDescent="0.25">
      <c r="A16" s="7">
        <v>97124568</v>
      </c>
      <c r="B16" s="8">
        <v>46248</v>
      </c>
      <c r="C16" s="9">
        <v>24462703.399999999</v>
      </c>
      <c r="D16" s="9">
        <v>24462703.399999999</v>
      </c>
      <c r="G16" s="9"/>
      <c r="H16" s="9"/>
      <c r="I16" s="9"/>
      <c r="K16">
        <v>97124650</v>
      </c>
      <c r="L16" s="9">
        <v>8437567.5600000005</v>
      </c>
      <c r="M16" s="9">
        <v>8437567.5600000005</v>
      </c>
      <c r="Q16" s="7">
        <v>97124644</v>
      </c>
      <c r="R16" s="8">
        <v>46269</v>
      </c>
      <c r="S16" s="9">
        <v>9242374.6300000008</v>
      </c>
      <c r="T16" s="9">
        <v>9242374.6300000008</v>
      </c>
    </row>
    <row r="17" spans="1:20" x14ac:dyDescent="0.25">
      <c r="A17" s="7">
        <v>97124635</v>
      </c>
      <c r="B17" s="8">
        <v>46267</v>
      </c>
      <c r="C17" s="9">
        <v>15403763.08</v>
      </c>
      <c r="D17" s="9">
        <v>15403763.08</v>
      </c>
      <c r="G17" s="9"/>
      <c r="H17" s="9"/>
      <c r="I17" s="9"/>
      <c r="K17">
        <v>97124651</v>
      </c>
      <c r="L17" s="9">
        <v>22752607.420000002</v>
      </c>
      <c r="M17" s="9">
        <v>22752607.420000002</v>
      </c>
      <c r="Q17" s="7">
        <v>97124645</v>
      </c>
      <c r="R17" s="8">
        <v>46269</v>
      </c>
      <c r="S17" s="9">
        <v>6838598.46</v>
      </c>
      <c r="T17" s="9">
        <v>6838598.46</v>
      </c>
    </row>
    <row r="18" spans="1:20" x14ac:dyDescent="0.25">
      <c r="A18" s="7">
        <v>97124642</v>
      </c>
      <c r="B18" s="8">
        <v>46269</v>
      </c>
      <c r="C18" s="9">
        <v>44935981.170000002</v>
      </c>
      <c r="D18" s="9">
        <v>44935981.170000002</v>
      </c>
      <c r="G18" s="9"/>
      <c r="H18" s="9"/>
      <c r="I18" s="9"/>
      <c r="K18">
        <v>97124652</v>
      </c>
      <c r="L18" s="9">
        <v>8576316.9199999999</v>
      </c>
      <c r="M18" s="9">
        <v>8576316.9199999999</v>
      </c>
      <c r="Q18" s="7">
        <v>97124646</v>
      </c>
      <c r="R18" s="8">
        <v>46269</v>
      </c>
      <c r="S18" s="9">
        <v>11569820.039999999</v>
      </c>
      <c r="T18" s="9">
        <v>11569820.039999999</v>
      </c>
    </row>
    <row r="19" spans="1:20" x14ac:dyDescent="0.25">
      <c r="A19" s="7">
        <v>97124643</v>
      </c>
      <c r="B19" s="8">
        <v>46269</v>
      </c>
      <c r="C19" s="9">
        <v>6617092.5</v>
      </c>
      <c r="D19" s="9">
        <v>6617092.5</v>
      </c>
      <c r="G19" s="9"/>
      <c r="H19" s="9"/>
      <c r="I19" s="9"/>
      <c r="K19">
        <v>97124653</v>
      </c>
      <c r="L19" s="9">
        <v>9846655.1999999993</v>
      </c>
      <c r="M19" s="9">
        <v>9846655.1999999993</v>
      </c>
      <c r="Q19" s="7">
        <v>97124647</v>
      </c>
      <c r="R19" s="8">
        <v>46269</v>
      </c>
      <c r="S19" s="9">
        <v>12163459.77</v>
      </c>
      <c r="T19" s="9">
        <v>12163459.77</v>
      </c>
    </row>
    <row r="20" spans="1:20" x14ac:dyDescent="0.25">
      <c r="A20" s="7">
        <v>97124644</v>
      </c>
      <c r="B20" s="8">
        <v>46269</v>
      </c>
      <c r="C20" s="9">
        <v>9242374.6300000008</v>
      </c>
      <c r="D20" s="9">
        <v>9242374.6300000008</v>
      </c>
      <c r="G20" s="9"/>
      <c r="H20" s="9"/>
      <c r="I20" s="9"/>
      <c r="K20">
        <v>97124654</v>
      </c>
      <c r="L20" s="9">
        <v>5962450.4199999999</v>
      </c>
      <c r="M20" s="9">
        <v>5962450.4199999999</v>
      </c>
      <c r="Q20" s="8" t="s">
        <v>1</v>
      </c>
      <c r="R20" s="3"/>
      <c r="S20" s="9">
        <v>91367326.570000008</v>
      </c>
      <c r="T20" s="9">
        <v>91367326.570000008</v>
      </c>
    </row>
    <row r="21" spans="1:20" x14ac:dyDescent="0.25">
      <c r="A21" s="7">
        <v>97124645</v>
      </c>
      <c r="B21" s="8">
        <v>46269</v>
      </c>
      <c r="C21" s="9">
        <v>6838598.46</v>
      </c>
      <c r="D21" s="9">
        <v>6838598.46</v>
      </c>
      <c r="G21" s="9"/>
      <c r="H21" s="9"/>
      <c r="I21" s="9"/>
      <c r="K21">
        <v>97124655</v>
      </c>
      <c r="L21" s="9">
        <v>7573756.0599999996</v>
      </c>
      <c r="M21" s="9">
        <v>7573756.0599999996</v>
      </c>
    </row>
    <row r="22" spans="1:20" x14ac:dyDescent="0.25">
      <c r="A22" s="7">
        <v>97124646</v>
      </c>
      <c r="B22" s="8">
        <v>46269</v>
      </c>
      <c r="C22" s="9">
        <v>11569820.039999999</v>
      </c>
      <c r="D22" s="9">
        <v>11569820.039999999</v>
      </c>
      <c r="G22" s="9"/>
      <c r="H22" s="9"/>
      <c r="I22" s="9"/>
      <c r="K22">
        <v>97124656</v>
      </c>
      <c r="L22" s="9">
        <v>44769025.859999999</v>
      </c>
      <c r="M22" s="9">
        <v>44769025.859999999</v>
      </c>
    </row>
    <row r="23" spans="1:20" x14ac:dyDescent="0.25">
      <c r="A23" s="7">
        <v>97124647</v>
      </c>
      <c r="B23" s="8">
        <v>46269</v>
      </c>
      <c r="C23" s="9">
        <v>12163459.77</v>
      </c>
      <c r="D23" s="9">
        <v>12163459.77</v>
      </c>
      <c r="G23" s="9"/>
      <c r="H23" s="9"/>
      <c r="I23" s="9"/>
      <c r="J23" s="3" t="s">
        <v>1</v>
      </c>
      <c r="L23" s="9">
        <v>131737200.2</v>
      </c>
      <c r="M23" s="9">
        <v>131737200.2</v>
      </c>
    </row>
    <row r="24" spans="1:20" x14ac:dyDescent="0.25">
      <c r="A24" s="8" t="s">
        <v>1</v>
      </c>
      <c r="C24" s="9">
        <v>266668562.41000006</v>
      </c>
      <c r="D24" s="9">
        <v>266668562.41000006</v>
      </c>
      <c r="G24" s="9"/>
      <c r="H24" s="9"/>
      <c r="I24" s="9"/>
      <c r="K24"/>
    </row>
    <row r="25" spans="1:20" x14ac:dyDescent="0.25">
      <c r="B25"/>
      <c r="G25" s="9"/>
      <c r="H25" s="9"/>
      <c r="I25" s="9"/>
      <c r="K25"/>
    </row>
    <row r="26" spans="1:20" x14ac:dyDescent="0.25">
      <c r="B26"/>
      <c r="G26" s="9"/>
      <c r="H26" s="9"/>
      <c r="I26" s="9"/>
      <c r="K26"/>
    </row>
    <row r="27" spans="1:20" x14ac:dyDescent="0.25">
      <c r="B27"/>
      <c r="G27" s="9"/>
      <c r="H27" s="9"/>
      <c r="I27" s="9"/>
      <c r="K27"/>
    </row>
    <row r="28" spans="1:20" x14ac:dyDescent="0.25">
      <c r="B28"/>
      <c r="G28" s="9"/>
      <c r="H28" s="9"/>
      <c r="I28" s="9"/>
      <c r="K28"/>
    </row>
    <row r="29" spans="1:20" x14ac:dyDescent="0.25">
      <c r="B29"/>
      <c r="G29" s="9"/>
      <c r="K29"/>
    </row>
    <row r="30" spans="1:20" x14ac:dyDescent="0.25">
      <c r="B30"/>
      <c r="K30"/>
    </row>
    <row r="31" spans="1:20" x14ac:dyDescent="0.25">
      <c r="B31"/>
      <c r="K31"/>
    </row>
    <row r="32" spans="1:20" x14ac:dyDescent="0.25">
      <c r="B32"/>
      <c r="K32"/>
    </row>
    <row r="33" spans="2:11" x14ac:dyDescent="0.25">
      <c r="B33"/>
      <c r="K33"/>
    </row>
    <row r="34" spans="2:11" x14ac:dyDescent="0.25">
      <c r="B34"/>
      <c r="K34"/>
    </row>
    <row r="35" spans="2:11" x14ac:dyDescent="0.25">
      <c r="B35"/>
      <c r="K35"/>
    </row>
    <row r="36" spans="2:11" x14ac:dyDescent="0.25">
      <c r="B36"/>
      <c r="K36"/>
    </row>
    <row r="37" spans="2:11" x14ac:dyDescent="0.25">
      <c r="B37"/>
      <c r="K37"/>
    </row>
    <row r="38" spans="2:11" x14ac:dyDescent="0.25">
      <c r="B38"/>
      <c r="K38"/>
    </row>
    <row r="39" spans="2:11" x14ac:dyDescent="0.25">
      <c r="B39"/>
      <c r="K39"/>
    </row>
    <row r="40" spans="2:11" x14ac:dyDescent="0.25">
      <c r="B40"/>
      <c r="K40"/>
    </row>
    <row r="41" spans="2:11" x14ac:dyDescent="0.25">
      <c r="B41"/>
      <c r="K41"/>
    </row>
    <row r="42" spans="2:11" x14ac:dyDescent="0.25">
      <c r="B42"/>
      <c r="K42"/>
    </row>
    <row r="43" spans="2:11" x14ac:dyDescent="0.25">
      <c r="B43"/>
      <c r="K43"/>
    </row>
    <row r="44" spans="2:11" x14ac:dyDescent="0.25">
      <c r="B44"/>
      <c r="K44"/>
    </row>
    <row r="45" spans="2:11" x14ac:dyDescent="0.25">
      <c r="B45"/>
      <c r="K45"/>
    </row>
    <row r="46" spans="2:11" x14ac:dyDescent="0.25">
      <c r="B46"/>
      <c r="K46"/>
    </row>
    <row r="47" spans="2:11" x14ac:dyDescent="0.25">
      <c r="B47"/>
      <c r="K47"/>
    </row>
    <row r="48" spans="2:11" x14ac:dyDescent="0.25">
      <c r="B48"/>
      <c r="K48"/>
    </row>
    <row r="49" spans="2:11" x14ac:dyDescent="0.25">
      <c r="B49"/>
      <c r="K49"/>
    </row>
    <row r="50" spans="2:11" x14ac:dyDescent="0.25">
      <c r="B50"/>
      <c r="K50"/>
    </row>
    <row r="51" spans="2:11" x14ac:dyDescent="0.25">
      <c r="B51"/>
      <c r="K51"/>
    </row>
    <row r="52" spans="2:11" x14ac:dyDescent="0.25">
      <c r="B52"/>
      <c r="K52"/>
    </row>
    <row r="53" spans="2:11" x14ac:dyDescent="0.25">
      <c r="B53"/>
      <c r="K53"/>
    </row>
    <row r="54" spans="2:11" x14ac:dyDescent="0.25">
      <c r="B54"/>
      <c r="K54"/>
    </row>
    <row r="55" spans="2:11" x14ac:dyDescent="0.25">
      <c r="B55"/>
      <c r="K55"/>
    </row>
    <row r="56" spans="2:11" x14ac:dyDescent="0.25">
      <c r="B56"/>
      <c r="K56"/>
    </row>
    <row r="57" spans="2:11" x14ac:dyDescent="0.25">
      <c r="B57"/>
      <c r="K57"/>
    </row>
    <row r="58" spans="2:11" x14ac:dyDescent="0.25">
      <c r="B58"/>
      <c r="K58"/>
    </row>
    <row r="59" spans="2:11" x14ac:dyDescent="0.25">
      <c r="B59"/>
      <c r="K59"/>
    </row>
    <row r="60" spans="2:11" x14ac:dyDescent="0.25">
      <c r="B60"/>
      <c r="K60"/>
    </row>
    <row r="61" spans="2:11" x14ac:dyDescent="0.25">
      <c r="B61"/>
      <c r="K61"/>
    </row>
    <row r="62" spans="2:11" x14ac:dyDescent="0.25">
      <c r="B62"/>
      <c r="K62"/>
    </row>
    <row r="63" spans="2:11" x14ac:dyDescent="0.25">
      <c r="B63"/>
      <c r="K63"/>
    </row>
    <row r="64" spans="2:11" x14ac:dyDescent="0.25">
      <c r="B64"/>
      <c r="K64"/>
    </row>
    <row r="65" spans="2:11" x14ac:dyDescent="0.25">
      <c r="B65"/>
      <c r="K65"/>
    </row>
    <row r="66" spans="2:11" x14ac:dyDescent="0.25">
      <c r="B66"/>
      <c r="K66"/>
    </row>
    <row r="67" spans="2:11" x14ac:dyDescent="0.25">
      <c r="B67"/>
      <c r="K67"/>
    </row>
    <row r="68" spans="2:11" x14ac:dyDescent="0.25">
      <c r="B68"/>
      <c r="K68"/>
    </row>
    <row r="69" spans="2:11" x14ac:dyDescent="0.25">
      <c r="B69"/>
      <c r="K69"/>
    </row>
    <row r="70" spans="2:11" x14ac:dyDescent="0.25">
      <c r="B70"/>
      <c r="K70"/>
    </row>
    <row r="71" spans="2:11" x14ac:dyDescent="0.25">
      <c r="B71"/>
      <c r="K71"/>
    </row>
    <row r="72" spans="2:11" x14ac:dyDescent="0.25">
      <c r="B72"/>
      <c r="K72"/>
    </row>
    <row r="73" spans="2:11" x14ac:dyDescent="0.25">
      <c r="B73"/>
      <c r="K73"/>
    </row>
    <row r="74" spans="2:11" x14ac:dyDescent="0.25">
      <c r="B74"/>
      <c r="K74"/>
    </row>
    <row r="75" spans="2:11" x14ac:dyDescent="0.25">
      <c r="B75"/>
      <c r="K75"/>
    </row>
    <row r="76" spans="2:11" x14ac:dyDescent="0.25">
      <c r="B76"/>
      <c r="K76"/>
    </row>
    <row r="77" spans="2:11" x14ac:dyDescent="0.25">
      <c r="B77"/>
      <c r="K77"/>
    </row>
    <row r="78" spans="2:11" x14ac:dyDescent="0.25">
      <c r="B78"/>
      <c r="K78"/>
    </row>
    <row r="79" spans="2:11" x14ac:dyDescent="0.25">
      <c r="B79"/>
      <c r="K79"/>
    </row>
    <row r="80" spans="2:11" x14ac:dyDescent="0.25">
      <c r="B80"/>
      <c r="K80"/>
    </row>
    <row r="81" spans="2:11" x14ac:dyDescent="0.25">
      <c r="B81"/>
      <c r="K81"/>
    </row>
    <row r="82" spans="2:11" x14ac:dyDescent="0.25">
      <c r="B82"/>
      <c r="K82"/>
    </row>
    <row r="83" spans="2:11" x14ac:dyDescent="0.25">
      <c r="B83"/>
      <c r="K83"/>
    </row>
    <row r="84" spans="2:11" x14ac:dyDescent="0.25">
      <c r="B84"/>
      <c r="K84"/>
    </row>
    <row r="85" spans="2:11" x14ac:dyDescent="0.25">
      <c r="B85"/>
      <c r="K85"/>
    </row>
    <row r="86" spans="2:11" x14ac:dyDescent="0.25">
      <c r="B86"/>
      <c r="K86"/>
    </row>
    <row r="87" spans="2:11" x14ac:dyDescent="0.25">
      <c r="B87"/>
      <c r="K87"/>
    </row>
    <row r="88" spans="2:11" x14ac:dyDescent="0.25">
      <c r="B88"/>
      <c r="K88"/>
    </row>
    <row r="89" spans="2:11" x14ac:dyDescent="0.25">
      <c r="B89"/>
      <c r="K89"/>
    </row>
    <row r="90" spans="2:11" x14ac:dyDescent="0.25">
      <c r="B90"/>
      <c r="K90"/>
    </row>
    <row r="91" spans="2:11" x14ac:dyDescent="0.25">
      <c r="B91"/>
      <c r="K91"/>
    </row>
    <row r="92" spans="2:11" x14ac:dyDescent="0.25">
      <c r="B92"/>
      <c r="K92"/>
    </row>
    <row r="93" spans="2:11" x14ac:dyDescent="0.25">
      <c r="B93"/>
      <c r="K93"/>
    </row>
    <row r="94" spans="2:11" x14ac:dyDescent="0.25">
      <c r="B94"/>
      <c r="K94"/>
    </row>
    <row r="95" spans="2:11" x14ac:dyDescent="0.25">
      <c r="B95"/>
      <c r="K95"/>
    </row>
    <row r="96" spans="2:11" x14ac:dyDescent="0.25">
      <c r="B96"/>
      <c r="K96"/>
    </row>
    <row r="97" spans="2:11" x14ac:dyDescent="0.25">
      <c r="B97"/>
      <c r="K97"/>
    </row>
    <row r="98" spans="2:11" x14ac:dyDescent="0.25">
      <c r="B98"/>
      <c r="K98"/>
    </row>
    <row r="99" spans="2:11" x14ac:dyDescent="0.25">
      <c r="B99"/>
      <c r="K99"/>
    </row>
    <row r="100" spans="2:11" x14ac:dyDescent="0.25">
      <c r="B100"/>
      <c r="K100"/>
    </row>
    <row r="101" spans="2:11" x14ac:dyDescent="0.25">
      <c r="B101"/>
      <c r="K101"/>
    </row>
    <row r="102" spans="2:11" x14ac:dyDescent="0.25">
      <c r="B102"/>
      <c r="K102"/>
    </row>
    <row r="103" spans="2:11" x14ac:dyDescent="0.25">
      <c r="B103"/>
      <c r="K103"/>
    </row>
    <row r="104" spans="2:11" x14ac:dyDescent="0.25">
      <c r="B104"/>
      <c r="K104"/>
    </row>
    <row r="105" spans="2:11" x14ac:dyDescent="0.25">
      <c r="B105"/>
      <c r="K105"/>
    </row>
    <row r="106" spans="2:11" x14ac:dyDescent="0.25">
      <c r="B106"/>
      <c r="K106"/>
    </row>
    <row r="107" spans="2:11" x14ac:dyDescent="0.25">
      <c r="B107"/>
      <c r="K107"/>
    </row>
    <row r="108" spans="2:11" x14ac:dyDescent="0.25">
      <c r="B108"/>
      <c r="K108"/>
    </row>
    <row r="109" spans="2:11" x14ac:dyDescent="0.25">
      <c r="B109"/>
      <c r="K109"/>
    </row>
    <row r="110" spans="2:11" x14ac:dyDescent="0.25">
      <c r="B110"/>
      <c r="K110"/>
    </row>
    <row r="111" spans="2:11" x14ac:dyDescent="0.25">
      <c r="B111"/>
      <c r="K111"/>
    </row>
    <row r="112" spans="2:11" x14ac:dyDescent="0.25">
      <c r="B112"/>
      <c r="K112"/>
    </row>
    <row r="113" spans="2:11" x14ac:dyDescent="0.25">
      <c r="B113"/>
      <c r="K113"/>
    </row>
    <row r="114" spans="2:11" x14ac:dyDescent="0.25">
      <c r="B114"/>
      <c r="K114"/>
    </row>
    <row r="115" spans="2:11" x14ac:dyDescent="0.25">
      <c r="B115"/>
      <c r="K115"/>
    </row>
    <row r="116" spans="2:11" x14ac:dyDescent="0.25">
      <c r="B116"/>
      <c r="K116"/>
    </row>
    <row r="117" spans="2:11" x14ac:dyDescent="0.25">
      <c r="B117"/>
      <c r="K117"/>
    </row>
    <row r="118" spans="2:11" x14ac:dyDescent="0.25">
      <c r="B118"/>
      <c r="K118"/>
    </row>
    <row r="119" spans="2:11" x14ac:dyDescent="0.25">
      <c r="B119"/>
      <c r="K119"/>
    </row>
    <row r="120" spans="2:11" x14ac:dyDescent="0.25">
      <c r="B120"/>
      <c r="K120"/>
    </row>
    <row r="121" spans="2:11" x14ac:dyDescent="0.25">
      <c r="B121"/>
      <c r="K121"/>
    </row>
    <row r="122" spans="2:11" x14ac:dyDescent="0.25">
      <c r="B122"/>
      <c r="K122"/>
    </row>
    <row r="123" spans="2:11" x14ac:dyDescent="0.25">
      <c r="B123"/>
      <c r="K123"/>
    </row>
    <row r="124" spans="2:11" x14ac:dyDescent="0.25">
      <c r="B124"/>
      <c r="K124"/>
    </row>
    <row r="125" spans="2:11" x14ac:dyDescent="0.25">
      <c r="B125"/>
      <c r="K125"/>
    </row>
    <row r="126" spans="2:11" x14ac:dyDescent="0.25">
      <c r="B126"/>
      <c r="K126"/>
    </row>
    <row r="127" spans="2:11" x14ac:dyDescent="0.25">
      <c r="B127"/>
      <c r="K127"/>
    </row>
    <row r="128" spans="2:11" x14ac:dyDescent="0.25">
      <c r="B128"/>
      <c r="K128"/>
    </row>
    <row r="129" spans="2:11" x14ac:dyDescent="0.25">
      <c r="B129"/>
      <c r="K129"/>
    </row>
    <row r="130" spans="2:11" x14ac:dyDescent="0.25">
      <c r="B130"/>
      <c r="K130"/>
    </row>
    <row r="131" spans="2:11" x14ac:dyDescent="0.25">
      <c r="B131"/>
      <c r="K131"/>
    </row>
    <row r="132" spans="2:11" x14ac:dyDescent="0.25">
      <c r="B132"/>
      <c r="K132"/>
    </row>
    <row r="133" spans="2:11" x14ac:dyDescent="0.25">
      <c r="B133"/>
      <c r="K133"/>
    </row>
    <row r="134" spans="2:11" x14ac:dyDescent="0.25">
      <c r="B134"/>
      <c r="K134"/>
    </row>
    <row r="135" spans="2:11" x14ac:dyDescent="0.25">
      <c r="B135"/>
      <c r="K135"/>
    </row>
    <row r="136" spans="2:11" x14ac:dyDescent="0.25">
      <c r="B136"/>
      <c r="K136"/>
    </row>
    <row r="137" spans="2:11" x14ac:dyDescent="0.25">
      <c r="B137"/>
      <c r="K137"/>
    </row>
    <row r="138" spans="2:11" x14ac:dyDescent="0.25">
      <c r="B138"/>
      <c r="K138"/>
    </row>
    <row r="139" spans="2:11" x14ac:dyDescent="0.25">
      <c r="B139"/>
      <c r="K139"/>
    </row>
    <row r="140" spans="2:11" x14ac:dyDescent="0.25">
      <c r="B140"/>
      <c r="K140"/>
    </row>
    <row r="141" spans="2:11" x14ac:dyDescent="0.25">
      <c r="B141"/>
      <c r="K141"/>
    </row>
    <row r="142" spans="2:11" x14ac:dyDescent="0.25">
      <c r="B142"/>
      <c r="K142"/>
    </row>
    <row r="143" spans="2:11" x14ac:dyDescent="0.25">
      <c r="B143"/>
      <c r="K143"/>
    </row>
    <row r="144" spans="2:11" x14ac:dyDescent="0.25">
      <c r="B144"/>
      <c r="K144"/>
    </row>
    <row r="145" spans="2:11" x14ac:dyDescent="0.25">
      <c r="B145"/>
      <c r="K145"/>
    </row>
    <row r="146" spans="2:11" x14ac:dyDescent="0.25">
      <c r="B146"/>
      <c r="K146"/>
    </row>
    <row r="147" spans="2:11" x14ac:dyDescent="0.25">
      <c r="B147"/>
      <c r="K147"/>
    </row>
    <row r="148" spans="2:11" x14ac:dyDescent="0.25">
      <c r="B148"/>
      <c r="K148"/>
    </row>
    <row r="149" spans="2:11" x14ac:dyDescent="0.25">
      <c r="B149"/>
      <c r="K149"/>
    </row>
    <row r="150" spans="2:11" x14ac:dyDescent="0.25">
      <c r="B150"/>
      <c r="K150"/>
    </row>
    <row r="151" spans="2:11" x14ac:dyDescent="0.25">
      <c r="B151"/>
      <c r="K151"/>
    </row>
    <row r="152" spans="2:11" x14ac:dyDescent="0.25">
      <c r="B152"/>
      <c r="K152"/>
    </row>
    <row r="153" spans="2:11" x14ac:dyDescent="0.25">
      <c r="B153"/>
      <c r="K153"/>
    </row>
    <row r="154" spans="2:11" x14ac:dyDescent="0.25">
      <c r="B154"/>
      <c r="K154"/>
    </row>
    <row r="155" spans="2:11" x14ac:dyDescent="0.25">
      <c r="B155"/>
      <c r="K155"/>
    </row>
    <row r="156" spans="2:11" x14ac:dyDescent="0.25">
      <c r="B156"/>
      <c r="K156"/>
    </row>
    <row r="157" spans="2:11" x14ac:dyDescent="0.25">
      <c r="B157"/>
      <c r="K157"/>
    </row>
    <row r="158" spans="2:11" x14ac:dyDescent="0.25">
      <c r="B158"/>
      <c r="K158"/>
    </row>
    <row r="159" spans="2:11" x14ac:dyDescent="0.25">
      <c r="B159"/>
      <c r="K159"/>
    </row>
    <row r="160" spans="2:11" x14ac:dyDescent="0.25">
      <c r="B160"/>
      <c r="K160"/>
    </row>
    <row r="161" spans="2:11" x14ac:dyDescent="0.25">
      <c r="B161"/>
      <c r="K161"/>
    </row>
    <row r="162" spans="2:11" x14ac:dyDescent="0.25">
      <c r="B162"/>
      <c r="K162"/>
    </row>
    <row r="163" spans="2:11" x14ac:dyDescent="0.25">
      <c r="B163"/>
      <c r="K163"/>
    </row>
    <row r="164" spans="2:11" x14ac:dyDescent="0.25">
      <c r="B164"/>
      <c r="K164"/>
    </row>
    <row r="165" spans="2:11" x14ac:dyDescent="0.25">
      <c r="B165"/>
      <c r="K165"/>
    </row>
    <row r="166" spans="2:11" x14ac:dyDescent="0.25">
      <c r="B166"/>
      <c r="K166"/>
    </row>
    <row r="167" spans="2:11" x14ac:dyDescent="0.25">
      <c r="B167"/>
      <c r="K167"/>
    </row>
    <row r="168" spans="2:11" x14ac:dyDescent="0.25">
      <c r="B168"/>
      <c r="K168"/>
    </row>
    <row r="169" spans="2:11" x14ac:dyDescent="0.25">
      <c r="B169"/>
      <c r="K169"/>
    </row>
    <row r="170" spans="2:11" x14ac:dyDescent="0.25">
      <c r="B170"/>
      <c r="K170"/>
    </row>
    <row r="171" spans="2:11" x14ac:dyDescent="0.25">
      <c r="B171"/>
      <c r="K171"/>
    </row>
    <row r="172" spans="2:11" x14ac:dyDescent="0.25">
      <c r="B172"/>
      <c r="K172"/>
    </row>
    <row r="173" spans="2:11" x14ac:dyDescent="0.25">
      <c r="B173"/>
      <c r="K173"/>
    </row>
    <row r="174" spans="2:11" x14ac:dyDescent="0.25">
      <c r="B174"/>
      <c r="K174"/>
    </row>
    <row r="175" spans="2:11" x14ac:dyDescent="0.25">
      <c r="B175"/>
      <c r="K175"/>
    </row>
    <row r="176" spans="2:11" x14ac:dyDescent="0.25">
      <c r="B176"/>
      <c r="K176"/>
    </row>
    <row r="177" spans="2:11" x14ac:dyDescent="0.25">
      <c r="B177"/>
      <c r="K177"/>
    </row>
    <row r="178" spans="2:11" x14ac:dyDescent="0.25">
      <c r="B178"/>
      <c r="K178"/>
    </row>
    <row r="179" spans="2:11" x14ac:dyDescent="0.25">
      <c r="B179"/>
      <c r="K179"/>
    </row>
    <row r="180" spans="2:11" x14ac:dyDescent="0.25">
      <c r="B180"/>
      <c r="K180"/>
    </row>
    <row r="181" spans="2:11" x14ac:dyDescent="0.25">
      <c r="B181"/>
      <c r="K181"/>
    </row>
    <row r="182" spans="2:11" x14ac:dyDescent="0.25">
      <c r="B182"/>
      <c r="K182"/>
    </row>
    <row r="183" spans="2:11" x14ac:dyDescent="0.25">
      <c r="B183"/>
      <c r="K183"/>
    </row>
    <row r="184" spans="2:11" x14ac:dyDescent="0.25">
      <c r="B184"/>
      <c r="K184"/>
    </row>
    <row r="185" spans="2:11" x14ac:dyDescent="0.25">
      <c r="B185"/>
      <c r="K185"/>
    </row>
    <row r="186" spans="2:11" x14ac:dyDescent="0.25">
      <c r="B186"/>
      <c r="K186"/>
    </row>
    <row r="187" spans="2:11" x14ac:dyDescent="0.25">
      <c r="B187"/>
      <c r="K187"/>
    </row>
    <row r="188" spans="2:11" x14ac:dyDescent="0.25">
      <c r="B188"/>
      <c r="K188"/>
    </row>
    <row r="189" spans="2:11" x14ac:dyDescent="0.25">
      <c r="B189"/>
      <c r="K189"/>
    </row>
    <row r="190" spans="2:11" x14ac:dyDescent="0.25">
      <c r="B190"/>
      <c r="K190"/>
    </row>
    <row r="191" spans="2:11" x14ac:dyDescent="0.25">
      <c r="B191"/>
      <c r="K191"/>
    </row>
    <row r="192" spans="2:11" x14ac:dyDescent="0.25">
      <c r="B192"/>
      <c r="K192"/>
    </row>
    <row r="193" spans="2:11" x14ac:dyDescent="0.25">
      <c r="B193"/>
      <c r="K193"/>
    </row>
    <row r="194" spans="2:11" x14ac:dyDescent="0.25">
      <c r="B194"/>
      <c r="K194"/>
    </row>
    <row r="195" spans="2:11" x14ac:dyDescent="0.25">
      <c r="B195"/>
      <c r="K195"/>
    </row>
    <row r="196" spans="2:11" x14ac:dyDescent="0.25">
      <c r="B196"/>
      <c r="K196"/>
    </row>
    <row r="197" spans="2:11" x14ac:dyDescent="0.25">
      <c r="B197"/>
      <c r="K197"/>
    </row>
    <row r="198" spans="2:11" x14ac:dyDescent="0.25">
      <c r="B198"/>
      <c r="K198"/>
    </row>
    <row r="199" spans="2:11" x14ac:dyDescent="0.25">
      <c r="B199"/>
      <c r="K199"/>
    </row>
    <row r="200" spans="2:11" x14ac:dyDescent="0.25">
      <c r="B200"/>
      <c r="K200"/>
    </row>
    <row r="201" spans="2:11" x14ac:dyDescent="0.25">
      <c r="B201"/>
      <c r="K201"/>
    </row>
    <row r="202" spans="2:11" x14ac:dyDescent="0.25">
      <c r="B202"/>
      <c r="K202"/>
    </row>
    <row r="203" spans="2:11" x14ac:dyDescent="0.25">
      <c r="B203"/>
      <c r="K203"/>
    </row>
    <row r="204" spans="2:11" x14ac:dyDescent="0.25">
      <c r="B204"/>
      <c r="K204"/>
    </row>
    <row r="205" spans="2:11" x14ac:dyDescent="0.25">
      <c r="B205"/>
      <c r="K205"/>
    </row>
    <row r="206" spans="2:11" x14ac:dyDescent="0.25">
      <c r="B206"/>
      <c r="K206"/>
    </row>
    <row r="207" spans="2:11" x14ac:dyDescent="0.25">
      <c r="B207"/>
      <c r="K207"/>
    </row>
    <row r="208" spans="2:11" x14ac:dyDescent="0.25">
      <c r="B208"/>
      <c r="K208"/>
    </row>
    <row r="209" spans="2:11" x14ac:dyDescent="0.25">
      <c r="B209"/>
      <c r="K209"/>
    </row>
    <row r="210" spans="2:11" x14ac:dyDescent="0.25">
      <c r="B210"/>
      <c r="K210"/>
    </row>
    <row r="211" spans="2:11" x14ac:dyDescent="0.25">
      <c r="B211"/>
      <c r="K211"/>
    </row>
    <row r="212" spans="2:11" x14ac:dyDescent="0.25">
      <c r="B212"/>
      <c r="K212"/>
    </row>
    <row r="213" spans="2:11" x14ac:dyDescent="0.25">
      <c r="B213"/>
      <c r="K213"/>
    </row>
    <row r="214" spans="2:11" x14ac:dyDescent="0.25">
      <c r="B214"/>
      <c r="K214"/>
    </row>
    <row r="215" spans="2:11" x14ac:dyDescent="0.25">
      <c r="B215"/>
      <c r="K215"/>
    </row>
    <row r="216" spans="2:11" x14ac:dyDescent="0.25">
      <c r="B216"/>
      <c r="K216"/>
    </row>
    <row r="217" spans="2:11" x14ac:dyDescent="0.25">
      <c r="B217"/>
      <c r="K217"/>
    </row>
    <row r="218" spans="2:11" x14ac:dyDescent="0.25">
      <c r="B218"/>
      <c r="K218"/>
    </row>
    <row r="219" spans="2:11" x14ac:dyDescent="0.25">
      <c r="B219"/>
      <c r="K219"/>
    </row>
    <row r="220" spans="2:11" x14ac:dyDescent="0.25">
      <c r="B220"/>
      <c r="K220"/>
    </row>
    <row r="221" spans="2:11" x14ac:dyDescent="0.25">
      <c r="B221"/>
      <c r="K221"/>
    </row>
    <row r="222" spans="2:11" x14ac:dyDescent="0.25">
      <c r="B222"/>
      <c r="K222"/>
    </row>
    <row r="223" spans="2:11" x14ac:dyDescent="0.25">
      <c r="B223"/>
      <c r="K223"/>
    </row>
    <row r="224" spans="2:11" x14ac:dyDescent="0.25">
      <c r="B224"/>
      <c r="K224"/>
    </row>
    <row r="225" spans="2:11" x14ac:dyDescent="0.25">
      <c r="B225"/>
      <c r="K225"/>
    </row>
    <row r="226" spans="2:11" x14ac:dyDescent="0.25">
      <c r="B226"/>
      <c r="K226"/>
    </row>
    <row r="227" spans="2:11" x14ac:dyDescent="0.25">
      <c r="B227"/>
      <c r="K227"/>
    </row>
    <row r="228" spans="2:11" x14ac:dyDescent="0.25">
      <c r="B228"/>
      <c r="K228"/>
    </row>
    <row r="229" spans="2:11" x14ac:dyDescent="0.25">
      <c r="B229"/>
      <c r="K229"/>
    </row>
    <row r="230" spans="2:11" x14ac:dyDescent="0.25">
      <c r="B230"/>
      <c r="K230"/>
    </row>
    <row r="231" spans="2:11" x14ac:dyDescent="0.25">
      <c r="B231"/>
      <c r="K231"/>
    </row>
    <row r="232" spans="2:11" x14ac:dyDescent="0.25">
      <c r="B232"/>
      <c r="K232"/>
    </row>
    <row r="233" spans="2:11" x14ac:dyDescent="0.25">
      <c r="B233"/>
      <c r="K233"/>
    </row>
    <row r="234" spans="2:11" x14ac:dyDescent="0.25">
      <c r="B234"/>
      <c r="K234"/>
    </row>
    <row r="235" spans="2:11" x14ac:dyDescent="0.25">
      <c r="B235"/>
      <c r="K235"/>
    </row>
    <row r="236" spans="2:11" x14ac:dyDescent="0.25">
      <c r="B236"/>
      <c r="K236"/>
    </row>
    <row r="237" spans="2:11" x14ac:dyDescent="0.25">
      <c r="B237"/>
      <c r="K237"/>
    </row>
    <row r="238" spans="2:11" x14ac:dyDescent="0.25">
      <c r="B238"/>
      <c r="K238"/>
    </row>
    <row r="239" spans="2:11" x14ac:dyDescent="0.25">
      <c r="B239"/>
      <c r="K239"/>
    </row>
    <row r="240" spans="2:11" x14ac:dyDescent="0.25">
      <c r="B240"/>
      <c r="K240"/>
    </row>
    <row r="241" spans="2:11" x14ac:dyDescent="0.25">
      <c r="B241"/>
      <c r="K241"/>
    </row>
    <row r="242" spans="2:11" x14ac:dyDescent="0.25">
      <c r="B242"/>
      <c r="K242"/>
    </row>
    <row r="243" spans="2:11" x14ac:dyDescent="0.25">
      <c r="B243"/>
      <c r="K243"/>
    </row>
    <row r="244" spans="2:11" x14ac:dyDescent="0.25">
      <c r="B244"/>
      <c r="K244"/>
    </row>
    <row r="245" spans="2:11" x14ac:dyDescent="0.25">
      <c r="B245"/>
      <c r="K245"/>
    </row>
    <row r="246" spans="2:11" x14ac:dyDescent="0.25">
      <c r="B246"/>
      <c r="K246"/>
    </row>
    <row r="247" spans="2:11" x14ac:dyDescent="0.25">
      <c r="B247"/>
      <c r="K247"/>
    </row>
    <row r="248" spans="2:11" x14ac:dyDescent="0.25">
      <c r="B248"/>
      <c r="K248"/>
    </row>
    <row r="249" spans="2:11" x14ac:dyDescent="0.25">
      <c r="B249"/>
      <c r="K249"/>
    </row>
    <row r="250" spans="2:11" x14ac:dyDescent="0.25">
      <c r="B250"/>
      <c r="K250"/>
    </row>
    <row r="251" spans="2:11" x14ac:dyDescent="0.25">
      <c r="B251"/>
      <c r="K251"/>
    </row>
    <row r="252" spans="2:11" x14ac:dyDescent="0.25">
      <c r="B252"/>
      <c r="K252"/>
    </row>
    <row r="253" spans="2:11" x14ac:dyDescent="0.25">
      <c r="B253"/>
      <c r="K253"/>
    </row>
    <row r="254" spans="2:11" x14ac:dyDescent="0.25">
      <c r="B254"/>
      <c r="K254"/>
    </row>
    <row r="255" spans="2:11" x14ac:dyDescent="0.25">
      <c r="B255"/>
      <c r="K255"/>
    </row>
    <row r="256" spans="2:11" x14ac:dyDescent="0.25">
      <c r="B256"/>
      <c r="K256"/>
    </row>
    <row r="257" spans="2:11" x14ac:dyDescent="0.25">
      <c r="B257"/>
      <c r="K257"/>
    </row>
    <row r="258" spans="2:11" x14ac:dyDescent="0.25">
      <c r="B258"/>
      <c r="K258"/>
    </row>
    <row r="259" spans="2:11" x14ac:dyDescent="0.25">
      <c r="B259"/>
      <c r="K259"/>
    </row>
    <row r="260" spans="2:11" x14ac:dyDescent="0.25">
      <c r="B260"/>
      <c r="K260"/>
    </row>
    <row r="261" spans="2:11" x14ac:dyDescent="0.25">
      <c r="B261"/>
      <c r="K261"/>
    </row>
    <row r="262" spans="2:11" x14ac:dyDescent="0.25">
      <c r="B262"/>
      <c r="K262"/>
    </row>
    <row r="263" spans="2:11" x14ac:dyDescent="0.25">
      <c r="B263"/>
      <c r="K263"/>
    </row>
    <row r="264" spans="2:11" x14ac:dyDescent="0.25">
      <c r="B264"/>
      <c r="K264"/>
    </row>
    <row r="265" spans="2:11" x14ac:dyDescent="0.25">
      <c r="B265"/>
      <c r="K265"/>
    </row>
    <row r="266" spans="2:11" x14ac:dyDescent="0.25">
      <c r="B266"/>
      <c r="K266"/>
    </row>
    <row r="267" spans="2:11" x14ac:dyDescent="0.25">
      <c r="B267"/>
      <c r="K267"/>
    </row>
    <row r="268" spans="2:11" x14ac:dyDescent="0.25">
      <c r="B268"/>
      <c r="K268"/>
    </row>
    <row r="269" spans="2:11" x14ac:dyDescent="0.25">
      <c r="B269"/>
      <c r="K269"/>
    </row>
    <row r="270" spans="2:11" x14ac:dyDescent="0.25">
      <c r="B270"/>
      <c r="K270"/>
    </row>
    <row r="271" spans="2:11" x14ac:dyDescent="0.25">
      <c r="B271"/>
      <c r="K271"/>
    </row>
    <row r="272" spans="2:11" x14ac:dyDescent="0.25">
      <c r="B272"/>
      <c r="K272"/>
    </row>
    <row r="273" spans="2:11" x14ac:dyDescent="0.25">
      <c r="B273"/>
      <c r="K273"/>
    </row>
    <row r="274" spans="2:11" x14ac:dyDescent="0.25">
      <c r="B274"/>
      <c r="K274"/>
    </row>
    <row r="275" spans="2:11" x14ac:dyDescent="0.25">
      <c r="B275"/>
      <c r="K275"/>
    </row>
    <row r="276" spans="2:11" x14ac:dyDescent="0.25">
      <c r="B276"/>
      <c r="K276"/>
    </row>
    <row r="277" spans="2:11" x14ac:dyDescent="0.25">
      <c r="B277"/>
      <c r="K277"/>
    </row>
    <row r="278" spans="2:11" x14ac:dyDescent="0.25">
      <c r="B278"/>
      <c r="K278"/>
    </row>
    <row r="279" spans="2:11" x14ac:dyDescent="0.25">
      <c r="B279"/>
      <c r="K279"/>
    </row>
    <row r="280" spans="2:11" x14ac:dyDescent="0.25">
      <c r="B280"/>
      <c r="K280"/>
    </row>
    <row r="281" spans="2:11" x14ac:dyDescent="0.25">
      <c r="B281"/>
      <c r="K281"/>
    </row>
    <row r="282" spans="2:11" x14ac:dyDescent="0.25">
      <c r="B282"/>
      <c r="K282"/>
    </row>
    <row r="283" spans="2:11" x14ac:dyDescent="0.25">
      <c r="B283"/>
      <c r="K283"/>
    </row>
    <row r="284" spans="2:11" x14ac:dyDescent="0.25">
      <c r="B284"/>
      <c r="K284"/>
    </row>
    <row r="285" spans="2:11" x14ac:dyDescent="0.25">
      <c r="B285"/>
      <c r="K285"/>
    </row>
    <row r="286" spans="2:11" x14ac:dyDescent="0.25">
      <c r="B286"/>
      <c r="K286"/>
    </row>
    <row r="287" spans="2:11" x14ac:dyDescent="0.25">
      <c r="B287"/>
      <c r="K287"/>
    </row>
    <row r="288" spans="2:11" x14ac:dyDescent="0.25">
      <c r="B288"/>
      <c r="K288"/>
    </row>
    <row r="289" spans="2:11" x14ac:dyDescent="0.25">
      <c r="B289"/>
      <c r="K289"/>
    </row>
    <row r="290" spans="2:11" x14ac:dyDescent="0.25">
      <c r="B290"/>
      <c r="K290"/>
    </row>
    <row r="291" spans="2:11" x14ac:dyDescent="0.25">
      <c r="B291"/>
      <c r="K291"/>
    </row>
    <row r="292" spans="2:11" x14ac:dyDescent="0.25">
      <c r="B292"/>
      <c r="K292"/>
    </row>
    <row r="293" spans="2:11" x14ac:dyDescent="0.25">
      <c r="B293"/>
      <c r="K293"/>
    </row>
    <row r="294" spans="2:11" x14ac:dyDescent="0.25">
      <c r="B294"/>
      <c r="K294"/>
    </row>
    <row r="295" spans="2:11" x14ac:dyDescent="0.25">
      <c r="B295"/>
      <c r="K295"/>
    </row>
    <row r="296" spans="2:11" x14ac:dyDescent="0.25">
      <c r="B296"/>
      <c r="K296"/>
    </row>
    <row r="297" spans="2:11" x14ac:dyDescent="0.25">
      <c r="B297"/>
      <c r="K297"/>
    </row>
    <row r="298" spans="2:11" x14ac:dyDescent="0.25">
      <c r="B298"/>
      <c r="K298"/>
    </row>
    <row r="299" spans="2:11" x14ac:dyDescent="0.25">
      <c r="B299"/>
      <c r="K299"/>
    </row>
    <row r="300" spans="2:11" x14ac:dyDescent="0.25">
      <c r="B300"/>
      <c r="K300"/>
    </row>
    <row r="301" spans="2:11" x14ac:dyDescent="0.25">
      <c r="B301"/>
      <c r="K301"/>
    </row>
    <row r="302" spans="2:11" x14ac:dyDescent="0.25">
      <c r="B302"/>
      <c r="K302"/>
    </row>
    <row r="303" spans="2:11" x14ac:dyDescent="0.25">
      <c r="B303"/>
      <c r="K303"/>
    </row>
    <row r="304" spans="2:11" x14ac:dyDescent="0.25">
      <c r="B304"/>
      <c r="K304"/>
    </row>
    <row r="305" spans="2:11" x14ac:dyDescent="0.25">
      <c r="B305"/>
      <c r="K305"/>
    </row>
    <row r="306" spans="2:11" x14ac:dyDescent="0.25">
      <c r="B306"/>
      <c r="K306"/>
    </row>
    <row r="307" spans="2:11" x14ac:dyDescent="0.25">
      <c r="B307"/>
      <c r="K307"/>
    </row>
    <row r="308" spans="2:11" x14ac:dyDescent="0.25">
      <c r="B308"/>
      <c r="K308"/>
    </row>
    <row r="309" spans="2:11" x14ac:dyDescent="0.25">
      <c r="B309"/>
      <c r="K309"/>
    </row>
    <row r="310" spans="2:11" x14ac:dyDescent="0.25">
      <c r="B310"/>
      <c r="K310"/>
    </row>
    <row r="311" spans="2:11" x14ac:dyDescent="0.25">
      <c r="B311"/>
      <c r="K311"/>
    </row>
    <row r="312" spans="2:11" x14ac:dyDescent="0.25">
      <c r="B312"/>
      <c r="K312"/>
    </row>
    <row r="313" spans="2:11" x14ac:dyDescent="0.25">
      <c r="B313"/>
      <c r="K313"/>
    </row>
    <row r="314" spans="2:11" x14ac:dyDescent="0.25">
      <c r="B314"/>
      <c r="K314"/>
    </row>
    <row r="315" spans="2:11" x14ac:dyDescent="0.25">
      <c r="B315"/>
      <c r="K315"/>
    </row>
    <row r="316" spans="2:11" x14ac:dyDescent="0.25">
      <c r="B316"/>
      <c r="K316"/>
    </row>
    <row r="317" spans="2:11" x14ac:dyDescent="0.25">
      <c r="B317"/>
      <c r="K317"/>
    </row>
    <row r="318" spans="2:11" x14ac:dyDescent="0.25">
      <c r="B318"/>
      <c r="K318"/>
    </row>
    <row r="319" spans="2:11" x14ac:dyDescent="0.25">
      <c r="B319"/>
      <c r="K319"/>
    </row>
    <row r="320" spans="2:11" x14ac:dyDescent="0.25">
      <c r="B320"/>
      <c r="K320"/>
    </row>
    <row r="321" spans="2:11" x14ac:dyDescent="0.25">
      <c r="B321"/>
      <c r="K321"/>
    </row>
    <row r="322" spans="2:11" x14ac:dyDescent="0.25">
      <c r="B322"/>
      <c r="K322"/>
    </row>
    <row r="323" spans="2:11" x14ac:dyDescent="0.25">
      <c r="B323"/>
      <c r="K323"/>
    </row>
    <row r="324" spans="2:11" x14ac:dyDescent="0.25">
      <c r="B324"/>
      <c r="K324"/>
    </row>
    <row r="325" spans="2:11" x14ac:dyDescent="0.25">
      <c r="B325"/>
      <c r="K325"/>
    </row>
    <row r="326" spans="2:11" x14ac:dyDescent="0.25">
      <c r="B326"/>
      <c r="K326"/>
    </row>
    <row r="327" spans="2:11" x14ac:dyDescent="0.25">
      <c r="B327"/>
      <c r="K327"/>
    </row>
    <row r="328" spans="2:11" x14ac:dyDescent="0.25">
      <c r="B328"/>
      <c r="K328"/>
    </row>
    <row r="329" spans="2:11" x14ac:dyDescent="0.25">
      <c r="B329"/>
      <c r="K329"/>
    </row>
    <row r="330" spans="2:11" x14ac:dyDescent="0.25">
      <c r="B330"/>
      <c r="K330"/>
    </row>
    <row r="331" spans="2:11" x14ac:dyDescent="0.25">
      <c r="B331"/>
      <c r="K331"/>
    </row>
    <row r="332" spans="2:11" x14ac:dyDescent="0.25">
      <c r="B332"/>
      <c r="K332"/>
    </row>
    <row r="333" spans="2:11" x14ac:dyDescent="0.25">
      <c r="B333"/>
      <c r="K333"/>
    </row>
    <row r="334" spans="2:11" x14ac:dyDescent="0.25">
      <c r="B334"/>
      <c r="K334"/>
    </row>
    <row r="335" spans="2:11" x14ac:dyDescent="0.25">
      <c r="B335"/>
      <c r="K335"/>
    </row>
    <row r="336" spans="2:11" x14ac:dyDescent="0.25">
      <c r="B336"/>
      <c r="K336"/>
    </row>
    <row r="337" spans="2:11" x14ac:dyDescent="0.25">
      <c r="B337"/>
      <c r="K337"/>
    </row>
    <row r="338" spans="2:11" x14ac:dyDescent="0.25">
      <c r="B338"/>
      <c r="K338"/>
    </row>
    <row r="339" spans="2:11" x14ac:dyDescent="0.25">
      <c r="B339"/>
      <c r="K339"/>
    </row>
    <row r="340" spans="2:11" x14ac:dyDescent="0.25">
      <c r="B340"/>
      <c r="K340"/>
    </row>
    <row r="341" spans="2:11" x14ac:dyDescent="0.25">
      <c r="B341"/>
      <c r="K341"/>
    </row>
    <row r="342" spans="2:11" x14ac:dyDescent="0.25">
      <c r="B342"/>
      <c r="K342"/>
    </row>
    <row r="343" spans="2:11" x14ac:dyDescent="0.25">
      <c r="B343"/>
      <c r="K343"/>
    </row>
    <row r="344" spans="2:11" x14ac:dyDescent="0.25">
      <c r="B344"/>
      <c r="K344"/>
    </row>
    <row r="345" spans="2:11" x14ac:dyDescent="0.25">
      <c r="B345"/>
      <c r="K345"/>
    </row>
    <row r="346" spans="2:11" x14ac:dyDescent="0.25">
      <c r="B346"/>
      <c r="K346"/>
    </row>
    <row r="347" spans="2:11" x14ac:dyDescent="0.25">
      <c r="B347"/>
      <c r="K347"/>
    </row>
    <row r="348" spans="2:11" x14ac:dyDescent="0.25">
      <c r="B348"/>
      <c r="K348"/>
    </row>
    <row r="349" spans="2:11" x14ac:dyDescent="0.25">
      <c r="B349"/>
      <c r="K349"/>
    </row>
    <row r="350" spans="2:11" x14ac:dyDescent="0.25">
      <c r="B350"/>
      <c r="K350"/>
    </row>
    <row r="351" spans="2:11" x14ac:dyDescent="0.25">
      <c r="B351"/>
      <c r="K351"/>
    </row>
    <row r="352" spans="2:11" x14ac:dyDescent="0.25">
      <c r="B352"/>
      <c r="K352"/>
    </row>
    <row r="353" spans="2:11" x14ac:dyDescent="0.25">
      <c r="B353"/>
      <c r="K353"/>
    </row>
    <row r="354" spans="2:11" x14ac:dyDescent="0.25">
      <c r="B354"/>
      <c r="K354"/>
    </row>
    <row r="355" spans="2:11" x14ac:dyDescent="0.25">
      <c r="B355"/>
      <c r="K355"/>
    </row>
    <row r="356" spans="2:11" x14ac:dyDescent="0.25">
      <c r="B356"/>
      <c r="K356"/>
    </row>
    <row r="357" spans="2:11" x14ac:dyDescent="0.25">
      <c r="B357"/>
      <c r="K357"/>
    </row>
    <row r="358" spans="2:11" x14ac:dyDescent="0.25">
      <c r="B358"/>
      <c r="K358"/>
    </row>
    <row r="359" spans="2:11" x14ac:dyDescent="0.25">
      <c r="B359"/>
      <c r="K359"/>
    </row>
    <row r="360" spans="2:11" x14ac:dyDescent="0.25">
      <c r="B360"/>
      <c r="K360"/>
    </row>
    <row r="361" spans="2:11" x14ac:dyDescent="0.25">
      <c r="B361"/>
      <c r="K361"/>
    </row>
    <row r="362" spans="2:11" x14ac:dyDescent="0.25">
      <c r="B362"/>
      <c r="K362"/>
    </row>
    <row r="363" spans="2:11" x14ac:dyDescent="0.25">
      <c r="B363"/>
      <c r="K363"/>
    </row>
    <row r="364" spans="2:11" x14ac:dyDescent="0.25">
      <c r="B364"/>
      <c r="K364"/>
    </row>
    <row r="365" spans="2:11" x14ac:dyDescent="0.25">
      <c r="B365"/>
      <c r="K365"/>
    </row>
    <row r="366" spans="2:11" x14ac:dyDescent="0.25">
      <c r="B366"/>
      <c r="K366"/>
    </row>
    <row r="367" spans="2:11" x14ac:dyDescent="0.25">
      <c r="B367"/>
      <c r="K367"/>
    </row>
    <row r="368" spans="2:11" x14ac:dyDescent="0.25">
      <c r="B368"/>
      <c r="K368"/>
    </row>
    <row r="369" spans="2:11" x14ac:dyDescent="0.25">
      <c r="B369"/>
      <c r="K369"/>
    </row>
    <row r="370" spans="2:11" x14ac:dyDescent="0.25">
      <c r="B370"/>
      <c r="K370"/>
    </row>
    <row r="371" spans="2:11" x14ac:dyDescent="0.25">
      <c r="B371"/>
      <c r="K371"/>
    </row>
    <row r="372" spans="2:11" x14ac:dyDescent="0.25">
      <c r="B372"/>
      <c r="K372"/>
    </row>
    <row r="373" spans="2:11" x14ac:dyDescent="0.25">
      <c r="B373"/>
      <c r="K373"/>
    </row>
    <row r="374" spans="2:11" x14ac:dyDescent="0.25">
      <c r="B374"/>
      <c r="K374"/>
    </row>
    <row r="375" spans="2:11" x14ac:dyDescent="0.25">
      <c r="B375"/>
      <c r="K375"/>
    </row>
    <row r="376" spans="2:11" x14ac:dyDescent="0.25">
      <c r="B376"/>
      <c r="K376"/>
    </row>
    <row r="377" spans="2:11" x14ac:dyDescent="0.25">
      <c r="B377"/>
      <c r="K377"/>
    </row>
    <row r="378" spans="2:11" x14ac:dyDescent="0.25">
      <c r="B378"/>
      <c r="K378"/>
    </row>
    <row r="379" spans="2:11" x14ac:dyDescent="0.25">
      <c r="B379"/>
      <c r="K379"/>
    </row>
    <row r="380" spans="2:11" x14ac:dyDescent="0.25">
      <c r="B380"/>
      <c r="K380"/>
    </row>
    <row r="381" spans="2:11" x14ac:dyDescent="0.25">
      <c r="B381"/>
      <c r="K381"/>
    </row>
    <row r="382" spans="2:11" x14ac:dyDescent="0.25">
      <c r="B382"/>
      <c r="K382"/>
    </row>
    <row r="383" spans="2:11" x14ac:dyDescent="0.25">
      <c r="B383"/>
      <c r="K383"/>
    </row>
    <row r="384" spans="2:11" x14ac:dyDescent="0.25">
      <c r="B384"/>
      <c r="K384"/>
    </row>
    <row r="385" spans="2:11" x14ac:dyDescent="0.25">
      <c r="B385"/>
      <c r="K385"/>
    </row>
    <row r="386" spans="2:11" x14ac:dyDescent="0.25">
      <c r="B386"/>
      <c r="K386"/>
    </row>
    <row r="387" spans="2:11" x14ac:dyDescent="0.25">
      <c r="B387"/>
      <c r="K387"/>
    </row>
    <row r="388" spans="2:11" x14ac:dyDescent="0.25">
      <c r="B388"/>
      <c r="K388"/>
    </row>
    <row r="389" spans="2:11" x14ac:dyDescent="0.25">
      <c r="B389"/>
      <c r="K389"/>
    </row>
    <row r="390" spans="2:11" x14ac:dyDescent="0.25">
      <c r="B390"/>
      <c r="K390"/>
    </row>
    <row r="391" spans="2:11" x14ac:dyDescent="0.25">
      <c r="B391"/>
      <c r="K391"/>
    </row>
    <row r="392" spans="2:11" x14ac:dyDescent="0.25">
      <c r="B392"/>
      <c r="K392"/>
    </row>
    <row r="393" spans="2:11" x14ac:dyDescent="0.25">
      <c r="B393"/>
      <c r="K393"/>
    </row>
    <row r="394" spans="2:11" x14ac:dyDescent="0.25">
      <c r="B394"/>
      <c r="K394"/>
    </row>
    <row r="395" spans="2:11" x14ac:dyDescent="0.25">
      <c r="B395"/>
      <c r="K395"/>
    </row>
    <row r="396" spans="2:11" x14ac:dyDescent="0.25">
      <c r="B396"/>
      <c r="K396"/>
    </row>
    <row r="397" spans="2:11" x14ac:dyDescent="0.25">
      <c r="B397"/>
      <c r="K397"/>
    </row>
    <row r="398" spans="2:11" x14ac:dyDescent="0.25">
      <c r="B398"/>
      <c r="K398"/>
    </row>
    <row r="399" spans="2:11" x14ac:dyDescent="0.25">
      <c r="B399"/>
      <c r="K399"/>
    </row>
    <row r="400" spans="2:11" x14ac:dyDescent="0.25">
      <c r="B400"/>
      <c r="K400"/>
    </row>
    <row r="401" spans="2:11" x14ac:dyDescent="0.25">
      <c r="B401"/>
      <c r="K401"/>
    </row>
    <row r="402" spans="2:11" x14ac:dyDescent="0.25">
      <c r="B402"/>
      <c r="K402"/>
    </row>
    <row r="403" spans="2:11" x14ac:dyDescent="0.25">
      <c r="B403"/>
      <c r="K403"/>
    </row>
    <row r="404" spans="2:11" x14ac:dyDescent="0.25">
      <c r="B404"/>
      <c r="K404"/>
    </row>
    <row r="405" spans="2:11" x14ac:dyDescent="0.25">
      <c r="B405"/>
      <c r="K405"/>
    </row>
    <row r="406" spans="2:11" x14ac:dyDescent="0.25">
      <c r="B406"/>
      <c r="K406"/>
    </row>
    <row r="407" spans="2:11" x14ac:dyDescent="0.25">
      <c r="B407"/>
      <c r="K407"/>
    </row>
    <row r="408" spans="2:11" x14ac:dyDescent="0.25">
      <c r="B408"/>
      <c r="K408"/>
    </row>
    <row r="409" spans="2:11" x14ac:dyDescent="0.25">
      <c r="B409"/>
      <c r="K409"/>
    </row>
    <row r="410" spans="2:11" x14ac:dyDescent="0.25">
      <c r="B410"/>
      <c r="K410"/>
    </row>
    <row r="411" spans="2:11" x14ac:dyDescent="0.25">
      <c r="B411"/>
      <c r="K411"/>
    </row>
    <row r="412" spans="2:11" x14ac:dyDescent="0.25">
      <c r="B412"/>
      <c r="K412"/>
    </row>
    <row r="413" spans="2:11" x14ac:dyDescent="0.25">
      <c r="B413"/>
      <c r="K413"/>
    </row>
    <row r="414" spans="2:11" x14ac:dyDescent="0.25">
      <c r="B414"/>
      <c r="K414"/>
    </row>
    <row r="415" spans="2:11" x14ac:dyDescent="0.25">
      <c r="B415"/>
      <c r="K415"/>
    </row>
    <row r="416" spans="2:11" x14ac:dyDescent="0.25">
      <c r="B416"/>
      <c r="K416"/>
    </row>
    <row r="417" spans="2:11" x14ac:dyDescent="0.25">
      <c r="B417"/>
      <c r="K417"/>
    </row>
    <row r="418" spans="2:11" x14ac:dyDescent="0.25">
      <c r="B418"/>
      <c r="K418"/>
    </row>
    <row r="419" spans="2:11" x14ac:dyDescent="0.25">
      <c r="B419"/>
      <c r="K419"/>
    </row>
    <row r="420" spans="2:11" x14ac:dyDescent="0.25">
      <c r="B420"/>
      <c r="K420"/>
    </row>
    <row r="421" spans="2:11" x14ac:dyDescent="0.25">
      <c r="B421"/>
      <c r="K421"/>
    </row>
    <row r="422" spans="2:11" x14ac:dyDescent="0.25">
      <c r="B422"/>
      <c r="K422"/>
    </row>
    <row r="423" spans="2:11" x14ac:dyDescent="0.25">
      <c r="B423"/>
      <c r="K423"/>
    </row>
    <row r="424" spans="2:11" x14ac:dyDescent="0.25">
      <c r="B424"/>
      <c r="K424"/>
    </row>
    <row r="425" spans="2:11" x14ac:dyDescent="0.25">
      <c r="B425"/>
      <c r="K425"/>
    </row>
    <row r="426" spans="2:11" x14ac:dyDescent="0.25">
      <c r="B426"/>
      <c r="K426"/>
    </row>
    <row r="427" spans="2:11" x14ac:dyDescent="0.25">
      <c r="B427"/>
      <c r="K427"/>
    </row>
    <row r="428" spans="2:11" x14ac:dyDescent="0.25">
      <c r="B428"/>
      <c r="K428"/>
    </row>
    <row r="429" spans="2:11" x14ac:dyDescent="0.25">
      <c r="B429"/>
      <c r="K429"/>
    </row>
    <row r="430" spans="2:11" x14ac:dyDescent="0.25">
      <c r="B430"/>
      <c r="K430"/>
    </row>
    <row r="431" spans="2:11" x14ac:dyDescent="0.25">
      <c r="B431"/>
      <c r="K431"/>
    </row>
    <row r="432" spans="2:11" x14ac:dyDescent="0.25">
      <c r="B432"/>
      <c r="K432"/>
    </row>
    <row r="433" spans="2:11" x14ac:dyDescent="0.25">
      <c r="B433"/>
      <c r="K433"/>
    </row>
    <row r="434" spans="2:11" x14ac:dyDescent="0.25">
      <c r="B434"/>
      <c r="K434"/>
    </row>
    <row r="435" spans="2:11" x14ac:dyDescent="0.25">
      <c r="B435"/>
      <c r="K435"/>
    </row>
    <row r="436" spans="2:11" x14ac:dyDescent="0.25">
      <c r="B436"/>
      <c r="K436"/>
    </row>
    <row r="437" spans="2:11" x14ac:dyDescent="0.25">
      <c r="B437"/>
      <c r="K437"/>
    </row>
    <row r="438" spans="2:11" x14ac:dyDescent="0.25">
      <c r="B438"/>
      <c r="K438"/>
    </row>
    <row r="439" spans="2:11" x14ac:dyDescent="0.25">
      <c r="B439"/>
      <c r="K439"/>
    </row>
    <row r="440" spans="2:11" x14ac:dyDescent="0.25">
      <c r="B440"/>
      <c r="K440"/>
    </row>
    <row r="441" spans="2:11" x14ac:dyDescent="0.25">
      <c r="B441"/>
      <c r="K441"/>
    </row>
    <row r="442" spans="2:11" x14ac:dyDescent="0.25">
      <c r="B442"/>
      <c r="K442"/>
    </row>
    <row r="443" spans="2:11" x14ac:dyDescent="0.25">
      <c r="B443"/>
      <c r="K443"/>
    </row>
    <row r="444" spans="2:11" x14ac:dyDescent="0.25">
      <c r="B444"/>
      <c r="K444"/>
    </row>
    <row r="445" spans="2:11" x14ac:dyDescent="0.25">
      <c r="B445"/>
      <c r="K445"/>
    </row>
    <row r="446" spans="2:11" x14ac:dyDescent="0.25">
      <c r="B446"/>
      <c r="K446"/>
    </row>
    <row r="447" spans="2:11" x14ac:dyDescent="0.25">
      <c r="B447"/>
      <c r="K447"/>
    </row>
    <row r="448" spans="2:11" x14ac:dyDescent="0.25">
      <c r="B448"/>
      <c r="K448"/>
    </row>
    <row r="449" spans="2:11" x14ac:dyDescent="0.25">
      <c r="B449"/>
      <c r="K449"/>
    </row>
    <row r="450" spans="2:11" x14ac:dyDescent="0.25">
      <c r="B450"/>
      <c r="K450"/>
    </row>
    <row r="451" spans="2:11" x14ac:dyDescent="0.25">
      <c r="B451"/>
      <c r="K451"/>
    </row>
    <row r="452" spans="2:11" x14ac:dyDescent="0.25">
      <c r="B452"/>
      <c r="K452"/>
    </row>
    <row r="453" spans="2:11" x14ac:dyDescent="0.25">
      <c r="B453"/>
      <c r="K453"/>
    </row>
    <row r="454" spans="2:11" x14ac:dyDescent="0.25">
      <c r="B454"/>
      <c r="K454"/>
    </row>
    <row r="455" spans="2:11" x14ac:dyDescent="0.25">
      <c r="B455"/>
      <c r="K455"/>
    </row>
    <row r="456" spans="2:11" x14ac:dyDescent="0.25">
      <c r="B456"/>
      <c r="K456"/>
    </row>
    <row r="457" spans="2:11" x14ac:dyDescent="0.25">
      <c r="B457"/>
      <c r="K457"/>
    </row>
    <row r="458" spans="2:11" x14ac:dyDescent="0.25">
      <c r="B458"/>
      <c r="K458"/>
    </row>
    <row r="459" spans="2:11" x14ac:dyDescent="0.25">
      <c r="B459"/>
      <c r="K459"/>
    </row>
    <row r="460" spans="2:11" x14ac:dyDescent="0.25">
      <c r="B460"/>
      <c r="K460"/>
    </row>
    <row r="461" spans="2:11" x14ac:dyDescent="0.25">
      <c r="B461"/>
      <c r="K461"/>
    </row>
    <row r="462" spans="2:11" x14ac:dyDescent="0.25">
      <c r="B462"/>
      <c r="K462"/>
    </row>
    <row r="463" spans="2:11" x14ac:dyDescent="0.25">
      <c r="B463"/>
      <c r="K463"/>
    </row>
    <row r="464" spans="2:11" x14ac:dyDescent="0.25">
      <c r="B464"/>
      <c r="K464"/>
    </row>
    <row r="465" spans="2:11" x14ac:dyDescent="0.25">
      <c r="B465"/>
      <c r="K465"/>
    </row>
    <row r="466" spans="2:11" x14ac:dyDescent="0.25">
      <c r="B466"/>
      <c r="K466"/>
    </row>
    <row r="467" spans="2:11" x14ac:dyDescent="0.25">
      <c r="B467"/>
      <c r="K467"/>
    </row>
    <row r="468" spans="2:11" x14ac:dyDescent="0.25">
      <c r="B468"/>
      <c r="K468"/>
    </row>
    <row r="469" spans="2:11" x14ac:dyDescent="0.25">
      <c r="B469"/>
      <c r="K469"/>
    </row>
    <row r="470" spans="2:11" x14ac:dyDescent="0.25">
      <c r="B470"/>
      <c r="K470"/>
    </row>
    <row r="471" spans="2:11" x14ac:dyDescent="0.25">
      <c r="B471"/>
      <c r="K471"/>
    </row>
    <row r="472" spans="2:11" x14ac:dyDescent="0.25">
      <c r="B472"/>
      <c r="K472"/>
    </row>
    <row r="473" spans="2:11" x14ac:dyDescent="0.25">
      <c r="B473"/>
      <c r="K473"/>
    </row>
    <row r="474" spans="2:11" x14ac:dyDescent="0.25">
      <c r="B474"/>
      <c r="K474"/>
    </row>
    <row r="475" spans="2:11" x14ac:dyDescent="0.25">
      <c r="B475"/>
      <c r="K475"/>
    </row>
    <row r="476" spans="2:11" x14ac:dyDescent="0.25">
      <c r="B476"/>
      <c r="K476"/>
    </row>
    <row r="477" spans="2:11" x14ac:dyDescent="0.25">
      <c r="B477"/>
      <c r="K477"/>
    </row>
    <row r="478" spans="2:11" x14ac:dyDescent="0.25">
      <c r="B478"/>
      <c r="K478"/>
    </row>
    <row r="479" spans="2:11" x14ac:dyDescent="0.25">
      <c r="B479"/>
      <c r="K479"/>
    </row>
    <row r="480" spans="2:11" x14ac:dyDescent="0.25">
      <c r="B480"/>
      <c r="K480"/>
    </row>
    <row r="481" spans="2:11" x14ac:dyDescent="0.25">
      <c r="B481"/>
      <c r="K481"/>
    </row>
    <row r="482" spans="2:11" x14ac:dyDescent="0.25">
      <c r="B482"/>
      <c r="K482"/>
    </row>
    <row r="483" spans="2:11" x14ac:dyDescent="0.25">
      <c r="B483"/>
      <c r="K483"/>
    </row>
    <row r="484" spans="2:11" x14ac:dyDescent="0.25">
      <c r="B484"/>
      <c r="K484"/>
    </row>
    <row r="485" spans="2:11" x14ac:dyDescent="0.25">
      <c r="B485"/>
      <c r="K485"/>
    </row>
    <row r="486" spans="2:11" x14ac:dyDescent="0.25">
      <c r="B486"/>
      <c r="K486"/>
    </row>
    <row r="487" spans="2:11" x14ac:dyDescent="0.25">
      <c r="B487"/>
      <c r="K487"/>
    </row>
    <row r="488" spans="2:11" x14ac:dyDescent="0.25">
      <c r="B488"/>
      <c r="K488"/>
    </row>
    <row r="489" spans="2:11" x14ac:dyDescent="0.25">
      <c r="B489"/>
      <c r="K489"/>
    </row>
    <row r="490" spans="2:11" x14ac:dyDescent="0.25">
      <c r="B490"/>
      <c r="K490"/>
    </row>
    <row r="491" spans="2:11" x14ac:dyDescent="0.25">
      <c r="B491"/>
      <c r="K491"/>
    </row>
    <row r="492" spans="2:11" x14ac:dyDescent="0.25">
      <c r="B492"/>
      <c r="K492"/>
    </row>
    <row r="493" spans="2:11" x14ac:dyDescent="0.25">
      <c r="B493"/>
      <c r="K493"/>
    </row>
    <row r="494" spans="2:11" x14ac:dyDescent="0.25">
      <c r="B494"/>
      <c r="K494"/>
    </row>
    <row r="495" spans="2:11" x14ac:dyDescent="0.25">
      <c r="B495"/>
      <c r="K495"/>
    </row>
    <row r="496" spans="2:11" x14ac:dyDescent="0.25">
      <c r="B496"/>
      <c r="K496"/>
    </row>
    <row r="497" spans="2:11" x14ac:dyDescent="0.25">
      <c r="B497"/>
      <c r="K497"/>
    </row>
    <row r="498" spans="2:11" x14ac:dyDescent="0.25">
      <c r="B498"/>
      <c r="K498"/>
    </row>
    <row r="499" spans="2:11" x14ac:dyDescent="0.25">
      <c r="B499"/>
      <c r="K499"/>
    </row>
    <row r="500" spans="2:11" x14ac:dyDescent="0.25">
      <c r="B500"/>
      <c r="K500"/>
    </row>
    <row r="501" spans="2:11" x14ac:dyDescent="0.25">
      <c r="B501"/>
      <c r="K501"/>
    </row>
    <row r="502" spans="2:11" x14ac:dyDescent="0.25">
      <c r="B502"/>
      <c r="K502"/>
    </row>
    <row r="503" spans="2:11" x14ac:dyDescent="0.25">
      <c r="B503"/>
      <c r="K503"/>
    </row>
    <row r="504" spans="2:11" x14ac:dyDescent="0.25">
      <c r="B504"/>
      <c r="K504"/>
    </row>
    <row r="505" spans="2:11" x14ac:dyDescent="0.25">
      <c r="B505"/>
      <c r="K505"/>
    </row>
    <row r="506" spans="2:11" x14ac:dyDescent="0.25">
      <c r="B506"/>
      <c r="K506"/>
    </row>
    <row r="507" spans="2:11" x14ac:dyDescent="0.25">
      <c r="B507"/>
      <c r="K507"/>
    </row>
    <row r="508" spans="2:11" x14ac:dyDescent="0.25">
      <c r="B508"/>
      <c r="K508"/>
    </row>
    <row r="509" spans="2:11" x14ac:dyDescent="0.25">
      <c r="B509"/>
      <c r="K509"/>
    </row>
    <row r="510" spans="2:11" x14ac:dyDescent="0.25">
      <c r="B510"/>
      <c r="K510"/>
    </row>
    <row r="511" spans="2:11" x14ac:dyDescent="0.25">
      <c r="B511"/>
      <c r="K511"/>
    </row>
    <row r="512" spans="2:11" x14ac:dyDescent="0.25">
      <c r="B512"/>
      <c r="K512"/>
    </row>
    <row r="513" spans="2:11" x14ac:dyDescent="0.25">
      <c r="B513"/>
      <c r="K513"/>
    </row>
    <row r="514" spans="2:11" x14ac:dyDescent="0.25">
      <c r="B514"/>
      <c r="K514"/>
    </row>
    <row r="515" spans="2:11" x14ac:dyDescent="0.25">
      <c r="B515"/>
      <c r="K515"/>
    </row>
    <row r="516" spans="2:11" x14ac:dyDescent="0.25">
      <c r="B516"/>
      <c r="K516"/>
    </row>
    <row r="517" spans="2:11" x14ac:dyDescent="0.25">
      <c r="B517"/>
      <c r="K517"/>
    </row>
    <row r="518" spans="2:11" x14ac:dyDescent="0.25">
      <c r="B518"/>
      <c r="K518"/>
    </row>
    <row r="519" spans="2:11" x14ac:dyDescent="0.25">
      <c r="B519"/>
      <c r="K519"/>
    </row>
    <row r="520" spans="2:11" x14ac:dyDescent="0.25">
      <c r="B520"/>
      <c r="K520"/>
    </row>
    <row r="521" spans="2:11" x14ac:dyDescent="0.25">
      <c r="B521"/>
      <c r="K521"/>
    </row>
    <row r="522" spans="2:11" x14ac:dyDescent="0.25">
      <c r="B522"/>
      <c r="K522"/>
    </row>
    <row r="523" spans="2:11" x14ac:dyDescent="0.25">
      <c r="B523"/>
      <c r="K523"/>
    </row>
    <row r="524" spans="2:11" x14ac:dyDescent="0.25">
      <c r="B524"/>
      <c r="K524"/>
    </row>
    <row r="525" spans="2:11" x14ac:dyDescent="0.25">
      <c r="B525"/>
      <c r="K525"/>
    </row>
    <row r="526" spans="2:11" x14ac:dyDescent="0.25">
      <c r="B526"/>
      <c r="K526"/>
    </row>
    <row r="527" spans="2:11" x14ac:dyDescent="0.25">
      <c r="B527"/>
      <c r="K527"/>
    </row>
    <row r="528" spans="2:11" x14ac:dyDescent="0.25">
      <c r="B528"/>
      <c r="K528"/>
    </row>
    <row r="529" spans="2:11" x14ac:dyDescent="0.25">
      <c r="B529"/>
      <c r="K529"/>
    </row>
    <row r="530" spans="2:11" x14ac:dyDescent="0.25">
      <c r="B530"/>
      <c r="K530"/>
    </row>
    <row r="531" spans="2:11" x14ac:dyDescent="0.25">
      <c r="B531"/>
      <c r="K531"/>
    </row>
    <row r="532" spans="2:11" x14ac:dyDescent="0.25">
      <c r="B532"/>
      <c r="K532"/>
    </row>
    <row r="533" spans="2:11" x14ac:dyDescent="0.25">
      <c r="B533"/>
      <c r="K533"/>
    </row>
    <row r="534" spans="2:11" x14ac:dyDescent="0.25">
      <c r="B534"/>
      <c r="K534"/>
    </row>
    <row r="535" spans="2:11" x14ac:dyDescent="0.25">
      <c r="B535"/>
      <c r="K535"/>
    </row>
    <row r="536" spans="2:11" x14ac:dyDescent="0.25">
      <c r="B536"/>
      <c r="K536"/>
    </row>
    <row r="537" spans="2:11" x14ac:dyDescent="0.25">
      <c r="B537"/>
      <c r="K537"/>
    </row>
    <row r="538" spans="2:11" x14ac:dyDescent="0.25">
      <c r="B538"/>
      <c r="K538"/>
    </row>
    <row r="539" spans="2:11" x14ac:dyDescent="0.25">
      <c r="B539"/>
      <c r="K539"/>
    </row>
    <row r="540" spans="2:11" x14ac:dyDescent="0.25">
      <c r="B540"/>
      <c r="K540"/>
    </row>
    <row r="541" spans="2:11" x14ac:dyDescent="0.25">
      <c r="B541"/>
      <c r="K541"/>
    </row>
    <row r="542" spans="2:11" x14ac:dyDescent="0.25">
      <c r="B542"/>
      <c r="K542"/>
    </row>
    <row r="543" spans="2:11" x14ac:dyDescent="0.25">
      <c r="B543"/>
      <c r="K543"/>
    </row>
    <row r="544" spans="2:11" x14ac:dyDescent="0.25">
      <c r="B544"/>
      <c r="K544"/>
    </row>
    <row r="545" spans="2:11" x14ac:dyDescent="0.25">
      <c r="B545"/>
      <c r="K545"/>
    </row>
    <row r="546" spans="2:11" x14ac:dyDescent="0.25">
      <c r="B546"/>
      <c r="K546"/>
    </row>
    <row r="547" spans="2:11" x14ac:dyDescent="0.25">
      <c r="B547"/>
      <c r="K547"/>
    </row>
    <row r="548" spans="2:11" x14ac:dyDescent="0.25">
      <c r="B548"/>
      <c r="K548"/>
    </row>
    <row r="549" spans="2:11" x14ac:dyDescent="0.25">
      <c r="B549"/>
      <c r="K549"/>
    </row>
    <row r="550" spans="2:11" x14ac:dyDescent="0.25">
      <c r="B550"/>
      <c r="K550"/>
    </row>
    <row r="551" spans="2:11" x14ac:dyDescent="0.25">
      <c r="B551"/>
      <c r="K551"/>
    </row>
    <row r="552" spans="2:11" x14ac:dyDescent="0.25">
      <c r="B552"/>
      <c r="K552"/>
    </row>
    <row r="553" spans="2:11" x14ac:dyDescent="0.25">
      <c r="B553"/>
      <c r="K553"/>
    </row>
    <row r="554" spans="2:11" x14ac:dyDescent="0.25">
      <c r="B554"/>
      <c r="K554"/>
    </row>
    <row r="555" spans="2:11" x14ac:dyDescent="0.25">
      <c r="B555"/>
      <c r="K555"/>
    </row>
    <row r="556" spans="2:11" x14ac:dyDescent="0.25">
      <c r="B556"/>
      <c r="K556"/>
    </row>
    <row r="557" spans="2:11" x14ac:dyDescent="0.25">
      <c r="B557"/>
      <c r="K557"/>
    </row>
    <row r="558" spans="2:11" x14ac:dyDescent="0.25">
      <c r="B558"/>
      <c r="K558"/>
    </row>
    <row r="559" spans="2:11" x14ac:dyDescent="0.25">
      <c r="B559"/>
      <c r="K559"/>
    </row>
    <row r="560" spans="2:11" x14ac:dyDescent="0.25">
      <c r="B560"/>
      <c r="K560"/>
    </row>
    <row r="561" spans="2:11" x14ac:dyDescent="0.25">
      <c r="B561"/>
      <c r="K561"/>
    </row>
    <row r="562" spans="2:11" x14ac:dyDescent="0.25">
      <c r="B562"/>
      <c r="K562"/>
    </row>
    <row r="563" spans="2:11" x14ac:dyDescent="0.25">
      <c r="B563"/>
      <c r="K563"/>
    </row>
    <row r="564" spans="2:11" x14ac:dyDescent="0.25">
      <c r="B564"/>
      <c r="K564"/>
    </row>
    <row r="565" spans="2:11" x14ac:dyDescent="0.25">
      <c r="B565"/>
      <c r="K565"/>
    </row>
    <row r="566" spans="2:11" x14ac:dyDescent="0.25">
      <c r="B566"/>
      <c r="K566"/>
    </row>
    <row r="567" spans="2:11" x14ac:dyDescent="0.25">
      <c r="B567"/>
      <c r="K567"/>
    </row>
    <row r="568" spans="2:11" x14ac:dyDescent="0.25">
      <c r="B568"/>
      <c r="K568"/>
    </row>
    <row r="569" spans="2:11" x14ac:dyDescent="0.25">
      <c r="B569"/>
      <c r="K569"/>
    </row>
    <row r="570" spans="2:11" x14ac:dyDescent="0.25">
      <c r="B570"/>
      <c r="K570"/>
    </row>
    <row r="571" spans="2:11" x14ac:dyDescent="0.25">
      <c r="B571"/>
      <c r="K571"/>
    </row>
    <row r="572" spans="2:11" x14ac:dyDescent="0.25">
      <c r="B572"/>
      <c r="K572"/>
    </row>
    <row r="573" spans="2:11" x14ac:dyDescent="0.25">
      <c r="B573"/>
      <c r="K573"/>
    </row>
    <row r="574" spans="2:11" x14ac:dyDescent="0.25">
      <c r="B574"/>
      <c r="K574"/>
    </row>
    <row r="575" spans="2:11" x14ac:dyDescent="0.25">
      <c r="B575"/>
      <c r="K575"/>
    </row>
    <row r="576" spans="2:11" x14ac:dyDescent="0.25">
      <c r="B576"/>
      <c r="K576"/>
    </row>
    <row r="577" spans="2:11" x14ac:dyDescent="0.25">
      <c r="B577"/>
      <c r="K577"/>
    </row>
    <row r="578" spans="2:11" x14ac:dyDescent="0.25">
      <c r="B578"/>
      <c r="K578"/>
    </row>
    <row r="579" spans="2:11" x14ac:dyDescent="0.25">
      <c r="B579"/>
      <c r="K579"/>
    </row>
    <row r="580" spans="2:11" x14ac:dyDescent="0.25">
      <c r="B580"/>
      <c r="K580"/>
    </row>
    <row r="581" spans="2:11" x14ac:dyDescent="0.25">
      <c r="B581"/>
      <c r="K581"/>
    </row>
    <row r="582" spans="2:11" x14ac:dyDescent="0.25">
      <c r="B582"/>
      <c r="K582"/>
    </row>
    <row r="583" spans="2:11" x14ac:dyDescent="0.25">
      <c r="B583"/>
      <c r="K583"/>
    </row>
    <row r="584" spans="2:11" x14ac:dyDescent="0.25">
      <c r="B584"/>
      <c r="K584"/>
    </row>
    <row r="585" spans="2:11" x14ac:dyDescent="0.25">
      <c r="B585"/>
      <c r="K585"/>
    </row>
    <row r="586" spans="2:11" x14ac:dyDescent="0.25">
      <c r="B586"/>
      <c r="K586"/>
    </row>
    <row r="587" spans="2:11" x14ac:dyDescent="0.25">
      <c r="B587"/>
      <c r="K587"/>
    </row>
    <row r="588" spans="2:11" x14ac:dyDescent="0.25">
      <c r="B588"/>
      <c r="K588"/>
    </row>
    <row r="589" spans="2:11" x14ac:dyDescent="0.25">
      <c r="B589"/>
      <c r="K589"/>
    </row>
    <row r="590" spans="2:11" x14ac:dyDescent="0.25">
      <c r="B590"/>
      <c r="K590"/>
    </row>
    <row r="591" spans="2:11" x14ac:dyDescent="0.25">
      <c r="B591"/>
      <c r="K591"/>
    </row>
    <row r="592" spans="2:11" x14ac:dyDescent="0.25">
      <c r="B592"/>
      <c r="K592"/>
    </row>
    <row r="593" spans="2:11" x14ac:dyDescent="0.25">
      <c r="B593"/>
      <c r="K593"/>
    </row>
    <row r="594" spans="2:11" x14ac:dyDescent="0.25">
      <c r="B594"/>
      <c r="K594"/>
    </row>
    <row r="595" spans="2:11" x14ac:dyDescent="0.25">
      <c r="B595"/>
      <c r="K595"/>
    </row>
    <row r="596" spans="2:11" x14ac:dyDescent="0.25">
      <c r="B596"/>
      <c r="K596"/>
    </row>
    <row r="597" spans="2:11" x14ac:dyDescent="0.25">
      <c r="B597"/>
      <c r="K597"/>
    </row>
    <row r="598" spans="2:11" x14ac:dyDescent="0.25">
      <c r="B598"/>
      <c r="K598"/>
    </row>
    <row r="599" spans="2:11" x14ac:dyDescent="0.25">
      <c r="B599"/>
      <c r="K599"/>
    </row>
    <row r="600" spans="2:11" x14ac:dyDescent="0.25">
      <c r="B600"/>
      <c r="K600"/>
    </row>
    <row r="601" spans="2:11" x14ac:dyDescent="0.25">
      <c r="B601"/>
      <c r="K601"/>
    </row>
    <row r="602" spans="2:11" x14ac:dyDescent="0.25">
      <c r="B602"/>
      <c r="K602"/>
    </row>
    <row r="603" spans="2:11" x14ac:dyDescent="0.25">
      <c r="B603"/>
      <c r="K603"/>
    </row>
    <row r="604" spans="2:11" x14ac:dyDescent="0.25">
      <c r="B604"/>
      <c r="K604"/>
    </row>
    <row r="605" spans="2:11" x14ac:dyDescent="0.25">
      <c r="B605"/>
      <c r="K605"/>
    </row>
    <row r="606" spans="2:11" x14ac:dyDescent="0.25">
      <c r="B606"/>
      <c r="K606"/>
    </row>
    <row r="607" spans="2:11" x14ac:dyDescent="0.25">
      <c r="B607"/>
      <c r="K607"/>
    </row>
    <row r="608" spans="2:11" x14ac:dyDescent="0.25">
      <c r="B608"/>
      <c r="K608"/>
    </row>
    <row r="609" spans="2:11" x14ac:dyDescent="0.25">
      <c r="B609"/>
      <c r="K609"/>
    </row>
    <row r="610" spans="2:11" x14ac:dyDescent="0.25">
      <c r="B610"/>
      <c r="K610"/>
    </row>
    <row r="611" spans="2:11" x14ac:dyDescent="0.25">
      <c r="B611"/>
      <c r="K611"/>
    </row>
    <row r="612" spans="2:11" x14ac:dyDescent="0.25">
      <c r="B612"/>
      <c r="K612"/>
    </row>
    <row r="613" spans="2:11" x14ac:dyDescent="0.25">
      <c r="B613"/>
      <c r="K613"/>
    </row>
    <row r="614" spans="2:11" x14ac:dyDescent="0.25">
      <c r="B614"/>
      <c r="K614"/>
    </row>
    <row r="615" spans="2:11" x14ac:dyDescent="0.25">
      <c r="B615"/>
      <c r="K615"/>
    </row>
    <row r="616" spans="2:11" x14ac:dyDescent="0.25">
      <c r="B616"/>
      <c r="K616"/>
    </row>
    <row r="617" spans="2:11" x14ac:dyDescent="0.25">
      <c r="B617"/>
      <c r="K617"/>
    </row>
    <row r="618" spans="2:11" x14ac:dyDescent="0.25">
      <c r="B618"/>
      <c r="K618"/>
    </row>
    <row r="619" spans="2:11" x14ac:dyDescent="0.25">
      <c r="B619"/>
      <c r="K619"/>
    </row>
    <row r="620" spans="2:11" x14ac:dyDescent="0.25">
      <c r="B620"/>
      <c r="K620"/>
    </row>
    <row r="621" spans="2:11" x14ac:dyDescent="0.25">
      <c r="B621"/>
      <c r="K621"/>
    </row>
    <row r="622" spans="2:11" x14ac:dyDescent="0.25">
      <c r="B622"/>
      <c r="K622"/>
    </row>
    <row r="623" spans="2:11" x14ac:dyDescent="0.25">
      <c r="B623"/>
      <c r="K623"/>
    </row>
    <row r="624" spans="2:11" x14ac:dyDescent="0.25">
      <c r="B624"/>
      <c r="K624"/>
    </row>
    <row r="625" spans="2:11" x14ac:dyDescent="0.25">
      <c r="B625"/>
      <c r="K625"/>
    </row>
    <row r="626" spans="2:11" x14ac:dyDescent="0.25">
      <c r="B626"/>
      <c r="K626"/>
    </row>
    <row r="627" spans="2:11" x14ac:dyDescent="0.25">
      <c r="B627"/>
      <c r="K627"/>
    </row>
    <row r="628" spans="2:11" x14ac:dyDescent="0.25">
      <c r="B628"/>
      <c r="K628"/>
    </row>
    <row r="629" spans="2:11" x14ac:dyDescent="0.25">
      <c r="B629"/>
      <c r="K629"/>
    </row>
    <row r="630" spans="2:11" x14ac:dyDescent="0.25">
      <c r="B630"/>
      <c r="K630"/>
    </row>
    <row r="631" spans="2:11" x14ac:dyDescent="0.25">
      <c r="B631"/>
      <c r="K631"/>
    </row>
    <row r="632" spans="2:11" x14ac:dyDescent="0.25">
      <c r="B632"/>
      <c r="K632"/>
    </row>
    <row r="633" spans="2:11" x14ac:dyDescent="0.25">
      <c r="B633"/>
      <c r="K633"/>
    </row>
    <row r="634" spans="2:11" x14ac:dyDescent="0.25">
      <c r="B634"/>
      <c r="K634"/>
    </row>
    <row r="635" spans="2:11" x14ac:dyDescent="0.25">
      <c r="B635"/>
      <c r="K635"/>
    </row>
    <row r="636" spans="2:11" x14ac:dyDescent="0.25">
      <c r="B636"/>
      <c r="K636"/>
    </row>
    <row r="637" spans="2:11" x14ac:dyDescent="0.25">
      <c r="B637"/>
      <c r="K637"/>
    </row>
    <row r="638" spans="2:11" x14ac:dyDescent="0.25">
      <c r="B638"/>
      <c r="K638"/>
    </row>
    <row r="639" spans="2:11" x14ac:dyDescent="0.25">
      <c r="B639"/>
      <c r="K639"/>
    </row>
    <row r="640" spans="2:11" x14ac:dyDescent="0.25">
      <c r="B640"/>
      <c r="K640"/>
    </row>
    <row r="641" spans="2:11" x14ac:dyDescent="0.25">
      <c r="B641"/>
      <c r="K641"/>
    </row>
    <row r="642" spans="2:11" x14ac:dyDescent="0.25">
      <c r="B642"/>
      <c r="K642"/>
    </row>
    <row r="643" spans="2:11" x14ac:dyDescent="0.25">
      <c r="B643"/>
      <c r="K643"/>
    </row>
    <row r="644" spans="2:11" x14ac:dyDescent="0.25">
      <c r="B644"/>
      <c r="K644"/>
    </row>
    <row r="645" spans="2:11" x14ac:dyDescent="0.25">
      <c r="B645"/>
      <c r="K645"/>
    </row>
    <row r="646" spans="2:11" x14ac:dyDescent="0.25">
      <c r="B646"/>
      <c r="K646"/>
    </row>
    <row r="647" spans="2:11" x14ac:dyDescent="0.25">
      <c r="B647"/>
      <c r="K647"/>
    </row>
    <row r="648" spans="2:11" x14ac:dyDescent="0.25">
      <c r="B648"/>
      <c r="K648"/>
    </row>
    <row r="649" spans="2:11" x14ac:dyDescent="0.25">
      <c r="B649"/>
      <c r="K649"/>
    </row>
    <row r="650" spans="2:11" x14ac:dyDescent="0.25">
      <c r="B650"/>
      <c r="K650"/>
    </row>
    <row r="651" spans="2:11" x14ac:dyDescent="0.25">
      <c r="B651"/>
      <c r="K651"/>
    </row>
    <row r="652" spans="2:11" x14ac:dyDescent="0.25">
      <c r="B652"/>
      <c r="K652"/>
    </row>
    <row r="653" spans="2:11" x14ac:dyDescent="0.25">
      <c r="B653"/>
      <c r="K653"/>
    </row>
    <row r="654" spans="2:11" x14ac:dyDescent="0.25">
      <c r="B654"/>
      <c r="K654"/>
    </row>
    <row r="655" spans="2:11" x14ac:dyDescent="0.25">
      <c r="B655"/>
      <c r="K655"/>
    </row>
    <row r="656" spans="2:11" x14ac:dyDescent="0.25">
      <c r="B656"/>
      <c r="K656"/>
    </row>
    <row r="657" spans="2:11" x14ac:dyDescent="0.25">
      <c r="B657"/>
      <c r="K657"/>
    </row>
    <row r="658" spans="2:11" x14ac:dyDescent="0.25">
      <c r="B658"/>
      <c r="K658"/>
    </row>
    <row r="659" spans="2:11" x14ac:dyDescent="0.25">
      <c r="B659"/>
      <c r="K659"/>
    </row>
    <row r="660" spans="2:11" x14ac:dyDescent="0.25">
      <c r="B660"/>
      <c r="K660"/>
    </row>
    <row r="661" spans="2:11" x14ac:dyDescent="0.25">
      <c r="B661"/>
      <c r="K661"/>
    </row>
    <row r="662" spans="2:11" x14ac:dyDescent="0.25">
      <c r="B662"/>
      <c r="K662"/>
    </row>
    <row r="663" spans="2:11" x14ac:dyDescent="0.25">
      <c r="B663"/>
      <c r="K663"/>
    </row>
    <row r="664" spans="2:11" x14ac:dyDescent="0.25">
      <c r="B664"/>
      <c r="K664"/>
    </row>
    <row r="665" spans="2:11" x14ac:dyDescent="0.25">
      <c r="B665"/>
      <c r="K665"/>
    </row>
    <row r="666" spans="2:11" x14ac:dyDescent="0.25">
      <c r="B666"/>
      <c r="K666"/>
    </row>
    <row r="667" spans="2:11" x14ac:dyDescent="0.25">
      <c r="B667"/>
      <c r="K667"/>
    </row>
    <row r="668" spans="2:11" x14ac:dyDescent="0.25">
      <c r="B668"/>
      <c r="K668"/>
    </row>
    <row r="669" spans="2:11" x14ac:dyDescent="0.25">
      <c r="B669"/>
      <c r="K669"/>
    </row>
    <row r="670" spans="2:11" x14ac:dyDescent="0.25">
      <c r="B670"/>
      <c r="K670"/>
    </row>
    <row r="671" spans="2:11" x14ac:dyDescent="0.25">
      <c r="B671"/>
      <c r="K671"/>
    </row>
    <row r="672" spans="2:11" x14ac:dyDescent="0.25">
      <c r="B672"/>
      <c r="K672"/>
    </row>
    <row r="673" spans="2:11" x14ac:dyDescent="0.25">
      <c r="B673"/>
      <c r="K673"/>
    </row>
    <row r="674" spans="2:11" x14ac:dyDescent="0.25">
      <c r="B674"/>
      <c r="K674"/>
    </row>
    <row r="675" spans="2:11" x14ac:dyDescent="0.25">
      <c r="B675"/>
      <c r="K675"/>
    </row>
    <row r="676" spans="2:11" x14ac:dyDescent="0.25">
      <c r="B676"/>
      <c r="K676"/>
    </row>
    <row r="677" spans="2:11" x14ac:dyDescent="0.25">
      <c r="B677"/>
      <c r="K677"/>
    </row>
    <row r="678" spans="2:11" x14ac:dyDescent="0.25">
      <c r="B678"/>
      <c r="K678"/>
    </row>
    <row r="679" spans="2:11" x14ac:dyDescent="0.25">
      <c r="B679"/>
      <c r="K679"/>
    </row>
    <row r="680" spans="2:11" x14ac:dyDescent="0.25">
      <c r="B680"/>
      <c r="K680"/>
    </row>
    <row r="681" spans="2:11" x14ac:dyDescent="0.25">
      <c r="B681"/>
      <c r="K681"/>
    </row>
    <row r="682" spans="2:11" x14ac:dyDescent="0.25">
      <c r="B682"/>
      <c r="K682"/>
    </row>
    <row r="683" spans="2:11" x14ac:dyDescent="0.25">
      <c r="B683"/>
      <c r="K683"/>
    </row>
    <row r="684" spans="2:11" x14ac:dyDescent="0.25">
      <c r="B684"/>
      <c r="K684"/>
    </row>
    <row r="685" spans="2:11" x14ac:dyDescent="0.25">
      <c r="B685"/>
      <c r="K685"/>
    </row>
    <row r="686" spans="2:11" x14ac:dyDescent="0.25">
      <c r="B686"/>
      <c r="K686"/>
    </row>
    <row r="687" spans="2:11" x14ac:dyDescent="0.25">
      <c r="B687"/>
      <c r="K687"/>
    </row>
    <row r="688" spans="2:11" x14ac:dyDescent="0.25">
      <c r="B688"/>
      <c r="K688"/>
    </row>
    <row r="689" spans="2:11" x14ac:dyDescent="0.25">
      <c r="B689"/>
      <c r="K689"/>
    </row>
    <row r="690" spans="2:11" x14ac:dyDescent="0.25">
      <c r="B690"/>
      <c r="K690"/>
    </row>
    <row r="691" spans="2:11" x14ac:dyDescent="0.25">
      <c r="B691"/>
      <c r="K691"/>
    </row>
    <row r="692" spans="2:11" x14ac:dyDescent="0.25">
      <c r="B692"/>
      <c r="K692"/>
    </row>
    <row r="693" spans="2:11" x14ac:dyDescent="0.25">
      <c r="B693"/>
      <c r="K693"/>
    </row>
    <row r="694" spans="2:11" x14ac:dyDescent="0.25">
      <c r="B694"/>
      <c r="K694"/>
    </row>
    <row r="695" spans="2:11" x14ac:dyDescent="0.25">
      <c r="B695"/>
      <c r="K695"/>
    </row>
    <row r="696" spans="2:11" x14ac:dyDescent="0.25">
      <c r="B696"/>
      <c r="K696"/>
    </row>
    <row r="697" spans="2:11" x14ac:dyDescent="0.25">
      <c r="B697"/>
      <c r="K697"/>
    </row>
    <row r="698" spans="2:11" x14ac:dyDescent="0.25">
      <c r="B698"/>
      <c r="K698"/>
    </row>
    <row r="699" spans="2:11" x14ac:dyDescent="0.25">
      <c r="B699"/>
      <c r="K699"/>
    </row>
    <row r="700" spans="2:11" x14ac:dyDescent="0.25">
      <c r="B700"/>
      <c r="K700"/>
    </row>
    <row r="701" spans="2:11" x14ac:dyDescent="0.25">
      <c r="B701"/>
      <c r="K701"/>
    </row>
    <row r="702" spans="2:11" x14ac:dyDescent="0.25">
      <c r="B702"/>
      <c r="K702"/>
    </row>
    <row r="703" spans="2:11" x14ac:dyDescent="0.25">
      <c r="B703"/>
      <c r="K703"/>
    </row>
    <row r="704" spans="2:11" x14ac:dyDescent="0.25">
      <c r="B704"/>
      <c r="K704"/>
    </row>
    <row r="705" spans="2:11" x14ac:dyDescent="0.25">
      <c r="B705"/>
      <c r="K705"/>
    </row>
    <row r="706" spans="2:11" x14ac:dyDescent="0.25">
      <c r="B706"/>
      <c r="K706"/>
    </row>
    <row r="707" spans="2:11" x14ac:dyDescent="0.25">
      <c r="B707"/>
      <c r="K707"/>
    </row>
    <row r="708" spans="2:11" x14ac:dyDescent="0.25">
      <c r="B708"/>
      <c r="K708"/>
    </row>
    <row r="709" spans="2:11" x14ac:dyDescent="0.25">
      <c r="B709"/>
      <c r="K709"/>
    </row>
    <row r="710" spans="2:11" x14ac:dyDescent="0.25">
      <c r="B710"/>
      <c r="K710"/>
    </row>
    <row r="711" spans="2:11" x14ac:dyDescent="0.25">
      <c r="B711"/>
      <c r="K711"/>
    </row>
    <row r="712" spans="2:11" x14ac:dyDescent="0.25">
      <c r="B712"/>
      <c r="K712"/>
    </row>
    <row r="713" spans="2:11" x14ac:dyDescent="0.25">
      <c r="B713"/>
      <c r="K713"/>
    </row>
    <row r="714" spans="2:11" x14ac:dyDescent="0.25">
      <c r="B714"/>
      <c r="K714"/>
    </row>
    <row r="715" spans="2:11" x14ac:dyDescent="0.25">
      <c r="B715"/>
      <c r="K715"/>
    </row>
    <row r="716" spans="2:11" x14ac:dyDescent="0.25">
      <c r="B716"/>
      <c r="K716"/>
    </row>
    <row r="717" spans="2:11" x14ac:dyDescent="0.25">
      <c r="B717"/>
      <c r="K717"/>
    </row>
    <row r="718" spans="2:11" x14ac:dyDescent="0.25">
      <c r="B718"/>
      <c r="K718"/>
    </row>
    <row r="719" spans="2:11" x14ac:dyDescent="0.25">
      <c r="B719"/>
      <c r="K719"/>
    </row>
    <row r="720" spans="2:11" x14ac:dyDescent="0.25">
      <c r="B720"/>
      <c r="K720"/>
    </row>
    <row r="721" spans="2:11" x14ac:dyDescent="0.25">
      <c r="B721"/>
      <c r="K721"/>
    </row>
    <row r="722" spans="2:11" x14ac:dyDescent="0.25">
      <c r="B722"/>
      <c r="K722"/>
    </row>
    <row r="723" spans="2:11" x14ac:dyDescent="0.25">
      <c r="B723"/>
      <c r="K723"/>
    </row>
    <row r="724" spans="2:11" x14ac:dyDescent="0.25">
      <c r="B724"/>
      <c r="K724"/>
    </row>
    <row r="725" spans="2:11" x14ac:dyDescent="0.25">
      <c r="B725"/>
      <c r="K725"/>
    </row>
    <row r="726" spans="2:11" x14ac:dyDescent="0.25">
      <c r="B726"/>
      <c r="K726"/>
    </row>
    <row r="727" spans="2:11" x14ac:dyDescent="0.25">
      <c r="B727"/>
      <c r="K727"/>
    </row>
    <row r="728" spans="2:11" x14ac:dyDescent="0.25">
      <c r="B728"/>
      <c r="K728"/>
    </row>
    <row r="729" spans="2:11" x14ac:dyDescent="0.25">
      <c r="B729"/>
      <c r="K729"/>
    </row>
    <row r="730" spans="2:11" x14ac:dyDescent="0.25">
      <c r="B730"/>
      <c r="K730"/>
    </row>
    <row r="731" spans="2:11" x14ac:dyDescent="0.25">
      <c r="B731"/>
      <c r="K731"/>
    </row>
    <row r="732" spans="2:11" x14ac:dyDescent="0.25">
      <c r="B732"/>
      <c r="K732"/>
    </row>
    <row r="733" spans="2:11" x14ac:dyDescent="0.25">
      <c r="B733"/>
      <c r="K733"/>
    </row>
    <row r="734" spans="2:11" x14ac:dyDescent="0.25">
      <c r="B734"/>
      <c r="K734"/>
    </row>
    <row r="735" spans="2:11" x14ac:dyDescent="0.25">
      <c r="B735"/>
      <c r="K735"/>
    </row>
    <row r="736" spans="2:11" x14ac:dyDescent="0.25">
      <c r="B736"/>
      <c r="K736"/>
    </row>
    <row r="737" spans="2:11" x14ac:dyDescent="0.25">
      <c r="B737"/>
      <c r="K737"/>
    </row>
    <row r="738" spans="2:11" x14ac:dyDescent="0.25">
      <c r="B738"/>
      <c r="K738"/>
    </row>
    <row r="739" spans="2:11" x14ac:dyDescent="0.25">
      <c r="B739"/>
      <c r="K739"/>
    </row>
    <row r="740" spans="2:11" x14ac:dyDescent="0.25">
      <c r="B740"/>
      <c r="K740"/>
    </row>
    <row r="741" spans="2:11" x14ac:dyDescent="0.25">
      <c r="B741"/>
      <c r="K741"/>
    </row>
    <row r="742" spans="2:11" x14ac:dyDescent="0.25">
      <c r="B742"/>
      <c r="K742"/>
    </row>
    <row r="743" spans="2:11" x14ac:dyDescent="0.25">
      <c r="B743"/>
      <c r="K743"/>
    </row>
    <row r="744" spans="2:11" x14ac:dyDescent="0.25">
      <c r="B744"/>
      <c r="K744"/>
    </row>
    <row r="745" spans="2:11" x14ac:dyDescent="0.25">
      <c r="B745"/>
      <c r="K745"/>
    </row>
    <row r="746" spans="2:11" x14ac:dyDescent="0.25">
      <c r="B746"/>
      <c r="K746"/>
    </row>
    <row r="747" spans="2:11" x14ac:dyDescent="0.25">
      <c r="B747"/>
      <c r="K747"/>
    </row>
    <row r="748" spans="2:11" x14ac:dyDescent="0.25">
      <c r="B748"/>
      <c r="K748"/>
    </row>
    <row r="749" spans="2:11" x14ac:dyDescent="0.25">
      <c r="B749"/>
      <c r="K749"/>
    </row>
    <row r="750" spans="2:11" x14ac:dyDescent="0.25">
      <c r="B750"/>
      <c r="K750"/>
    </row>
    <row r="751" spans="2:11" x14ac:dyDescent="0.25">
      <c r="B751"/>
      <c r="K751"/>
    </row>
    <row r="752" spans="2:11" x14ac:dyDescent="0.25">
      <c r="B752"/>
      <c r="K752"/>
    </row>
    <row r="753" spans="2:11" x14ac:dyDescent="0.25">
      <c r="B753"/>
      <c r="K753"/>
    </row>
    <row r="754" spans="2:11" x14ac:dyDescent="0.25">
      <c r="B754"/>
      <c r="K754"/>
    </row>
    <row r="755" spans="2:11" x14ac:dyDescent="0.25">
      <c r="B755"/>
      <c r="K755"/>
    </row>
    <row r="756" spans="2:11" x14ac:dyDescent="0.25">
      <c r="B756"/>
      <c r="K756"/>
    </row>
    <row r="757" spans="2:11" x14ac:dyDescent="0.25">
      <c r="B757"/>
      <c r="K757"/>
    </row>
    <row r="758" spans="2:11" x14ac:dyDescent="0.25">
      <c r="B758"/>
      <c r="K758"/>
    </row>
    <row r="759" spans="2:11" x14ac:dyDescent="0.25">
      <c r="B759"/>
      <c r="K759"/>
    </row>
    <row r="760" spans="2:11" x14ac:dyDescent="0.25">
      <c r="B760"/>
      <c r="K760"/>
    </row>
    <row r="761" spans="2:11" x14ac:dyDescent="0.25">
      <c r="B761"/>
      <c r="K761"/>
    </row>
    <row r="762" spans="2:11" x14ac:dyDescent="0.25">
      <c r="B762"/>
      <c r="K762"/>
    </row>
    <row r="763" spans="2:11" x14ac:dyDescent="0.25">
      <c r="B763"/>
      <c r="K763"/>
    </row>
    <row r="764" spans="2:11" x14ac:dyDescent="0.25">
      <c r="B764"/>
      <c r="K764"/>
    </row>
    <row r="765" spans="2:11" x14ac:dyDescent="0.25">
      <c r="B765"/>
      <c r="K765"/>
    </row>
    <row r="766" spans="2:11" x14ac:dyDescent="0.25">
      <c r="B766"/>
      <c r="K766"/>
    </row>
    <row r="767" spans="2:11" x14ac:dyDescent="0.25">
      <c r="B767"/>
      <c r="K767"/>
    </row>
    <row r="768" spans="2:11" x14ac:dyDescent="0.25">
      <c r="B768"/>
      <c r="K768"/>
    </row>
    <row r="769" spans="2:11" x14ac:dyDescent="0.25">
      <c r="B769"/>
      <c r="K769"/>
    </row>
    <row r="770" spans="2:11" x14ac:dyDescent="0.25">
      <c r="B770"/>
      <c r="K770"/>
    </row>
    <row r="771" spans="2:11" x14ac:dyDescent="0.25">
      <c r="B771"/>
      <c r="K771"/>
    </row>
    <row r="772" spans="2:11" x14ac:dyDescent="0.25">
      <c r="B772"/>
      <c r="K772"/>
    </row>
    <row r="773" spans="2:11" x14ac:dyDescent="0.25">
      <c r="B773"/>
      <c r="K773"/>
    </row>
    <row r="774" spans="2:11" x14ac:dyDescent="0.25">
      <c r="B774"/>
      <c r="K774"/>
    </row>
    <row r="775" spans="2:11" x14ac:dyDescent="0.25">
      <c r="B775"/>
      <c r="K775"/>
    </row>
    <row r="776" spans="2:11" x14ac:dyDescent="0.25">
      <c r="B776"/>
      <c r="K776"/>
    </row>
    <row r="777" spans="2:11" x14ac:dyDescent="0.25">
      <c r="B777"/>
      <c r="K777"/>
    </row>
    <row r="778" spans="2:11" x14ac:dyDescent="0.25">
      <c r="B778"/>
      <c r="K778"/>
    </row>
    <row r="779" spans="2:11" x14ac:dyDescent="0.25">
      <c r="B779"/>
      <c r="K779"/>
    </row>
    <row r="780" spans="2:11" x14ac:dyDescent="0.25">
      <c r="B780"/>
      <c r="K780"/>
    </row>
    <row r="781" spans="2:11" x14ac:dyDescent="0.25">
      <c r="B781"/>
      <c r="K781"/>
    </row>
    <row r="782" spans="2:11" x14ac:dyDescent="0.25">
      <c r="B782"/>
      <c r="K782"/>
    </row>
    <row r="783" spans="2:11" x14ac:dyDescent="0.25">
      <c r="B783"/>
      <c r="K783"/>
    </row>
    <row r="784" spans="2:11" x14ac:dyDescent="0.25">
      <c r="B784"/>
      <c r="K784"/>
    </row>
    <row r="785" spans="2:11" x14ac:dyDescent="0.25">
      <c r="B785"/>
      <c r="K785"/>
    </row>
    <row r="786" spans="2:11" x14ac:dyDescent="0.25">
      <c r="B786"/>
      <c r="K786"/>
    </row>
    <row r="787" spans="2:11" x14ac:dyDescent="0.25">
      <c r="B787"/>
      <c r="K787"/>
    </row>
    <row r="788" spans="2:11" x14ac:dyDescent="0.25">
      <c r="B788"/>
      <c r="K788"/>
    </row>
    <row r="789" spans="2:11" x14ac:dyDescent="0.25">
      <c r="B789"/>
      <c r="K789"/>
    </row>
    <row r="790" spans="2:11" x14ac:dyDescent="0.25">
      <c r="B790"/>
      <c r="K790"/>
    </row>
    <row r="791" spans="2:11" x14ac:dyDescent="0.25">
      <c r="B791"/>
      <c r="K791"/>
    </row>
    <row r="792" spans="2:11" x14ac:dyDescent="0.25">
      <c r="B792"/>
      <c r="K792"/>
    </row>
    <row r="793" spans="2:11" x14ac:dyDescent="0.25">
      <c r="B793"/>
      <c r="K793"/>
    </row>
    <row r="794" spans="2:11" x14ac:dyDescent="0.25">
      <c r="B794"/>
      <c r="K794"/>
    </row>
    <row r="795" spans="2:11" x14ac:dyDescent="0.25">
      <c r="B795"/>
      <c r="K795"/>
    </row>
    <row r="796" spans="2:11" x14ac:dyDescent="0.25">
      <c r="B796"/>
      <c r="K796"/>
    </row>
    <row r="797" spans="2:11" x14ac:dyDescent="0.25">
      <c r="B797"/>
      <c r="K797"/>
    </row>
    <row r="798" spans="2:11" x14ac:dyDescent="0.25">
      <c r="B798"/>
      <c r="K798"/>
    </row>
    <row r="799" spans="2:11" x14ac:dyDescent="0.25">
      <c r="B799"/>
      <c r="K799"/>
    </row>
    <row r="800" spans="2:11" x14ac:dyDescent="0.25">
      <c r="B800"/>
      <c r="K800"/>
    </row>
    <row r="801" spans="2:11" x14ac:dyDescent="0.25">
      <c r="B801"/>
      <c r="K801"/>
    </row>
    <row r="802" spans="2:11" x14ac:dyDescent="0.25">
      <c r="B802"/>
      <c r="K802"/>
    </row>
    <row r="803" spans="2:11" x14ac:dyDescent="0.25">
      <c r="B803"/>
      <c r="K803"/>
    </row>
    <row r="804" spans="2:11" x14ac:dyDescent="0.25">
      <c r="B804"/>
      <c r="K804"/>
    </row>
    <row r="805" spans="2:11" x14ac:dyDescent="0.25">
      <c r="B805"/>
      <c r="K805"/>
    </row>
    <row r="806" spans="2:11" x14ac:dyDescent="0.25">
      <c r="B806"/>
      <c r="K806"/>
    </row>
    <row r="807" spans="2:11" x14ac:dyDescent="0.25">
      <c r="B807"/>
      <c r="K807"/>
    </row>
    <row r="808" spans="2:11" x14ac:dyDescent="0.25">
      <c r="B808"/>
      <c r="K808"/>
    </row>
    <row r="809" spans="2:11" x14ac:dyDescent="0.25">
      <c r="B809"/>
      <c r="K809"/>
    </row>
    <row r="810" spans="2:11" x14ac:dyDescent="0.25">
      <c r="B810"/>
      <c r="K810"/>
    </row>
    <row r="811" spans="2:11" x14ac:dyDescent="0.25">
      <c r="B811"/>
      <c r="K811"/>
    </row>
    <row r="812" spans="2:11" x14ac:dyDescent="0.25">
      <c r="B812"/>
      <c r="K812"/>
    </row>
    <row r="813" spans="2:11" x14ac:dyDescent="0.25">
      <c r="B813"/>
      <c r="K813"/>
    </row>
    <row r="814" spans="2:11" x14ac:dyDescent="0.25">
      <c r="B814"/>
      <c r="K814"/>
    </row>
    <row r="815" spans="2:11" x14ac:dyDescent="0.25">
      <c r="B815"/>
      <c r="K815"/>
    </row>
    <row r="816" spans="2:11" x14ac:dyDescent="0.25">
      <c r="B816"/>
      <c r="K816"/>
    </row>
    <row r="817" spans="2:11" x14ac:dyDescent="0.25">
      <c r="B817"/>
      <c r="K817"/>
    </row>
    <row r="818" spans="2:11" x14ac:dyDescent="0.25">
      <c r="B818"/>
      <c r="K818"/>
    </row>
    <row r="819" spans="2:11" x14ac:dyDescent="0.25">
      <c r="B819"/>
      <c r="K819"/>
    </row>
    <row r="820" spans="2:11" x14ac:dyDescent="0.25">
      <c r="B820"/>
      <c r="K820"/>
    </row>
    <row r="821" spans="2:11" x14ac:dyDescent="0.25">
      <c r="B821"/>
      <c r="K821"/>
    </row>
    <row r="822" spans="2:11" x14ac:dyDescent="0.25">
      <c r="B822"/>
      <c r="K822"/>
    </row>
    <row r="823" spans="2:11" x14ac:dyDescent="0.25">
      <c r="B823"/>
      <c r="K823"/>
    </row>
    <row r="824" spans="2:11" x14ac:dyDescent="0.25">
      <c r="B824"/>
      <c r="K824"/>
    </row>
    <row r="825" spans="2:11" x14ac:dyDescent="0.25">
      <c r="B825"/>
      <c r="K825"/>
    </row>
    <row r="826" spans="2:11" x14ac:dyDescent="0.25">
      <c r="B826"/>
      <c r="K826"/>
    </row>
    <row r="827" spans="2:11" x14ac:dyDescent="0.25">
      <c r="B827"/>
      <c r="K827"/>
    </row>
    <row r="828" spans="2:11" x14ac:dyDescent="0.25">
      <c r="B828"/>
      <c r="K828"/>
    </row>
    <row r="829" spans="2:11" x14ac:dyDescent="0.25">
      <c r="B829"/>
      <c r="K829"/>
    </row>
    <row r="830" spans="2:11" x14ac:dyDescent="0.25">
      <c r="B830"/>
      <c r="K830"/>
    </row>
    <row r="831" spans="2:11" x14ac:dyDescent="0.25">
      <c r="B831"/>
      <c r="K831"/>
    </row>
    <row r="832" spans="2:11" x14ac:dyDescent="0.25">
      <c r="B832"/>
      <c r="K832"/>
    </row>
    <row r="833" spans="2:11" x14ac:dyDescent="0.25">
      <c r="B833"/>
      <c r="K833"/>
    </row>
    <row r="834" spans="2:11" x14ac:dyDescent="0.25">
      <c r="B834"/>
      <c r="K834"/>
    </row>
    <row r="835" spans="2:11" x14ac:dyDescent="0.25">
      <c r="B835"/>
      <c r="K835"/>
    </row>
    <row r="836" spans="2:11" x14ac:dyDescent="0.25">
      <c r="B836"/>
      <c r="K836"/>
    </row>
    <row r="837" spans="2:11" x14ac:dyDescent="0.25">
      <c r="B837"/>
      <c r="K837"/>
    </row>
    <row r="838" spans="2:11" x14ac:dyDescent="0.25">
      <c r="B838"/>
      <c r="K838"/>
    </row>
    <row r="839" spans="2:11" x14ac:dyDescent="0.25">
      <c r="B839"/>
      <c r="K839"/>
    </row>
    <row r="840" spans="2:11" x14ac:dyDescent="0.25">
      <c r="B840"/>
      <c r="K840"/>
    </row>
    <row r="841" spans="2:11" x14ac:dyDescent="0.25">
      <c r="B841"/>
      <c r="K841"/>
    </row>
    <row r="842" spans="2:11" x14ac:dyDescent="0.25">
      <c r="B842"/>
      <c r="K842"/>
    </row>
    <row r="843" spans="2:11" x14ac:dyDescent="0.25">
      <c r="B843"/>
      <c r="K843"/>
    </row>
    <row r="844" spans="2:11" x14ac:dyDescent="0.25">
      <c r="B844"/>
      <c r="K844"/>
    </row>
    <row r="845" spans="2:11" x14ac:dyDescent="0.25">
      <c r="B845"/>
      <c r="K845"/>
    </row>
    <row r="846" spans="2:11" x14ac:dyDescent="0.25">
      <c r="B846"/>
      <c r="K846"/>
    </row>
    <row r="847" spans="2:11" x14ac:dyDescent="0.25">
      <c r="B847"/>
      <c r="K847"/>
    </row>
    <row r="848" spans="2:11" x14ac:dyDescent="0.25">
      <c r="B848"/>
      <c r="K848"/>
    </row>
    <row r="849" spans="2:11" x14ac:dyDescent="0.25">
      <c r="B849"/>
      <c r="K849"/>
    </row>
    <row r="850" spans="2:11" x14ac:dyDescent="0.25">
      <c r="B850"/>
      <c r="K850"/>
    </row>
    <row r="851" spans="2:11" x14ac:dyDescent="0.25">
      <c r="B851"/>
      <c r="K851"/>
    </row>
    <row r="852" spans="2:11" x14ac:dyDescent="0.25">
      <c r="B852"/>
      <c r="K852"/>
    </row>
    <row r="853" spans="2:11" x14ac:dyDescent="0.25">
      <c r="B853"/>
      <c r="K853"/>
    </row>
    <row r="854" spans="2:11" x14ac:dyDescent="0.25">
      <c r="B854"/>
      <c r="K854"/>
    </row>
    <row r="855" spans="2:11" x14ac:dyDescent="0.25">
      <c r="B855"/>
      <c r="K855"/>
    </row>
    <row r="856" spans="2:11" x14ac:dyDescent="0.25">
      <c r="B856"/>
      <c r="K856"/>
    </row>
    <row r="857" spans="2:11" x14ac:dyDescent="0.25">
      <c r="B857"/>
      <c r="K857"/>
    </row>
    <row r="858" spans="2:11" x14ac:dyDescent="0.25">
      <c r="B858"/>
      <c r="K858"/>
    </row>
    <row r="859" spans="2:11" x14ac:dyDescent="0.25">
      <c r="B859"/>
      <c r="K859"/>
    </row>
    <row r="860" spans="2:11" x14ac:dyDescent="0.25">
      <c r="B860"/>
      <c r="K860"/>
    </row>
    <row r="861" spans="2:11" x14ac:dyDescent="0.25">
      <c r="B861"/>
      <c r="K861"/>
    </row>
    <row r="862" spans="2:11" x14ac:dyDescent="0.25">
      <c r="B862"/>
      <c r="K862"/>
    </row>
    <row r="863" spans="2:11" x14ac:dyDescent="0.25">
      <c r="B863"/>
      <c r="K863"/>
    </row>
    <row r="864" spans="2:11" x14ac:dyDescent="0.25">
      <c r="B864"/>
      <c r="K864"/>
    </row>
    <row r="865" spans="2:11" x14ac:dyDescent="0.25">
      <c r="B865"/>
      <c r="K865"/>
    </row>
    <row r="866" spans="2:11" x14ac:dyDescent="0.25">
      <c r="B866"/>
      <c r="K866"/>
    </row>
    <row r="867" spans="2:11" x14ac:dyDescent="0.25">
      <c r="B867"/>
      <c r="K867"/>
    </row>
    <row r="868" spans="2:11" x14ac:dyDescent="0.25">
      <c r="B868"/>
      <c r="K868"/>
    </row>
    <row r="869" spans="2:11" x14ac:dyDescent="0.25">
      <c r="B869"/>
      <c r="K869"/>
    </row>
    <row r="870" spans="2:11" x14ac:dyDescent="0.25">
      <c r="B870"/>
      <c r="K870"/>
    </row>
    <row r="871" spans="2:11" x14ac:dyDescent="0.25">
      <c r="B871"/>
      <c r="K871"/>
    </row>
    <row r="872" spans="2:11" x14ac:dyDescent="0.25">
      <c r="B872"/>
      <c r="K872"/>
    </row>
    <row r="873" spans="2:11" x14ac:dyDescent="0.25">
      <c r="B873"/>
      <c r="K873"/>
    </row>
    <row r="874" spans="2:11" x14ac:dyDescent="0.25">
      <c r="B874"/>
      <c r="K874"/>
    </row>
    <row r="875" spans="2:11" x14ac:dyDescent="0.25">
      <c r="B875"/>
      <c r="K875"/>
    </row>
    <row r="876" spans="2:11" x14ac:dyDescent="0.25">
      <c r="B876"/>
      <c r="K876"/>
    </row>
    <row r="877" spans="2:11" x14ac:dyDescent="0.25">
      <c r="B877"/>
      <c r="K877"/>
    </row>
    <row r="878" spans="2:11" x14ac:dyDescent="0.25">
      <c r="B878"/>
      <c r="K878"/>
    </row>
    <row r="879" spans="2:11" x14ac:dyDescent="0.25">
      <c r="B879"/>
      <c r="K879"/>
    </row>
    <row r="880" spans="2:11" x14ac:dyDescent="0.25">
      <c r="B880"/>
      <c r="K880"/>
    </row>
    <row r="881" spans="2:11" x14ac:dyDescent="0.25">
      <c r="B881"/>
      <c r="K881"/>
    </row>
    <row r="882" spans="2:11" x14ac:dyDescent="0.25">
      <c r="B882"/>
      <c r="K882"/>
    </row>
    <row r="883" spans="2:11" x14ac:dyDescent="0.25">
      <c r="B883"/>
      <c r="K883"/>
    </row>
    <row r="884" spans="2:11" x14ac:dyDescent="0.25">
      <c r="B884"/>
      <c r="K884"/>
    </row>
    <row r="885" spans="2:11" x14ac:dyDescent="0.25">
      <c r="B885"/>
      <c r="K885"/>
    </row>
    <row r="886" spans="2:11" x14ac:dyDescent="0.25">
      <c r="B886"/>
      <c r="K886"/>
    </row>
    <row r="887" spans="2:11" x14ac:dyDescent="0.25">
      <c r="B887"/>
      <c r="K887"/>
    </row>
    <row r="888" spans="2:11" x14ac:dyDescent="0.25">
      <c r="B888"/>
      <c r="K888"/>
    </row>
    <row r="889" spans="2:11" x14ac:dyDescent="0.25">
      <c r="B889"/>
      <c r="K889"/>
    </row>
    <row r="890" spans="2:11" x14ac:dyDescent="0.25">
      <c r="B890"/>
      <c r="K890"/>
    </row>
    <row r="891" spans="2:11" x14ac:dyDescent="0.25">
      <c r="B891"/>
      <c r="K891"/>
    </row>
    <row r="892" spans="2:11" x14ac:dyDescent="0.25">
      <c r="B892"/>
      <c r="K892"/>
    </row>
    <row r="893" spans="2:11" x14ac:dyDescent="0.25">
      <c r="B893"/>
      <c r="K893"/>
    </row>
    <row r="894" spans="2:11" x14ac:dyDescent="0.25">
      <c r="B894"/>
      <c r="K894"/>
    </row>
    <row r="895" spans="2:11" x14ac:dyDescent="0.25">
      <c r="B895"/>
      <c r="K895"/>
    </row>
    <row r="896" spans="2:11" x14ac:dyDescent="0.25">
      <c r="B896"/>
      <c r="K896"/>
    </row>
    <row r="897" spans="2:11" x14ac:dyDescent="0.25">
      <c r="B897"/>
      <c r="K897"/>
    </row>
    <row r="898" spans="2:11" x14ac:dyDescent="0.25">
      <c r="B898"/>
      <c r="K898"/>
    </row>
    <row r="899" spans="2:11" x14ac:dyDescent="0.25">
      <c r="B899"/>
      <c r="K899"/>
    </row>
    <row r="900" spans="2:11" x14ac:dyDescent="0.25">
      <c r="B900"/>
      <c r="K900"/>
    </row>
    <row r="901" spans="2:11" x14ac:dyDescent="0.25">
      <c r="B901"/>
      <c r="K901"/>
    </row>
    <row r="902" spans="2:11" x14ac:dyDescent="0.25">
      <c r="B902"/>
      <c r="K902"/>
    </row>
    <row r="903" spans="2:11" x14ac:dyDescent="0.25">
      <c r="B903"/>
      <c r="K903"/>
    </row>
    <row r="904" spans="2:11" x14ac:dyDescent="0.25">
      <c r="B904"/>
      <c r="K904"/>
    </row>
    <row r="905" spans="2:11" x14ac:dyDescent="0.25">
      <c r="B905"/>
      <c r="K905"/>
    </row>
    <row r="906" spans="2:11" x14ac:dyDescent="0.25">
      <c r="B906"/>
      <c r="K906"/>
    </row>
    <row r="907" spans="2:11" x14ac:dyDescent="0.25">
      <c r="B907"/>
      <c r="K907"/>
    </row>
    <row r="908" spans="2:11" x14ac:dyDescent="0.25">
      <c r="B908"/>
      <c r="K908"/>
    </row>
    <row r="909" spans="2:11" x14ac:dyDescent="0.25">
      <c r="B909"/>
      <c r="K909"/>
    </row>
    <row r="910" spans="2:11" x14ac:dyDescent="0.25">
      <c r="B910"/>
      <c r="K910"/>
    </row>
    <row r="911" spans="2:11" x14ac:dyDescent="0.25">
      <c r="B911"/>
      <c r="K911"/>
    </row>
    <row r="912" spans="2:11" x14ac:dyDescent="0.25">
      <c r="B912"/>
      <c r="K912"/>
    </row>
    <row r="913" spans="2:11" x14ac:dyDescent="0.25">
      <c r="B913"/>
      <c r="K913"/>
    </row>
    <row r="914" spans="2:11" x14ac:dyDescent="0.25">
      <c r="B914"/>
      <c r="K914"/>
    </row>
    <row r="915" spans="2:11" x14ac:dyDescent="0.25">
      <c r="B915"/>
      <c r="K915"/>
    </row>
    <row r="916" spans="2:11" x14ac:dyDescent="0.25">
      <c r="B916"/>
      <c r="K916"/>
    </row>
    <row r="917" spans="2:11" x14ac:dyDescent="0.25">
      <c r="B917"/>
      <c r="K917"/>
    </row>
    <row r="918" spans="2:11" x14ac:dyDescent="0.25">
      <c r="B918"/>
      <c r="K918"/>
    </row>
    <row r="919" spans="2:11" x14ac:dyDescent="0.25">
      <c r="B919"/>
      <c r="K919"/>
    </row>
    <row r="920" spans="2:11" x14ac:dyDescent="0.25">
      <c r="B920"/>
      <c r="K920"/>
    </row>
    <row r="921" spans="2:11" x14ac:dyDescent="0.25">
      <c r="B921"/>
      <c r="K921"/>
    </row>
    <row r="922" spans="2:11" x14ac:dyDescent="0.25">
      <c r="B922"/>
      <c r="K922"/>
    </row>
    <row r="923" spans="2:11" x14ac:dyDescent="0.25">
      <c r="B923"/>
      <c r="K923"/>
    </row>
    <row r="924" spans="2:11" x14ac:dyDescent="0.25">
      <c r="B924"/>
      <c r="K924"/>
    </row>
    <row r="925" spans="2:11" x14ac:dyDescent="0.25">
      <c r="B925"/>
      <c r="K925"/>
    </row>
    <row r="926" spans="2:11" x14ac:dyDescent="0.25">
      <c r="B926"/>
      <c r="K926"/>
    </row>
    <row r="927" spans="2:11" x14ac:dyDescent="0.25">
      <c r="B927"/>
      <c r="K927"/>
    </row>
    <row r="928" spans="2:11" x14ac:dyDescent="0.25">
      <c r="B928"/>
      <c r="K928"/>
    </row>
    <row r="929" spans="2:11" x14ac:dyDescent="0.25">
      <c r="B929"/>
      <c r="K929"/>
    </row>
    <row r="930" spans="2:11" x14ac:dyDescent="0.25">
      <c r="B930"/>
      <c r="K930"/>
    </row>
    <row r="931" spans="2:11" x14ac:dyDescent="0.25">
      <c r="B931"/>
      <c r="K931"/>
    </row>
    <row r="932" spans="2:11" x14ac:dyDescent="0.25">
      <c r="B932"/>
      <c r="K932"/>
    </row>
    <row r="933" spans="2:11" x14ac:dyDescent="0.25">
      <c r="B933"/>
      <c r="K933"/>
    </row>
    <row r="934" spans="2:11" x14ac:dyDescent="0.25">
      <c r="B934"/>
      <c r="K934"/>
    </row>
    <row r="935" spans="2:11" x14ac:dyDescent="0.25">
      <c r="B935"/>
      <c r="K935"/>
    </row>
    <row r="936" spans="2:11" x14ac:dyDescent="0.25">
      <c r="B936"/>
      <c r="K936"/>
    </row>
    <row r="937" spans="2:11" x14ac:dyDescent="0.25">
      <c r="B937"/>
      <c r="K937"/>
    </row>
    <row r="938" spans="2:11" x14ac:dyDescent="0.25">
      <c r="B938"/>
      <c r="K938"/>
    </row>
    <row r="939" spans="2:11" x14ac:dyDescent="0.25">
      <c r="B939"/>
      <c r="K939"/>
    </row>
    <row r="940" spans="2:11" x14ac:dyDescent="0.25">
      <c r="B940"/>
      <c r="K940"/>
    </row>
    <row r="941" spans="2:11" x14ac:dyDescent="0.25">
      <c r="B941"/>
      <c r="K941"/>
    </row>
    <row r="942" spans="2:11" x14ac:dyDescent="0.25">
      <c r="B942"/>
      <c r="K942"/>
    </row>
    <row r="943" spans="2:11" x14ac:dyDescent="0.25">
      <c r="B943"/>
      <c r="K943"/>
    </row>
    <row r="944" spans="2:11" x14ac:dyDescent="0.25">
      <c r="B944"/>
      <c r="K944"/>
    </row>
    <row r="945" spans="2:11" x14ac:dyDescent="0.25">
      <c r="B945"/>
      <c r="K945"/>
    </row>
    <row r="946" spans="2:11" x14ac:dyDescent="0.25">
      <c r="B946"/>
      <c r="K946"/>
    </row>
    <row r="947" spans="2:11" x14ac:dyDescent="0.25">
      <c r="B947"/>
      <c r="K947"/>
    </row>
    <row r="948" spans="2:11" x14ac:dyDescent="0.25">
      <c r="B948"/>
      <c r="K948"/>
    </row>
    <row r="949" spans="2:11" x14ac:dyDescent="0.25">
      <c r="B949"/>
      <c r="K949"/>
    </row>
    <row r="950" spans="2:11" x14ac:dyDescent="0.25">
      <c r="B950"/>
      <c r="K950"/>
    </row>
    <row r="951" spans="2:11" x14ac:dyDescent="0.25">
      <c r="B951"/>
      <c r="K951"/>
    </row>
    <row r="952" spans="2:11" x14ac:dyDescent="0.25">
      <c r="B952"/>
      <c r="K952"/>
    </row>
    <row r="953" spans="2:11" x14ac:dyDescent="0.25">
      <c r="B953"/>
      <c r="K953"/>
    </row>
    <row r="954" spans="2:11" x14ac:dyDescent="0.25">
      <c r="B954"/>
      <c r="K954"/>
    </row>
    <row r="955" spans="2:11" x14ac:dyDescent="0.25">
      <c r="B955"/>
      <c r="K955"/>
    </row>
    <row r="956" spans="2:11" x14ac:dyDescent="0.25">
      <c r="B956"/>
      <c r="K956"/>
    </row>
    <row r="957" spans="2:11" x14ac:dyDescent="0.25">
      <c r="B957"/>
      <c r="K957"/>
    </row>
    <row r="958" spans="2:11" x14ac:dyDescent="0.25">
      <c r="B958"/>
      <c r="K958"/>
    </row>
    <row r="959" spans="2:11" x14ac:dyDescent="0.25">
      <c r="B959"/>
      <c r="K959"/>
    </row>
    <row r="960" spans="2:11" x14ac:dyDescent="0.25">
      <c r="B960"/>
      <c r="K960"/>
    </row>
    <row r="961" spans="2:11" x14ac:dyDescent="0.25">
      <c r="B961"/>
      <c r="K961"/>
    </row>
    <row r="962" spans="2:11" x14ac:dyDescent="0.25">
      <c r="B962"/>
      <c r="K962"/>
    </row>
    <row r="963" spans="2:11" x14ac:dyDescent="0.25">
      <c r="B963"/>
      <c r="K963"/>
    </row>
    <row r="964" spans="2:11" x14ac:dyDescent="0.25">
      <c r="B964"/>
      <c r="K964"/>
    </row>
    <row r="965" spans="2:11" x14ac:dyDescent="0.25">
      <c r="B965"/>
      <c r="K965"/>
    </row>
    <row r="966" spans="2:11" x14ac:dyDescent="0.25">
      <c r="B966"/>
      <c r="K966"/>
    </row>
    <row r="967" spans="2:11" x14ac:dyDescent="0.25">
      <c r="B967"/>
      <c r="K967"/>
    </row>
    <row r="968" spans="2:11" x14ac:dyDescent="0.25">
      <c r="B968"/>
      <c r="K968"/>
    </row>
    <row r="969" spans="2:11" x14ac:dyDescent="0.25">
      <c r="B969"/>
      <c r="K969"/>
    </row>
    <row r="970" spans="2:11" x14ac:dyDescent="0.25">
      <c r="B970"/>
      <c r="K970"/>
    </row>
    <row r="971" spans="2:11" x14ac:dyDescent="0.25">
      <c r="B971"/>
      <c r="K971"/>
    </row>
    <row r="972" spans="2:11" x14ac:dyDescent="0.25">
      <c r="B972"/>
      <c r="K972"/>
    </row>
    <row r="973" spans="2:11" x14ac:dyDescent="0.25">
      <c r="B973"/>
      <c r="K973"/>
    </row>
    <row r="974" spans="2:11" x14ac:dyDescent="0.25">
      <c r="B974"/>
      <c r="K974"/>
    </row>
    <row r="975" spans="2:11" x14ac:dyDescent="0.25">
      <c r="B975"/>
      <c r="K975"/>
    </row>
    <row r="976" spans="2:11" x14ac:dyDescent="0.25">
      <c r="B976"/>
      <c r="K976"/>
    </row>
    <row r="977" spans="2:11" x14ac:dyDescent="0.25">
      <c r="B977"/>
      <c r="K977"/>
    </row>
    <row r="978" spans="2:11" x14ac:dyDescent="0.25">
      <c r="B978"/>
      <c r="K978"/>
    </row>
    <row r="979" spans="2:11" x14ac:dyDescent="0.25">
      <c r="B979"/>
      <c r="K979"/>
    </row>
    <row r="980" spans="2:11" x14ac:dyDescent="0.25">
      <c r="B980"/>
      <c r="K980"/>
    </row>
    <row r="981" spans="2:11" x14ac:dyDescent="0.25">
      <c r="B981"/>
      <c r="K981"/>
    </row>
    <row r="982" spans="2:11" x14ac:dyDescent="0.25">
      <c r="B982"/>
      <c r="K982"/>
    </row>
    <row r="983" spans="2:11" x14ac:dyDescent="0.25">
      <c r="B983"/>
      <c r="K983"/>
    </row>
    <row r="984" spans="2:11" x14ac:dyDescent="0.25">
      <c r="B984"/>
      <c r="K984"/>
    </row>
    <row r="985" spans="2:11" x14ac:dyDescent="0.25">
      <c r="B985"/>
      <c r="K985"/>
    </row>
    <row r="986" spans="2:11" x14ac:dyDescent="0.25">
      <c r="B986"/>
      <c r="K986"/>
    </row>
    <row r="987" spans="2:11" x14ac:dyDescent="0.25">
      <c r="B987"/>
      <c r="K987"/>
    </row>
    <row r="988" spans="2:11" x14ac:dyDescent="0.25">
      <c r="B988"/>
      <c r="K988"/>
    </row>
    <row r="989" spans="2:11" x14ac:dyDescent="0.25">
      <c r="B989"/>
      <c r="K989"/>
    </row>
    <row r="990" spans="2:11" x14ac:dyDescent="0.25">
      <c r="B990"/>
      <c r="K990"/>
    </row>
    <row r="991" spans="2:11" x14ac:dyDescent="0.25">
      <c r="B991"/>
      <c r="K991"/>
    </row>
    <row r="992" spans="2:11" x14ac:dyDescent="0.25">
      <c r="B992"/>
      <c r="K992"/>
    </row>
    <row r="993" spans="2:11" x14ac:dyDescent="0.25">
      <c r="B993"/>
      <c r="K993"/>
    </row>
    <row r="994" spans="2:11" x14ac:dyDescent="0.25">
      <c r="B994"/>
      <c r="K994"/>
    </row>
    <row r="995" spans="2:11" x14ac:dyDescent="0.25">
      <c r="B995"/>
      <c r="K995"/>
    </row>
    <row r="996" spans="2:11" x14ac:dyDescent="0.25">
      <c r="B996"/>
      <c r="K996"/>
    </row>
    <row r="997" spans="2:11" x14ac:dyDescent="0.25">
      <c r="B997"/>
      <c r="K997"/>
    </row>
    <row r="998" spans="2:11" x14ac:dyDescent="0.25">
      <c r="B998"/>
      <c r="K998"/>
    </row>
    <row r="999" spans="2:11" x14ac:dyDescent="0.25">
      <c r="B999"/>
      <c r="K999"/>
    </row>
    <row r="1000" spans="2:11" x14ac:dyDescent="0.25">
      <c r="B1000"/>
      <c r="K1000"/>
    </row>
    <row r="1001" spans="2:11" x14ac:dyDescent="0.25">
      <c r="B1001"/>
      <c r="K1001"/>
    </row>
    <row r="1002" spans="2:11" x14ac:dyDescent="0.25">
      <c r="B1002"/>
      <c r="K1002"/>
    </row>
    <row r="1003" spans="2:11" x14ac:dyDescent="0.25">
      <c r="B1003"/>
      <c r="K1003"/>
    </row>
    <row r="1004" spans="2:11" x14ac:dyDescent="0.25">
      <c r="B1004"/>
      <c r="K1004"/>
    </row>
    <row r="1005" spans="2:11" x14ac:dyDescent="0.25">
      <c r="B1005"/>
      <c r="K1005"/>
    </row>
    <row r="1006" spans="2:11" x14ac:dyDescent="0.25">
      <c r="B1006"/>
      <c r="K1006"/>
    </row>
    <row r="1007" spans="2:11" x14ac:dyDescent="0.25">
      <c r="B1007"/>
      <c r="K1007"/>
    </row>
    <row r="1008" spans="2:11" x14ac:dyDescent="0.25">
      <c r="B1008"/>
      <c r="K1008"/>
    </row>
    <row r="1009" spans="2:11" x14ac:dyDescent="0.25">
      <c r="B1009"/>
      <c r="K1009"/>
    </row>
    <row r="1010" spans="2:11" x14ac:dyDescent="0.25">
      <c r="B1010"/>
      <c r="K1010"/>
    </row>
    <row r="1011" spans="2:11" x14ac:dyDescent="0.25">
      <c r="B1011"/>
      <c r="K1011"/>
    </row>
    <row r="1012" spans="2:11" x14ac:dyDescent="0.25">
      <c r="B1012"/>
      <c r="K1012"/>
    </row>
    <row r="1013" spans="2:11" x14ac:dyDescent="0.25">
      <c r="B1013"/>
      <c r="K1013"/>
    </row>
    <row r="1014" spans="2:11" x14ac:dyDescent="0.25">
      <c r="B1014"/>
      <c r="K1014"/>
    </row>
    <row r="1015" spans="2:11" x14ac:dyDescent="0.25">
      <c r="B1015"/>
      <c r="K1015"/>
    </row>
    <row r="1016" spans="2:11" x14ac:dyDescent="0.25">
      <c r="B1016"/>
      <c r="K1016"/>
    </row>
    <row r="1017" spans="2:11" x14ac:dyDescent="0.25">
      <c r="B1017"/>
      <c r="K1017"/>
    </row>
    <row r="1018" spans="2:11" x14ac:dyDescent="0.25">
      <c r="B1018"/>
      <c r="K1018"/>
    </row>
    <row r="1019" spans="2:11" x14ac:dyDescent="0.25">
      <c r="B1019"/>
      <c r="K1019"/>
    </row>
    <row r="1020" spans="2:11" x14ac:dyDescent="0.25">
      <c r="B1020"/>
      <c r="K1020"/>
    </row>
    <row r="1021" spans="2:11" x14ac:dyDescent="0.25">
      <c r="B1021"/>
      <c r="K1021"/>
    </row>
    <row r="1022" spans="2:11" x14ac:dyDescent="0.25">
      <c r="B1022"/>
      <c r="K1022"/>
    </row>
    <row r="1023" spans="2:11" x14ac:dyDescent="0.25">
      <c r="B1023"/>
      <c r="K1023"/>
    </row>
    <row r="1024" spans="2:11" x14ac:dyDescent="0.25">
      <c r="B1024"/>
      <c r="K1024"/>
    </row>
    <row r="1025" spans="2:11" x14ac:dyDescent="0.25">
      <c r="B1025"/>
      <c r="K1025"/>
    </row>
    <row r="1026" spans="2:11" x14ac:dyDescent="0.25">
      <c r="B1026"/>
      <c r="K1026"/>
    </row>
    <row r="1027" spans="2:11" x14ac:dyDescent="0.25">
      <c r="B1027"/>
      <c r="K1027"/>
    </row>
    <row r="1028" spans="2:11" x14ac:dyDescent="0.25">
      <c r="B1028"/>
      <c r="K1028"/>
    </row>
    <row r="1029" spans="2:11" x14ac:dyDescent="0.25">
      <c r="B1029"/>
      <c r="K1029"/>
    </row>
    <row r="1030" spans="2:11" x14ac:dyDescent="0.25">
      <c r="B1030"/>
      <c r="K1030"/>
    </row>
    <row r="1031" spans="2:11" x14ac:dyDescent="0.25">
      <c r="B1031"/>
      <c r="K1031"/>
    </row>
    <row r="1032" spans="2:11" x14ac:dyDescent="0.25">
      <c r="B1032"/>
      <c r="K1032"/>
    </row>
    <row r="1033" spans="2:11" x14ac:dyDescent="0.25">
      <c r="B1033"/>
      <c r="K1033"/>
    </row>
    <row r="1034" spans="2:11" x14ac:dyDescent="0.25">
      <c r="B1034"/>
      <c r="K1034"/>
    </row>
    <row r="1035" spans="2:11" x14ac:dyDescent="0.25">
      <c r="B1035"/>
      <c r="K1035"/>
    </row>
    <row r="1036" spans="2:11" x14ac:dyDescent="0.25">
      <c r="B1036"/>
      <c r="K1036"/>
    </row>
    <row r="1037" spans="2:11" x14ac:dyDescent="0.25">
      <c r="B1037"/>
      <c r="K1037"/>
    </row>
    <row r="1038" spans="2:11" x14ac:dyDescent="0.25">
      <c r="B1038"/>
      <c r="K1038"/>
    </row>
    <row r="1039" spans="2:11" x14ac:dyDescent="0.25">
      <c r="B1039"/>
      <c r="K1039"/>
    </row>
    <row r="1040" spans="2:11" x14ac:dyDescent="0.25">
      <c r="B1040"/>
      <c r="K1040"/>
    </row>
    <row r="1041" spans="2:11" x14ac:dyDescent="0.25">
      <c r="B1041"/>
      <c r="K1041"/>
    </row>
    <row r="1042" spans="2:11" x14ac:dyDescent="0.25">
      <c r="B1042"/>
      <c r="K1042"/>
    </row>
    <row r="1043" spans="2:11" x14ac:dyDescent="0.25">
      <c r="B1043"/>
      <c r="K1043"/>
    </row>
    <row r="1044" spans="2:11" x14ac:dyDescent="0.25">
      <c r="B1044"/>
      <c r="K1044"/>
    </row>
    <row r="1045" spans="2:11" x14ac:dyDescent="0.25">
      <c r="B1045"/>
      <c r="K1045"/>
    </row>
    <row r="1046" spans="2:11" x14ac:dyDescent="0.25">
      <c r="B1046"/>
      <c r="K1046"/>
    </row>
    <row r="1047" spans="2:11" x14ac:dyDescent="0.25">
      <c r="B1047"/>
      <c r="K1047"/>
    </row>
    <row r="1048" spans="2:11" x14ac:dyDescent="0.25">
      <c r="B1048"/>
      <c r="K1048"/>
    </row>
    <row r="1049" spans="2:11" x14ac:dyDescent="0.25">
      <c r="B1049"/>
      <c r="K1049"/>
    </row>
    <row r="1050" spans="2:11" x14ac:dyDescent="0.25">
      <c r="B1050"/>
      <c r="K1050"/>
    </row>
    <row r="1051" spans="2:11" x14ac:dyDescent="0.25">
      <c r="B1051"/>
      <c r="K1051"/>
    </row>
    <row r="1052" spans="2:11" x14ac:dyDescent="0.25">
      <c r="B1052"/>
      <c r="K1052"/>
    </row>
    <row r="1053" spans="2:11" x14ac:dyDescent="0.25">
      <c r="B1053"/>
      <c r="K1053"/>
    </row>
    <row r="1054" spans="2:11" x14ac:dyDescent="0.25">
      <c r="B1054"/>
      <c r="K1054"/>
    </row>
    <row r="1055" spans="2:11" x14ac:dyDescent="0.25">
      <c r="B1055"/>
      <c r="K1055"/>
    </row>
    <row r="1056" spans="2:11" x14ac:dyDescent="0.25">
      <c r="B1056"/>
      <c r="K1056"/>
    </row>
    <row r="1057" spans="2:11" x14ac:dyDescent="0.25">
      <c r="B1057"/>
      <c r="K1057"/>
    </row>
    <row r="1058" spans="2:11" x14ac:dyDescent="0.25">
      <c r="B1058"/>
      <c r="K1058"/>
    </row>
    <row r="1059" spans="2:11" x14ac:dyDescent="0.25">
      <c r="B1059"/>
      <c r="K1059"/>
    </row>
    <row r="1060" spans="2:11" x14ac:dyDescent="0.25">
      <c r="B1060"/>
      <c r="K1060"/>
    </row>
    <row r="1061" spans="2:11" x14ac:dyDescent="0.25">
      <c r="B1061"/>
      <c r="K1061"/>
    </row>
    <row r="1062" spans="2:11" x14ac:dyDescent="0.25">
      <c r="B1062"/>
      <c r="K1062"/>
    </row>
    <row r="1063" spans="2:11" x14ac:dyDescent="0.25">
      <c r="B1063"/>
      <c r="K1063"/>
    </row>
    <row r="1064" spans="2:11" x14ac:dyDescent="0.25">
      <c r="B1064"/>
      <c r="K1064"/>
    </row>
    <row r="1065" spans="2:11" x14ac:dyDescent="0.25">
      <c r="B1065"/>
      <c r="K1065"/>
    </row>
    <row r="1066" spans="2:11" x14ac:dyDescent="0.25">
      <c r="B1066"/>
      <c r="K1066"/>
    </row>
    <row r="1067" spans="2:11" x14ac:dyDescent="0.25">
      <c r="B1067"/>
      <c r="K1067"/>
    </row>
    <row r="1068" spans="2:11" x14ac:dyDescent="0.25">
      <c r="B1068"/>
      <c r="K1068"/>
    </row>
    <row r="1069" spans="2:11" x14ac:dyDescent="0.25">
      <c r="B1069"/>
      <c r="K1069"/>
    </row>
    <row r="1070" spans="2:11" x14ac:dyDescent="0.25">
      <c r="B1070"/>
      <c r="K1070"/>
    </row>
    <row r="1071" spans="2:11" x14ac:dyDescent="0.25">
      <c r="B1071"/>
      <c r="K1071"/>
    </row>
    <row r="1072" spans="2:11" x14ac:dyDescent="0.25">
      <c r="B1072"/>
      <c r="K1072"/>
    </row>
    <row r="1073" spans="2:11" x14ac:dyDescent="0.25">
      <c r="B1073"/>
      <c r="K1073"/>
    </row>
    <row r="1074" spans="2:11" x14ac:dyDescent="0.25">
      <c r="B1074"/>
      <c r="K1074"/>
    </row>
    <row r="1075" spans="2:11" x14ac:dyDescent="0.25">
      <c r="B1075"/>
      <c r="K1075"/>
    </row>
    <row r="1076" spans="2:11" x14ac:dyDescent="0.25">
      <c r="B1076"/>
      <c r="K1076"/>
    </row>
    <row r="1077" spans="2:11" x14ac:dyDescent="0.25">
      <c r="B1077"/>
      <c r="K1077"/>
    </row>
    <row r="1078" spans="2:11" x14ac:dyDescent="0.25">
      <c r="B1078"/>
      <c r="K1078"/>
    </row>
    <row r="1079" spans="2:11" x14ac:dyDescent="0.25">
      <c r="B1079"/>
      <c r="K1079"/>
    </row>
    <row r="1080" spans="2:11" x14ac:dyDescent="0.25">
      <c r="B1080"/>
      <c r="K1080"/>
    </row>
    <row r="1081" spans="2:11" x14ac:dyDescent="0.25">
      <c r="B1081"/>
      <c r="K1081"/>
    </row>
    <row r="1082" spans="2:11" x14ac:dyDescent="0.25">
      <c r="B1082"/>
      <c r="K1082"/>
    </row>
    <row r="1083" spans="2:11" x14ac:dyDescent="0.25">
      <c r="B1083"/>
      <c r="K1083"/>
    </row>
    <row r="1084" spans="2:11" x14ac:dyDescent="0.25">
      <c r="B1084"/>
      <c r="K1084"/>
    </row>
    <row r="1085" spans="2:11" x14ac:dyDescent="0.25">
      <c r="B1085"/>
      <c r="K1085"/>
    </row>
    <row r="1086" spans="2:11" x14ac:dyDescent="0.25">
      <c r="B1086"/>
      <c r="K1086"/>
    </row>
    <row r="1087" spans="2:11" x14ac:dyDescent="0.25">
      <c r="B1087"/>
      <c r="K1087"/>
    </row>
    <row r="1088" spans="2:11" x14ac:dyDescent="0.25">
      <c r="B1088"/>
      <c r="K1088"/>
    </row>
    <row r="1089" spans="2:11" x14ac:dyDescent="0.25">
      <c r="B1089"/>
      <c r="K1089"/>
    </row>
    <row r="1090" spans="2:11" x14ac:dyDescent="0.25">
      <c r="B1090"/>
      <c r="K1090"/>
    </row>
    <row r="1091" spans="2:11" x14ac:dyDescent="0.25">
      <c r="B1091"/>
      <c r="K1091"/>
    </row>
    <row r="1092" spans="2:11" x14ac:dyDescent="0.25">
      <c r="B1092"/>
      <c r="K1092"/>
    </row>
    <row r="1093" spans="2:11" x14ac:dyDescent="0.25">
      <c r="B1093"/>
      <c r="K1093"/>
    </row>
    <row r="1094" spans="2:11" x14ac:dyDescent="0.25">
      <c r="B1094"/>
      <c r="K1094"/>
    </row>
    <row r="1095" spans="2:11" x14ac:dyDescent="0.25">
      <c r="B1095"/>
      <c r="K1095"/>
    </row>
    <row r="1096" spans="2:11" x14ac:dyDescent="0.25">
      <c r="B1096"/>
      <c r="K1096"/>
    </row>
    <row r="1097" spans="2:11" x14ac:dyDescent="0.25">
      <c r="B1097"/>
      <c r="K1097"/>
    </row>
    <row r="1098" spans="2:11" x14ac:dyDescent="0.25">
      <c r="B1098"/>
      <c r="K1098"/>
    </row>
    <row r="1099" spans="2:11" x14ac:dyDescent="0.25">
      <c r="B1099"/>
      <c r="K1099"/>
    </row>
    <row r="1100" spans="2:11" x14ac:dyDescent="0.25">
      <c r="B1100"/>
      <c r="K1100"/>
    </row>
    <row r="1101" spans="2:11" x14ac:dyDescent="0.25">
      <c r="B1101"/>
      <c r="K1101"/>
    </row>
    <row r="1102" spans="2:11" x14ac:dyDescent="0.25">
      <c r="B1102"/>
      <c r="K1102"/>
    </row>
    <row r="1103" spans="2:11" x14ac:dyDescent="0.25">
      <c r="B1103"/>
      <c r="K1103"/>
    </row>
    <row r="1104" spans="2:11" x14ac:dyDescent="0.25">
      <c r="B1104"/>
      <c r="K1104"/>
    </row>
    <row r="1105" spans="2:11" x14ac:dyDescent="0.25">
      <c r="B1105"/>
      <c r="K1105"/>
    </row>
    <row r="1106" spans="2:11" x14ac:dyDescent="0.25">
      <c r="B1106"/>
      <c r="K1106"/>
    </row>
    <row r="1107" spans="2:11" x14ac:dyDescent="0.25">
      <c r="B1107"/>
      <c r="K1107"/>
    </row>
    <row r="1108" spans="2:11" x14ac:dyDescent="0.25">
      <c r="B1108"/>
      <c r="K1108"/>
    </row>
    <row r="1109" spans="2:11" x14ac:dyDescent="0.25">
      <c r="B1109"/>
      <c r="K1109"/>
    </row>
    <row r="1110" spans="2:11" x14ac:dyDescent="0.25">
      <c r="B1110"/>
      <c r="K1110"/>
    </row>
    <row r="1111" spans="2:11" x14ac:dyDescent="0.25">
      <c r="B1111"/>
      <c r="K1111"/>
    </row>
    <row r="1112" spans="2:11" x14ac:dyDescent="0.25">
      <c r="B1112"/>
      <c r="K1112"/>
    </row>
    <row r="1113" spans="2:11" x14ac:dyDescent="0.25">
      <c r="B1113"/>
      <c r="K1113"/>
    </row>
    <row r="1114" spans="2:11" x14ac:dyDescent="0.25">
      <c r="B1114"/>
      <c r="K1114"/>
    </row>
    <row r="1115" spans="2:11" x14ac:dyDescent="0.25">
      <c r="B1115"/>
      <c r="K1115"/>
    </row>
    <row r="1116" spans="2:11" x14ac:dyDescent="0.25">
      <c r="B1116"/>
      <c r="K1116"/>
    </row>
    <row r="1117" spans="2:11" x14ac:dyDescent="0.25">
      <c r="B1117"/>
      <c r="K1117"/>
    </row>
    <row r="1118" spans="2:11" x14ac:dyDescent="0.25">
      <c r="B1118"/>
      <c r="K1118"/>
    </row>
    <row r="1119" spans="2:11" x14ac:dyDescent="0.25">
      <c r="B1119"/>
      <c r="K1119"/>
    </row>
    <row r="1120" spans="2:11" x14ac:dyDescent="0.25">
      <c r="B1120"/>
      <c r="K1120"/>
    </row>
    <row r="1121" spans="2:11" x14ac:dyDescent="0.25">
      <c r="B1121"/>
      <c r="K1121"/>
    </row>
    <row r="1122" spans="2:11" x14ac:dyDescent="0.25">
      <c r="B1122"/>
      <c r="K1122"/>
    </row>
    <row r="1123" spans="2:11" x14ac:dyDescent="0.25">
      <c r="B1123"/>
      <c r="K1123"/>
    </row>
    <row r="1124" spans="2:11" x14ac:dyDescent="0.25">
      <c r="B1124"/>
      <c r="K1124"/>
    </row>
    <row r="1125" spans="2:11" x14ac:dyDescent="0.25">
      <c r="B1125"/>
      <c r="K1125"/>
    </row>
    <row r="1126" spans="2:11" x14ac:dyDescent="0.25">
      <c r="B1126"/>
      <c r="K1126"/>
    </row>
    <row r="1127" spans="2:11" x14ac:dyDescent="0.25">
      <c r="B1127"/>
      <c r="K1127"/>
    </row>
    <row r="1128" spans="2:11" x14ac:dyDescent="0.25">
      <c r="B1128"/>
      <c r="K1128"/>
    </row>
    <row r="1129" spans="2:11" x14ac:dyDescent="0.25">
      <c r="B1129"/>
      <c r="K1129"/>
    </row>
    <row r="1130" spans="2:11" x14ac:dyDescent="0.25">
      <c r="B1130"/>
      <c r="K1130"/>
    </row>
    <row r="1131" spans="2:11" x14ac:dyDescent="0.25">
      <c r="B1131"/>
      <c r="K1131"/>
    </row>
    <row r="1132" spans="2:11" x14ac:dyDescent="0.25">
      <c r="B1132"/>
      <c r="K1132"/>
    </row>
    <row r="1133" spans="2:11" x14ac:dyDescent="0.25">
      <c r="B1133"/>
      <c r="K1133"/>
    </row>
    <row r="1134" spans="2:11" x14ac:dyDescent="0.25">
      <c r="B1134"/>
      <c r="K1134"/>
    </row>
    <row r="1135" spans="2:11" x14ac:dyDescent="0.25">
      <c r="B1135"/>
      <c r="K1135"/>
    </row>
    <row r="1136" spans="2:11" x14ac:dyDescent="0.25">
      <c r="B1136"/>
      <c r="K1136"/>
    </row>
    <row r="1137" spans="2:11" x14ac:dyDescent="0.25">
      <c r="B1137"/>
      <c r="K1137"/>
    </row>
    <row r="1138" spans="2:11" x14ac:dyDescent="0.25">
      <c r="B1138"/>
      <c r="K1138"/>
    </row>
    <row r="1139" spans="2:11" x14ac:dyDescent="0.25">
      <c r="B1139"/>
      <c r="K1139"/>
    </row>
    <row r="1140" spans="2:11" x14ac:dyDescent="0.25">
      <c r="B1140"/>
      <c r="K1140"/>
    </row>
    <row r="1141" spans="2:11" x14ac:dyDescent="0.25">
      <c r="B1141"/>
      <c r="K1141"/>
    </row>
    <row r="1142" spans="2:11" x14ac:dyDescent="0.25">
      <c r="B1142"/>
      <c r="K1142"/>
    </row>
    <row r="1143" spans="2:11" x14ac:dyDescent="0.25">
      <c r="B1143"/>
      <c r="K1143"/>
    </row>
    <row r="1144" spans="2:11" x14ac:dyDescent="0.25">
      <c r="B1144"/>
      <c r="K1144"/>
    </row>
    <row r="1145" spans="2:11" x14ac:dyDescent="0.25">
      <c r="B1145"/>
      <c r="K1145"/>
    </row>
    <row r="1146" spans="2:11" x14ac:dyDescent="0.25">
      <c r="B1146"/>
      <c r="K1146"/>
    </row>
    <row r="1147" spans="2:11" x14ac:dyDescent="0.25">
      <c r="B1147"/>
      <c r="K1147"/>
    </row>
    <row r="1148" spans="2:11" x14ac:dyDescent="0.25">
      <c r="B1148"/>
      <c r="K1148"/>
    </row>
    <row r="1149" spans="2:11" x14ac:dyDescent="0.25">
      <c r="B1149"/>
      <c r="K1149"/>
    </row>
    <row r="1150" spans="2:11" x14ac:dyDescent="0.25">
      <c r="B1150"/>
      <c r="K1150"/>
    </row>
    <row r="1151" spans="2:11" x14ac:dyDescent="0.25">
      <c r="B1151"/>
      <c r="K1151"/>
    </row>
    <row r="1152" spans="2:11" x14ac:dyDescent="0.25">
      <c r="B1152"/>
      <c r="K1152"/>
    </row>
    <row r="1153" spans="2:11" x14ac:dyDescent="0.25">
      <c r="B1153"/>
      <c r="K1153"/>
    </row>
    <row r="1154" spans="2:11" x14ac:dyDescent="0.25">
      <c r="B1154"/>
      <c r="K1154"/>
    </row>
    <row r="1155" spans="2:11" x14ac:dyDescent="0.25">
      <c r="B1155"/>
      <c r="K1155"/>
    </row>
    <row r="1156" spans="2:11" x14ac:dyDescent="0.25">
      <c r="B1156"/>
      <c r="K1156"/>
    </row>
    <row r="1157" spans="2:11" x14ac:dyDescent="0.25">
      <c r="B1157"/>
      <c r="K1157"/>
    </row>
    <row r="1158" spans="2:11" x14ac:dyDescent="0.25">
      <c r="B1158"/>
      <c r="K1158"/>
    </row>
    <row r="1159" spans="2:11" x14ac:dyDescent="0.25">
      <c r="B1159"/>
      <c r="K1159"/>
    </row>
    <row r="1160" spans="2:11" x14ac:dyDescent="0.25">
      <c r="B1160"/>
      <c r="K1160"/>
    </row>
    <row r="1161" spans="2:11" x14ac:dyDescent="0.25">
      <c r="B1161"/>
      <c r="K1161"/>
    </row>
    <row r="1162" spans="2:11" x14ac:dyDescent="0.25">
      <c r="B1162"/>
      <c r="K1162"/>
    </row>
    <row r="1163" spans="2:11" x14ac:dyDescent="0.25">
      <c r="B1163"/>
      <c r="K1163"/>
    </row>
    <row r="1164" spans="2:11" x14ac:dyDescent="0.25">
      <c r="B1164"/>
      <c r="K1164"/>
    </row>
    <row r="1165" spans="2:11" x14ac:dyDescent="0.25">
      <c r="B1165"/>
      <c r="K1165"/>
    </row>
    <row r="1166" spans="2:11" x14ac:dyDescent="0.25">
      <c r="B1166"/>
      <c r="K1166"/>
    </row>
    <row r="1167" spans="2:11" x14ac:dyDescent="0.25">
      <c r="B1167"/>
      <c r="K1167"/>
    </row>
    <row r="1168" spans="2:11" x14ac:dyDescent="0.25">
      <c r="B1168"/>
      <c r="K1168"/>
    </row>
    <row r="1169" spans="2:11" x14ac:dyDescent="0.25">
      <c r="B1169"/>
      <c r="K1169"/>
    </row>
    <row r="1170" spans="2:11" x14ac:dyDescent="0.25">
      <c r="B1170"/>
      <c r="K1170"/>
    </row>
    <row r="1171" spans="2:11" x14ac:dyDescent="0.25">
      <c r="B1171"/>
      <c r="K1171"/>
    </row>
    <row r="1172" spans="2:11" x14ac:dyDescent="0.25">
      <c r="B1172"/>
      <c r="K1172"/>
    </row>
    <row r="1173" spans="2:11" x14ac:dyDescent="0.25">
      <c r="B1173"/>
      <c r="K1173"/>
    </row>
    <row r="1174" spans="2:11" x14ac:dyDescent="0.25">
      <c r="B1174"/>
      <c r="K1174"/>
    </row>
    <row r="1175" spans="2:11" x14ac:dyDescent="0.25">
      <c r="B1175"/>
      <c r="K1175"/>
    </row>
    <row r="1176" spans="2:11" x14ac:dyDescent="0.25">
      <c r="B1176"/>
      <c r="K1176"/>
    </row>
    <row r="1177" spans="2:11" x14ac:dyDescent="0.25">
      <c r="B1177"/>
      <c r="K1177"/>
    </row>
    <row r="1178" spans="2:11" x14ac:dyDescent="0.25">
      <c r="B1178"/>
      <c r="K1178"/>
    </row>
    <row r="1179" spans="2:11" x14ac:dyDescent="0.25">
      <c r="B1179"/>
      <c r="K1179"/>
    </row>
    <row r="1180" spans="2:11" x14ac:dyDescent="0.25">
      <c r="B1180"/>
      <c r="K1180"/>
    </row>
    <row r="1181" spans="2:11" x14ac:dyDescent="0.25">
      <c r="B1181"/>
      <c r="K1181"/>
    </row>
    <row r="1182" spans="2:11" x14ac:dyDescent="0.25">
      <c r="B1182"/>
      <c r="K1182"/>
    </row>
    <row r="1183" spans="2:11" x14ac:dyDescent="0.25">
      <c r="B1183"/>
      <c r="K1183"/>
    </row>
    <row r="1184" spans="2:11" x14ac:dyDescent="0.25">
      <c r="B1184"/>
      <c r="K1184"/>
    </row>
    <row r="1185" spans="2:11" x14ac:dyDescent="0.25">
      <c r="B1185"/>
      <c r="K1185"/>
    </row>
    <row r="1186" spans="2:11" x14ac:dyDescent="0.25">
      <c r="B1186"/>
      <c r="K1186"/>
    </row>
    <row r="1187" spans="2:11" x14ac:dyDescent="0.25">
      <c r="B1187"/>
      <c r="K1187"/>
    </row>
    <row r="1188" spans="2:11" x14ac:dyDescent="0.25">
      <c r="B1188"/>
      <c r="K1188"/>
    </row>
    <row r="1189" spans="2:11" x14ac:dyDescent="0.25">
      <c r="B1189"/>
      <c r="K1189"/>
    </row>
    <row r="1190" spans="2:11" x14ac:dyDescent="0.25">
      <c r="B1190"/>
      <c r="K1190"/>
    </row>
    <row r="1191" spans="2:11" x14ac:dyDescent="0.25">
      <c r="B1191"/>
      <c r="K1191"/>
    </row>
    <row r="1192" spans="2:11" x14ac:dyDescent="0.25">
      <c r="B1192"/>
      <c r="K1192"/>
    </row>
    <row r="1193" spans="2:11" x14ac:dyDescent="0.25">
      <c r="B1193"/>
      <c r="K1193"/>
    </row>
    <row r="1194" spans="2:11" x14ac:dyDescent="0.25">
      <c r="B1194"/>
      <c r="K1194"/>
    </row>
    <row r="1195" spans="2:11" x14ac:dyDescent="0.25">
      <c r="B1195"/>
      <c r="K1195"/>
    </row>
    <row r="1196" spans="2:11" x14ac:dyDescent="0.25">
      <c r="B1196"/>
      <c r="K1196"/>
    </row>
    <row r="1197" spans="2:11" x14ac:dyDescent="0.25">
      <c r="B1197"/>
      <c r="K1197"/>
    </row>
    <row r="1198" spans="2:11" x14ac:dyDescent="0.25">
      <c r="B1198"/>
      <c r="K1198"/>
    </row>
    <row r="1199" spans="2:11" x14ac:dyDescent="0.25">
      <c r="B1199"/>
      <c r="K1199"/>
    </row>
    <row r="1200" spans="2:11" x14ac:dyDescent="0.25">
      <c r="B1200"/>
      <c r="K1200"/>
    </row>
    <row r="1201" spans="2:11" x14ac:dyDescent="0.25">
      <c r="B1201"/>
      <c r="K1201"/>
    </row>
    <row r="1202" spans="2:11" x14ac:dyDescent="0.25">
      <c r="B1202"/>
      <c r="K1202"/>
    </row>
    <row r="1203" spans="2:11" x14ac:dyDescent="0.25">
      <c r="B1203"/>
      <c r="K1203"/>
    </row>
    <row r="1204" spans="2:11" x14ac:dyDescent="0.25">
      <c r="B1204"/>
      <c r="K1204"/>
    </row>
    <row r="1205" spans="2:11" x14ac:dyDescent="0.25">
      <c r="B1205"/>
      <c r="K1205"/>
    </row>
    <row r="1206" spans="2:11" x14ac:dyDescent="0.25">
      <c r="B1206"/>
      <c r="K1206"/>
    </row>
    <row r="1207" spans="2:11" x14ac:dyDescent="0.25">
      <c r="B1207"/>
      <c r="K1207"/>
    </row>
    <row r="1208" spans="2:11" x14ac:dyDescent="0.25">
      <c r="B1208"/>
      <c r="K1208"/>
    </row>
    <row r="1209" spans="2:11" x14ac:dyDescent="0.25">
      <c r="B1209"/>
      <c r="K1209"/>
    </row>
    <row r="1210" spans="2:11" x14ac:dyDescent="0.25">
      <c r="B1210"/>
      <c r="K1210"/>
    </row>
    <row r="1211" spans="2:11" x14ac:dyDescent="0.25">
      <c r="B1211"/>
      <c r="K1211"/>
    </row>
    <row r="1212" spans="2:11" x14ac:dyDescent="0.25">
      <c r="B1212"/>
      <c r="K1212"/>
    </row>
    <row r="1213" spans="2:11" x14ac:dyDescent="0.25">
      <c r="B1213"/>
      <c r="K1213"/>
    </row>
    <row r="1214" spans="2:11" x14ac:dyDescent="0.25">
      <c r="B1214"/>
      <c r="K1214"/>
    </row>
    <row r="1215" spans="2:11" x14ac:dyDescent="0.25">
      <c r="B1215"/>
      <c r="K1215"/>
    </row>
    <row r="1216" spans="2:11" x14ac:dyDescent="0.25">
      <c r="B1216"/>
      <c r="K1216"/>
    </row>
    <row r="1217" spans="2:11" x14ac:dyDescent="0.25">
      <c r="B1217"/>
      <c r="K1217"/>
    </row>
    <row r="1218" spans="2:11" x14ac:dyDescent="0.25">
      <c r="B1218"/>
      <c r="K1218"/>
    </row>
    <row r="1219" spans="2:11" x14ac:dyDescent="0.25">
      <c r="B1219"/>
      <c r="K1219"/>
    </row>
    <row r="1220" spans="2:11" x14ac:dyDescent="0.25">
      <c r="B1220"/>
      <c r="K1220"/>
    </row>
    <row r="1221" spans="2:11" x14ac:dyDescent="0.25">
      <c r="B1221"/>
      <c r="K1221"/>
    </row>
    <row r="1222" spans="2:11" x14ac:dyDescent="0.25">
      <c r="B1222"/>
      <c r="K1222"/>
    </row>
    <row r="1223" spans="2:11" x14ac:dyDescent="0.25">
      <c r="B1223"/>
      <c r="K1223"/>
    </row>
    <row r="1224" spans="2:11" x14ac:dyDescent="0.25">
      <c r="B1224"/>
      <c r="K1224"/>
    </row>
    <row r="1225" spans="2:11" x14ac:dyDescent="0.25">
      <c r="B1225"/>
      <c r="K1225"/>
    </row>
    <row r="1226" spans="2:11" x14ac:dyDescent="0.25">
      <c r="B1226"/>
      <c r="K1226"/>
    </row>
    <row r="1227" spans="2:11" x14ac:dyDescent="0.25">
      <c r="B1227"/>
      <c r="K1227"/>
    </row>
    <row r="1228" spans="2:11" x14ac:dyDescent="0.25">
      <c r="B1228"/>
      <c r="K1228"/>
    </row>
    <row r="1229" spans="2:11" x14ac:dyDescent="0.25">
      <c r="B1229"/>
      <c r="K1229"/>
    </row>
    <row r="1230" spans="2:11" x14ac:dyDescent="0.25">
      <c r="B1230"/>
      <c r="K1230"/>
    </row>
    <row r="1231" spans="2:11" x14ac:dyDescent="0.25">
      <c r="B1231"/>
      <c r="K1231"/>
    </row>
    <row r="1232" spans="2:11" x14ac:dyDescent="0.25">
      <c r="B1232"/>
      <c r="K1232"/>
    </row>
    <row r="1233" spans="2:11" x14ac:dyDescent="0.25">
      <c r="B1233"/>
      <c r="K1233"/>
    </row>
    <row r="1234" spans="2:11" x14ac:dyDescent="0.25">
      <c r="B1234"/>
      <c r="K1234"/>
    </row>
    <row r="1235" spans="2:11" x14ac:dyDescent="0.25">
      <c r="B1235"/>
      <c r="K1235"/>
    </row>
    <row r="1236" spans="2:11" x14ac:dyDescent="0.25">
      <c r="B1236"/>
      <c r="K1236"/>
    </row>
    <row r="1237" spans="2:11" x14ac:dyDescent="0.25">
      <c r="B1237"/>
      <c r="K1237"/>
    </row>
    <row r="1238" spans="2:11" x14ac:dyDescent="0.25">
      <c r="B1238"/>
      <c r="K1238"/>
    </row>
    <row r="1239" spans="2:11" x14ac:dyDescent="0.25">
      <c r="B1239"/>
      <c r="K1239"/>
    </row>
    <row r="1240" spans="2:11" x14ac:dyDescent="0.25">
      <c r="B1240"/>
      <c r="K1240"/>
    </row>
    <row r="1241" spans="2:11" x14ac:dyDescent="0.25">
      <c r="B1241"/>
      <c r="K1241"/>
    </row>
    <row r="1242" spans="2:11" x14ac:dyDescent="0.25">
      <c r="B1242"/>
      <c r="K1242"/>
    </row>
    <row r="1243" spans="2:11" x14ac:dyDescent="0.25">
      <c r="B1243"/>
      <c r="K1243"/>
    </row>
    <row r="1244" spans="2:11" x14ac:dyDescent="0.25">
      <c r="B1244"/>
      <c r="K1244"/>
    </row>
    <row r="1245" spans="2:11" x14ac:dyDescent="0.25">
      <c r="B1245"/>
      <c r="K1245"/>
    </row>
    <row r="1246" spans="2:11" x14ac:dyDescent="0.25">
      <c r="B1246"/>
      <c r="K1246"/>
    </row>
    <row r="1247" spans="2:11" x14ac:dyDescent="0.25">
      <c r="B1247"/>
      <c r="K1247"/>
    </row>
    <row r="1248" spans="2:11" x14ac:dyDescent="0.25">
      <c r="B1248"/>
      <c r="K1248"/>
    </row>
    <row r="1249" spans="2:11" x14ac:dyDescent="0.25">
      <c r="B1249"/>
      <c r="K1249"/>
    </row>
    <row r="1250" spans="2:11" x14ac:dyDescent="0.25">
      <c r="B1250"/>
      <c r="K1250"/>
    </row>
    <row r="1251" spans="2:11" x14ac:dyDescent="0.25">
      <c r="B1251"/>
      <c r="K1251"/>
    </row>
    <row r="1252" spans="2:11" x14ac:dyDescent="0.25">
      <c r="B1252"/>
      <c r="K1252"/>
    </row>
    <row r="1253" spans="2:11" x14ac:dyDescent="0.25">
      <c r="B1253"/>
      <c r="K1253"/>
    </row>
    <row r="1254" spans="2:11" x14ac:dyDescent="0.25">
      <c r="B1254"/>
      <c r="K1254"/>
    </row>
    <row r="1255" spans="2:11" x14ac:dyDescent="0.25">
      <c r="B1255"/>
      <c r="K1255"/>
    </row>
    <row r="1256" spans="2:11" x14ac:dyDescent="0.25">
      <c r="B1256"/>
      <c r="K1256"/>
    </row>
    <row r="1257" spans="2:11" x14ac:dyDescent="0.25">
      <c r="B1257"/>
      <c r="K1257"/>
    </row>
    <row r="1258" spans="2:11" x14ac:dyDescent="0.25">
      <c r="B1258"/>
      <c r="K1258"/>
    </row>
    <row r="1259" spans="2:11" x14ac:dyDescent="0.25">
      <c r="B1259"/>
      <c r="K1259"/>
    </row>
    <row r="1260" spans="2:11" x14ac:dyDescent="0.25">
      <c r="B1260"/>
      <c r="K1260"/>
    </row>
    <row r="1261" spans="2:11" x14ac:dyDescent="0.25">
      <c r="B1261"/>
      <c r="K1261"/>
    </row>
    <row r="1262" spans="2:11" x14ac:dyDescent="0.25">
      <c r="B1262"/>
      <c r="K1262"/>
    </row>
    <row r="1263" spans="2:11" x14ac:dyDescent="0.25">
      <c r="B1263"/>
      <c r="K1263"/>
    </row>
    <row r="1264" spans="2:11" x14ac:dyDescent="0.25">
      <c r="B1264"/>
      <c r="K1264"/>
    </row>
    <row r="1265" spans="2:11" x14ac:dyDescent="0.25">
      <c r="B1265"/>
      <c r="K1265"/>
    </row>
    <row r="1266" spans="2:11" x14ac:dyDescent="0.25">
      <c r="B1266"/>
      <c r="K1266"/>
    </row>
    <row r="1267" spans="2:11" x14ac:dyDescent="0.25">
      <c r="B1267"/>
      <c r="K1267"/>
    </row>
    <row r="1268" spans="2:11" x14ac:dyDescent="0.25">
      <c r="B1268"/>
      <c r="K1268"/>
    </row>
    <row r="1269" spans="2:11" x14ac:dyDescent="0.25">
      <c r="B1269"/>
      <c r="K1269"/>
    </row>
    <row r="1270" spans="2:11" x14ac:dyDescent="0.25">
      <c r="B1270"/>
      <c r="K1270"/>
    </row>
    <row r="1271" spans="2:11" x14ac:dyDescent="0.25">
      <c r="B1271"/>
      <c r="K1271"/>
    </row>
    <row r="1272" spans="2:11" x14ac:dyDescent="0.25">
      <c r="B1272"/>
      <c r="K1272"/>
    </row>
    <row r="1273" spans="2:11" x14ac:dyDescent="0.25">
      <c r="B1273"/>
      <c r="K1273"/>
    </row>
    <row r="1274" spans="2:11" x14ac:dyDescent="0.25">
      <c r="B1274"/>
      <c r="K1274"/>
    </row>
    <row r="1275" spans="2:11" x14ac:dyDescent="0.25">
      <c r="B1275"/>
      <c r="K1275"/>
    </row>
    <row r="1276" spans="2:11" x14ac:dyDescent="0.25">
      <c r="B1276"/>
      <c r="K1276"/>
    </row>
    <row r="1277" spans="2:11" x14ac:dyDescent="0.25">
      <c r="B1277"/>
      <c r="K1277"/>
    </row>
    <row r="1278" spans="2:11" x14ac:dyDescent="0.25">
      <c r="B1278"/>
      <c r="K1278"/>
    </row>
    <row r="1279" spans="2:11" x14ac:dyDescent="0.25">
      <c r="B1279"/>
      <c r="K1279"/>
    </row>
    <row r="1280" spans="2:11" x14ac:dyDescent="0.25">
      <c r="B1280"/>
      <c r="K1280"/>
    </row>
    <row r="1281" spans="2:11" x14ac:dyDescent="0.25">
      <c r="B1281"/>
      <c r="K1281"/>
    </row>
    <row r="1282" spans="2:11" x14ac:dyDescent="0.25">
      <c r="B1282"/>
      <c r="K1282"/>
    </row>
    <row r="1283" spans="2:11" x14ac:dyDescent="0.25">
      <c r="B1283"/>
      <c r="K1283"/>
    </row>
    <row r="1284" spans="2:11" x14ac:dyDescent="0.25">
      <c r="B1284"/>
      <c r="K1284"/>
    </row>
    <row r="1285" spans="2:11" x14ac:dyDescent="0.25">
      <c r="B1285"/>
      <c r="K1285"/>
    </row>
    <row r="1286" spans="2:11" x14ac:dyDescent="0.25">
      <c r="B1286"/>
      <c r="K1286"/>
    </row>
    <row r="1287" spans="2:11" x14ac:dyDescent="0.25">
      <c r="B1287"/>
      <c r="K1287"/>
    </row>
    <row r="1288" spans="2:11" x14ac:dyDescent="0.25">
      <c r="B1288"/>
      <c r="K1288"/>
    </row>
    <row r="1289" spans="2:11" x14ac:dyDescent="0.25">
      <c r="B1289"/>
      <c r="K1289"/>
    </row>
    <row r="1290" spans="2:11" x14ac:dyDescent="0.25">
      <c r="B1290"/>
      <c r="K1290"/>
    </row>
    <row r="1291" spans="2:11" x14ac:dyDescent="0.25">
      <c r="B1291"/>
      <c r="K1291"/>
    </row>
    <row r="1292" spans="2:11" x14ac:dyDescent="0.25">
      <c r="B1292"/>
      <c r="K1292"/>
    </row>
    <row r="1293" spans="2:11" x14ac:dyDescent="0.25">
      <c r="B1293"/>
      <c r="K1293"/>
    </row>
    <row r="1294" spans="2:11" x14ac:dyDescent="0.25">
      <c r="B1294"/>
      <c r="K1294"/>
    </row>
    <row r="1295" spans="2:11" x14ac:dyDescent="0.25">
      <c r="B1295"/>
      <c r="K1295"/>
    </row>
    <row r="1296" spans="2:11" x14ac:dyDescent="0.25">
      <c r="B1296"/>
      <c r="K1296"/>
    </row>
    <row r="1297" spans="2:11" x14ac:dyDescent="0.25">
      <c r="B1297"/>
      <c r="K1297"/>
    </row>
    <row r="1298" spans="2:11" x14ac:dyDescent="0.25">
      <c r="B1298"/>
      <c r="K1298"/>
    </row>
    <row r="1299" spans="2:11" x14ac:dyDescent="0.25">
      <c r="B1299"/>
      <c r="K1299"/>
    </row>
    <row r="1300" spans="2:11" x14ac:dyDescent="0.25">
      <c r="B1300"/>
      <c r="K1300"/>
    </row>
    <row r="1301" spans="2:11" x14ac:dyDescent="0.25">
      <c r="B1301"/>
      <c r="K1301"/>
    </row>
    <row r="1302" spans="2:11" x14ac:dyDescent="0.25">
      <c r="B1302"/>
      <c r="K1302"/>
    </row>
    <row r="1303" spans="2:11" x14ac:dyDescent="0.25">
      <c r="B1303"/>
      <c r="K1303"/>
    </row>
    <row r="1304" spans="2:11" x14ac:dyDescent="0.25">
      <c r="B1304"/>
      <c r="K1304"/>
    </row>
    <row r="1305" spans="2:11" x14ac:dyDescent="0.25">
      <c r="B1305"/>
      <c r="K1305"/>
    </row>
    <row r="1306" spans="2:11" x14ac:dyDescent="0.25">
      <c r="B1306"/>
      <c r="K1306"/>
    </row>
    <row r="1307" spans="2:11" x14ac:dyDescent="0.25">
      <c r="B1307"/>
      <c r="K1307"/>
    </row>
    <row r="1308" spans="2:11" x14ac:dyDescent="0.25">
      <c r="B1308"/>
      <c r="K1308"/>
    </row>
    <row r="1309" spans="2:11" x14ac:dyDescent="0.25">
      <c r="B1309"/>
      <c r="K1309"/>
    </row>
    <row r="1310" spans="2:11" x14ac:dyDescent="0.25">
      <c r="B1310"/>
      <c r="K1310"/>
    </row>
    <row r="1311" spans="2:11" x14ac:dyDescent="0.25">
      <c r="B1311"/>
      <c r="K1311"/>
    </row>
    <row r="1312" spans="2:11" x14ac:dyDescent="0.25">
      <c r="B1312"/>
      <c r="K1312"/>
    </row>
    <row r="1313" spans="2:11" x14ac:dyDescent="0.25">
      <c r="B1313"/>
      <c r="K1313"/>
    </row>
    <row r="1314" spans="2:11" x14ac:dyDescent="0.25">
      <c r="B1314"/>
      <c r="K1314"/>
    </row>
    <row r="1315" spans="2:11" x14ac:dyDescent="0.25">
      <c r="B1315"/>
      <c r="K1315"/>
    </row>
    <row r="1316" spans="2:11" x14ac:dyDescent="0.25">
      <c r="B1316"/>
      <c r="K1316"/>
    </row>
    <row r="1317" spans="2:11" x14ac:dyDescent="0.25">
      <c r="B1317"/>
      <c r="K1317"/>
    </row>
    <row r="1318" spans="2:11" x14ac:dyDescent="0.25">
      <c r="B1318"/>
      <c r="K1318"/>
    </row>
    <row r="1319" spans="2:11" x14ac:dyDescent="0.25">
      <c r="B1319"/>
      <c r="K1319"/>
    </row>
    <row r="1320" spans="2:11" x14ac:dyDescent="0.25">
      <c r="B1320"/>
      <c r="K1320"/>
    </row>
    <row r="1321" spans="2:11" x14ac:dyDescent="0.25">
      <c r="B1321"/>
      <c r="K1321"/>
    </row>
    <row r="1322" spans="2:11" x14ac:dyDescent="0.25">
      <c r="B1322"/>
      <c r="K1322"/>
    </row>
    <row r="1323" spans="2:11" x14ac:dyDescent="0.25">
      <c r="B1323"/>
      <c r="K1323"/>
    </row>
    <row r="1324" spans="2:11" x14ac:dyDescent="0.25">
      <c r="B1324"/>
      <c r="K1324"/>
    </row>
    <row r="1325" spans="2:11" x14ac:dyDescent="0.25">
      <c r="B1325"/>
      <c r="K1325"/>
    </row>
    <row r="1326" spans="2:11" x14ac:dyDescent="0.25">
      <c r="B1326"/>
      <c r="K1326"/>
    </row>
    <row r="1327" spans="2:11" x14ac:dyDescent="0.25">
      <c r="B1327"/>
      <c r="K1327"/>
    </row>
    <row r="1328" spans="2:11" x14ac:dyDescent="0.25">
      <c r="B1328"/>
      <c r="K1328"/>
    </row>
    <row r="1329" spans="2:11" x14ac:dyDescent="0.25">
      <c r="B1329"/>
      <c r="K1329"/>
    </row>
    <row r="1330" spans="2:11" x14ac:dyDescent="0.25">
      <c r="B1330"/>
      <c r="K1330"/>
    </row>
    <row r="1331" spans="2:11" x14ac:dyDescent="0.25">
      <c r="B1331"/>
      <c r="K1331"/>
    </row>
    <row r="1332" spans="2:11" x14ac:dyDescent="0.25">
      <c r="B1332"/>
      <c r="K1332"/>
    </row>
    <row r="1333" spans="2:11" x14ac:dyDescent="0.25">
      <c r="B1333"/>
      <c r="K1333"/>
    </row>
    <row r="1334" spans="2:11" x14ac:dyDescent="0.25">
      <c r="B1334"/>
      <c r="K1334"/>
    </row>
    <row r="1335" spans="2:11" x14ac:dyDescent="0.25">
      <c r="B1335"/>
      <c r="K1335"/>
    </row>
    <row r="1336" spans="2:11" x14ac:dyDescent="0.25">
      <c r="B1336"/>
      <c r="K1336"/>
    </row>
    <row r="1337" spans="2:11" x14ac:dyDescent="0.25">
      <c r="B1337"/>
      <c r="K1337"/>
    </row>
    <row r="1338" spans="2:11" x14ac:dyDescent="0.25">
      <c r="B1338"/>
      <c r="K1338"/>
    </row>
    <row r="1339" spans="2:11" x14ac:dyDescent="0.25">
      <c r="B1339"/>
      <c r="K1339"/>
    </row>
    <row r="1340" spans="2:11" x14ac:dyDescent="0.25">
      <c r="B1340"/>
      <c r="K1340"/>
    </row>
    <row r="1341" spans="2:11" x14ac:dyDescent="0.25">
      <c r="B1341"/>
      <c r="K1341"/>
    </row>
    <row r="1342" spans="2:11" x14ac:dyDescent="0.25">
      <c r="B1342"/>
      <c r="K1342"/>
    </row>
    <row r="1343" spans="2:11" x14ac:dyDescent="0.25">
      <c r="B1343"/>
      <c r="K1343"/>
    </row>
    <row r="1344" spans="2:11" x14ac:dyDescent="0.25">
      <c r="B1344"/>
      <c r="K1344"/>
    </row>
    <row r="1345" spans="2:11" x14ac:dyDescent="0.25">
      <c r="B1345"/>
      <c r="K1345"/>
    </row>
    <row r="1346" spans="2:11" x14ac:dyDescent="0.25">
      <c r="B1346"/>
      <c r="K1346"/>
    </row>
    <row r="1347" spans="2:11" x14ac:dyDescent="0.25">
      <c r="B1347"/>
      <c r="K1347"/>
    </row>
    <row r="1348" spans="2:11" x14ac:dyDescent="0.25">
      <c r="B1348"/>
      <c r="K1348"/>
    </row>
    <row r="1349" spans="2:11" x14ac:dyDescent="0.25">
      <c r="B1349"/>
      <c r="K1349"/>
    </row>
    <row r="1350" spans="2:11" x14ac:dyDescent="0.25">
      <c r="B1350"/>
      <c r="K1350"/>
    </row>
    <row r="1351" spans="2:11" x14ac:dyDescent="0.25">
      <c r="B1351"/>
      <c r="K1351"/>
    </row>
    <row r="1352" spans="2:11" x14ac:dyDescent="0.25">
      <c r="B1352"/>
      <c r="K1352"/>
    </row>
    <row r="1353" spans="2:11" x14ac:dyDescent="0.25">
      <c r="B1353"/>
      <c r="K1353"/>
    </row>
    <row r="1354" spans="2:11" x14ac:dyDescent="0.25">
      <c r="B1354"/>
      <c r="K1354"/>
    </row>
    <row r="1355" spans="2:11" x14ac:dyDescent="0.25">
      <c r="B1355"/>
      <c r="K1355"/>
    </row>
    <row r="1356" spans="2:11" x14ac:dyDescent="0.25">
      <c r="B1356"/>
      <c r="K1356"/>
    </row>
    <row r="1357" spans="2:11" x14ac:dyDescent="0.25">
      <c r="B1357"/>
      <c r="K1357"/>
    </row>
    <row r="1358" spans="2:11" x14ac:dyDescent="0.25">
      <c r="B1358"/>
      <c r="K1358"/>
    </row>
    <row r="1359" spans="2:11" x14ac:dyDescent="0.25">
      <c r="B1359"/>
      <c r="K1359"/>
    </row>
    <row r="1360" spans="2:11" x14ac:dyDescent="0.25">
      <c r="B1360"/>
      <c r="K1360"/>
    </row>
    <row r="1361" spans="2:11" x14ac:dyDescent="0.25">
      <c r="B1361"/>
      <c r="K1361"/>
    </row>
    <row r="1362" spans="2:11" x14ac:dyDescent="0.25">
      <c r="B1362"/>
      <c r="K1362"/>
    </row>
    <row r="1363" spans="2:11" x14ac:dyDescent="0.25">
      <c r="B1363"/>
      <c r="K1363"/>
    </row>
    <row r="1364" spans="2:11" x14ac:dyDescent="0.25">
      <c r="B1364"/>
      <c r="K1364"/>
    </row>
    <row r="1365" spans="2:11" x14ac:dyDescent="0.25">
      <c r="B1365"/>
      <c r="K1365"/>
    </row>
    <row r="1366" spans="2:11" x14ac:dyDescent="0.25">
      <c r="B1366"/>
      <c r="K1366"/>
    </row>
    <row r="1367" spans="2:11" x14ac:dyDescent="0.25">
      <c r="B1367"/>
      <c r="K1367"/>
    </row>
    <row r="1368" spans="2:11" x14ac:dyDescent="0.25">
      <c r="B1368"/>
      <c r="K1368"/>
    </row>
    <row r="1369" spans="2:11" x14ac:dyDescent="0.25">
      <c r="B1369"/>
      <c r="K1369"/>
    </row>
    <row r="1370" spans="2:11" x14ac:dyDescent="0.25">
      <c r="B1370"/>
      <c r="K1370"/>
    </row>
    <row r="1371" spans="2:11" x14ac:dyDescent="0.25">
      <c r="B1371"/>
      <c r="K1371"/>
    </row>
    <row r="1372" spans="2:11" x14ac:dyDescent="0.25">
      <c r="B1372"/>
      <c r="K1372"/>
    </row>
    <row r="1373" spans="2:11" x14ac:dyDescent="0.25">
      <c r="B1373"/>
      <c r="K1373"/>
    </row>
    <row r="1374" spans="2:11" x14ac:dyDescent="0.25">
      <c r="B1374"/>
      <c r="K1374"/>
    </row>
    <row r="1375" spans="2:11" x14ac:dyDescent="0.25">
      <c r="B1375"/>
      <c r="K1375"/>
    </row>
    <row r="1376" spans="2:11" x14ac:dyDescent="0.25">
      <c r="B1376"/>
      <c r="K1376"/>
    </row>
    <row r="1377" spans="2:11" x14ac:dyDescent="0.25">
      <c r="B1377"/>
      <c r="K1377"/>
    </row>
    <row r="1378" spans="2:11" x14ac:dyDescent="0.25">
      <c r="B1378"/>
      <c r="K1378"/>
    </row>
    <row r="1379" spans="2:11" x14ac:dyDescent="0.25">
      <c r="B1379"/>
      <c r="K1379"/>
    </row>
    <row r="1380" spans="2:11" x14ac:dyDescent="0.25">
      <c r="B1380"/>
      <c r="K1380"/>
    </row>
    <row r="1381" spans="2:11" x14ac:dyDescent="0.25">
      <c r="B1381"/>
      <c r="K1381"/>
    </row>
    <row r="1382" spans="2:11" x14ac:dyDescent="0.25">
      <c r="B1382"/>
      <c r="K1382"/>
    </row>
    <row r="1383" spans="2:11" x14ac:dyDescent="0.25">
      <c r="B1383"/>
      <c r="K1383"/>
    </row>
    <row r="1384" spans="2:11" x14ac:dyDescent="0.25">
      <c r="B1384"/>
      <c r="K1384"/>
    </row>
    <row r="1385" spans="2:11" x14ac:dyDescent="0.25">
      <c r="B1385"/>
      <c r="K1385"/>
    </row>
    <row r="1386" spans="2:11" x14ac:dyDescent="0.25">
      <c r="B1386"/>
      <c r="K1386"/>
    </row>
    <row r="1387" spans="2:11" x14ac:dyDescent="0.25">
      <c r="B1387"/>
      <c r="K1387"/>
    </row>
    <row r="1388" spans="2:11" x14ac:dyDescent="0.25">
      <c r="B1388"/>
      <c r="K1388"/>
    </row>
    <row r="1389" spans="2:11" x14ac:dyDescent="0.25">
      <c r="B1389"/>
      <c r="K1389"/>
    </row>
    <row r="1390" spans="2:11" x14ac:dyDescent="0.25">
      <c r="B1390"/>
      <c r="K1390"/>
    </row>
    <row r="1391" spans="2:11" x14ac:dyDescent="0.25">
      <c r="B1391"/>
      <c r="K1391"/>
    </row>
    <row r="1392" spans="2:11" x14ac:dyDescent="0.25">
      <c r="B1392"/>
      <c r="K1392"/>
    </row>
    <row r="1393" spans="2:11" x14ac:dyDescent="0.25">
      <c r="B1393"/>
      <c r="K1393"/>
    </row>
    <row r="1394" spans="2:11" x14ac:dyDescent="0.25">
      <c r="B1394"/>
      <c r="K1394"/>
    </row>
    <row r="1395" spans="2:11" x14ac:dyDescent="0.25">
      <c r="B1395"/>
      <c r="K1395"/>
    </row>
    <row r="1396" spans="2:11" x14ac:dyDescent="0.25">
      <c r="B1396"/>
      <c r="K1396"/>
    </row>
    <row r="1397" spans="2:11" x14ac:dyDescent="0.25">
      <c r="B1397"/>
      <c r="K1397"/>
    </row>
    <row r="1398" spans="2:11" x14ac:dyDescent="0.25">
      <c r="B1398"/>
      <c r="K1398"/>
    </row>
    <row r="1399" spans="2:11" x14ac:dyDescent="0.25">
      <c r="B1399"/>
      <c r="K1399"/>
    </row>
    <row r="1400" spans="2:11" x14ac:dyDescent="0.25">
      <c r="B1400"/>
      <c r="K1400"/>
    </row>
    <row r="1401" spans="2:11" x14ac:dyDescent="0.25">
      <c r="B1401"/>
      <c r="K1401"/>
    </row>
    <row r="1402" spans="2:11" x14ac:dyDescent="0.25">
      <c r="B1402"/>
      <c r="K1402"/>
    </row>
    <row r="1403" spans="2:11" x14ac:dyDescent="0.25">
      <c r="B1403"/>
      <c r="K1403"/>
    </row>
    <row r="1404" spans="2:11" x14ac:dyDescent="0.25">
      <c r="B1404"/>
      <c r="K1404"/>
    </row>
    <row r="1405" spans="2:11" x14ac:dyDescent="0.25">
      <c r="B1405"/>
      <c r="K1405"/>
    </row>
    <row r="1406" spans="2:11" x14ac:dyDescent="0.25">
      <c r="B1406"/>
      <c r="K1406"/>
    </row>
    <row r="1407" spans="2:11" x14ac:dyDescent="0.25">
      <c r="B1407"/>
      <c r="K1407"/>
    </row>
    <row r="1408" spans="2:11" x14ac:dyDescent="0.25">
      <c r="B1408"/>
      <c r="K1408"/>
    </row>
    <row r="1409" spans="2:11" x14ac:dyDescent="0.25">
      <c r="B1409"/>
      <c r="K1409"/>
    </row>
    <row r="1410" spans="2:11" x14ac:dyDescent="0.25">
      <c r="B1410"/>
      <c r="K1410"/>
    </row>
    <row r="1411" spans="2:11" x14ac:dyDescent="0.25">
      <c r="B1411"/>
      <c r="K1411"/>
    </row>
    <row r="1412" spans="2:11" x14ac:dyDescent="0.25">
      <c r="B1412"/>
      <c r="K1412"/>
    </row>
    <row r="1413" spans="2:11" x14ac:dyDescent="0.25">
      <c r="B1413"/>
      <c r="K1413"/>
    </row>
    <row r="1414" spans="2:11" x14ac:dyDescent="0.25">
      <c r="B1414"/>
      <c r="K1414"/>
    </row>
    <row r="1415" spans="2:11" x14ac:dyDescent="0.25">
      <c r="B1415"/>
      <c r="K1415"/>
    </row>
    <row r="1416" spans="2:11" x14ac:dyDescent="0.25">
      <c r="B1416"/>
      <c r="K1416"/>
    </row>
    <row r="1417" spans="2:11" x14ac:dyDescent="0.25">
      <c r="B1417"/>
      <c r="K1417"/>
    </row>
    <row r="1418" spans="2:11" x14ac:dyDescent="0.25">
      <c r="B1418"/>
      <c r="K1418"/>
    </row>
    <row r="1419" spans="2:11" x14ac:dyDescent="0.25">
      <c r="B1419"/>
      <c r="K1419"/>
    </row>
    <row r="1420" spans="2:11" x14ac:dyDescent="0.25">
      <c r="B1420"/>
      <c r="K1420"/>
    </row>
    <row r="1421" spans="2:11" x14ac:dyDescent="0.25">
      <c r="B1421"/>
      <c r="K1421"/>
    </row>
    <row r="1422" spans="2:11" x14ac:dyDescent="0.25">
      <c r="B1422"/>
      <c r="K1422"/>
    </row>
    <row r="1423" spans="2:11" x14ac:dyDescent="0.25">
      <c r="B1423"/>
      <c r="K1423"/>
    </row>
    <row r="1424" spans="2:11" x14ac:dyDescent="0.25">
      <c r="B1424"/>
      <c r="K1424"/>
    </row>
    <row r="1425" spans="2:11" x14ac:dyDescent="0.25">
      <c r="B1425"/>
      <c r="K1425"/>
    </row>
    <row r="1426" spans="2:11" x14ac:dyDescent="0.25">
      <c r="B1426"/>
      <c r="K1426"/>
    </row>
    <row r="1427" spans="2:11" x14ac:dyDescent="0.25">
      <c r="B1427"/>
      <c r="K1427"/>
    </row>
    <row r="1428" spans="2:11" x14ac:dyDescent="0.25">
      <c r="B1428"/>
      <c r="K1428"/>
    </row>
    <row r="1429" spans="2:11" x14ac:dyDescent="0.25">
      <c r="B1429"/>
      <c r="K1429"/>
    </row>
    <row r="1430" spans="2:11" x14ac:dyDescent="0.25">
      <c r="B1430"/>
      <c r="K1430"/>
    </row>
    <row r="1431" spans="2:11" x14ac:dyDescent="0.25">
      <c r="B1431"/>
      <c r="K1431"/>
    </row>
    <row r="1432" spans="2:11" x14ac:dyDescent="0.25">
      <c r="B1432"/>
      <c r="K1432"/>
    </row>
    <row r="1433" spans="2:11" x14ac:dyDescent="0.25">
      <c r="B1433"/>
      <c r="K1433"/>
    </row>
    <row r="1434" spans="2:11" x14ac:dyDescent="0.25">
      <c r="B1434"/>
      <c r="K1434"/>
    </row>
    <row r="1435" spans="2:11" x14ac:dyDescent="0.25">
      <c r="B1435"/>
      <c r="K1435"/>
    </row>
    <row r="1436" spans="2:11" x14ac:dyDescent="0.25">
      <c r="B1436"/>
      <c r="K1436"/>
    </row>
    <row r="1437" spans="2:11" x14ac:dyDescent="0.25">
      <c r="B1437"/>
      <c r="K1437"/>
    </row>
    <row r="1438" spans="2:11" x14ac:dyDescent="0.25">
      <c r="B1438"/>
      <c r="K1438"/>
    </row>
    <row r="1439" spans="2:11" x14ac:dyDescent="0.25">
      <c r="B1439"/>
      <c r="K1439"/>
    </row>
    <row r="1440" spans="2:11" x14ac:dyDescent="0.25">
      <c r="B1440"/>
      <c r="K1440"/>
    </row>
    <row r="1441" spans="2:11" x14ac:dyDescent="0.25">
      <c r="B1441"/>
      <c r="K1441"/>
    </row>
    <row r="1442" spans="2:11" x14ac:dyDescent="0.25">
      <c r="B1442"/>
      <c r="K1442"/>
    </row>
    <row r="1443" spans="2:11" x14ac:dyDescent="0.25">
      <c r="B1443"/>
      <c r="K1443"/>
    </row>
    <row r="1444" spans="2:11" x14ac:dyDescent="0.25">
      <c r="B1444"/>
      <c r="K1444"/>
    </row>
    <row r="1445" spans="2:11" x14ac:dyDescent="0.25">
      <c r="B1445"/>
      <c r="K1445"/>
    </row>
    <row r="1446" spans="2:11" x14ac:dyDescent="0.25">
      <c r="B1446"/>
      <c r="K1446"/>
    </row>
    <row r="1447" spans="2:11" x14ac:dyDescent="0.25">
      <c r="B1447"/>
      <c r="K1447"/>
    </row>
    <row r="1448" spans="2:11" x14ac:dyDescent="0.25">
      <c r="B1448"/>
      <c r="K1448"/>
    </row>
    <row r="1449" spans="2:11" x14ac:dyDescent="0.25">
      <c r="B1449"/>
      <c r="K1449"/>
    </row>
    <row r="1450" spans="2:11" x14ac:dyDescent="0.25">
      <c r="B1450"/>
      <c r="K1450"/>
    </row>
    <row r="1451" spans="2:11" x14ac:dyDescent="0.25">
      <c r="B1451"/>
      <c r="K1451"/>
    </row>
    <row r="1452" spans="2:11" x14ac:dyDescent="0.25">
      <c r="B1452"/>
      <c r="K1452"/>
    </row>
    <row r="1453" spans="2:11" x14ac:dyDescent="0.25">
      <c r="B1453"/>
      <c r="K1453"/>
    </row>
    <row r="1454" spans="2:11" x14ac:dyDescent="0.25">
      <c r="B1454"/>
      <c r="K1454"/>
    </row>
    <row r="1455" spans="2:11" x14ac:dyDescent="0.25">
      <c r="B1455"/>
      <c r="K1455"/>
    </row>
    <row r="1456" spans="2:11" x14ac:dyDescent="0.25">
      <c r="B1456"/>
      <c r="K1456"/>
    </row>
    <row r="1457" spans="2:11" x14ac:dyDescent="0.25">
      <c r="B1457"/>
      <c r="K1457"/>
    </row>
    <row r="1458" spans="2:11" x14ac:dyDescent="0.25">
      <c r="B1458"/>
      <c r="K1458"/>
    </row>
    <row r="1459" spans="2:11" x14ac:dyDescent="0.25">
      <c r="B1459"/>
      <c r="K1459"/>
    </row>
    <row r="1460" spans="2:11" x14ac:dyDescent="0.25">
      <c r="B1460"/>
      <c r="K1460"/>
    </row>
    <row r="1461" spans="2:11" x14ac:dyDescent="0.25">
      <c r="B1461"/>
      <c r="K1461"/>
    </row>
    <row r="1462" spans="2:11" x14ac:dyDescent="0.25">
      <c r="B1462"/>
      <c r="K1462"/>
    </row>
    <row r="1463" spans="2:11" x14ac:dyDescent="0.25">
      <c r="B1463"/>
      <c r="K1463"/>
    </row>
    <row r="1464" spans="2:11" x14ac:dyDescent="0.25">
      <c r="B1464"/>
      <c r="K1464"/>
    </row>
    <row r="1465" spans="2:11" x14ac:dyDescent="0.25">
      <c r="B1465"/>
      <c r="K1465"/>
    </row>
    <row r="1466" spans="2:11" x14ac:dyDescent="0.25">
      <c r="B1466"/>
      <c r="K1466"/>
    </row>
    <row r="1467" spans="2:11" x14ac:dyDescent="0.25">
      <c r="B1467"/>
      <c r="K1467"/>
    </row>
    <row r="1468" spans="2:11" x14ac:dyDescent="0.25">
      <c r="B1468"/>
      <c r="K1468"/>
    </row>
    <row r="1469" spans="2:11" x14ac:dyDescent="0.25">
      <c r="B1469"/>
      <c r="K1469"/>
    </row>
    <row r="1470" spans="2:11" x14ac:dyDescent="0.25">
      <c r="B1470"/>
      <c r="K1470"/>
    </row>
    <row r="1471" spans="2:11" x14ac:dyDescent="0.25">
      <c r="B1471"/>
      <c r="K1471"/>
    </row>
    <row r="1472" spans="2:11" x14ac:dyDescent="0.25">
      <c r="B1472"/>
      <c r="K1472"/>
    </row>
    <row r="1473" spans="2:11" x14ac:dyDescent="0.25">
      <c r="B1473"/>
      <c r="K1473"/>
    </row>
    <row r="1474" spans="2:11" x14ac:dyDescent="0.25">
      <c r="B1474"/>
      <c r="K1474"/>
    </row>
    <row r="1475" spans="2:11" x14ac:dyDescent="0.25">
      <c r="B1475"/>
      <c r="K1475"/>
    </row>
    <row r="1476" spans="2:11" x14ac:dyDescent="0.25">
      <c r="B1476"/>
      <c r="K1476"/>
    </row>
    <row r="1477" spans="2:11" x14ac:dyDescent="0.25">
      <c r="B1477"/>
      <c r="K1477"/>
    </row>
    <row r="1478" spans="2:11" x14ac:dyDescent="0.25">
      <c r="B1478"/>
      <c r="K1478"/>
    </row>
    <row r="1479" spans="2:11" x14ac:dyDescent="0.25">
      <c r="B1479"/>
      <c r="K1479"/>
    </row>
    <row r="1480" spans="2:11" x14ac:dyDescent="0.25">
      <c r="B1480"/>
      <c r="K1480"/>
    </row>
    <row r="1481" spans="2:11" x14ac:dyDescent="0.25">
      <c r="B1481"/>
      <c r="K1481"/>
    </row>
    <row r="1482" spans="2:11" x14ac:dyDescent="0.25">
      <c r="B1482"/>
      <c r="K1482"/>
    </row>
    <row r="1483" spans="2:11" x14ac:dyDescent="0.25">
      <c r="B1483"/>
      <c r="K1483"/>
    </row>
    <row r="1484" spans="2:11" x14ac:dyDescent="0.25">
      <c r="B1484"/>
      <c r="K1484"/>
    </row>
    <row r="1485" spans="2:11" x14ac:dyDescent="0.25">
      <c r="B1485"/>
      <c r="K1485"/>
    </row>
    <row r="1486" spans="2:11" x14ac:dyDescent="0.25">
      <c r="B1486"/>
      <c r="K1486"/>
    </row>
    <row r="1487" spans="2:11" x14ac:dyDescent="0.25">
      <c r="B1487"/>
      <c r="K1487"/>
    </row>
    <row r="1488" spans="2:11" x14ac:dyDescent="0.25">
      <c r="B1488"/>
      <c r="K1488"/>
    </row>
    <row r="1489" spans="2:11" x14ac:dyDescent="0.25">
      <c r="B1489"/>
      <c r="K1489"/>
    </row>
    <row r="1490" spans="2:11" x14ac:dyDescent="0.25">
      <c r="B1490"/>
      <c r="K1490"/>
    </row>
    <row r="1491" spans="2:11" x14ac:dyDescent="0.25">
      <c r="B1491"/>
      <c r="K1491"/>
    </row>
    <row r="1492" spans="2:11" x14ac:dyDescent="0.25">
      <c r="B1492"/>
      <c r="K1492"/>
    </row>
    <row r="1493" spans="2:11" x14ac:dyDescent="0.25">
      <c r="B1493"/>
      <c r="K1493"/>
    </row>
    <row r="1494" spans="2:11" x14ac:dyDescent="0.25">
      <c r="B1494"/>
      <c r="K1494"/>
    </row>
    <row r="1495" spans="2:11" x14ac:dyDescent="0.25">
      <c r="B1495"/>
      <c r="K1495"/>
    </row>
    <row r="1496" spans="2:11" x14ac:dyDescent="0.25">
      <c r="B1496"/>
      <c r="K1496"/>
    </row>
    <row r="1497" spans="2:11" x14ac:dyDescent="0.25">
      <c r="B1497"/>
      <c r="K1497"/>
    </row>
    <row r="1498" spans="2:11" x14ac:dyDescent="0.25">
      <c r="B1498"/>
      <c r="K1498"/>
    </row>
    <row r="1499" spans="2:11" x14ac:dyDescent="0.25">
      <c r="B1499"/>
      <c r="K1499"/>
    </row>
    <row r="1500" spans="2:11" x14ac:dyDescent="0.25">
      <c r="B1500"/>
      <c r="K1500"/>
    </row>
    <row r="1501" spans="2:11" x14ac:dyDescent="0.25">
      <c r="B1501"/>
      <c r="K1501"/>
    </row>
    <row r="1502" spans="2:11" x14ac:dyDescent="0.25">
      <c r="B1502"/>
      <c r="K1502"/>
    </row>
    <row r="1503" spans="2:11" x14ac:dyDescent="0.25">
      <c r="B1503"/>
      <c r="K1503"/>
    </row>
    <row r="1504" spans="2:11" x14ac:dyDescent="0.25">
      <c r="B1504"/>
      <c r="K1504"/>
    </row>
    <row r="1505" spans="2:11" x14ac:dyDescent="0.25">
      <c r="B1505"/>
      <c r="K1505"/>
    </row>
    <row r="1506" spans="2:11" x14ac:dyDescent="0.25">
      <c r="B1506"/>
      <c r="K1506"/>
    </row>
    <row r="1507" spans="2:11" x14ac:dyDescent="0.25">
      <c r="B1507"/>
      <c r="K1507"/>
    </row>
    <row r="1508" spans="2:11" x14ac:dyDescent="0.25">
      <c r="B1508"/>
      <c r="K1508"/>
    </row>
    <row r="1509" spans="2:11" x14ac:dyDescent="0.25">
      <c r="B1509"/>
      <c r="K1509"/>
    </row>
    <row r="1510" spans="2:11" x14ac:dyDescent="0.25">
      <c r="B1510"/>
      <c r="K1510"/>
    </row>
    <row r="1511" spans="2:11" x14ac:dyDescent="0.25">
      <c r="B1511"/>
      <c r="K1511"/>
    </row>
    <row r="1512" spans="2:11" x14ac:dyDescent="0.25">
      <c r="B1512"/>
      <c r="K1512"/>
    </row>
    <row r="1513" spans="2:11" x14ac:dyDescent="0.25">
      <c r="B1513"/>
      <c r="K1513"/>
    </row>
    <row r="1514" spans="2:11" x14ac:dyDescent="0.25">
      <c r="B1514"/>
      <c r="K1514"/>
    </row>
    <row r="1515" spans="2:11" x14ac:dyDescent="0.25">
      <c r="B1515"/>
      <c r="K1515"/>
    </row>
    <row r="1516" spans="2:11" x14ac:dyDescent="0.25">
      <c r="B1516"/>
      <c r="K1516"/>
    </row>
    <row r="1517" spans="2:11" x14ac:dyDescent="0.25">
      <c r="B1517"/>
      <c r="K1517"/>
    </row>
    <row r="1518" spans="2:11" x14ac:dyDescent="0.25">
      <c r="B1518"/>
      <c r="K1518"/>
    </row>
    <row r="1519" spans="2:11" x14ac:dyDescent="0.25">
      <c r="B1519"/>
      <c r="K1519"/>
    </row>
    <row r="1520" spans="2:11" x14ac:dyDescent="0.25">
      <c r="B1520"/>
      <c r="K1520"/>
    </row>
    <row r="1521" spans="2:11" x14ac:dyDescent="0.25">
      <c r="B1521"/>
      <c r="K1521"/>
    </row>
    <row r="1522" spans="2:11" x14ac:dyDescent="0.25">
      <c r="B1522"/>
      <c r="K1522"/>
    </row>
    <row r="1523" spans="2:11" x14ac:dyDescent="0.25">
      <c r="B1523"/>
      <c r="K1523"/>
    </row>
    <row r="1524" spans="2:11" x14ac:dyDescent="0.25">
      <c r="B1524"/>
      <c r="K1524"/>
    </row>
    <row r="1525" spans="2:11" x14ac:dyDescent="0.25">
      <c r="B1525"/>
      <c r="K1525"/>
    </row>
    <row r="1526" spans="2:11" x14ac:dyDescent="0.25">
      <c r="B1526"/>
      <c r="K1526"/>
    </row>
    <row r="1527" spans="2:11" x14ac:dyDescent="0.25">
      <c r="B1527"/>
      <c r="K1527"/>
    </row>
    <row r="1528" spans="2:11" x14ac:dyDescent="0.25">
      <c r="B1528"/>
      <c r="K1528"/>
    </row>
    <row r="1529" spans="2:11" x14ac:dyDescent="0.25">
      <c r="B1529"/>
      <c r="K1529"/>
    </row>
    <row r="1530" spans="2:11" x14ac:dyDescent="0.25">
      <c r="B1530"/>
      <c r="K1530"/>
    </row>
    <row r="1531" spans="2:11" x14ac:dyDescent="0.25">
      <c r="B1531"/>
      <c r="K1531"/>
    </row>
    <row r="1532" spans="2:11" x14ac:dyDescent="0.25">
      <c r="B1532"/>
      <c r="K1532"/>
    </row>
    <row r="1533" spans="2:11" x14ac:dyDescent="0.25">
      <c r="B1533"/>
      <c r="K1533"/>
    </row>
    <row r="1534" spans="2:11" x14ac:dyDescent="0.25">
      <c r="B1534"/>
      <c r="K1534"/>
    </row>
    <row r="1535" spans="2:11" x14ac:dyDescent="0.25">
      <c r="B1535"/>
      <c r="K1535"/>
    </row>
    <row r="1536" spans="2:11" x14ac:dyDescent="0.25">
      <c r="B1536"/>
      <c r="K1536"/>
    </row>
    <row r="1537" spans="2:11" x14ac:dyDescent="0.25">
      <c r="B1537"/>
      <c r="K1537"/>
    </row>
    <row r="1538" spans="2:11" x14ac:dyDescent="0.25">
      <c r="B1538"/>
      <c r="K1538"/>
    </row>
    <row r="1539" spans="2:11" x14ac:dyDescent="0.25">
      <c r="B1539"/>
      <c r="K1539"/>
    </row>
    <row r="1540" spans="2:11" x14ac:dyDescent="0.25">
      <c r="B1540"/>
      <c r="K1540"/>
    </row>
    <row r="1541" spans="2:11" x14ac:dyDescent="0.25">
      <c r="B1541"/>
      <c r="K1541"/>
    </row>
    <row r="1542" spans="2:11" x14ac:dyDescent="0.25">
      <c r="B1542"/>
      <c r="K1542"/>
    </row>
    <row r="1543" spans="2:11" x14ac:dyDescent="0.25">
      <c r="B1543"/>
      <c r="K1543"/>
    </row>
    <row r="1544" spans="2:11" x14ac:dyDescent="0.25">
      <c r="B1544"/>
      <c r="K1544"/>
    </row>
    <row r="1545" spans="2:11" x14ac:dyDescent="0.25">
      <c r="B1545"/>
      <c r="K1545"/>
    </row>
    <row r="1546" spans="2:11" x14ac:dyDescent="0.25">
      <c r="B1546"/>
      <c r="K1546"/>
    </row>
    <row r="1547" spans="2:11" x14ac:dyDescent="0.25">
      <c r="B1547"/>
      <c r="K1547"/>
    </row>
    <row r="1548" spans="2:11" x14ac:dyDescent="0.25">
      <c r="B1548"/>
      <c r="K1548"/>
    </row>
    <row r="1549" spans="2:11" x14ac:dyDescent="0.25">
      <c r="B1549"/>
      <c r="K1549"/>
    </row>
    <row r="1550" spans="2:11" x14ac:dyDescent="0.25">
      <c r="B1550"/>
      <c r="K1550"/>
    </row>
    <row r="1551" spans="2:11" x14ac:dyDescent="0.25">
      <c r="B1551"/>
      <c r="K1551"/>
    </row>
    <row r="1552" spans="2:11" x14ac:dyDescent="0.25">
      <c r="B1552"/>
      <c r="K1552"/>
    </row>
    <row r="1553" spans="2:11" x14ac:dyDescent="0.25">
      <c r="B1553"/>
      <c r="K1553"/>
    </row>
    <row r="1554" spans="2:11" x14ac:dyDescent="0.25">
      <c r="B1554"/>
      <c r="K1554"/>
    </row>
    <row r="1555" spans="2:11" x14ac:dyDescent="0.25">
      <c r="B1555"/>
      <c r="K1555"/>
    </row>
    <row r="1556" spans="2:11" x14ac:dyDescent="0.25">
      <c r="B1556"/>
      <c r="K1556"/>
    </row>
    <row r="1557" spans="2:11" x14ac:dyDescent="0.25">
      <c r="B1557"/>
      <c r="K1557"/>
    </row>
    <row r="1558" spans="2:11" x14ac:dyDescent="0.25">
      <c r="B1558"/>
      <c r="K1558"/>
    </row>
    <row r="1559" spans="2:11" x14ac:dyDescent="0.25">
      <c r="B1559"/>
      <c r="K1559"/>
    </row>
    <row r="1560" spans="2:11" x14ac:dyDescent="0.25">
      <c r="B1560"/>
      <c r="K1560"/>
    </row>
    <row r="1561" spans="2:11" x14ac:dyDescent="0.25">
      <c r="B1561"/>
      <c r="K1561"/>
    </row>
    <row r="1562" spans="2:11" x14ac:dyDescent="0.25">
      <c r="B1562"/>
      <c r="K1562"/>
    </row>
    <row r="1563" spans="2:11" x14ac:dyDescent="0.25">
      <c r="B1563"/>
      <c r="K1563"/>
    </row>
    <row r="1564" spans="2:11" x14ac:dyDescent="0.25">
      <c r="B1564"/>
      <c r="K1564"/>
    </row>
    <row r="1565" spans="2:11" x14ac:dyDescent="0.25">
      <c r="B1565"/>
      <c r="K1565"/>
    </row>
    <row r="1566" spans="2:11" x14ac:dyDescent="0.25">
      <c r="B1566"/>
      <c r="K1566"/>
    </row>
    <row r="1567" spans="2:11" x14ac:dyDescent="0.25">
      <c r="B1567"/>
      <c r="K1567"/>
    </row>
    <row r="1568" spans="2:11" x14ac:dyDescent="0.25">
      <c r="B1568"/>
      <c r="K1568"/>
    </row>
    <row r="1569" spans="2:11" x14ac:dyDescent="0.25">
      <c r="B1569"/>
      <c r="K1569"/>
    </row>
    <row r="1570" spans="2:11" x14ac:dyDescent="0.25">
      <c r="B1570"/>
      <c r="K1570"/>
    </row>
    <row r="1571" spans="2:11" x14ac:dyDescent="0.25">
      <c r="B1571"/>
      <c r="K1571"/>
    </row>
    <row r="1572" spans="2:11" x14ac:dyDescent="0.25">
      <c r="B1572"/>
      <c r="K1572"/>
    </row>
    <row r="1573" spans="2:11" x14ac:dyDescent="0.25">
      <c r="B1573"/>
      <c r="K1573"/>
    </row>
    <row r="1574" spans="2:11" x14ac:dyDescent="0.25">
      <c r="B1574"/>
      <c r="K1574"/>
    </row>
    <row r="1575" spans="2:11" x14ac:dyDescent="0.25">
      <c r="B1575"/>
      <c r="K1575"/>
    </row>
    <row r="1576" spans="2:11" x14ac:dyDescent="0.25">
      <c r="B1576"/>
      <c r="K1576"/>
    </row>
    <row r="1577" spans="2:11" x14ac:dyDescent="0.25">
      <c r="B1577"/>
      <c r="K1577"/>
    </row>
    <row r="1578" spans="2:11" x14ac:dyDescent="0.25">
      <c r="B1578"/>
      <c r="K1578"/>
    </row>
    <row r="1579" spans="2:11" x14ac:dyDescent="0.25">
      <c r="B1579"/>
      <c r="K1579"/>
    </row>
    <row r="1580" spans="2:11" x14ac:dyDescent="0.25">
      <c r="B1580"/>
      <c r="K1580"/>
    </row>
    <row r="1581" spans="2:11" x14ac:dyDescent="0.25">
      <c r="B1581"/>
      <c r="K1581"/>
    </row>
    <row r="1582" spans="2:11" x14ac:dyDescent="0.25">
      <c r="B1582"/>
      <c r="K1582"/>
    </row>
    <row r="1583" spans="2:11" x14ac:dyDescent="0.25">
      <c r="B1583"/>
      <c r="K1583"/>
    </row>
    <row r="1584" spans="2:11" x14ac:dyDescent="0.25">
      <c r="B1584"/>
      <c r="K1584"/>
    </row>
    <row r="1585" spans="2:11" x14ac:dyDescent="0.25">
      <c r="B1585"/>
      <c r="K1585"/>
    </row>
    <row r="1586" spans="2:11" x14ac:dyDescent="0.25">
      <c r="B1586"/>
      <c r="K1586"/>
    </row>
    <row r="1587" spans="2:11" x14ac:dyDescent="0.25">
      <c r="B1587"/>
      <c r="K1587"/>
    </row>
    <row r="1588" spans="2:11" x14ac:dyDescent="0.25">
      <c r="B1588"/>
      <c r="K1588"/>
    </row>
    <row r="1589" spans="2:11" x14ac:dyDescent="0.25">
      <c r="B1589"/>
      <c r="K1589"/>
    </row>
    <row r="1590" spans="2:11" x14ac:dyDescent="0.25">
      <c r="B1590"/>
      <c r="K1590"/>
    </row>
    <row r="1591" spans="2:11" x14ac:dyDescent="0.25">
      <c r="B1591"/>
      <c r="K1591"/>
    </row>
    <row r="1592" spans="2:11" x14ac:dyDescent="0.25">
      <c r="B1592"/>
      <c r="K1592"/>
    </row>
    <row r="1593" spans="2:11" x14ac:dyDescent="0.25">
      <c r="B1593"/>
      <c r="K1593"/>
    </row>
    <row r="1594" spans="2:11" x14ac:dyDescent="0.25">
      <c r="B1594"/>
      <c r="K1594"/>
    </row>
    <row r="1595" spans="2:11" x14ac:dyDescent="0.25">
      <c r="B1595"/>
      <c r="K1595"/>
    </row>
    <row r="1596" spans="2:11" x14ac:dyDescent="0.25">
      <c r="B1596"/>
      <c r="K1596"/>
    </row>
    <row r="1597" spans="2:11" x14ac:dyDescent="0.25">
      <c r="B1597"/>
      <c r="K1597"/>
    </row>
    <row r="1598" spans="2:11" x14ac:dyDescent="0.25">
      <c r="B1598"/>
      <c r="K1598"/>
    </row>
    <row r="1599" spans="2:11" x14ac:dyDescent="0.25">
      <c r="B1599"/>
      <c r="K1599"/>
    </row>
    <row r="1600" spans="2:11" x14ac:dyDescent="0.25">
      <c r="B1600"/>
      <c r="K1600"/>
    </row>
    <row r="1601" spans="2:11" x14ac:dyDescent="0.25">
      <c r="B1601"/>
      <c r="K1601"/>
    </row>
    <row r="1602" spans="2:11" x14ac:dyDescent="0.25">
      <c r="B1602"/>
      <c r="K1602"/>
    </row>
    <row r="1603" spans="2:11" x14ac:dyDescent="0.25">
      <c r="B1603"/>
      <c r="K1603"/>
    </row>
    <row r="1604" spans="2:11" x14ac:dyDescent="0.25">
      <c r="B1604"/>
      <c r="K1604"/>
    </row>
    <row r="1605" spans="2:11" x14ac:dyDescent="0.25">
      <c r="B1605"/>
      <c r="K1605"/>
    </row>
    <row r="1606" spans="2:11" x14ac:dyDescent="0.25">
      <c r="B1606"/>
      <c r="K1606"/>
    </row>
    <row r="1607" spans="2:11" x14ac:dyDescent="0.25">
      <c r="B1607"/>
      <c r="K1607"/>
    </row>
    <row r="1608" spans="2:11" x14ac:dyDescent="0.25">
      <c r="B1608"/>
      <c r="K1608"/>
    </row>
    <row r="1609" spans="2:11" x14ac:dyDescent="0.25">
      <c r="B1609"/>
      <c r="K1609"/>
    </row>
    <row r="1610" spans="2:11" x14ac:dyDescent="0.25">
      <c r="B1610"/>
      <c r="K1610"/>
    </row>
    <row r="1611" spans="2:11" x14ac:dyDescent="0.25">
      <c r="B1611"/>
      <c r="K1611"/>
    </row>
    <row r="1612" spans="2:11" x14ac:dyDescent="0.25">
      <c r="B1612"/>
      <c r="K1612"/>
    </row>
    <row r="1613" spans="2:11" x14ac:dyDescent="0.25">
      <c r="B1613"/>
      <c r="K1613"/>
    </row>
    <row r="1614" spans="2:11" x14ac:dyDescent="0.25">
      <c r="B1614"/>
      <c r="K1614"/>
    </row>
    <row r="1615" spans="2:11" x14ac:dyDescent="0.25">
      <c r="B1615"/>
      <c r="K1615"/>
    </row>
    <row r="1616" spans="2:11" x14ac:dyDescent="0.25">
      <c r="B1616"/>
      <c r="K1616"/>
    </row>
    <row r="1617" spans="2:11" x14ac:dyDescent="0.25">
      <c r="B1617"/>
      <c r="K1617"/>
    </row>
    <row r="1618" spans="2:11" x14ac:dyDescent="0.25">
      <c r="B1618"/>
      <c r="K1618"/>
    </row>
    <row r="1619" spans="2:11" x14ac:dyDescent="0.25">
      <c r="B1619"/>
      <c r="K1619"/>
    </row>
    <row r="1620" spans="2:11" x14ac:dyDescent="0.25">
      <c r="B1620"/>
      <c r="K1620"/>
    </row>
    <row r="1621" spans="2:11" x14ac:dyDescent="0.25">
      <c r="B1621"/>
      <c r="K1621"/>
    </row>
    <row r="1622" spans="2:11" x14ac:dyDescent="0.25">
      <c r="B1622"/>
      <c r="K1622"/>
    </row>
    <row r="1623" spans="2:11" x14ac:dyDescent="0.25">
      <c r="B1623"/>
      <c r="K1623"/>
    </row>
    <row r="1624" spans="2:11" x14ac:dyDescent="0.25">
      <c r="B1624"/>
      <c r="K1624"/>
    </row>
    <row r="1625" spans="2:11" x14ac:dyDescent="0.25">
      <c r="B1625"/>
      <c r="K1625"/>
    </row>
    <row r="1626" spans="2:11" x14ac:dyDescent="0.25">
      <c r="B1626"/>
      <c r="K1626"/>
    </row>
    <row r="1627" spans="2:11" x14ac:dyDescent="0.25">
      <c r="B1627"/>
      <c r="K1627"/>
    </row>
    <row r="1628" spans="2:11" x14ac:dyDescent="0.25">
      <c r="B1628"/>
      <c r="K1628"/>
    </row>
    <row r="1629" spans="2:11" x14ac:dyDescent="0.25">
      <c r="B1629"/>
      <c r="K1629"/>
    </row>
    <row r="1630" spans="2:11" x14ac:dyDescent="0.25">
      <c r="B1630"/>
      <c r="K1630"/>
    </row>
    <row r="1631" spans="2:11" x14ac:dyDescent="0.25">
      <c r="B1631"/>
      <c r="K1631"/>
    </row>
    <row r="1632" spans="2:11" x14ac:dyDescent="0.25">
      <c r="B1632"/>
      <c r="K1632"/>
    </row>
    <row r="1633" spans="2:11" x14ac:dyDescent="0.25">
      <c r="B1633"/>
      <c r="K1633"/>
    </row>
    <row r="1634" spans="2:11" x14ac:dyDescent="0.25">
      <c r="B1634"/>
      <c r="K1634"/>
    </row>
    <row r="1635" spans="2:11" x14ac:dyDescent="0.25">
      <c r="B1635"/>
      <c r="K1635"/>
    </row>
    <row r="1636" spans="2:11" x14ac:dyDescent="0.25">
      <c r="B1636"/>
      <c r="K1636"/>
    </row>
    <row r="1637" spans="2:11" x14ac:dyDescent="0.25">
      <c r="B1637"/>
      <c r="K1637"/>
    </row>
    <row r="1638" spans="2:11" x14ac:dyDescent="0.25">
      <c r="B1638"/>
      <c r="K1638"/>
    </row>
    <row r="1639" spans="2:11" x14ac:dyDescent="0.25">
      <c r="B1639"/>
      <c r="K1639"/>
    </row>
    <row r="1640" spans="2:11" x14ac:dyDescent="0.25">
      <c r="B1640"/>
      <c r="K1640"/>
    </row>
    <row r="1641" spans="2:11" x14ac:dyDescent="0.25">
      <c r="B1641"/>
      <c r="K1641"/>
    </row>
    <row r="1642" spans="2:11" x14ac:dyDescent="0.25">
      <c r="B1642"/>
      <c r="K1642"/>
    </row>
    <row r="1643" spans="2:11" x14ac:dyDescent="0.25">
      <c r="B1643"/>
      <c r="K1643"/>
    </row>
    <row r="1644" spans="2:11" x14ac:dyDescent="0.25">
      <c r="B1644"/>
      <c r="K1644"/>
    </row>
    <row r="1645" spans="2:11" x14ac:dyDescent="0.25">
      <c r="B1645"/>
      <c r="K1645"/>
    </row>
    <row r="1646" spans="2:11" x14ac:dyDescent="0.25">
      <c r="B1646"/>
      <c r="K1646"/>
    </row>
    <row r="1647" spans="2:11" x14ac:dyDescent="0.25">
      <c r="B1647"/>
      <c r="K1647"/>
    </row>
    <row r="1648" spans="2:11" x14ac:dyDescent="0.25">
      <c r="B1648"/>
      <c r="K1648"/>
    </row>
    <row r="1649" spans="2:11" x14ac:dyDescent="0.25">
      <c r="B1649"/>
      <c r="K1649"/>
    </row>
    <row r="1650" spans="2:11" x14ac:dyDescent="0.25">
      <c r="B1650"/>
      <c r="K1650"/>
    </row>
    <row r="1651" spans="2:11" x14ac:dyDescent="0.25">
      <c r="B1651"/>
      <c r="K1651"/>
    </row>
    <row r="1652" spans="2:11" x14ac:dyDescent="0.25">
      <c r="B1652"/>
      <c r="K1652"/>
    </row>
    <row r="1653" spans="2:11" x14ac:dyDescent="0.25">
      <c r="B1653"/>
      <c r="K1653"/>
    </row>
    <row r="1654" spans="2:11" x14ac:dyDescent="0.25">
      <c r="B1654"/>
      <c r="K1654"/>
    </row>
    <row r="1655" spans="2:11" x14ac:dyDescent="0.25">
      <c r="B1655"/>
      <c r="K1655"/>
    </row>
    <row r="1656" spans="2:11" x14ac:dyDescent="0.25">
      <c r="B1656"/>
      <c r="K1656"/>
    </row>
    <row r="1657" spans="2:11" x14ac:dyDescent="0.25">
      <c r="B1657"/>
      <c r="K1657"/>
    </row>
    <row r="1658" spans="2:11" x14ac:dyDescent="0.25">
      <c r="B1658"/>
      <c r="K1658"/>
    </row>
    <row r="1659" spans="2:11" x14ac:dyDescent="0.25">
      <c r="B1659"/>
      <c r="K1659"/>
    </row>
    <row r="1660" spans="2:11" x14ac:dyDescent="0.25">
      <c r="B1660"/>
      <c r="K1660"/>
    </row>
    <row r="1661" spans="2:11" x14ac:dyDescent="0.25">
      <c r="B1661"/>
      <c r="K1661"/>
    </row>
    <row r="1662" spans="2:11" x14ac:dyDescent="0.25">
      <c r="B1662"/>
      <c r="K1662"/>
    </row>
    <row r="1663" spans="2:11" x14ac:dyDescent="0.25">
      <c r="B1663"/>
      <c r="K1663"/>
    </row>
    <row r="1664" spans="2:11" x14ac:dyDescent="0.25">
      <c r="B1664"/>
      <c r="K1664"/>
    </row>
    <row r="1665" spans="2:11" x14ac:dyDescent="0.25">
      <c r="B1665"/>
      <c r="K1665"/>
    </row>
    <row r="1666" spans="2:11" x14ac:dyDescent="0.25">
      <c r="B1666"/>
      <c r="K1666"/>
    </row>
    <row r="1667" spans="2:11" x14ac:dyDescent="0.25">
      <c r="B1667"/>
      <c r="K1667"/>
    </row>
    <row r="1668" spans="2:11" x14ac:dyDescent="0.25">
      <c r="B1668"/>
      <c r="K1668"/>
    </row>
    <row r="1669" spans="2:11" x14ac:dyDescent="0.25">
      <c r="B1669"/>
      <c r="K1669"/>
    </row>
    <row r="1670" spans="2:11" x14ac:dyDescent="0.25">
      <c r="B1670"/>
      <c r="K1670"/>
    </row>
    <row r="1671" spans="2:11" x14ac:dyDescent="0.25">
      <c r="B1671"/>
      <c r="K1671"/>
    </row>
    <row r="1672" spans="2:11" x14ac:dyDescent="0.25">
      <c r="B1672"/>
      <c r="K1672"/>
    </row>
    <row r="1673" spans="2:11" x14ac:dyDescent="0.25">
      <c r="B1673"/>
      <c r="K1673"/>
    </row>
    <row r="1674" spans="2:11" x14ac:dyDescent="0.25">
      <c r="B1674"/>
      <c r="K1674"/>
    </row>
    <row r="1675" spans="2:11" x14ac:dyDescent="0.25">
      <c r="B1675"/>
      <c r="K1675"/>
    </row>
    <row r="1676" spans="2:11" x14ac:dyDescent="0.25">
      <c r="B1676"/>
      <c r="K1676"/>
    </row>
    <row r="1677" spans="2:11" x14ac:dyDescent="0.25">
      <c r="B1677"/>
      <c r="K1677"/>
    </row>
    <row r="1678" spans="2:11" x14ac:dyDescent="0.25">
      <c r="B1678"/>
      <c r="K1678"/>
    </row>
    <row r="1679" spans="2:11" x14ac:dyDescent="0.25">
      <c r="B1679"/>
      <c r="K1679"/>
    </row>
    <row r="1680" spans="2:11" x14ac:dyDescent="0.25">
      <c r="B1680"/>
      <c r="K1680"/>
    </row>
    <row r="1681" spans="2:11" x14ac:dyDescent="0.25">
      <c r="B1681"/>
      <c r="K1681"/>
    </row>
    <row r="1682" spans="2:11" x14ac:dyDescent="0.25">
      <c r="B1682"/>
      <c r="K1682"/>
    </row>
    <row r="1683" spans="2:11" x14ac:dyDescent="0.25">
      <c r="B1683"/>
      <c r="K1683"/>
    </row>
    <row r="1684" spans="2:11" x14ac:dyDescent="0.25">
      <c r="B1684"/>
      <c r="K1684"/>
    </row>
    <row r="1685" spans="2:11" x14ac:dyDescent="0.25">
      <c r="B1685"/>
      <c r="K1685"/>
    </row>
    <row r="1686" spans="2:11" x14ac:dyDescent="0.25">
      <c r="B1686"/>
      <c r="K1686"/>
    </row>
    <row r="1687" spans="2:11" x14ac:dyDescent="0.25">
      <c r="B1687"/>
      <c r="K1687"/>
    </row>
    <row r="1688" spans="2:11" x14ac:dyDescent="0.25">
      <c r="B1688"/>
      <c r="K1688"/>
    </row>
    <row r="1689" spans="2:11" x14ac:dyDescent="0.25">
      <c r="B1689"/>
      <c r="K1689"/>
    </row>
    <row r="1690" spans="2:11" x14ac:dyDescent="0.25">
      <c r="B1690"/>
      <c r="K1690"/>
    </row>
    <row r="1691" spans="2:11" x14ac:dyDescent="0.25">
      <c r="B1691"/>
      <c r="K1691"/>
    </row>
    <row r="1692" spans="2:11" x14ac:dyDescent="0.25">
      <c r="B1692"/>
      <c r="K1692"/>
    </row>
    <row r="1693" spans="2:11" x14ac:dyDescent="0.25">
      <c r="B1693"/>
      <c r="K1693"/>
    </row>
    <row r="1694" spans="2:11" x14ac:dyDescent="0.25">
      <c r="B1694"/>
      <c r="K1694"/>
    </row>
    <row r="1695" spans="2:11" x14ac:dyDescent="0.25">
      <c r="B1695"/>
      <c r="K1695"/>
    </row>
    <row r="1696" spans="2:11" x14ac:dyDescent="0.25">
      <c r="B1696"/>
      <c r="K1696"/>
    </row>
    <row r="1697" spans="2:11" x14ac:dyDescent="0.25">
      <c r="B1697"/>
      <c r="K1697"/>
    </row>
    <row r="1698" spans="2:11" x14ac:dyDescent="0.25">
      <c r="B1698"/>
      <c r="K1698"/>
    </row>
    <row r="1699" spans="2:11" x14ac:dyDescent="0.25">
      <c r="B1699"/>
      <c r="K1699"/>
    </row>
    <row r="1700" spans="2:11" x14ac:dyDescent="0.25">
      <c r="B1700"/>
      <c r="K1700"/>
    </row>
    <row r="1701" spans="2:11" x14ac:dyDescent="0.25">
      <c r="B1701"/>
      <c r="K1701"/>
    </row>
    <row r="1702" spans="2:11" x14ac:dyDescent="0.25">
      <c r="B1702"/>
      <c r="K1702"/>
    </row>
    <row r="1703" spans="2:11" x14ac:dyDescent="0.25">
      <c r="B1703"/>
      <c r="K1703"/>
    </row>
    <row r="1704" spans="2:11" x14ac:dyDescent="0.25">
      <c r="B1704"/>
      <c r="K1704"/>
    </row>
    <row r="1705" spans="2:11" x14ac:dyDescent="0.25">
      <c r="B1705"/>
      <c r="K1705"/>
    </row>
    <row r="1706" spans="2:11" x14ac:dyDescent="0.25">
      <c r="B1706"/>
      <c r="K1706"/>
    </row>
    <row r="1707" spans="2:11" x14ac:dyDescent="0.25">
      <c r="B1707"/>
      <c r="K1707"/>
    </row>
    <row r="1708" spans="2:11" x14ac:dyDescent="0.25">
      <c r="B1708"/>
      <c r="K1708"/>
    </row>
    <row r="1709" spans="2:11" x14ac:dyDescent="0.25">
      <c r="B1709"/>
      <c r="K1709"/>
    </row>
    <row r="1710" spans="2:11" x14ac:dyDescent="0.25">
      <c r="B1710"/>
      <c r="K1710"/>
    </row>
    <row r="1711" spans="2:11" x14ac:dyDescent="0.25">
      <c r="B1711"/>
      <c r="K1711"/>
    </row>
    <row r="1712" spans="2:11" x14ac:dyDescent="0.25">
      <c r="B1712"/>
      <c r="K1712"/>
    </row>
    <row r="1713" spans="2:11" x14ac:dyDescent="0.25">
      <c r="B1713"/>
      <c r="K1713"/>
    </row>
    <row r="1714" spans="2:11" x14ac:dyDescent="0.25">
      <c r="B1714"/>
      <c r="K1714"/>
    </row>
    <row r="1715" spans="2:11" x14ac:dyDescent="0.25">
      <c r="B1715"/>
      <c r="K1715"/>
    </row>
    <row r="1716" spans="2:11" x14ac:dyDescent="0.25">
      <c r="B1716"/>
      <c r="K1716"/>
    </row>
    <row r="1717" spans="2:11" x14ac:dyDescent="0.25">
      <c r="B1717"/>
      <c r="K1717"/>
    </row>
    <row r="1718" spans="2:11" x14ac:dyDescent="0.25">
      <c r="B1718"/>
      <c r="K1718"/>
    </row>
    <row r="1719" spans="2:11" x14ac:dyDescent="0.25">
      <c r="B1719"/>
      <c r="K1719"/>
    </row>
    <row r="1720" spans="2:11" x14ac:dyDescent="0.25">
      <c r="B1720"/>
      <c r="K1720"/>
    </row>
    <row r="1721" spans="2:11" x14ac:dyDescent="0.25">
      <c r="B1721"/>
      <c r="K1721"/>
    </row>
    <row r="1722" spans="2:11" x14ac:dyDescent="0.25">
      <c r="B1722"/>
      <c r="K1722"/>
    </row>
    <row r="1723" spans="2:11" x14ac:dyDescent="0.25">
      <c r="B1723"/>
      <c r="K1723"/>
    </row>
    <row r="1724" spans="2:11" x14ac:dyDescent="0.25">
      <c r="B1724"/>
      <c r="K1724"/>
    </row>
    <row r="1725" spans="2:11" x14ac:dyDescent="0.25">
      <c r="B1725"/>
      <c r="K1725"/>
    </row>
    <row r="1726" spans="2:11" x14ac:dyDescent="0.25">
      <c r="B1726"/>
      <c r="K1726"/>
    </row>
    <row r="1727" spans="2:11" x14ac:dyDescent="0.25">
      <c r="B1727"/>
      <c r="K1727"/>
    </row>
    <row r="1728" spans="2:11" x14ac:dyDescent="0.25">
      <c r="B1728"/>
      <c r="K1728"/>
    </row>
    <row r="1729" spans="2:11" x14ac:dyDescent="0.25">
      <c r="B1729"/>
      <c r="K1729"/>
    </row>
    <row r="1730" spans="2:11" x14ac:dyDescent="0.25">
      <c r="B1730"/>
      <c r="K1730"/>
    </row>
    <row r="1731" spans="2:11" x14ac:dyDescent="0.25">
      <c r="B1731"/>
      <c r="K1731"/>
    </row>
    <row r="1732" spans="2:11" x14ac:dyDescent="0.25">
      <c r="B1732"/>
      <c r="K1732"/>
    </row>
    <row r="1733" spans="2:11" x14ac:dyDescent="0.25">
      <c r="B1733"/>
      <c r="K1733"/>
    </row>
    <row r="1734" spans="2:11" x14ac:dyDescent="0.25">
      <c r="B1734"/>
      <c r="K1734"/>
    </row>
    <row r="1735" spans="2:11" x14ac:dyDescent="0.25">
      <c r="B1735"/>
      <c r="K1735"/>
    </row>
    <row r="1736" spans="2:11" x14ac:dyDescent="0.25">
      <c r="B1736"/>
      <c r="K1736"/>
    </row>
    <row r="1737" spans="2:11" x14ac:dyDescent="0.25">
      <c r="B1737"/>
      <c r="K1737"/>
    </row>
    <row r="1738" spans="2:11" x14ac:dyDescent="0.25">
      <c r="B1738"/>
      <c r="K1738"/>
    </row>
    <row r="1739" spans="2:11" x14ac:dyDescent="0.25">
      <c r="B1739"/>
      <c r="K1739"/>
    </row>
    <row r="1740" spans="2:11" x14ac:dyDescent="0.25">
      <c r="B1740"/>
      <c r="K1740"/>
    </row>
    <row r="1741" spans="2:11" x14ac:dyDescent="0.25">
      <c r="B1741"/>
      <c r="K1741"/>
    </row>
    <row r="1742" spans="2:11" x14ac:dyDescent="0.25">
      <c r="B1742"/>
      <c r="K1742"/>
    </row>
    <row r="1743" spans="2:11" x14ac:dyDescent="0.25">
      <c r="B1743"/>
      <c r="K1743"/>
    </row>
    <row r="1744" spans="2:11" x14ac:dyDescent="0.25">
      <c r="B1744"/>
      <c r="K1744"/>
    </row>
    <row r="1745" spans="2:11" x14ac:dyDescent="0.25">
      <c r="B1745"/>
      <c r="K1745"/>
    </row>
    <row r="1746" spans="2:11" x14ac:dyDescent="0.25">
      <c r="B1746"/>
      <c r="K1746"/>
    </row>
    <row r="1747" spans="2:11" x14ac:dyDescent="0.25">
      <c r="B1747"/>
      <c r="K1747"/>
    </row>
    <row r="1748" spans="2:11" x14ac:dyDescent="0.25">
      <c r="B1748"/>
      <c r="K1748"/>
    </row>
    <row r="1749" spans="2:11" x14ac:dyDescent="0.25">
      <c r="B1749"/>
      <c r="K1749"/>
    </row>
    <row r="1750" spans="2:11" x14ac:dyDescent="0.25">
      <c r="B1750"/>
      <c r="K1750"/>
    </row>
    <row r="1751" spans="2:11" x14ac:dyDescent="0.25">
      <c r="B1751"/>
      <c r="K1751"/>
    </row>
    <row r="1752" spans="2:11" x14ac:dyDescent="0.25">
      <c r="B1752"/>
      <c r="K1752"/>
    </row>
    <row r="1753" spans="2:11" x14ac:dyDescent="0.25">
      <c r="B1753"/>
      <c r="K1753"/>
    </row>
    <row r="1754" spans="2:11" x14ac:dyDescent="0.25">
      <c r="B1754"/>
      <c r="K1754"/>
    </row>
    <row r="1755" spans="2:11" x14ac:dyDescent="0.25">
      <c r="B1755"/>
      <c r="K1755"/>
    </row>
    <row r="1756" spans="2:11" x14ac:dyDescent="0.25">
      <c r="B1756"/>
      <c r="K1756"/>
    </row>
    <row r="1757" spans="2:11" x14ac:dyDescent="0.25">
      <c r="B1757"/>
      <c r="K1757"/>
    </row>
    <row r="1758" spans="2:11" x14ac:dyDescent="0.25">
      <c r="B1758"/>
      <c r="K1758"/>
    </row>
    <row r="1759" spans="2:11" x14ac:dyDescent="0.25">
      <c r="B1759"/>
      <c r="K1759"/>
    </row>
    <row r="1760" spans="2:11" x14ac:dyDescent="0.25">
      <c r="B1760"/>
      <c r="K1760"/>
    </row>
    <row r="1761" spans="2:11" x14ac:dyDescent="0.25">
      <c r="B1761"/>
      <c r="K1761"/>
    </row>
    <row r="1762" spans="2:11" x14ac:dyDescent="0.25">
      <c r="B1762"/>
      <c r="K1762"/>
    </row>
    <row r="1763" spans="2:11" x14ac:dyDescent="0.25">
      <c r="B1763"/>
      <c r="K1763"/>
    </row>
    <row r="1764" spans="2:11" x14ac:dyDescent="0.25">
      <c r="B1764"/>
      <c r="K1764"/>
    </row>
    <row r="1765" spans="2:11" x14ac:dyDescent="0.25">
      <c r="B1765"/>
      <c r="K1765"/>
    </row>
    <row r="1766" spans="2:11" x14ac:dyDescent="0.25">
      <c r="B1766"/>
      <c r="K1766"/>
    </row>
    <row r="1767" spans="2:11" x14ac:dyDescent="0.25">
      <c r="B1767"/>
      <c r="K1767"/>
    </row>
    <row r="1768" spans="2:11" x14ac:dyDescent="0.25">
      <c r="B1768"/>
      <c r="K1768"/>
    </row>
    <row r="1769" spans="2:11" x14ac:dyDescent="0.25">
      <c r="B1769"/>
      <c r="K1769"/>
    </row>
    <row r="1770" spans="2:11" x14ac:dyDescent="0.25">
      <c r="B1770"/>
      <c r="K1770"/>
    </row>
    <row r="1771" spans="2:11" x14ac:dyDescent="0.25">
      <c r="B1771"/>
      <c r="K1771"/>
    </row>
    <row r="1772" spans="2:11" x14ac:dyDescent="0.25">
      <c r="B1772"/>
      <c r="K1772"/>
    </row>
    <row r="1773" spans="2:11" x14ac:dyDescent="0.25">
      <c r="B1773"/>
      <c r="K1773"/>
    </row>
    <row r="1774" spans="2:11" x14ac:dyDescent="0.25">
      <c r="B1774"/>
      <c r="K1774"/>
    </row>
    <row r="1775" spans="2:11" x14ac:dyDescent="0.25">
      <c r="B1775"/>
      <c r="K1775"/>
    </row>
    <row r="1776" spans="2:11" x14ac:dyDescent="0.25">
      <c r="B1776"/>
      <c r="K1776"/>
    </row>
    <row r="1777" spans="2:11" x14ac:dyDescent="0.25">
      <c r="B1777"/>
      <c r="K1777"/>
    </row>
    <row r="1778" spans="2:11" x14ac:dyDescent="0.25">
      <c r="B1778"/>
      <c r="K1778"/>
    </row>
    <row r="1779" spans="2:11" x14ac:dyDescent="0.25">
      <c r="B1779"/>
      <c r="K1779"/>
    </row>
    <row r="1780" spans="2:11" x14ac:dyDescent="0.25">
      <c r="B1780"/>
      <c r="K1780"/>
    </row>
    <row r="1781" spans="2:11" x14ac:dyDescent="0.25">
      <c r="B1781"/>
      <c r="K1781"/>
    </row>
    <row r="1782" spans="2:11" x14ac:dyDescent="0.25">
      <c r="B1782"/>
      <c r="K1782"/>
    </row>
    <row r="1783" spans="2:11" x14ac:dyDescent="0.25">
      <c r="B1783"/>
      <c r="K1783"/>
    </row>
    <row r="1784" spans="2:11" x14ac:dyDescent="0.25">
      <c r="B1784"/>
      <c r="K1784"/>
    </row>
    <row r="1785" spans="2:11" x14ac:dyDescent="0.25">
      <c r="B1785"/>
      <c r="K1785"/>
    </row>
    <row r="1786" spans="2:11" x14ac:dyDescent="0.25">
      <c r="B1786"/>
      <c r="K1786"/>
    </row>
    <row r="1787" spans="2:11" x14ac:dyDescent="0.25">
      <c r="B1787"/>
      <c r="K1787"/>
    </row>
    <row r="1788" spans="2:11" x14ac:dyDescent="0.25">
      <c r="B1788"/>
      <c r="K1788"/>
    </row>
    <row r="1789" spans="2:11" x14ac:dyDescent="0.25">
      <c r="B1789"/>
      <c r="K1789"/>
    </row>
    <row r="1790" spans="2:11" x14ac:dyDescent="0.25">
      <c r="B1790"/>
      <c r="K1790"/>
    </row>
    <row r="1791" spans="2:11" x14ac:dyDescent="0.25">
      <c r="B1791"/>
      <c r="K1791"/>
    </row>
    <row r="1792" spans="2:11" x14ac:dyDescent="0.25">
      <c r="B1792"/>
      <c r="K1792"/>
    </row>
    <row r="1793" spans="2:11" x14ac:dyDescent="0.25">
      <c r="B1793"/>
      <c r="K1793"/>
    </row>
    <row r="1794" spans="2:11" x14ac:dyDescent="0.25">
      <c r="B1794"/>
      <c r="K1794"/>
    </row>
    <row r="1795" spans="2:11" x14ac:dyDescent="0.25">
      <c r="B1795"/>
      <c r="K1795"/>
    </row>
    <row r="1796" spans="2:11" x14ac:dyDescent="0.25">
      <c r="B1796"/>
      <c r="K1796"/>
    </row>
    <row r="1797" spans="2:11" x14ac:dyDescent="0.25">
      <c r="B1797"/>
      <c r="K1797"/>
    </row>
    <row r="1798" spans="2:11" x14ac:dyDescent="0.25">
      <c r="B1798"/>
      <c r="K1798"/>
    </row>
    <row r="1799" spans="2:11" x14ac:dyDescent="0.25">
      <c r="B1799"/>
      <c r="K1799"/>
    </row>
    <row r="1800" spans="2:11" x14ac:dyDescent="0.25">
      <c r="B1800"/>
      <c r="K1800"/>
    </row>
    <row r="1801" spans="2:11" x14ac:dyDescent="0.25">
      <c r="B1801"/>
      <c r="K1801"/>
    </row>
    <row r="1802" spans="2:11" x14ac:dyDescent="0.25">
      <c r="B1802"/>
      <c r="K1802"/>
    </row>
    <row r="1803" spans="2:11" x14ac:dyDescent="0.25">
      <c r="B1803"/>
      <c r="K1803"/>
    </row>
    <row r="1804" spans="2:11" x14ac:dyDescent="0.25">
      <c r="B1804"/>
      <c r="K1804"/>
    </row>
    <row r="1805" spans="2:11" x14ac:dyDescent="0.25">
      <c r="B1805"/>
      <c r="K1805"/>
    </row>
    <row r="1806" spans="2:11" x14ac:dyDescent="0.25">
      <c r="B1806"/>
      <c r="K1806"/>
    </row>
    <row r="1807" spans="2:11" x14ac:dyDescent="0.25">
      <c r="B1807"/>
      <c r="K1807"/>
    </row>
    <row r="1808" spans="2:11" x14ac:dyDescent="0.25">
      <c r="B1808"/>
      <c r="K1808"/>
    </row>
    <row r="1809" spans="2:11" x14ac:dyDescent="0.25">
      <c r="B1809"/>
      <c r="K1809"/>
    </row>
    <row r="1810" spans="2:11" x14ac:dyDescent="0.25">
      <c r="B1810"/>
      <c r="K1810"/>
    </row>
    <row r="1811" spans="2:11" x14ac:dyDescent="0.25">
      <c r="B1811"/>
      <c r="K1811"/>
    </row>
    <row r="1812" spans="2:11" x14ac:dyDescent="0.25">
      <c r="B1812"/>
      <c r="K1812"/>
    </row>
    <row r="1813" spans="2:11" x14ac:dyDescent="0.25">
      <c r="B1813"/>
      <c r="K1813"/>
    </row>
    <row r="1814" spans="2:11" x14ac:dyDescent="0.25">
      <c r="B1814"/>
      <c r="K1814"/>
    </row>
    <row r="1815" spans="2:11" x14ac:dyDescent="0.25">
      <c r="B1815"/>
      <c r="K1815"/>
    </row>
    <row r="1816" spans="2:11" x14ac:dyDescent="0.25">
      <c r="B1816"/>
      <c r="K1816"/>
    </row>
    <row r="1817" spans="2:11" x14ac:dyDescent="0.25">
      <c r="B1817"/>
      <c r="K1817"/>
    </row>
    <row r="1818" spans="2:11" x14ac:dyDescent="0.25">
      <c r="B1818"/>
      <c r="K1818"/>
    </row>
    <row r="1819" spans="2:11" x14ac:dyDescent="0.25">
      <c r="B1819"/>
      <c r="K1819"/>
    </row>
    <row r="1820" spans="2:11" x14ac:dyDescent="0.25">
      <c r="B1820"/>
      <c r="K1820"/>
    </row>
    <row r="1821" spans="2:11" x14ac:dyDescent="0.25">
      <c r="B1821"/>
      <c r="K1821"/>
    </row>
    <row r="1822" spans="2:11" x14ac:dyDescent="0.25">
      <c r="B1822"/>
      <c r="K1822"/>
    </row>
    <row r="1823" spans="2:11" x14ac:dyDescent="0.25">
      <c r="B1823"/>
      <c r="K1823"/>
    </row>
    <row r="1824" spans="2:11" x14ac:dyDescent="0.25">
      <c r="B1824"/>
      <c r="K1824"/>
    </row>
    <row r="1825" spans="2:11" x14ac:dyDescent="0.25">
      <c r="B1825"/>
      <c r="K1825"/>
    </row>
    <row r="1826" spans="2:11" x14ac:dyDescent="0.25">
      <c r="B1826"/>
      <c r="K1826"/>
    </row>
    <row r="1827" spans="2:11" x14ac:dyDescent="0.25">
      <c r="B1827"/>
      <c r="K1827"/>
    </row>
    <row r="1828" spans="2:11" x14ac:dyDescent="0.25">
      <c r="B1828"/>
      <c r="K1828"/>
    </row>
    <row r="1829" spans="2:11" x14ac:dyDescent="0.25">
      <c r="B1829"/>
      <c r="K1829"/>
    </row>
    <row r="1830" spans="2:11" x14ac:dyDescent="0.25">
      <c r="B1830"/>
      <c r="K1830"/>
    </row>
    <row r="1831" spans="2:11" x14ac:dyDescent="0.25">
      <c r="B1831"/>
      <c r="K1831"/>
    </row>
    <row r="1832" spans="2:11" x14ac:dyDescent="0.25">
      <c r="B1832"/>
      <c r="K1832"/>
    </row>
    <row r="1833" spans="2:11" x14ac:dyDescent="0.25">
      <c r="B1833"/>
      <c r="K1833"/>
    </row>
    <row r="1834" spans="2:11" x14ac:dyDescent="0.25">
      <c r="B1834"/>
      <c r="K1834"/>
    </row>
    <row r="1835" spans="2:11" x14ac:dyDescent="0.25">
      <c r="B1835"/>
      <c r="K1835"/>
    </row>
    <row r="1836" spans="2:11" x14ac:dyDescent="0.25">
      <c r="B1836"/>
      <c r="K1836"/>
    </row>
    <row r="1837" spans="2:11" x14ac:dyDescent="0.25">
      <c r="B1837"/>
      <c r="K1837"/>
    </row>
    <row r="1838" spans="2:11" x14ac:dyDescent="0.25">
      <c r="B1838"/>
      <c r="K1838"/>
    </row>
    <row r="1839" spans="2:11" x14ac:dyDescent="0.25">
      <c r="B1839"/>
      <c r="K1839"/>
    </row>
    <row r="1840" spans="2:11" x14ac:dyDescent="0.25">
      <c r="B1840"/>
      <c r="K1840"/>
    </row>
    <row r="1841" spans="2:11" x14ac:dyDescent="0.25">
      <c r="B1841"/>
      <c r="K1841"/>
    </row>
    <row r="1842" spans="2:11" x14ac:dyDescent="0.25">
      <c r="B1842"/>
      <c r="K1842"/>
    </row>
    <row r="1843" spans="2:11" x14ac:dyDescent="0.25">
      <c r="B1843"/>
      <c r="K1843"/>
    </row>
    <row r="1844" spans="2:11" x14ac:dyDescent="0.25">
      <c r="B1844"/>
      <c r="K1844"/>
    </row>
    <row r="1845" spans="2:11" x14ac:dyDescent="0.25">
      <c r="B1845"/>
      <c r="K1845"/>
    </row>
    <row r="1846" spans="2:11" x14ac:dyDescent="0.25">
      <c r="B1846"/>
      <c r="K1846"/>
    </row>
    <row r="1847" spans="2:11" x14ac:dyDescent="0.25">
      <c r="B1847"/>
      <c r="K1847"/>
    </row>
    <row r="1848" spans="2:11" x14ac:dyDescent="0.25">
      <c r="B1848"/>
      <c r="K1848"/>
    </row>
    <row r="1849" spans="2:11" x14ac:dyDescent="0.25">
      <c r="B1849"/>
      <c r="K1849"/>
    </row>
    <row r="1850" spans="2:11" x14ac:dyDescent="0.25">
      <c r="B1850"/>
      <c r="K1850"/>
    </row>
    <row r="1851" spans="2:11" x14ac:dyDescent="0.25">
      <c r="B1851"/>
      <c r="K1851"/>
    </row>
    <row r="1852" spans="2:11" x14ac:dyDescent="0.25">
      <c r="B1852"/>
      <c r="K1852"/>
    </row>
    <row r="1853" spans="2:11" x14ac:dyDescent="0.25">
      <c r="B1853"/>
      <c r="K1853"/>
    </row>
    <row r="1854" spans="2:11" x14ac:dyDescent="0.25">
      <c r="B1854"/>
      <c r="K1854"/>
    </row>
    <row r="1855" spans="2:11" x14ac:dyDescent="0.25">
      <c r="B1855"/>
      <c r="K1855"/>
    </row>
    <row r="1856" spans="2:11" x14ac:dyDescent="0.25">
      <c r="B1856"/>
      <c r="K1856"/>
    </row>
    <row r="1857" spans="2:11" x14ac:dyDescent="0.25">
      <c r="B1857"/>
      <c r="K1857"/>
    </row>
    <row r="1858" spans="2:11" x14ac:dyDescent="0.25">
      <c r="B1858"/>
      <c r="K1858"/>
    </row>
    <row r="1859" spans="2:11" x14ac:dyDescent="0.25">
      <c r="B1859"/>
      <c r="K1859"/>
    </row>
    <row r="1860" spans="2:11" x14ac:dyDescent="0.25">
      <c r="B1860"/>
      <c r="K1860"/>
    </row>
    <row r="1861" spans="2:11" x14ac:dyDescent="0.25">
      <c r="B1861"/>
      <c r="K1861"/>
    </row>
    <row r="1862" spans="2:11" x14ac:dyDescent="0.25">
      <c r="B1862"/>
      <c r="K1862"/>
    </row>
    <row r="1863" spans="2:11" x14ac:dyDescent="0.25">
      <c r="B1863"/>
      <c r="K1863"/>
    </row>
    <row r="1864" spans="2:11" x14ac:dyDescent="0.25">
      <c r="B1864"/>
      <c r="K1864"/>
    </row>
    <row r="1865" spans="2:11" x14ac:dyDescent="0.25">
      <c r="B1865"/>
      <c r="K1865"/>
    </row>
    <row r="1866" spans="2:11" x14ac:dyDescent="0.25">
      <c r="B1866"/>
      <c r="K1866"/>
    </row>
    <row r="1867" spans="2:11" x14ac:dyDescent="0.25">
      <c r="B1867"/>
      <c r="K1867"/>
    </row>
    <row r="1868" spans="2:11" x14ac:dyDescent="0.25">
      <c r="B1868"/>
      <c r="K1868"/>
    </row>
    <row r="1869" spans="2:11" x14ac:dyDescent="0.25">
      <c r="B1869"/>
      <c r="K1869"/>
    </row>
    <row r="1870" spans="2:11" x14ac:dyDescent="0.25">
      <c r="B1870"/>
      <c r="K1870"/>
    </row>
    <row r="1871" spans="2:11" x14ac:dyDescent="0.25">
      <c r="B1871"/>
      <c r="K1871"/>
    </row>
    <row r="1872" spans="2:11" x14ac:dyDescent="0.25">
      <c r="B1872"/>
      <c r="K1872"/>
    </row>
    <row r="1873" spans="2:11" x14ac:dyDescent="0.25">
      <c r="B1873"/>
      <c r="K1873"/>
    </row>
    <row r="1874" spans="2:11" x14ac:dyDescent="0.25">
      <c r="B1874"/>
      <c r="K1874"/>
    </row>
    <row r="1875" spans="2:11" x14ac:dyDescent="0.25">
      <c r="B1875"/>
      <c r="K1875"/>
    </row>
    <row r="1876" spans="2:11" x14ac:dyDescent="0.25">
      <c r="B1876"/>
      <c r="K1876"/>
    </row>
    <row r="1877" spans="2:11" x14ac:dyDescent="0.25">
      <c r="B1877"/>
      <c r="K1877"/>
    </row>
    <row r="1878" spans="2:11" x14ac:dyDescent="0.25">
      <c r="B1878"/>
      <c r="K1878"/>
    </row>
    <row r="1879" spans="2:11" x14ac:dyDescent="0.25">
      <c r="B1879"/>
      <c r="K1879"/>
    </row>
    <row r="1880" spans="2:11" x14ac:dyDescent="0.25">
      <c r="B1880"/>
      <c r="K1880"/>
    </row>
    <row r="1881" spans="2:11" x14ac:dyDescent="0.25">
      <c r="B1881"/>
      <c r="K1881"/>
    </row>
    <row r="1882" spans="2:11" x14ac:dyDescent="0.25">
      <c r="B1882"/>
      <c r="K1882"/>
    </row>
    <row r="1883" spans="2:11" x14ac:dyDescent="0.25">
      <c r="B1883"/>
      <c r="K1883"/>
    </row>
    <row r="1884" spans="2:11" x14ac:dyDescent="0.25">
      <c r="B1884"/>
      <c r="K1884"/>
    </row>
    <row r="1885" spans="2:11" x14ac:dyDescent="0.25">
      <c r="B1885"/>
      <c r="K1885"/>
    </row>
    <row r="1886" spans="2:11" x14ac:dyDescent="0.25">
      <c r="B1886"/>
      <c r="K1886"/>
    </row>
    <row r="1887" spans="2:11" x14ac:dyDescent="0.25">
      <c r="B1887"/>
      <c r="K1887"/>
    </row>
    <row r="1888" spans="2:11" x14ac:dyDescent="0.25">
      <c r="B1888"/>
      <c r="K1888"/>
    </row>
    <row r="1889" spans="2:11" x14ac:dyDescent="0.25">
      <c r="B1889"/>
      <c r="K1889"/>
    </row>
    <row r="1890" spans="2:11" x14ac:dyDescent="0.25">
      <c r="B1890"/>
      <c r="K1890"/>
    </row>
    <row r="1891" spans="2:11" x14ac:dyDescent="0.25">
      <c r="B1891"/>
      <c r="K1891"/>
    </row>
    <row r="1892" spans="2:11" x14ac:dyDescent="0.25">
      <c r="B1892"/>
      <c r="K1892"/>
    </row>
    <row r="1893" spans="2:11" x14ac:dyDescent="0.25">
      <c r="B1893"/>
      <c r="K1893"/>
    </row>
    <row r="1894" spans="2:11" x14ac:dyDescent="0.25">
      <c r="B1894"/>
      <c r="K1894"/>
    </row>
    <row r="1895" spans="2:11" x14ac:dyDescent="0.25">
      <c r="B1895"/>
      <c r="K1895"/>
    </row>
    <row r="1896" spans="2:11" x14ac:dyDescent="0.25">
      <c r="B1896"/>
      <c r="K1896"/>
    </row>
    <row r="1897" spans="2:11" x14ac:dyDescent="0.25">
      <c r="B1897"/>
      <c r="K1897"/>
    </row>
    <row r="1898" spans="2:11" x14ac:dyDescent="0.25">
      <c r="B1898"/>
      <c r="K1898"/>
    </row>
    <row r="1899" spans="2:11" x14ac:dyDescent="0.25">
      <c r="B1899"/>
      <c r="K1899"/>
    </row>
    <row r="1900" spans="2:11" x14ac:dyDescent="0.25">
      <c r="B1900"/>
      <c r="K1900"/>
    </row>
    <row r="1901" spans="2:11" x14ac:dyDescent="0.25">
      <c r="B1901"/>
      <c r="K1901"/>
    </row>
    <row r="1902" spans="2:11" x14ac:dyDescent="0.25">
      <c r="B1902"/>
      <c r="K1902"/>
    </row>
    <row r="1903" spans="2:11" x14ac:dyDescent="0.25">
      <c r="B1903"/>
      <c r="K1903"/>
    </row>
    <row r="1904" spans="2:11" x14ac:dyDescent="0.25">
      <c r="B1904"/>
      <c r="K1904"/>
    </row>
    <row r="1905" spans="2:11" x14ac:dyDescent="0.25">
      <c r="B1905"/>
      <c r="K1905"/>
    </row>
    <row r="1906" spans="2:11" x14ac:dyDescent="0.25">
      <c r="B1906"/>
      <c r="K1906"/>
    </row>
    <row r="1907" spans="2:11" x14ac:dyDescent="0.25">
      <c r="B1907"/>
      <c r="K1907"/>
    </row>
    <row r="1908" spans="2:11" x14ac:dyDescent="0.25">
      <c r="B1908"/>
      <c r="K1908"/>
    </row>
    <row r="1909" spans="2:11" x14ac:dyDescent="0.25">
      <c r="B1909"/>
      <c r="K1909"/>
    </row>
    <row r="1910" spans="2:11" x14ac:dyDescent="0.25">
      <c r="B1910"/>
      <c r="K1910"/>
    </row>
    <row r="1911" spans="2:11" x14ac:dyDescent="0.25">
      <c r="B1911"/>
      <c r="K1911"/>
    </row>
    <row r="1912" spans="2:11" x14ac:dyDescent="0.25">
      <c r="B1912"/>
      <c r="K1912"/>
    </row>
    <row r="1913" spans="2:11" x14ac:dyDescent="0.25">
      <c r="B1913"/>
      <c r="K1913"/>
    </row>
    <row r="1914" spans="2:11" x14ac:dyDescent="0.25">
      <c r="B1914"/>
      <c r="K1914"/>
    </row>
    <row r="1915" spans="2:11" x14ac:dyDescent="0.25">
      <c r="B1915"/>
      <c r="K1915"/>
    </row>
    <row r="1916" spans="2:11" x14ac:dyDescent="0.25">
      <c r="B1916"/>
      <c r="K1916"/>
    </row>
    <row r="1917" spans="2:11" x14ac:dyDescent="0.25">
      <c r="B1917"/>
      <c r="K1917"/>
    </row>
    <row r="1918" spans="2:11" x14ac:dyDescent="0.25">
      <c r="B1918"/>
      <c r="K1918"/>
    </row>
    <row r="1919" spans="2:11" x14ac:dyDescent="0.25">
      <c r="B1919"/>
      <c r="K1919"/>
    </row>
    <row r="1920" spans="2:11" x14ac:dyDescent="0.25">
      <c r="B1920"/>
      <c r="K1920"/>
    </row>
    <row r="1921" spans="2:11" x14ac:dyDescent="0.25">
      <c r="B1921"/>
      <c r="K1921"/>
    </row>
    <row r="1922" spans="2:11" x14ac:dyDescent="0.25">
      <c r="B1922"/>
      <c r="K1922"/>
    </row>
    <row r="1923" spans="2:11" x14ac:dyDescent="0.25">
      <c r="B1923"/>
      <c r="K1923"/>
    </row>
    <row r="1924" spans="2:11" x14ac:dyDescent="0.25">
      <c r="B1924"/>
      <c r="K1924"/>
    </row>
    <row r="1925" spans="2:11" x14ac:dyDescent="0.25">
      <c r="B1925"/>
      <c r="K1925"/>
    </row>
    <row r="1926" spans="2:11" x14ac:dyDescent="0.25">
      <c r="B1926"/>
      <c r="K1926"/>
    </row>
    <row r="1927" spans="2:11" x14ac:dyDescent="0.25">
      <c r="B1927"/>
      <c r="K1927"/>
    </row>
    <row r="1928" spans="2:11" x14ac:dyDescent="0.25">
      <c r="B1928"/>
      <c r="K1928"/>
    </row>
    <row r="1929" spans="2:11" x14ac:dyDescent="0.25">
      <c r="B1929"/>
      <c r="K1929"/>
    </row>
    <row r="1930" spans="2:11" x14ac:dyDescent="0.25">
      <c r="B1930"/>
      <c r="K1930"/>
    </row>
    <row r="1931" spans="2:11" x14ac:dyDescent="0.25">
      <c r="B1931"/>
      <c r="K1931"/>
    </row>
    <row r="1932" spans="2:11" x14ac:dyDescent="0.25">
      <c r="B1932"/>
      <c r="K1932"/>
    </row>
    <row r="1933" spans="2:11" x14ac:dyDescent="0.25">
      <c r="B1933"/>
      <c r="K1933"/>
    </row>
    <row r="1934" spans="2:11" x14ac:dyDescent="0.25">
      <c r="B1934"/>
      <c r="K1934"/>
    </row>
    <row r="1935" spans="2:11" x14ac:dyDescent="0.25">
      <c r="B1935"/>
      <c r="K1935"/>
    </row>
    <row r="1936" spans="2:11" x14ac:dyDescent="0.25">
      <c r="B1936"/>
      <c r="K1936"/>
    </row>
    <row r="1937" spans="2:11" x14ac:dyDescent="0.25">
      <c r="B1937"/>
      <c r="K1937"/>
    </row>
    <row r="1938" spans="2:11" x14ac:dyDescent="0.25">
      <c r="B1938"/>
      <c r="K1938"/>
    </row>
    <row r="1939" spans="2:11" x14ac:dyDescent="0.25">
      <c r="B1939"/>
      <c r="K1939"/>
    </row>
    <row r="1940" spans="2:11" x14ac:dyDescent="0.25">
      <c r="B1940"/>
      <c r="K1940"/>
    </row>
    <row r="1941" spans="2:11" x14ac:dyDescent="0.25">
      <c r="B1941"/>
      <c r="K1941"/>
    </row>
    <row r="1942" spans="2:11" x14ac:dyDescent="0.25">
      <c r="B1942"/>
      <c r="K1942"/>
    </row>
    <row r="1943" spans="2:11" x14ac:dyDescent="0.25">
      <c r="B1943"/>
      <c r="K1943"/>
    </row>
    <row r="1944" spans="2:11" x14ac:dyDescent="0.25">
      <c r="B1944"/>
      <c r="K1944"/>
    </row>
    <row r="1945" spans="2:11" x14ac:dyDescent="0.25">
      <c r="B1945"/>
      <c r="K1945"/>
    </row>
    <row r="1946" spans="2:11" x14ac:dyDescent="0.25">
      <c r="B1946"/>
      <c r="K1946"/>
    </row>
    <row r="1947" spans="2:11" x14ac:dyDescent="0.25">
      <c r="B1947"/>
      <c r="K1947"/>
    </row>
    <row r="1948" spans="2:11" x14ac:dyDescent="0.25">
      <c r="B1948"/>
      <c r="K1948"/>
    </row>
    <row r="1949" spans="2:11" x14ac:dyDescent="0.25">
      <c r="B1949"/>
      <c r="K1949"/>
    </row>
    <row r="1950" spans="2:11" x14ac:dyDescent="0.25">
      <c r="B1950"/>
      <c r="K1950"/>
    </row>
    <row r="1951" spans="2:11" x14ac:dyDescent="0.25">
      <c r="B1951"/>
      <c r="K1951"/>
    </row>
    <row r="1952" spans="2:11" x14ac:dyDescent="0.25">
      <c r="B1952"/>
      <c r="K1952"/>
    </row>
    <row r="1953" spans="2:11" x14ac:dyDescent="0.25">
      <c r="B1953"/>
      <c r="K1953"/>
    </row>
    <row r="1954" spans="2:11" x14ac:dyDescent="0.25">
      <c r="B1954"/>
      <c r="K1954"/>
    </row>
    <row r="1955" spans="2:11" x14ac:dyDescent="0.25">
      <c r="B1955"/>
      <c r="K1955"/>
    </row>
    <row r="1956" spans="2:11" x14ac:dyDescent="0.25">
      <c r="B1956"/>
      <c r="K1956"/>
    </row>
    <row r="1957" spans="2:11" x14ac:dyDescent="0.25">
      <c r="B1957"/>
      <c r="K1957"/>
    </row>
    <row r="1958" spans="2:11" x14ac:dyDescent="0.25">
      <c r="B1958"/>
      <c r="K1958"/>
    </row>
    <row r="1959" spans="2:11" x14ac:dyDescent="0.25">
      <c r="B1959"/>
      <c r="K1959"/>
    </row>
    <row r="1960" spans="2:11" x14ac:dyDescent="0.25">
      <c r="B1960"/>
      <c r="K1960"/>
    </row>
    <row r="1961" spans="2:11" x14ac:dyDescent="0.25">
      <c r="B1961"/>
      <c r="K1961"/>
    </row>
    <row r="1962" spans="2:11" x14ac:dyDescent="0.25">
      <c r="B1962"/>
      <c r="K1962"/>
    </row>
    <row r="1963" spans="2:11" x14ac:dyDescent="0.25">
      <c r="B1963"/>
      <c r="K1963"/>
    </row>
    <row r="1964" spans="2:11" x14ac:dyDescent="0.25">
      <c r="B1964"/>
      <c r="K1964"/>
    </row>
    <row r="1965" spans="2:11" x14ac:dyDescent="0.25">
      <c r="B1965"/>
      <c r="K1965"/>
    </row>
    <row r="1966" spans="2:11" x14ac:dyDescent="0.25">
      <c r="B1966"/>
      <c r="K1966"/>
    </row>
    <row r="1967" spans="2:11" x14ac:dyDescent="0.25">
      <c r="B1967"/>
      <c r="K1967"/>
    </row>
    <row r="1968" spans="2:11" x14ac:dyDescent="0.25">
      <c r="B1968"/>
      <c r="K1968"/>
    </row>
    <row r="1969" spans="2:11" x14ac:dyDescent="0.25">
      <c r="B1969"/>
      <c r="K1969"/>
    </row>
    <row r="1970" spans="2:11" x14ac:dyDescent="0.25">
      <c r="B1970"/>
      <c r="K1970"/>
    </row>
    <row r="1971" spans="2:11" x14ac:dyDescent="0.25">
      <c r="B1971"/>
      <c r="K1971"/>
    </row>
    <row r="1972" spans="2:11" x14ac:dyDescent="0.25">
      <c r="B1972"/>
      <c r="K1972"/>
    </row>
    <row r="1973" spans="2:11" x14ac:dyDescent="0.25">
      <c r="B1973"/>
      <c r="K1973"/>
    </row>
    <row r="1974" spans="2:11" x14ac:dyDescent="0.25">
      <c r="B1974"/>
      <c r="K1974"/>
    </row>
    <row r="1975" spans="2:11" x14ac:dyDescent="0.25">
      <c r="B1975"/>
      <c r="K1975"/>
    </row>
    <row r="1976" spans="2:11" x14ac:dyDescent="0.25">
      <c r="B1976"/>
      <c r="K1976"/>
    </row>
    <row r="1977" spans="2:11" x14ac:dyDescent="0.25">
      <c r="B1977"/>
      <c r="K1977"/>
    </row>
    <row r="1978" spans="2:11" x14ac:dyDescent="0.25">
      <c r="B1978"/>
      <c r="K1978"/>
    </row>
    <row r="1979" spans="2:11" x14ac:dyDescent="0.25">
      <c r="B1979"/>
      <c r="K1979"/>
    </row>
    <row r="1980" spans="2:11" x14ac:dyDescent="0.25">
      <c r="B1980"/>
      <c r="K1980"/>
    </row>
    <row r="1981" spans="2:11" x14ac:dyDescent="0.25">
      <c r="B1981"/>
      <c r="K1981"/>
    </row>
    <row r="1982" spans="2:11" x14ac:dyDescent="0.25">
      <c r="B1982"/>
      <c r="K1982"/>
    </row>
    <row r="1983" spans="2:11" x14ac:dyDescent="0.25">
      <c r="B1983"/>
      <c r="K1983"/>
    </row>
    <row r="1984" spans="2:11" x14ac:dyDescent="0.25">
      <c r="B1984"/>
      <c r="K1984"/>
    </row>
    <row r="1985" spans="2:11" x14ac:dyDescent="0.25">
      <c r="B1985"/>
      <c r="K1985"/>
    </row>
    <row r="1986" spans="2:11" x14ac:dyDescent="0.25">
      <c r="B1986"/>
      <c r="K1986"/>
    </row>
    <row r="1987" spans="2:11" x14ac:dyDescent="0.25">
      <c r="B1987"/>
      <c r="K1987"/>
    </row>
    <row r="1988" spans="2:11" x14ac:dyDescent="0.25">
      <c r="B1988"/>
      <c r="K1988"/>
    </row>
    <row r="1989" spans="2:11" x14ac:dyDescent="0.25">
      <c r="B1989"/>
      <c r="K1989"/>
    </row>
    <row r="1990" spans="2:11" x14ac:dyDescent="0.25">
      <c r="B1990"/>
      <c r="K1990"/>
    </row>
    <row r="1991" spans="2:11" x14ac:dyDescent="0.25">
      <c r="B1991"/>
      <c r="K1991"/>
    </row>
    <row r="1992" spans="2:11" x14ac:dyDescent="0.25">
      <c r="B1992"/>
      <c r="K1992"/>
    </row>
    <row r="1993" spans="2:11" x14ac:dyDescent="0.25">
      <c r="B1993"/>
      <c r="K1993"/>
    </row>
    <row r="1994" spans="2:11" x14ac:dyDescent="0.25">
      <c r="B1994"/>
      <c r="K1994"/>
    </row>
    <row r="1995" spans="2:11" x14ac:dyDescent="0.25">
      <c r="B1995"/>
      <c r="K1995"/>
    </row>
    <row r="1996" spans="2:11" x14ac:dyDescent="0.25">
      <c r="B1996"/>
      <c r="K1996"/>
    </row>
    <row r="1997" spans="2:11" x14ac:dyDescent="0.25">
      <c r="B1997"/>
      <c r="K1997"/>
    </row>
    <row r="1998" spans="2:11" x14ac:dyDescent="0.25">
      <c r="B1998"/>
      <c r="K1998"/>
    </row>
    <row r="1999" spans="2:11" x14ac:dyDescent="0.25">
      <c r="B1999"/>
      <c r="K1999"/>
    </row>
    <row r="2000" spans="2:11" x14ac:dyDescent="0.25">
      <c r="B2000"/>
      <c r="K2000"/>
    </row>
    <row r="2001" spans="2:11" x14ac:dyDescent="0.25">
      <c r="B2001"/>
      <c r="K2001"/>
    </row>
    <row r="2002" spans="2:11" x14ac:dyDescent="0.25">
      <c r="B2002"/>
      <c r="K2002"/>
    </row>
    <row r="2003" spans="2:11" x14ac:dyDescent="0.25">
      <c r="B2003"/>
      <c r="K2003"/>
    </row>
    <row r="2004" spans="2:11" x14ac:dyDescent="0.25">
      <c r="B2004"/>
      <c r="K2004"/>
    </row>
    <row r="2005" spans="2:11" x14ac:dyDescent="0.25">
      <c r="B2005"/>
      <c r="K2005"/>
    </row>
    <row r="2006" spans="2:11" x14ac:dyDescent="0.25">
      <c r="B2006"/>
      <c r="K2006"/>
    </row>
    <row r="2007" spans="2:11" x14ac:dyDescent="0.25">
      <c r="B2007"/>
      <c r="K2007"/>
    </row>
    <row r="2008" spans="2:11" x14ac:dyDescent="0.25">
      <c r="B2008"/>
      <c r="K2008"/>
    </row>
    <row r="2009" spans="2:11" x14ac:dyDescent="0.25">
      <c r="B2009"/>
      <c r="K2009"/>
    </row>
    <row r="2010" spans="2:11" x14ac:dyDescent="0.25">
      <c r="B2010"/>
      <c r="K2010"/>
    </row>
    <row r="2011" spans="2:11" x14ac:dyDescent="0.25">
      <c r="B2011"/>
      <c r="K2011"/>
    </row>
    <row r="2012" spans="2:11" x14ac:dyDescent="0.25">
      <c r="B2012"/>
      <c r="K2012"/>
    </row>
    <row r="2013" spans="2:11" x14ac:dyDescent="0.25">
      <c r="B2013"/>
      <c r="K2013"/>
    </row>
    <row r="2014" spans="2:11" x14ac:dyDescent="0.25">
      <c r="B2014"/>
      <c r="K2014"/>
    </row>
    <row r="2015" spans="2:11" x14ac:dyDescent="0.25">
      <c r="B2015"/>
      <c r="K2015"/>
    </row>
    <row r="2016" spans="2:11" x14ac:dyDescent="0.25">
      <c r="B2016"/>
      <c r="K2016"/>
    </row>
    <row r="2017" spans="2:11" x14ac:dyDescent="0.25">
      <c r="B2017"/>
      <c r="K2017"/>
    </row>
    <row r="2018" spans="2:11" x14ac:dyDescent="0.25">
      <c r="B2018"/>
      <c r="K2018"/>
    </row>
    <row r="2019" spans="2:11" x14ac:dyDescent="0.25">
      <c r="B2019"/>
      <c r="K2019"/>
    </row>
    <row r="2020" spans="2:11" x14ac:dyDescent="0.25">
      <c r="B2020"/>
      <c r="K2020"/>
    </row>
    <row r="2021" spans="2:11" x14ac:dyDescent="0.25">
      <c r="B2021"/>
      <c r="K2021"/>
    </row>
    <row r="2022" spans="2:11" x14ac:dyDescent="0.25">
      <c r="B2022"/>
      <c r="K2022"/>
    </row>
    <row r="2023" spans="2:11" x14ac:dyDescent="0.25">
      <c r="B2023"/>
      <c r="K2023"/>
    </row>
    <row r="2024" spans="2:11" x14ac:dyDescent="0.25">
      <c r="B2024"/>
      <c r="K2024"/>
    </row>
    <row r="2025" spans="2:11" x14ac:dyDescent="0.25">
      <c r="B2025"/>
      <c r="K2025"/>
    </row>
    <row r="2026" spans="2:11" x14ac:dyDescent="0.25">
      <c r="B2026"/>
      <c r="K2026"/>
    </row>
    <row r="2027" spans="2:11" x14ac:dyDescent="0.25">
      <c r="B2027"/>
      <c r="K2027"/>
    </row>
    <row r="2028" spans="2:11" x14ac:dyDescent="0.25">
      <c r="B2028"/>
      <c r="K2028"/>
    </row>
    <row r="2029" spans="2:11" x14ac:dyDescent="0.25">
      <c r="B2029"/>
      <c r="K2029"/>
    </row>
    <row r="2030" spans="2:11" x14ac:dyDescent="0.25">
      <c r="B2030"/>
      <c r="K2030"/>
    </row>
    <row r="2031" spans="2:11" x14ac:dyDescent="0.25">
      <c r="B2031"/>
      <c r="K2031"/>
    </row>
    <row r="2032" spans="2:11" x14ac:dyDescent="0.25">
      <c r="B2032"/>
      <c r="K2032"/>
    </row>
    <row r="2033" spans="2:11" x14ac:dyDescent="0.25">
      <c r="B2033"/>
      <c r="K2033"/>
    </row>
    <row r="2034" spans="2:11" x14ac:dyDescent="0.25">
      <c r="B2034"/>
      <c r="K2034"/>
    </row>
    <row r="2035" spans="2:11" x14ac:dyDescent="0.25">
      <c r="B2035"/>
      <c r="K2035"/>
    </row>
    <row r="2036" spans="2:11" x14ac:dyDescent="0.25">
      <c r="B2036"/>
      <c r="K2036"/>
    </row>
    <row r="2037" spans="2:11" x14ac:dyDescent="0.25">
      <c r="B2037"/>
      <c r="K2037"/>
    </row>
    <row r="2038" spans="2:11" x14ac:dyDescent="0.25">
      <c r="B2038"/>
      <c r="K2038"/>
    </row>
    <row r="2039" spans="2:11" x14ac:dyDescent="0.25">
      <c r="B2039"/>
      <c r="K2039"/>
    </row>
    <row r="2040" spans="2:11" x14ac:dyDescent="0.25">
      <c r="B2040"/>
      <c r="K2040"/>
    </row>
    <row r="2041" spans="2:11" x14ac:dyDescent="0.25">
      <c r="B2041"/>
      <c r="K2041"/>
    </row>
    <row r="2042" spans="2:11" x14ac:dyDescent="0.25">
      <c r="B2042"/>
      <c r="K2042"/>
    </row>
    <row r="2043" spans="2:11" x14ac:dyDescent="0.25">
      <c r="B2043"/>
      <c r="K2043"/>
    </row>
    <row r="2044" spans="2:11" x14ac:dyDescent="0.25">
      <c r="B2044"/>
      <c r="K2044"/>
    </row>
    <row r="2045" spans="2:11" x14ac:dyDescent="0.25">
      <c r="B2045"/>
      <c r="K2045"/>
    </row>
    <row r="2046" spans="2:11" x14ac:dyDescent="0.25">
      <c r="B2046"/>
      <c r="K2046"/>
    </row>
    <row r="2047" spans="2:11" x14ac:dyDescent="0.25">
      <c r="B2047"/>
      <c r="K2047"/>
    </row>
    <row r="2048" spans="2:11" x14ac:dyDescent="0.25">
      <c r="B2048"/>
      <c r="K2048"/>
    </row>
    <row r="2049" spans="2:11" x14ac:dyDescent="0.25">
      <c r="B2049"/>
      <c r="K2049"/>
    </row>
    <row r="2050" spans="2:11" x14ac:dyDescent="0.25">
      <c r="B2050"/>
      <c r="K2050"/>
    </row>
    <row r="2051" spans="2:11" x14ac:dyDescent="0.25">
      <c r="B2051"/>
      <c r="K2051"/>
    </row>
    <row r="2052" spans="2:11" x14ac:dyDescent="0.25">
      <c r="B2052"/>
      <c r="K2052"/>
    </row>
    <row r="2053" spans="2:11" x14ac:dyDescent="0.25">
      <c r="B2053"/>
      <c r="K2053"/>
    </row>
    <row r="2054" spans="2:11" x14ac:dyDescent="0.25">
      <c r="B2054"/>
      <c r="K2054"/>
    </row>
    <row r="2055" spans="2:11" x14ac:dyDescent="0.25">
      <c r="B2055"/>
      <c r="K2055"/>
    </row>
    <row r="2056" spans="2:11" x14ac:dyDescent="0.25">
      <c r="B2056"/>
      <c r="K2056"/>
    </row>
    <row r="2057" spans="2:11" x14ac:dyDescent="0.25">
      <c r="B2057"/>
      <c r="K2057"/>
    </row>
    <row r="2058" spans="2:11" x14ac:dyDescent="0.25">
      <c r="B2058"/>
      <c r="K2058"/>
    </row>
    <row r="2059" spans="2:11" x14ac:dyDescent="0.25">
      <c r="B2059"/>
      <c r="K2059"/>
    </row>
    <row r="2060" spans="2:11" x14ac:dyDescent="0.25">
      <c r="B2060"/>
      <c r="K2060"/>
    </row>
    <row r="2061" spans="2:11" x14ac:dyDescent="0.25">
      <c r="B2061"/>
      <c r="K2061"/>
    </row>
    <row r="2062" spans="2:11" x14ac:dyDescent="0.25">
      <c r="B2062"/>
      <c r="K2062"/>
    </row>
    <row r="2063" spans="2:11" x14ac:dyDescent="0.25">
      <c r="B2063"/>
      <c r="K2063"/>
    </row>
    <row r="2064" spans="2:11" x14ac:dyDescent="0.25">
      <c r="B2064"/>
      <c r="K2064"/>
    </row>
    <row r="2065" spans="2:11" x14ac:dyDescent="0.25">
      <c r="B2065"/>
      <c r="K2065"/>
    </row>
    <row r="2066" spans="2:11" x14ac:dyDescent="0.25">
      <c r="B2066"/>
      <c r="K2066"/>
    </row>
    <row r="2067" spans="2:11" x14ac:dyDescent="0.25">
      <c r="B2067"/>
      <c r="K2067"/>
    </row>
    <row r="2068" spans="2:11" x14ac:dyDescent="0.25">
      <c r="B2068"/>
      <c r="K2068"/>
    </row>
    <row r="2069" spans="2:11" x14ac:dyDescent="0.25">
      <c r="B2069"/>
      <c r="K2069"/>
    </row>
    <row r="2070" spans="2:11" x14ac:dyDescent="0.25">
      <c r="B2070"/>
      <c r="K2070"/>
    </row>
    <row r="2071" spans="2:11" x14ac:dyDescent="0.25">
      <c r="B2071"/>
      <c r="K2071"/>
    </row>
    <row r="2072" spans="2:11" x14ac:dyDescent="0.25">
      <c r="B2072"/>
      <c r="K2072"/>
    </row>
    <row r="2073" spans="2:11" x14ac:dyDescent="0.25">
      <c r="B2073"/>
      <c r="K2073"/>
    </row>
    <row r="2074" spans="2:11" x14ac:dyDescent="0.25">
      <c r="B2074"/>
      <c r="K2074"/>
    </row>
    <row r="2075" spans="2:11" x14ac:dyDescent="0.25">
      <c r="B2075"/>
      <c r="K2075"/>
    </row>
    <row r="2076" spans="2:11" x14ac:dyDescent="0.25">
      <c r="B2076"/>
      <c r="K2076"/>
    </row>
    <row r="2077" spans="2:11" x14ac:dyDescent="0.25">
      <c r="B2077"/>
      <c r="K2077"/>
    </row>
    <row r="2078" spans="2:11" x14ac:dyDescent="0.25">
      <c r="B2078"/>
      <c r="K2078"/>
    </row>
    <row r="2079" spans="2:11" x14ac:dyDescent="0.25">
      <c r="B2079"/>
      <c r="K2079"/>
    </row>
    <row r="2080" spans="2:11" x14ac:dyDescent="0.25">
      <c r="B2080"/>
      <c r="K2080"/>
    </row>
    <row r="2081" spans="2:11" x14ac:dyDescent="0.25">
      <c r="B2081"/>
      <c r="K2081"/>
    </row>
    <row r="2082" spans="2:11" x14ac:dyDescent="0.25">
      <c r="B2082"/>
      <c r="K2082"/>
    </row>
    <row r="2083" spans="2:11" x14ac:dyDescent="0.25">
      <c r="B2083"/>
      <c r="K2083"/>
    </row>
    <row r="2084" spans="2:11" x14ac:dyDescent="0.25">
      <c r="B2084"/>
      <c r="K2084"/>
    </row>
    <row r="2085" spans="2:11" x14ac:dyDescent="0.25">
      <c r="B2085"/>
      <c r="K2085"/>
    </row>
    <row r="2086" spans="2:11" x14ac:dyDescent="0.25">
      <c r="B2086"/>
      <c r="K2086"/>
    </row>
    <row r="2087" spans="2:11" x14ac:dyDescent="0.25">
      <c r="B2087"/>
      <c r="K2087"/>
    </row>
    <row r="2088" spans="2:11" x14ac:dyDescent="0.25">
      <c r="B2088"/>
      <c r="K2088"/>
    </row>
    <row r="2089" spans="2:11" x14ac:dyDescent="0.25">
      <c r="B2089"/>
      <c r="K2089"/>
    </row>
    <row r="2090" spans="2:11" x14ac:dyDescent="0.25">
      <c r="B2090"/>
      <c r="K2090"/>
    </row>
    <row r="2091" spans="2:11" x14ac:dyDescent="0.25">
      <c r="B2091"/>
      <c r="K2091"/>
    </row>
    <row r="2092" spans="2:11" x14ac:dyDescent="0.25">
      <c r="B2092"/>
      <c r="K2092"/>
    </row>
    <row r="2093" spans="2:11" x14ac:dyDescent="0.25">
      <c r="B2093"/>
      <c r="K2093"/>
    </row>
    <row r="2094" spans="2:11" x14ac:dyDescent="0.25">
      <c r="B2094"/>
      <c r="K2094"/>
    </row>
    <row r="2095" spans="2:11" x14ac:dyDescent="0.25">
      <c r="B2095"/>
      <c r="K2095"/>
    </row>
    <row r="2096" spans="2:11" x14ac:dyDescent="0.25">
      <c r="B2096"/>
      <c r="K2096"/>
    </row>
    <row r="2097" spans="2:11" x14ac:dyDescent="0.25">
      <c r="B2097"/>
      <c r="K2097"/>
    </row>
    <row r="2098" spans="2:11" x14ac:dyDescent="0.25">
      <c r="B2098"/>
      <c r="K2098"/>
    </row>
    <row r="2099" spans="2:11" x14ac:dyDescent="0.25">
      <c r="B2099"/>
      <c r="K2099"/>
    </row>
    <row r="2100" spans="2:11" x14ac:dyDescent="0.25">
      <c r="B2100"/>
      <c r="K2100"/>
    </row>
    <row r="2101" spans="2:11" x14ac:dyDescent="0.25">
      <c r="B2101"/>
      <c r="K2101"/>
    </row>
    <row r="2102" spans="2:11" x14ac:dyDescent="0.25">
      <c r="B2102"/>
      <c r="K2102"/>
    </row>
    <row r="2103" spans="2:11" x14ac:dyDescent="0.25">
      <c r="B2103"/>
      <c r="K2103"/>
    </row>
    <row r="2104" spans="2:11" x14ac:dyDescent="0.25">
      <c r="B2104"/>
      <c r="K2104"/>
    </row>
    <row r="2105" spans="2:11" x14ac:dyDescent="0.25">
      <c r="B2105"/>
      <c r="K2105"/>
    </row>
    <row r="2106" spans="2:11" x14ac:dyDescent="0.25">
      <c r="B2106"/>
      <c r="K2106"/>
    </row>
    <row r="2107" spans="2:11" x14ac:dyDescent="0.25">
      <c r="B2107"/>
      <c r="K2107"/>
    </row>
    <row r="2108" spans="2:11" x14ac:dyDescent="0.25">
      <c r="B2108"/>
      <c r="K2108"/>
    </row>
    <row r="2109" spans="2:11" x14ac:dyDescent="0.25">
      <c r="B2109"/>
      <c r="K2109"/>
    </row>
    <row r="2110" spans="2:11" x14ac:dyDescent="0.25">
      <c r="B2110"/>
      <c r="K2110"/>
    </row>
    <row r="2111" spans="2:11" x14ac:dyDescent="0.25">
      <c r="B2111"/>
      <c r="K2111"/>
    </row>
    <row r="2112" spans="2:11" x14ac:dyDescent="0.25">
      <c r="B2112"/>
      <c r="K2112"/>
    </row>
    <row r="2113" spans="2:11" x14ac:dyDescent="0.25">
      <c r="B2113"/>
      <c r="K2113"/>
    </row>
    <row r="2114" spans="2:11" x14ac:dyDescent="0.25">
      <c r="B2114"/>
      <c r="K2114"/>
    </row>
    <row r="2115" spans="2:11" x14ac:dyDescent="0.25">
      <c r="B2115"/>
      <c r="K2115"/>
    </row>
    <row r="2116" spans="2:11" x14ac:dyDescent="0.25">
      <c r="B2116"/>
      <c r="K2116"/>
    </row>
    <row r="2117" spans="2:11" x14ac:dyDescent="0.25">
      <c r="B2117"/>
      <c r="K2117"/>
    </row>
    <row r="2118" spans="2:11" x14ac:dyDescent="0.25">
      <c r="B2118"/>
      <c r="K2118"/>
    </row>
    <row r="2119" spans="2:11" x14ac:dyDescent="0.25">
      <c r="B2119"/>
      <c r="K2119"/>
    </row>
    <row r="2120" spans="2:11" x14ac:dyDescent="0.25">
      <c r="B2120"/>
      <c r="K2120"/>
    </row>
    <row r="2121" spans="2:11" x14ac:dyDescent="0.25">
      <c r="B2121"/>
      <c r="K2121"/>
    </row>
    <row r="2122" spans="2:11" x14ac:dyDescent="0.25">
      <c r="B2122"/>
      <c r="K2122"/>
    </row>
    <row r="2123" spans="2:11" x14ac:dyDescent="0.25">
      <c r="B2123"/>
      <c r="K2123"/>
    </row>
    <row r="2124" spans="2:11" x14ac:dyDescent="0.25">
      <c r="B2124"/>
      <c r="K2124"/>
    </row>
    <row r="2125" spans="2:11" x14ac:dyDescent="0.25">
      <c r="B2125"/>
      <c r="K2125"/>
    </row>
    <row r="2126" spans="2:11" x14ac:dyDescent="0.25">
      <c r="B2126"/>
      <c r="K2126"/>
    </row>
    <row r="2127" spans="2:11" x14ac:dyDescent="0.25">
      <c r="B2127"/>
      <c r="K2127"/>
    </row>
    <row r="2128" spans="2:11" x14ac:dyDescent="0.25">
      <c r="B2128"/>
      <c r="K2128"/>
    </row>
    <row r="2129" spans="2:11" x14ac:dyDescent="0.25">
      <c r="B2129"/>
      <c r="K2129"/>
    </row>
    <row r="2130" spans="2:11" x14ac:dyDescent="0.25">
      <c r="B2130"/>
      <c r="K2130"/>
    </row>
    <row r="2131" spans="2:11" x14ac:dyDescent="0.25">
      <c r="B2131"/>
      <c r="K2131"/>
    </row>
    <row r="2132" spans="2:11" x14ac:dyDescent="0.25">
      <c r="B2132"/>
      <c r="K2132"/>
    </row>
    <row r="2133" spans="2:11" x14ac:dyDescent="0.25">
      <c r="B2133"/>
      <c r="K2133"/>
    </row>
    <row r="2134" spans="2:11" x14ac:dyDescent="0.25">
      <c r="B2134"/>
      <c r="K2134"/>
    </row>
    <row r="2135" spans="2:11" x14ac:dyDescent="0.25">
      <c r="B2135"/>
      <c r="K2135"/>
    </row>
    <row r="2136" spans="2:11" x14ac:dyDescent="0.25">
      <c r="B2136"/>
      <c r="K2136"/>
    </row>
    <row r="2137" spans="2:11" x14ac:dyDescent="0.25">
      <c r="B2137"/>
      <c r="K2137"/>
    </row>
    <row r="2138" spans="2:11" x14ac:dyDescent="0.25">
      <c r="B2138"/>
      <c r="K2138"/>
    </row>
    <row r="2139" spans="2:11" x14ac:dyDescent="0.25">
      <c r="B2139"/>
      <c r="K2139"/>
    </row>
    <row r="2140" spans="2:11" x14ac:dyDescent="0.25">
      <c r="B2140"/>
      <c r="K2140"/>
    </row>
    <row r="2141" spans="2:11" x14ac:dyDescent="0.25">
      <c r="B2141"/>
      <c r="K2141"/>
    </row>
    <row r="2142" spans="2:11" x14ac:dyDescent="0.25">
      <c r="B2142"/>
      <c r="K2142"/>
    </row>
    <row r="2143" spans="2:11" x14ac:dyDescent="0.25">
      <c r="B2143"/>
      <c r="K2143"/>
    </row>
    <row r="2144" spans="2:11" x14ac:dyDescent="0.25">
      <c r="B2144"/>
      <c r="K2144"/>
    </row>
    <row r="2145" spans="2:11" x14ac:dyDescent="0.25">
      <c r="B2145"/>
      <c r="K2145"/>
    </row>
    <row r="2146" spans="2:11" x14ac:dyDescent="0.25">
      <c r="B2146"/>
      <c r="K2146"/>
    </row>
    <row r="2147" spans="2:11" x14ac:dyDescent="0.25">
      <c r="B2147"/>
      <c r="K2147"/>
    </row>
    <row r="2148" spans="2:11" x14ac:dyDescent="0.25">
      <c r="B2148"/>
      <c r="K2148"/>
    </row>
    <row r="2149" spans="2:11" x14ac:dyDescent="0.25">
      <c r="B2149"/>
      <c r="K2149"/>
    </row>
    <row r="2150" spans="2:11" x14ac:dyDescent="0.25">
      <c r="B2150"/>
      <c r="K2150"/>
    </row>
    <row r="2151" spans="2:11" x14ac:dyDescent="0.25">
      <c r="B2151"/>
      <c r="K2151"/>
    </row>
    <row r="2152" spans="2:11" x14ac:dyDescent="0.25">
      <c r="B2152"/>
      <c r="K2152"/>
    </row>
    <row r="2153" spans="2:11" x14ac:dyDescent="0.25">
      <c r="B2153"/>
      <c r="K2153"/>
    </row>
    <row r="2154" spans="2:11" x14ac:dyDescent="0.25">
      <c r="B2154"/>
      <c r="K2154"/>
    </row>
    <row r="2155" spans="2:11" x14ac:dyDescent="0.25">
      <c r="B2155"/>
      <c r="K2155"/>
    </row>
    <row r="2156" spans="2:11" x14ac:dyDescent="0.25">
      <c r="B2156"/>
      <c r="K2156"/>
    </row>
    <row r="2157" spans="2:11" x14ac:dyDescent="0.25">
      <c r="B2157"/>
      <c r="K2157"/>
    </row>
    <row r="2158" spans="2:11" x14ac:dyDescent="0.25">
      <c r="B2158"/>
      <c r="K2158"/>
    </row>
    <row r="2159" spans="2:11" x14ac:dyDescent="0.25">
      <c r="B2159"/>
      <c r="K2159"/>
    </row>
    <row r="2160" spans="2:11" x14ac:dyDescent="0.25">
      <c r="B2160"/>
      <c r="K2160"/>
    </row>
    <row r="2161" spans="2:11" x14ac:dyDescent="0.25">
      <c r="B2161"/>
      <c r="K2161"/>
    </row>
    <row r="2162" spans="2:11" x14ac:dyDescent="0.25">
      <c r="B2162"/>
      <c r="K2162"/>
    </row>
    <row r="2163" spans="2:11" x14ac:dyDescent="0.25">
      <c r="B2163"/>
      <c r="K2163"/>
    </row>
    <row r="2164" spans="2:11" x14ac:dyDescent="0.25">
      <c r="B2164"/>
      <c r="K2164"/>
    </row>
    <row r="2165" spans="2:11" x14ac:dyDescent="0.25">
      <c r="B2165"/>
      <c r="K2165"/>
    </row>
    <row r="2166" spans="2:11" x14ac:dyDescent="0.25">
      <c r="B2166"/>
      <c r="K2166"/>
    </row>
    <row r="2167" spans="2:11" x14ac:dyDescent="0.25">
      <c r="B2167"/>
      <c r="K2167"/>
    </row>
    <row r="2168" spans="2:11" x14ac:dyDescent="0.25">
      <c r="B2168"/>
      <c r="K2168"/>
    </row>
    <row r="2169" spans="2:11" x14ac:dyDescent="0.25">
      <c r="B2169"/>
      <c r="K2169"/>
    </row>
    <row r="2170" spans="2:11" x14ac:dyDescent="0.25">
      <c r="B2170"/>
      <c r="K2170"/>
    </row>
    <row r="2171" spans="2:11" x14ac:dyDescent="0.25">
      <c r="B2171"/>
      <c r="K2171"/>
    </row>
    <row r="2172" spans="2:11" x14ac:dyDescent="0.25">
      <c r="B2172"/>
      <c r="K2172"/>
    </row>
    <row r="2173" spans="2:11" x14ac:dyDescent="0.25">
      <c r="B2173"/>
      <c r="K2173"/>
    </row>
    <row r="2174" spans="2:11" x14ac:dyDescent="0.25">
      <c r="B2174"/>
      <c r="K2174"/>
    </row>
    <row r="2175" spans="2:11" x14ac:dyDescent="0.25">
      <c r="B2175"/>
      <c r="K2175"/>
    </row>
    <row r="2176" spans="2:11" x14ac:dyDescent="0.25">
      <c r="B2176"/>
      <c r="K2176"/>
    </row>
    <row r="2177" spans="2:11" x14ac:dyDescent="0.25">
      <c r="B2177"/>
      <c r="K2177"/>
    </row>
    <row r="2178" spans="2:11" x14ac:dyDescent="0.25">
      <c r="B2178"/>
      <c r="K2178"/>
    </row>
    <row r="2179" spans="2:11" x14ac:dyDescent="0.25">
      <c r="B2179"/>
      <c r="K2179"/>
    </row>
    <row r="2180" spans="2:11" x14ac:dyDescent="0.25">
      <c r="B2180"/>
      <c r="K2180"/>
    </row>
    <row r="2181" spans="2:11" x14ac:dyDescent="0.25">
      <c r="B2181"/>
      <c r="K2181"/>
    </row>
    <row r="2182" spans="2:11" x14ac:dyDescent="0.25">
      <c r="B2182"/>
      <c r="K2182"/>
    </row>
    <row r="2183" spans="2:11" x14ac:dyDescent="0.25">
      <c r="B2183"/>
      <c r="K2183"/>
    </row>
    <row r="2184" spans="2:11" x14ac:dyDescent="0.25">
      <c r="B2184"/>
      <c r="K2184"/>
    </row>
    <row r="2185" spans="2:11" x14ac:dyDescent="0.25">
      <c r="B2185"/>
      <c r="K2185"/>
    </row>
    <row r="2186" spans="2:11" x14ac:dyDescent="0.25">
      <c r="B2186"/>
      <c r="K2186"/>
    </row>
    <row r="2187" spans="2:11" x14ac:dyDescent="0.25">
      <c r="B2187"/>
      <c r="K2187"/>
    </row>
    <row r="2188" spans="2:11" x14ac:dyDescent="0.25">
      <c r="B2188"/>
      <c r="K2188"/>
    </row>
    <row r="2189" spans="2:11" x14ac:dyDescent="0.25">
      <c r="B2189"/>
      <c r="K2189"/>
    </row>
    <row r="2190" spans="2:11" x14ac:dyDescent="0.25">
      <c r="B2190"/>
      <c r="K2190"/>
    </row>
    <row r="2191" spans="2:11" x14ac:dyDescent="0.25">
      <c r="B2191"/>
      <c r="K2191"/>
    </row>
    <row r="2192" spans="2:11" x14ac:dyDescent="0.25">
      <c r="B2192"/>
      <c r="K2192"/>
    </row>
    <row r="2193" spans="2:11" x14ac:dyDescent="0.25">
      <c r="B2193"/>
      <c r="K2193"/>
    </row>
    <row r="2194" spans="2:11" x14ac:dyDescent="0.25">
      <c r="B2194"/>
      <c r="K2194"/>
    </row>
    <row r="2195" spans="2:11" x14ac:dyDescent="0.25">
      <c r="B2195"/>
      <c r="K2195"/>
    </row>
    <row r="2196" spans="2:11" x14ac:dyDescent="0.25">
      <c r="B2196"/>
      <c r="K2196"/>
    </row>
    <row r="2197" spans="2:11" x14ac:dyDescent="0.25">
      <c r="B2197"/>
      <c r="K2197"/>
    </row>
    <row r="2198" spans="2:11" x14ac:dyDescent="0.25">
      <c r="B2198"/>
      <c r="K2198"/>
    </row>
    <row r="2199" spans="2:11" x14ac:dyDescent="0.25">
      <c r="B2199"/>
      <c r="K2199"/>
    </row>
    <row r="2200" spans="2:11" x14ac:dyDescent="0.25">
      <c r="B2200"/>
      <c r="K2200"/>
    </row>
    <row r="2201" spans="2:11" x14ac:dyDescent="0.25">
      <c r="B2201"/>
      <c r="K2201"/>
    </row>
    <row r="2202" spans="2:11" x14ac:dyDescent="0.25">
      <c r="B2202"/>
      <c r="K2202"/>
    </row>
    <row r="2203" spans="2:11" x14ac:dyDescent="0.25">
      <c r="B2203"/>
      <c r="K2203"/>
    </row>
    <row r="2204" spans="2:11" x14ac:dyDescent="0.25">
      <c r="B2204"/>
      <c r="K2204"/>
    </row>
    <row r="2205" spans="2:11" x14ac:dyDescent="0.25">
      <c r="B2205"/>
      <c r="K2205"/>
    </row>
    <row r="2206" spans="2:11" x14ac:dyDescent="0.25">
      <c r="B2206"/>
      <c r="K2206"/>
    </row>
    <row r="2207" spans="2:11" x14ac:dyDescent="0.25">
      <c r="B2207"/>
      <c r="K2207"/>
    </row>
    <row r="2208" spans="2:11" x14ac:dyDescent="0.25">
      <c r="B2208"/>
      <c r="K2208"/>
    </row>
    <row r="2209" spans="2:11" x14ac:dyDescent="0.25">
      <c r="B2209"/>
      <c r="K2209"/>
    </row>
    <row r="2210" spans="2:11" x14ac:dyDescent="0.25">
      <c r="B2210"/>
      <c r="K2210"/>
    </row>
    <row r="2211" spans="2:11" x14ac:dyDescent="0.25">
      <c r="B2211"/>
      <c r="K2211"/>
    </row>
    <row r="2212" spans="2:11" x14ac:dyDescent="0.25">
      <c r="B2212"/>
      <c r="K2212"/>
    </row>
    <row r="2213" spans="2:11" x14ac:dyDescent="0.25">
      <c r="B2213"/>
      <c r="K2213"/>
    </row>
    <row r="2214" spans="2:11" x14ac:dyDescent="0.25">
      <c r="B2214"/>
      <c r="K2214"/>
    </row>
    <row r="2215" spans="2:11" x14ac:dyDescent="0.25">
      <c r="B2215"/>
      <c r="K2215"/>
    </row>
    <row r="2216" spans="2:11" x14ac:dyDescent="0.25">
      <c r="B2216"/>
      <c r="K2216"/>
    </row>
    <row r="2217" spans="2:11" x14ac:dyDescent="0.25">
      <c r="B2217"/>
      <c r="K2217"/>
    </row>
    <row r="2218" spans="2:11" x14ac:dyDescent="0.25">
      <c r="B2218"/>
      <c r="K2218"/>
    </row>
    <row r="2219" spans="2:11" x14ac:dyDescent="0.25">
      <c r="B2219"/>
      <c r="K2219"/>
    </row>
    <row r="2220" spans="2:11" x14ac:dyDescent="0.25">
      <c r="B2220"/>
      <c r="K2220"/>
    </row>
    <row r="2221" spans="2:11" x14ac:dyDescent="0.25">
      <c r="B2221"/>
      <c r="K2221"/>
    </row>
    <row r="2222" spans="2:11" x14ac:dyDescent="0.25">
      <c r="B2222"/>
      <c r="K2222"/>
    </row>
    <row r="2223" spans="2:11" x14ac:dyDescent="0.25">
      <c r="B2223"/>
      <c r="K2223"/>
    </row>
    <row r="2224" spans="2:11" x14ac:dyDescent="0.25">
      <c r="B2224"/>
      <c r="K2224"/>
    </row>
    <row r="2225" spans="2:11" x14ac:dyDescent="0.25">
      <c r="B2225"/>
      <c r="K2225"/>
    </row>
    <row r="2226" spans="2:11" x14ac:dyDescent="0.25">
      <c r="B2226"/>
      <c r="K2226"/>
    </row>
    <row r="2227" spans="2:11" x14ac:dyDescent="0.25">
      <c r="B2227"/>
      <c r="K2227"/>
    </row>
    <row r="2228" spans="2:11" x14ac:dyDescent="0.25">
      <c r="B2228"/>
      <c r="K2228"/>
    </row>
    <row r="2229" spans="2:11" x14ac:dyDescent="0.25">
      <c r="B2229"/>
      <c r="K2229"/>
    </row>
    <row r="2230" spans="2:11" x14ac:dyDescent="0.25">
      <c r="B2230"/>
      <c r="K2230"/>
    </row>
    <row r="2231" spans="2:11" x14ac:dyDescent="0.25">
      <c r="B2231"/>
      <c r="K2231"/>
    </row>
    <row r="2232" spans="2:11" x14ac:dyDescent="0.25">
      <c r="B2232"/>
      <c r="K2232"/>
    </row>
    <row r="2233" spans="2:11" x14ac:dyDescent="0.25">
      <c r="B2233"/>
      <c r="K2233"/>
    </row>
    <row r="2234" spans="2:11" x14ac:dyDescent="0.25">
      <c r="B2234"/>
      <c r="K2234"/>
    </row>
    <row r="2235" spans="2:11" x14ac:dyDescent="0.25">
      <c r="B2235"/>
      <c r="K2235"/>
    </row>
    <row r="2236" spans="2:11" x14ac:dyDescent="0.25">
      <c r="B2236"/>
      <c r="K2236"/>
    </row>
    <row r="2237" spans="2:11" x14ac:dyDescent="0.25">
      <c r="B2237"/>
      <c r="K2237"/>
    </row>
    <row r="2238" spans="2:11" x14ac:dyDescent="0.25">
      <c r="B2238"/>
      <c r="K2238"/>
    </row>
    <row r="2239" spans="2:11" x14ac:dyDescent="0.25">
      <c r="B2239"/>
      <c r="K2239"/>
    </row>
    <row r="2240" spans="2:11" x14ac:dyDescent="0.25">
      <c r="B2240"/>
      <c r="K2240"/>
    </row>
    <row r="2241" spans="2:11" x14ac:dyDescent="0.25">
      <c r="B2241"/>
      <c r="K2241"/>
    </row>
    <row r="2242" spans="2:11" x14ac:dyDescent="0.25">
      <c r="B2242"/>
      <c r="K2242"/>
    </row>
    <row r="2243" spans="2:11" x14ac:dyDescent="0.25">
      <c r="B2243"/>
      <c r="K2243"/>
    </row>
    <row r="2244" spans="2:11" x14ac:dyDescent="0.25">
      <c r="B2244"/>
      <c r="K2244"/>
    </row>
    <row r="2245" spans="2:11" x14ac:dyDescent="0.25">
      <c r="B2245"/>
      <c r="K2245"/>
    </row>
    <row r="2246" spans="2:11" x14ac:dyDescent="0.25">
      <c r="B2246"/>
      <c r="K2246"/>
    </row>
    <row r="2247" spans="2:11" x14ac:dyDescent="0.25">
      <c r="B2247"/>
      <c r="K2247"/>
    </row>
    <row r="2248" spans="2:11" x14ac:dyDescent="0.25">
      <c r="B2248"/>
      <c r="K2248"/>
    </row>
    <row r="2249" spans="2:11" x14ac:dyDescent="0.25">
      <c r="B2249"/>
      <c r="K2249"/>
    </row>
    <row r="2250" spans="2:11" x14ac:dyDescent="0.25">
      <c r="B2250"/>
      <c r="K2250"/>
    </row>
    <row r="2251" spans="2:11" x14ac:dyDescent="0.25">
      <c r="B2251"/>
      <c r="K2251"/>
    </row>
    <row r="2252" spans="2:11" x14ac:dyDescent="0.25">
      <c r="B2252"/>
      <c r="K2252"/>
    </row>
    <row r="2253" spans="2:11" x14ac:dyDescent="0.25">
      <c r="B2253"/>
      <c r="K2253"/>
    </row>
    <row r="2254" spans="2:11" x14ac:dyDescent="0.25">
      <c r="B2254"/>
      <c r="K2254"/>
    </row>
    <row r="2255" spans="2:11" x14ac:dyDescent="0.25">
      <c r="B2255"/>
      <c r="K2255"/>
    </row>
    <row r="2256" spans="2:11" x14ac:dyDescent="0.25">
      <c r="B2256"/>
      <c r="K2256"/>
    </row>
    <row r="2257" spans="2:11" x14ac:dyDescent="0.25">
      <c r="B2257"/>
      <c r="K2257"/>
    </row>
    <row r="2258" spans="2:11" x14ac:dyDescent="0.25">
      <c r="B2258"/>
      <c r="K2258"/>
    </row>
    <row r="2259" spans="2:11" x14ac:dyDescent="0.25">
      <c r="B2259"/>
      <c r="K2259"/>
    </row>
    <row r="2260" spans="2:11" x14ac:dyDescent="0.25">
      <c r="B2260"/>
      <c r="K2260"/>
    </row>
    <row r="2261" spans="2:11" x14ac:dyDescent="0.25">
      <c r="B2261"/>
      <c r="K2261"/>
    </row>
    <row r="2262" spans="2:11" x14ac:dyDescent="0.25">
      <c r="B2262"/>
      <c r="K2262"/>
    </row>
    <row r="2263" spans="2:11" x14ac:dyDescent="0.25">
      <c r="B2263"/>
      <c r="K2263"/>
    </row>
    <row r="2264" spans="2:11" x14ac:dyDescent="0.25">
      <c r="B2264"/>
      <c r="K2264"/>
    </row>
    <row r="2265" spans="2:11" x14ac:dyDescent="0.25">
      <c r="B2265"/>
      <c r="K2265"/>
    </row>
    <row r="2266" spans="2:11" x14ac:dyDescent="0.25">
      <c r="B2266"/>
      <c r="K2266"/>
    </row>
    <row r="2267" spans="2:11" x14ac:dyDescent="0.25">
      <c r="B2267"/>
      <c r="K2267"/>
    </row>
    <row r="2268" spans="2:11" x14ac:dyDescent="0.25">
      <c r="B2268"/>
      <c r="K2268"/>
    </row>
    <row r="2269" spans="2:11" x14ac:dyDescent="0.25">
      <c r="B2269"/>
      <c r="K2269"/>
    </row>
    <row r="2270" spans="2:11" x14ac:dyDescent="0.25">
      <c r="B2270"/>
      <c r="K2270"/>
    </row>
    <row r="2271" spans="2:11" x14ac:dyDescent="0.25">
      <c r="B2271"/>
      <c r="K2271"/>
    </row>
    <row r="2272" spans="2:11" x14ac:dyDescent="0.25">
      <c r="B2272"/>
      <c r="K2272"/>
    </row>
    <row r="2273" spans="2:11" x14ac:dyDescent="0.25">
      <c r="B2273"/>
      <c r="K2273"/>
    </row>
    <row r="2274" spans="2:11" x14ac:dyDescent="0.25">
      <c r="B2274"/>
      <c r="K2274"/>
    </row>
    <row r="2275" spans="2:11" x14ac:dyDescent="0.25">
      <c r="B2275"/>
      <c r="K2275"/>
    </row>
    <row r="2276" spans="2:11" x14ac:dyDescent="0.25">
      <c r="B2276"/>
      <c r="K2276"/>
    </row>
    <row r="2277" spans="2:11" x14ac:dyDescent="0.25">
      <c r="B2277"/>
      <c r="K2277"/>
    </row>
    <row r="2278" spans="2:11" x14ac:dyDescent="0.25">
      <c r="B2278"/>
      <c r="K2278"/>
    </row>
    <row r="2279" spans="2:11" x14ac:dyDescent="0.25">
      <c r="B2279"/>
      <c r="K2279"/>
    </row>
    <row r="2280" spans="2:11" x14ac:dyDescent="0.25">
      <c r="B2280"/>
      <c r="K2280"/>
    </row>
    <row r="2281" spans="2:11" x14ac:dyDescent="0.25">
      <c r="B2281"/>
      <c r="K2281"/>
    </row>
    <row r="2282" spans="2:11" x14ac:dyDescent="0.25">
      <c r="B2282"/>
      <c r="K2282"/>
    </row>
    <row r="2283" spans="2:11" x14ac:dyDescent="0.25">
      <c r="B2283"/>
      <c r="K2283"/>
    </row>
    <row r="2284" spans="2:11" x14ac:dyDescent="0.25">
      <c r="B2284"/>
      <c r="K2284"/>
    </row>
    <row r="2285" spans="2:11" x14ac:dyDescent="0.25">
      <c r="B2285"/>
      <c r="K2285"/>
    </row>
    <row r="2286" spans="2:11" x14ac:dyDescent="0.25">
      <c r="B2286"/>
      <c r="K2286"/>
    </row>
    <row r="2287" spans="2:11" x14ac:dyDescent="0.25">
      <c r="B2287"/>
      <c r="K2287"/>
    </row>
    <row r="2288" spans="2:11" x14ac:dyDescent="0.25">
      <c r="B2288"/>
      <c r="K2288"/>
    </row>
    <row r="2289" spans="2:11" x14ac:dyDescent="0.25">
      <c r="B2289"/>
      <c r="K2289"/>
    </row>
    <row r="2290" spans="2:11" x14ac:dyDescent="0.25">
      <c r="B2290"/>
      <c r="K2290"/>
    </row>
    <row r="2291" spans="2:11" x14ac:dyDescent="0.25">
      <c r="B2291"/>
      <c r="K2291"/>
    </row>
    <row r="2292" spans="2:11" x14ac:dyDescent="0.25">
      <c r="B2292"/>
      <c r="K2292"/>
    </row>
    <row r="2293" spans="2:11" x14ac:dyDescent="0.25">
      <c r="B2293"/>
      <c r="K2293"/>
    </row>
    <row r="2294" spans="2:11" x14ac:dyDescent="0.25">
      <c r="B2294"/>
      <c r="K2294"/>
    </row>
    <row r="2295" spans="2:11" x14ac:dyDescent="0.25">
      <c r="B2295"/>
      <c r="K2295"/>
    </row>
    <row r="2296" spans="2:11" x14ac:dyDescent="0.25">
      <c r="B2296"/>
      <c r="K2296"/>
    </row>
    <row r="2297" spans="2:11" x14ac:dyDescent="0.25">
      <c r="B2297"/>
      <c r="K2297"/>
    </row>
    <row r="2298" spans="2:11" x14ac:dyDescent="0.25">
      <c r="B2298"/>
      <c r="K2298"/>
    </row>
    <row r="2299" spans="2:11" x14ac:dyDescent="0.25">
      <c r="B2299"/>
      <c r="K2299"/>
    </row>
    <row r="2300" spans="2:11" x14ac:dyDescent="0.25">
      <c r="B2300"/>
      <c r="K2300"/>
    </row>
    <row r="2301" spans="2:11" x14ac:dyDescent="0.25">
      <c r="B2301"/>
      <c r="K2301"/>
    </row>
    <row r="2302" spans="2:11" x14ac:dyDescent="0.25">
      <c r="B2302"/>
      <c r="K2302"/>
    </row>
    <row r="2303" spans="2:11" x14ac:dyDescent="0.25">
      <c r="B2303"/>
      <c r="K2303"/>
    </row>
    <row r="2304" spans="2:11" x14ac:dyDescent="0.25">
      <c r="B2304"/>
      <c r="K2304"/>
    </row>
    <row r="2305" spans="2:11" x14ac:dyDescent="0.25">
      <c r="B2305"/>
      <c r="K2305"/>
    </row>
    <row r="2306" spans="2:11" x14ac:dyDescent="0.25">
      <c r="B2306"/>
      <c r="K2306"/>
    </row>
    <row r="2307" spans="2:11" x14ac:dyDescent="0.25">
      <c r="B2307"/>
      <c r="K2307"/>
    </row>
    <row r="2308" spans="2:11" x14ac:dyDescent="0.25">
      <c r="B2308"/>
      <c r="K2308"/>
    </row>
    <row r="2309" spans="2:11" x14ac:dyDescent="0.25">
      <c r="B2309"/>
      <c r="K2309"/>
    </row>
    <row r="2310" spans="2:11" x14ac:dyDescent="0.25">
      <c r="B2310"/>
      <c r="K2310"/>
    </row>
    <row r="2311" spans="2:11" x14ac:dyDescent="0.25">
      <c r="B2311"/>
      <c r="K2311"/>
    </row>
    <row r="2312" spans="2:11" x14ac:dyDescent="0.25">
      <c r="B2312"/>
      <c r="K2312"/>
    </row>
    <row r="2313" spans="2:11" x14ac:dyDescent="0.25">
      <c r="B2313"/>
      <c r="K2313"/>
    </row>
    <row r="2314" spans="2:11" x14ac:dyDescent="0.25">
      <c r="B2314"/>
      <c r="K2314"/>
    </row>
    <row r="2315" spans="2:11" x14ac:dyDescent="0.25">
      <c r="B2315"/>
      <c r="K2315"/>
    </row>
    <row r="2316" spans="2:11" x14ac:dyDescent="0.25">
      <c r="B2316"/>
      <c r="K2316"/>
    </row>
    <row r="2317" spans="2:11" x14ac:dyDescent="0.25">
      <c r="B2317"/>
      <c r="K2317"/>
    </row>
    <row r="2318" spans="2:11" x14ac:dyDescent="0.25">
      <c r="B2318"/>
      <c r="K2318"/>
    </row>
    <row r="2319" spans="2:11" x14ac:dyDescent="0.25">
      <c r="B2319"/>
      <c r="K2319"/>
    </row>
    <row r="2320" spans="2:11" x14ac:dyDescent="0.25">
      <c r="B2320"/>
      <c r="K2320"/>
    </row>
    <row r="2321" spans="2:11" x14ac:dyDescent="0.25">
      <c r="B2321"/>
      <c r="K2321"/>
    </row>
    <row r="2322" spans="2:11" x14ac:dyDescent="0.25">
      <c r="B2322"/>
      <c r="K2322"/>
    </row>
    <row r="2323" spans="2:11" x14ac:dyDescent="0.25">
      <c r="B2323"/>
      <c r="K2323"/>
    </row>
    <row r="2324" spans="2:11" x14ac:dyDescent="0.25">
      <c r="B2324"/>
      <c r="K2324"/>
    </row>
    <row r="2325" spans="2:11" x14ac:dyDescent="0.25">
      <c r="B2325"/>
      <c r="K2325"/>
    </row>
    <row r="2326" spans="2:11" x14ac:dyDescent="0.25">
      <c r="B2326"/>
      <c r="K2326"/>
    </row>
    <row r="2327" spans="2:11" x14ac:dyDescent="0.25">
      <c r="B2327"/>
      <c r="K2327"/>
    </row>
    <row r="2328" spans="2:11" x14ac:dyDescent="0.25">
      <c r="B2328"/>
      <c r="K2328"/>
    </row>
    <row r="2329" spans="2:11" x14ac:dyDescent="0.25">
      <c r="B2329"/>
      <c r="K2329"/>
    </row>
    <row r="2330" spans="2:11" x14ac:dyDescent="0.25">
      <c r="B2330"/>
      <c r="K2330"/>
    </row>
    <row r="2331" spans="2:11" x14ac:dyDescent="0.25">
      <c r="B2331"/>
      <c r="K2331"/>
    </row>
    <row r="2332" spans="2:11" x14ac:dyDescent="0.25">
      <c r="B2332"/>
      <c r="K2332"/>
    </row>
    <row r="2333" spans="2:11" x14ac:dyDescent="0.25">
      <c r="B2333"/>
      <c r="K2333"/>
    </row>
    <row r="2334" spans="2:11" x14ac:dyDescent="0.25">
      <c r="B2334"/>
      <c r="K2334"/>
    </row>
    <row r="2335" spans="2:11" x14ac:dyDescent="0.25">
      <c r="B2335"/>
      <c r="K2335"/>
    </row>
    <row r="2336" spans="2:11" x14ac:dyDescent="0.25">
      <c r="B2336"/>
      <c r="K2336"/>
    </row>
    <row r="2337" spans="2:11" x14ac:dyDescent="0.25">
      <c r="B2337"/>
      <c r="K2337"/>
    </row>
    <row r="2338" spans="2:11" x14ac:dyDescent="0.25">
      <c r="B2338"/>
      <c r="K2338"/>
    </row>
    <row r="2339" spans="2:11" x14ac:dyDescent="0.25">
      <c r="B2339"/>
      <c r="K2339"/>
    </row>
    <row r="2340" spans="2:11" x14ac:dyDescent="0.25">
      <c r="B2340"/>
      <c r="K2340"/>
    </row>
    <row r="2341" spans="2:11" x14ac:dyDescent="0.25">
      <c r="B2341"/>
      <c r="K2341"/>
    </row>
    <row r="2342" spans="2:11" x14ac:dyDescent="0.25">
      <c r="B2342"/>
      <c r="K2342"/>
    </row>
    <row r="2343" spans="2:11" x14ac:dyDescent="0.25">
      <c r="B2343"/>
      <c r="K2343"/>
    </row>
    <row r="2344" spans="2:11" x14ac:dyDescent="0.25">
      <c r="B2344"/>
      <c r="K2344"/>
    </row>
    <row r="2345" spans="2:11" x14ac:dyDescent="0.25">
      <c r="B2345"/>
      <c r="K2345"/>
    </row>
    <row r="2346" spans="2:11" x14ac:dyDescent="0.25">
      <c r="B2346"/>
      <c r="K2346"/>
    </row>
    <row r="2347" spans="2:11" x14ac:dyDescent="0.25">
      <c r="B2347"/>
      <c r="K2347"/>
    </row>
    <row r="2348" spans="2:11" x14ac:dyDescent="0.25">
      <c r="B2348"/>
      <c r="K2348"/>
    </row>
    <row r="2349" spans="2:11" x14ac:dyDescent="0.25">
      <c r="B2349"/>
      <c r="K2349"/>
    </row>
    <row r="2350" spans="2:11" x14ac:dyDescent="0.25">
      <c r="B2350"/>
      <c r="K2350"/>
    </row>
    <row r="2351" spans="2:11" x14ac:dyDescent="0.25">
      <c r="B2351"/>
      <c r="K2351"/>
    </row>
    <row r="2352" spans="2:11" x14ac:dyDescent="0.25">
      <c r="B2352"/>
      <c r="K2352"/>
    </row>
    <row r="2353" spans="2:11" x14ac:dyDescent="0.25">
      <c r="B2353"/>
      <c r="K2353"/>
    </row>
    <row r="2354" spans="2:11" x14ac:dyDescent="0.25">
      <c r="B2354"/>
      <c r="K2354"/>
    </row>
    <row r="2355" spans="2:11" x14ac:dyDescent="0.25">
      <c r="B2355"/>
      <c r="K2355"/>
    </row>
    <row r="2356" spans="2:11" x14ac:dyDescent="0.25">
      <c r="B2356"/>
      <c r="K2356"/>
    </row>
    <row r="2357" spans="2:11" x14ac:dyDescent="0.25">
      <c r="B2357"/>
      <c r="K2357"/>
    </row>
    <row r="2358" spans="2:11" x14ac:dyDescent="0.25">
      <c r="B2358"/>
      <c r="K2358"/>
    </row>
    <row r="2359" spans="2:11" x14ac:dyDescent="0.25">
      <c r="B2359"/>
      <c r="K2359"/>
    </row>
    <row r="2360" spans="2:11" x14ac:dyDescent="0.25">
      <c r="B2360"/>
      <c r="K2360"/>
    </row>
    <row r="2361" spans="2:11" x14ac:dyDescent="0.25">
      <c r="B2361"/>
      <c r="K2361"/>
    </row>
    <row r="2362" spans="2:11" x14ac:dyDescent="0.25">
      <c r="B2362"/>
      <c r="K2362"/>
    </row>
    <row r="2363" spans="2:11" x14ac:dyDescent="0.25">
      <c r="B2363"/>
      <c r="K2363"/>
    </row>
    <row r="2364" spans="2:11" x14ac:dyDescent="0.25">
      <c r="B2364"/>
      <c r="K2364"/>
    </row>
    <row r="2365" spans="2:11" x14ac:dyDescent="0.25">
      <c r="B2365"/>
      <c r="K2365"/>
    </row>
    <row r="2366" spans="2:11" x14ac:dyDescent="0.25">
      <c r="B2366"/>
      <c r="K2366"/>
    </row>
    <row r="2367" spans="2:11" x14ac:dyDescent="0.25">
      <c r="B2367"/>
      <c r="K2367"/>
    </row>
    <row r="2368" spans="2:11" x14ac:dyDescent="0.25">
      <c r="B2368"/>
      <c r="K2368"/>
    </row>
    <row r="2369" spans="2:11" x14ac:dyDescent="0.25">
      <c r="B2369"/>
      <c r="K2369"/>
    </row>
    <row r="2370" spans="2:11" x14ac:dyDescent="0.25">
      <c r="B2370"/>
      <c r="K2370"/>
    </row>
    <row r="2371" spans="2:11" x14ac:dyDescent="0.25">
      <c r="B2371"/>
      <c r="K2371"/>
    </row>
    <row r="2372" spans="2:11" x14ac:dyDescent="0.25">
      <c r="B2372"/>
      <c r="K2372"/>
    </row>
    <row r="2373" spans="2:11" x14ac:dyDescent="0.25">
      <c r="B2373"/>
      <c r="K2373"/>
    </row>
    <row r="2374" spans="2:11" x14ac:dyDescent="0.25">
      <c r="B2374"/>
      <c r="K2374"/>
    </row>
    <row r="2375" spans="2:11" x14ac:dyDescent="0.25">
      <c r="B2375"/>
      <c r="K2375"/>
    </row>
    <row r="2376" spans="2:11" x14ac:dyDescent="0.25">
      <c r="B2376"/>
      <c r="K2376"/>
    </row>
    <row r="2377" spans="2:11" x14ac:dyDescent="0.25">
      <c r="B2377"/>
      <c r="K2377"/>
    </row>
    <row r="2378" spans="2:11" x14ac:dyDescent="0.25">
      <c r="B2378"/>
      <c r="K2378"/>
    </row>
    <row r="2379" spans="2:11" x14ac:dyDescent="0.25">
      <c r="B2379"/>
      <c r="K2379"/>
    </row>
    <row r="2380" spans="2:11" x14ac:dyDescent="0.25">
      <c r="B2380"/>
      <c r="K2380"/>
    </row>
    <row r="2381" spans="2:11" x14ac:dyDescent="0.25">
      <c r="B2381"/>
      <c r="K2381"/>
    </row>
    <row r="2382" spans="2:11" x14ac:dyDescent="0.25">
      <c r="B2382"/>
      <c r="K2382"/>
    </row>
    <row r="2383" spans="2:11" x14ac:dyDescent="0.25">
      <c r="B2383"/>
      <c r="K2383"/>
    </row>
    <row r="2384" spans="2:11" x14ac:dyDescent="0.25">
      <c r="B2384"/>
      <c r="K2384"/>
    </row>
    <row r="2385" spans="2:11" x14ac:dyDescent="0.25">
      <c r="B2385"/>
      <c r="K2385"/>
    </row>
    <row r="2386" spans="2:11" x14ac:dyDescent="0.25">
      <c r="B2386"/>
      <c r="K2386"/>
    </row>
    <row r="2387" spans="2:11" x14ac:dyDescent="0.25">
      <c r="B2387"/>
      <c r="K2387"/>
    </row>
    <row r="2388" spans="2:11" x14ac:dyDescent="0.25">
      <c r="B2388"/>
      <c r="K2388"/>
    </row>
    <row r="2389" spans="2:11" x14ac:dyDescent="0.25">
      <c r="B2389"/>
      <c r="K2389"/>
    </row>
    <row r="2390" spans="2:11" x14ac:dyDescent="0.25">
      <c r="B2390"/>
      <c r="K2390"/>
    </row>
    <row r="2391" spans="2:11" x14ac:dyDescent="0.25">
      <c r="B2391"/>
      <c r="K2391"/>
    </row>
    <row r="2392" spans="2:11" x14ac:dyDescent="0.25">
      <c r="B2392"/>
      <c r="K2392"/>
    </row>
    <row r="2393" spans="2:11" x14ac:dyDescent="0.25">
      <c r="B2393"/>
      <c r="K2393"/>
    </row>
    <row r="2394" spans="2:11" x14ac:dyDescent="0.25">
      <c r="B2394"/>
      <c r="K2394"/>
    </row>
    <row r="2395" spans="2:11" x14ac:dyDescent="0.25">
      <c r="B2395"/>
      <c r="K2395"/>
    </row>
    <row r="2396" spans="2:11" x14ac:dyDescent="0.25">
      <c r="B2396"/>
      <c r="K2396"/>
    </row>
    <row r="2397" spans="2:11" x14ac:dyDescent="0.25">
      <c r="B2397"/>
      <c r="K2397"/>
    </row>
    <row r="2398" spans="2:11" x14ac:dyDescent="0.25">
      <c r="B2398"/>
      <c r="K2398"/>
    </row>
    <row r="2399" spans="2:11" x14ac:dyDescent="0.25">
      <c r="B2399"/>
      <c r="K2399"/>
    </row>
    <row r="2400" spans="2:11" x14ac:dyDescent="0.25">
      <c r="B2400"/>
      <c r="K2400"/>
    </row>
    <row r="2401" spans="2:11" x14ac:dyDescent="0.25">
      <c r="B2401"/>
      <c r="K2401"/>
    </row>
    <row r="2402" spans="2:11" x14ac:dyDescent="0.25">
      <c r="B2402"/>
      <c r="K2402"/>
    </row>
    <row r="2403" spans="2:11" x14ac:dyDescent="0.25">
      <c r="B2403"/>
      <c r="K2403"/>
    </row>
    <row r="2404" spans="2:11" x14ac:dyDescent="0.25">
      <c r="B2404"/>
      <c r="K2404"/>
    </row>
    <row r="2405" spans="2:11" x14ac:dyDescent="0.25">
      <c r="B2405"/>
      <c r="K2405"/>
    </row>
    <row r="2406" spans="2:11" x14ac:dyDescent="0.25">
      <c r="B2406"/>
      <c r="K2406"/>
    </row>
    <row r="2407" spans="2:11" x14ac:dyDescent="0.25">
      <c r="B2407"/>
      <c r="K2407"/>
    </row>
    <row r="2408" spans="2:11" x14ac:dyDescent="0.25">
      <c r="B2408"/>
      <c r="K2408"/>
    </row>
    <row r="2409" spans="2:11" x14ac:dyDescent="0.25">
      <c r="B2409"/>
      <c r="K2409"/>
    </row>
    <row r="2410" spans="2:11" x14ac:dyDescent="0.25">
      <c r="B2410"/>
      <c r="K2410"/>
    </row>
    <row r="2411" spans="2:11" x14ac:dyDescent="0.25">
      <c r="B2411"/>
      <c r="K2411"/>
    </row>
    <row r="2412" spans="2:11" x14ac:dyDescent="0.25">
      <c r="B2412"/>
      <c r="K2412"/>
    </row>
    <row r="2413" spans="2:11" x14ac:dyDescent="0.25">
      <c r="B2413"/>
      <c r="K2413"/>
    </row>
    <row r="2414" spans="2:11" x14ac:dyDescent="0.25">
      <c r="B2414"/>
      <c r="K2414"/>
    </row>
    <row r="2415" spans="2:11" x14ac:dyDescent="0.25">
      <c r="B2415"/>
      <c r="K2415"/>
    </row>
    <row r="2416" spans="2:11" x14ac:dyDescent="0.25">
      <c r="B2416"/>
      <c r="K2416"/>
    </row>
    <row r="2417" spans="2:11" x14ac:dyDescent="0.25">
      <c r="B2417"/>
      <c r="K2417"/>
    </row>
    <row r="2418" spans="2:11" x14ac:dyDescent="0.25">
      <c r="B2418"/>
      <c r="K2418"/>
    </row>
    <row r="2419" spans="2:11" x14ac:dyDescent="0.25">
      <c r="B2419"/>
      <c r="K2419"/>
    </row>
    <row r="2420" spans="2:11" x14ac:dyDescent="0.25">
      <c r="B2420"/>
      <c r="K2420"/>
    </row>
    <row r="2421" spans="2:11" x14ac:dyDescent="0.25">
      <c r="B2421"/>
      <c r="K2421"/>
    </row>
    <row r="2422" spans="2:11" x14ac:dyDescent="0.25">
      <c r="B2422"/>
      <c r="K2422"/>
    </row>
    <row r="2423" spans="2:11" x14ac:dyDescent="0.25">
      <c r="B2423"/>
      <c r="K2423"/>
    </row>
    <row r="2424" spans="2:11" x14ac:dyDescent="0.25">
      <c r="B2424"/>
      <c r="K2424"/>
    </row>
    <row r="2425" spans="2:11" x14ac:dyDescent="0.25">
      <c r="B2425"/>
      <c r="K2425"/>
    </row>
    <row r="2426" spans="2:11" x14ac:dyDescent="0.25">
      <c r="B2426"/>
      <c r="K2426"/>
    </row>
    <row r="2427" spans="2:11" x14ac:dyDescent="0.25">
      <c r="B2427"/>
      <c r="K2427"/>
    </row>
    <row r="2428" spans="2:11" x14ac:dyDescent="0.25">
      <c r="B2428"/>
      <c r="K2428"/>
    </row>
    <row r="2429" spans="2:11" x14ac:dyDescent="0.25">
      <c r="B2429"/>
      <c r="K2429"/>
    </row>
    <row r="2430" spans="2:11" x14ac:dyDescent="0.25">
      <c r="B2430"/>
      <c r="K2430"/>
    </row>
    <row r="2431" spans="2:11" x14ac:dyDescent="0.25">
      <c r="B2431"/>
      <c r="K2431"/>
    </row>
    <row r="2432" spans="2:11" x14ac:dyDescent="0.25">
      <c r="B2432"/>
      <c r="K2432"/>
    </row>
    <row r="2433" spans="2:11" x14ac:dyDescent="0.25">
      <c r="B2433"/>
      <c r="K2433"/>
    </row>
    <row r="2434" spans="2:11" x14ac:dyDescent="0.25">
      <c r="B2434"/>
      <c r="K2434"/>
    </row>
    <row r="2435" spans="2:11" x14ac:dyDescent="0.25">
      <c r="B2435"/>
      <c r="K2435"/>
    </row>
    <row r="2436" spans="2:11" x14ac:dyDescent="0.25">
      <c r="B2436"/>
      <c r="K2436"/>
    </row>
    <row r="2437" spans="2:11" x14ac:dyDescent="0.25">
      <c r="B2437"/>
      <c r="K2437"/>
    </row>
    <row r="2438" spans="2:11" x14ac:dyDescent="0.25">
      <c r="B2438"/>
      <c r="K2438"/>
    </row>
    <row r="2439" spans="2:11" x14ac:dyDescent="0.25">
      <c r="B2439"/>
      <c r="K2439"/>
    </row>
    <row r="2440" spans="2:11" x14ac:dyDescent="0.25">
      <c r="B2440"/>
      <c r="K2440"/>
    </row>
    <row r="2441" spans="2:11" x14ac:dyDescent="0.25">
      <c r="B2441"/>
      <c r="K2441"/>
    </row>
    <row r="2442" spans="2:11" x14ac:dyDescent="0.25">
      <c r="B2442"/>
      <c r="K2442"/>
    </row>
    <row r="2443" spans="2:11" x14ac:dyDescent="0.25">
      <c r="B2443"/>
      <c r="K2443"/>
    </row>
    <row r="2444" spans="2:11" x14ac:dyDescent="0.25">
      <c r="B2444"/>
      <c r="K2444"/>
    </row>
    <row r="2445" spans="2:11" x14ac:dyDescent="0.25">
      <c r="B2445"/>
      <c r="K2445"/>
    </row>
    <row r="2446" spans="2:11" x14ac:dyDescent="0.25">
      <c r="B2446"/>
      <c r="K2446"/>
    </row>
    <row r="2447" spans="2:11" x14ac:dyDescent="0.25">
      <c r="B2447"/>
      <c r="K2447"/>
    </row>
    <row r="2448" spans="2:11" x14ac:dyDescent="0.25">
      <c r="B2448"/>
      <c r="K2448"/>
    </row>
    <row r="2449" spans="2:11" x14ac:dyDescent="0.25">
      <c r="B2449"/>
      <c r="K2449"/>
    </row>
    <row r="2450" spans="2:11" x14ac:dyDescent="0.25">
      <c r="B2450"/>
      <c r="K2450"/>
    </row>
    <row r="2451" spans="2:11" x14ac:dyDescent="0.25">
      <c r="B2451"/>
      <c r="K2451"/>
    </row>
    <row r="2452" spans="2:11" x14ac:dyDescent="0.25">
      <c r="B2452"/>
      <c r="K2452"/>
    </row>
    <row r="2453" spans="2:11" x14ac:dyDescent="0.25">
      <c r="B2453"/>
      <c r="K2453"/>
    </row>
    <row r="2454" spans="2:11" x14ac:dyDescent="0.25">
      <c r="B2454"/>
      <c r="K2454"/>
    </row>
    <row r="2455" spans="2:11" x14ac:dyDescent="0.25">
      <c r="B2455"/>
      <c r="K2455"/>
    </row>
    <row r="2456" spans="2:11" x14ac:dyDescent="0.25">
      <c r="B2456"/>
      <c r="K2456"/>
    </row>
    <row r="2457" spans="2:11" x14ac:dyDescent="0.25">
      <c r="B2457"/>
      <c r="K2457"/>
    </row>
    <row r="2458" spans="2:11" x14ac:dyDescent="0.25">
      <c r="B2458"/>
      <c r="K2458"/>
    </row>
    <row r="2459" spans="2:11" x14ac:dyDescent="0.25">
      <c r="B2459"/>
      <c r="K2459"/>
    </row>
    <row r="2460" spans="2:11" x14ac:dyDescent="0.25">
      <c r="B2460"/>
      <c r="K2460"/>
    </row>
    <row r="2461" spans="2:11" x14ac:dyDescent="0.25">
      <c r="B2461"/>
      <c r="K2461"/>
    </row>
    <row r="2462" spans="2:11" x14ac:dyDescent="0.25">
      <c r="B2462"/>
      <c r="K2462"/>
    </row>
    <row r="2463" spans="2:11" x14ac:dyDescent="0.25">
      <c r="B2463"/>
      <c r="K2463"/>
    </row>
    <row r="2464" spans="2:11" x14ac:dyDescent="0.25">
      <c r="B2464"/>
      <c r="K2464"/>
    </row>
    <row r="2465" spans="2:11" x14ac:dyDescent="0.25">
      <c r="B2465"/>
      <c r="K2465"/>
    </row>
    <row r="2466" spans="2:11" x14ac:dyDescent="0.25">
      <c r="B2466"/>
      <c r="K2466"/>
    </row>
    <row r="2467" spans="2:11" x14ac:dyDescent="0.25">
      <c r="B2467"/>
      <c r="K2467"/>
    </row>
    <row r="2468" spans="2:11" x14ac:dyDescent="0.25">
      <c r="B2468"/>
      <c r="K2468"/>
    </row>
    <row r="2469" spans="2:11" x14ac:dyDescent="0.25">
      <c r="B2469"/>
      <c r="K2469"/>
    </row>
    <row r="2470" spans="2:11" x14ac:dyDescent="0.25">
      <c r="B2470"/>
      <c r="K2470"/>
    </row>
    <row r="2471" spans="2:11" x14ac:dyDescent="0.25">
      <c r="B2471"/>
      <c r="K2471"/>
    </row>
    <row r="2472" spans="2:11" x14ac:dyDescent="0.25">
      <c r="B2472"/>
      <c r="K2472"/>
    </row>
    <row r="2473" spans="2:11" x14ac:dyDescent="0.25">
      <c r="B2473"/>
      <c r="K2473"/>
    </row>
    <row r="2474" spans="2:11" x14ac:dyDescent="0.25">
      <c r="B2474"/>
      <c r="K2474"/>
    </row>
    <row r="2475" spans="2:11" x14ac:dyDescent="0.25">
      <c r="B2475"/>
      <c r="K2475"/>
    </row>
    <row r="2476" spans="2:11" x14ac:dyDescent="0.25">
      <c r="B2476"/>
      <c r="K2476"/>
    </row>
    <row r="2477" spans="2:11" x14ac:dyDescent="0.25">
      <c r="B2477"/>
      <c r="K2477"/>
    </row>
    <row r="2478" spans="2:11" x14ac:dyDescent="0.25">
      <c r="B2478"/>
      <c r="K2478"/>
    </row>
    <row r="2479" spans="2:11" x14ac:dyDescent="0.25">
      <c r="B2479"/>
      <c r="K2479"/>
    </row>
    <row r="2480" spans="2:11" x14ac:dyDescent="0.25">
      <c r="B2480"/>
      <c r="K2480"/>
    </row>
    <row r="2481" spans="2:11" x14ac:dyDescent="0.25">
      <c r="B2481"/>
      <c r="K2481"/>
    </row>
    <row r="2482" spans="2:11" x14ac:dyDescent="0.25">
      <c r="B2482"/>
      <c r="K2482"/>
    </row>
    <row r="2483" spans="2:11" x14ac:dyDescent="0.25">
      <c r="B2483"/>
      <c r="K2483"/>
    </row>
    <row r="2484" spans="2:11" x14ac:dyDescent="0.25">
      <c r="B2484"/>
      <c r="K2484"/>
    </row>
    <row r="2485" spans="2:11" x14ac:dyDescent="0.25">
      <c r="B2485"/>
      <c r="K2485"/>
    </row>
    <row r="2486" spans="2:11" x14ac:dyDescent="0.25">
      <c r="B2486"/>
      <c r="K2486"/>
    </row>
    <row r="2487" spans="2:11" x14ac:dyDescent="0.25">
      <c r="B2487"/>
      <c r="K2487"/>
    </row>
    <row r="2488" spans="2:11" x14ac:dyDescent="0.25">
      <c r="B2488"/>
      <c r="K2488"/>
    </row>
    <row r="2489" spans="2:11" x14ac:dyDescent="0.25">
      <c r="B2489"/>
      <c r="K2489"/>
    </row>
    <row r="2490" spans="2:11" x14ac:dyDescent="0.25">
      <c r="B2490"/>
      <c r="K2490"/>
    </row>
    <row r="2491" spans="2:11" x14ac:dyDescent="0.25">
      <c r="B2491"/>
      <c r="K2491"/>
    </row>
    <row r="2492" spans="2:11" x14ac:dyDescent="0.25">
      <c r="B2492"/>
      <c r="K2492"/>
    </row>
    <row r="2493" spans="2:11" x14ac:dyDescent="0.25">
      <c r="B2493"/>
      <c r="K2493"/>
    </row>
    <row r="2494" spans="2:11" x14ac:dyDescent="0.25">
      <c r="B2494"/>
      <c r="K2494"/>
    </row>
    <row r="2495" spans="2:11" x14ac:dyDescent="0.25">
      <c r="B2495"/>
      <c r="K2495"/>
    </row>
    <row r="2496" spans="2:11" x14ac:dyDescent="0.25">
      <c r="B2496"/>
      <c r="K2496"/>
    </row>
    <row r="2497" spans="2:11" x14ac:dyDescent="0.25">
      <c r="B2497"/>
      <c r="K2497"/>
    </row>
    <row r="2498" spans="2:11" x14ac:dyDescent="0.25">
      <c r="B2498"/>
      <c r="K2498"/>
    </row>
    <row r="2499" spans="2:11" x14ac:dyDescent="0.25">
      <c r="B2499"/>
      <c r="K2499"/>
    </row>
    <row r="2500" spans="2:11" x14ac:dyDescent="0.25">
      <c r="B2500"/>
      <c r="K2500"/>
    </row>
    <row r="2501" spans="2:11" x14ac:dyDescent="0.25">
      <c r="B2501"/>
      <c r="K2501"/>
    </row>
    <row r="2502" spans="2:11" x14ac:dyDescent="0.25">
      <c r="B2502"/>
      <c r="K2502"/>
    </row>
    <row r="2503" spans="2:11" x14ac:dyDescent="0.25">
      <c r="B2503"/>
      <c r="K2503"/>
    </row>
    <row r="2504" spans="2:11" x14ac:dyDescent="0.25">
      <c r="B2504"/>
      <c r="K2504"/>
    </row>
    <row r="2505" spans="2:11" x14ac:dyDescent="0.25">
      <c r="B2505"/>
      <c r="K2505"/>
    </row>
    <row r="2506" spans="2:11" x14ac:dyDescent="0.25">
      <c r="B2506"/>
      <c r="K2506"/>
    </row>
    <row r="2507" spans="2:11" x14ac:dyDescent="0.25">
      <c r="B2507"/>
      <c r="K2507"/>
    </row>
    <row r="2508" spans="2:11" x14ac:dyDescent="0.25">
      <c r="B2508"/>
      <c r="K2508"/>
    </row>
    <row r="2509" spans="2:11" x14ac:dyDescent="0.25">
      <c r="B2509"/>
      <c r="K2509"/>
    </row>
    <row r="2510" spans="2:11" x14ac:dyDescent="0.25">
      <c r="B2510"/>
      <c r="K2510"/>
    </row>
    <row r="2511" spans="2:11" x14ac:dyDescent="0.25">
      <c r="B2511"/>
      <c r="K2511"/>
    </row>
    <row r="2512" spans="2:11" x14ac:dyDescent="0.25">
      <c r="B2512"/>
      <c r="K2512"/>
    </row>
    <row r="2513" spans="2:11" x14ac:dyDescent="0.25">
      <c r="B2513"/>
      <c r="K2513"/>
    </row>
    <row r="2514" spans="2:11" x14ac:dyDescent="0.25">
      <c r="B2514"/>
      <c r="K2514"/>
    </row>
    <row r="2515" spans="2:11" x14ac:dyDescent="0.25">
      <c r="B2515"/>
      <c r="K2515"/>
    </row>
    <row r="2516" spans="2:11" x14ac:dyDescent="0.25">
      <c r="B2516"/>
      <c r="K2516"/>
    </row>
    <row r="2517" spans="2:11" x14ac:dyDescent="0.25">
      <c r="B2517"/>
      <c r="K2517"/>
    </row>
    <row r="2518" spans="2:11" x14ac:dyDescent="0.25">
      <c r="B2518"/>
      <c r="K2518"/>
    </row>
    <row r="2519" spans="2:11" x14ac:dyDescent="0.25">
      <c r="B2519"/>
      <c r="K2519"/>
    </row>
    <row r="2520" spans="2:11" x14ac:dyDescent="0.25">
      <c r="B2520"/>
      <c r="K2520"/>
    </row>
    <row r="2521" spans="2:11" x14ac:dyDescent="0.25">
      <c r="B2521"/>
      <c r="K2521"/>
    </row>
    <row r="2522" spans="2:11" x14ac:dyDescent="0.25">
      <c r="B2522"/>
      <c r="K2522"/>
    </row>
    <row r="2523" spans="2:11" x14ac:dyDescent="0.25">
      <c r="B2523"/>
      <c r="K2523"/>
    </row>
    <row r="2524" spans="2:11" x14ac:dyDescent="0.25">
      <c r="B2524"/>
      <c r="K2524"/>
    </row>
    <row r="2525" spans="2:11" x14ac:dyDescent="0.25">
      <c r="B2525"/>
      <c r="K2525"/>
    </row>
    <row r="2526" spans="2:11" x14ac:dyDescent="0.25">
      <c r="B2526"/>
      <c r="K2526"/>
    </row>
    <row r="2527" spans="2:11" x14ac:dyDescent="0.25">
      <c r="B2527"/>
      <c r="K2527"/>
    </row>
    <row r="2528" spans="2:11" x14ac:dyDescent="0.25">
      <c r="B2528"/>
      <c r="K2528"/>
    </row>
    <row r="2529" spans="2:11" x14ac:dyDescent="0.25">
      <c r="B2529"/>
      <c r="K2529"/>
    </row>
    <row r="2530" spans="2:11" x14ac:dyDescent="0.25">
      <c r="B2530"/>
      <c r="K2530"/>
    </row>
    <row r="2531" spans="2:11" x14ac:dyDescent="0.25">
      <c r="B2531"/>
      <c r="K2531"/>
    </row>
    <row r="2532" spans="2:11" x14ac:dyDescent="0.25">
      <c r="B2532"/>
      <c r="K2532"/>
    </row>
    <row r="2533" spans="2:11" x14ac:dyDescent="0.25">
      <c r="B2533"/>
      <c r="K2533"/>
    </row>
    <row r="2534" spans="2:11" x14ac:dyDescent="0.25">
      <c r="B2534"/>
      <c r="K2534"/>
    </row>
    <row r="2535" spans="2:11" x14ac:dyDescent="0.25">
      <c r="B2535"/>
      <c r="K2535"/>
    </row>
    <row r="2536" spans="2:11" x14ac:dyDescent="0.25">
      <c r="B2536"/>
      <c r="K2536"/>
    </row>
    <row r="2537" spans="2:11" x14ac:dyDescent="0.25">
      <c r="B2537"/>
      <c r="K2537"/>
    </row>
    <row r="2538" spans="2:11" x14ac:dyDescent="0.25">
      <c r="B2538"/>
      <c r="K2538"/>
    </row>
    <row r="2539" spans="2:11" x14ac:dyDescent="0.25">
      <c r="B2539"/>
      <c r="K2539"/>
    </row>
    <row r="2540" spans="2:11" x14ac:dyDescent="0.25">
      <c r="B2540"/>
      <c r="K2540"/>
    </row>
    <row r="2541" spans="2:11" x14ac:dyDescent="0.25">
      <c r="B2541"/>
      <c r="K2541"/>
    </row>
    <row r="2542" spans="2:11" x14ac:dyDescent="0.25">
      <c r="B2542"/>
      <c r="K2542"/>
    </row>
    <row r="2543" spans="2:11" x14ac:dyDescent="0.25">
      <c r="B2543"/>
      <c r="K2543"/>
    </row>
    <row r="2544" spans="2:11" x14ac:dyDescent="0.25">
      <c r="B2544"/>
      <c r="K2544"/>
    </row>
    <row r="2545" spans="2:11" x14ac:dyDescent="0.25">
      <c r="B2545"/>
      <c r="K2545"/>
    </row>
    <row r="2546" spans="2:11" x14ac:dyDescent="0.25">
      <c r="B2546"/>
      <c r="K2546"/>
    </row>
    <row r="2547" spans="2:11" x14ac:dyDescent="0.25">
      <c r="B2547"/>
      <c r="K2547"/>
    </row>
    <row r="2548" spans="2:11" x14ac:dyDescent="0.25">
      <c r="B2548"/>
      <c r="K2548"/>
    </row>
    <row r="2549" spans="2:11" x14ac:dyDescent="0.25">
      <c r="B2549"/>
      <c r="K2549"/>
    </row>
    <row r="2550" spans="2:11" x14ac:dyDescent="0.25">
      <c r="B2550"/>
      <c r="K2550"/>
    </row>
    <row r="2551" spans="2:11" x14ac:dyDescent="0.25">
      <c r="B2551"/>
      <c r="K2551"/>
    </row>
    <row r="2552" spans="2:11" x14ac:dyDescent="0.25">
      <c r="B2552"/>
      <c r="K2552"/>
    </row>
    <row r="2553" spans="2:11" x14ac:dyDescent="0.25">
      <c r="B2553"/>
      <c r="K2553"/>
    </row>
    <row r="2554" spans="2:11" x14ac:dyDescent="0.25">
      <c r="B2554"/>
      <c r="K2554"/>
    </row>
    <row r="2555" spans="2:11" x14ac:dyDescent="0.25">
      <c r="B2555"/>
      <c r="K2555"/>
    </row>
    <row r="2556" spans="2:11" x14ac:dyDescent="0.25">
      <c r="B2556"/>
      <c r="K2556"/>
    </row>
    <row r="2557" spans="2:11" x14ac:dyDescent="0.25">
      <c r="B2557"/>
      <c r="K2557"/>
    </row>
    <row r="2558" spans="2:11" x14ac:dyDescent="0.25">
      <c r="B2558"/>
      <c r="K2558"/>
    </row>
    <row r="2559" spans="2:11" x14ac:dyDescent="0.25">
      <c r="B2559"/>
      <c r="K2559"/>
    </row>
    <row r="2560" spans="2:11" x14ac:dyDescent="0.25">
      <c r="B2560"/>
      <c r="K2560"/>
    </row>
    <row r="2561" spans="2:11" x14ac:dyDescent="0.25">
      <c r="B2561"/>
      <c r="K2561"/>
    </row>
    <row r="2562" spans="2:11" x14ac:dyDescent="0.25">
      <c r="B2562"/>
      <c r="K2562"/>
    </row>
    <row r="2563" spans="2:11" x14ac:dyDescent="0.25">
      <c r="B2563"/>
      <c r="K2563"/>
    </row>
    <row r="2564" spans="2:11" x14ac:dyDescent="0.25">
      <c r="B2564"/>
      <c r="K2564"/>
    </row>
    <row r="2565" spans="2:11" x14ac:dyDescent="0.25">
      <c r="B2565"/>
      <c r="K2565"/>
    </row>
    <row r="2566" spans="2:11" x14ac:dyDescent="0.25">
      <c r="B2566"/>
      <c r="K2566"/>
    </row>
    <row r="2567" spans="2:11" x14ac:dyDescent="0.25">
      <c r="B2567"/>
      <c r="K2567"/>
    </row>
    <row r="2568" spans="2:11" x14ac:dyDescent="0.25">
      <c r="B2568"/>
      <c r="K2568"/>
    </row>
    <row r="2569" spans="2:11" x14ac:dyDescent="0.25">
      <c r="B2569"/>
      <c r="K2569"/>
    </row>
    <row r="2570" spans="2:11" x14ac:dyDescent="0.25">
      <c r="B2570"/>
      <c r="K2570"/>
    </row>
    <row r="2571" spans="2:11" x14ac:dyDescent="0.25">
      <c r="B2571"/>
      <c r="K2571"/>
    </row>
    <row r="2572" spans="2:11" x14ac:dyDescent="0.25">
      <c r="B2572"/>
      <c r="K2572"/>
    </row>
    <row r="2573" spans="2:11" x14ac:dyDescent="0.25">
      <c r="B2573"/>
      <c r="K2573"/>
    </row>
    <row r="2574" spans="2:11" x14ac:dyDescent="0.25">
      <c r="B2574"/>
      <c r="K2574"/>
    </row>
    <row r="2575" spans="2:11" x14ac:dyDescent="0.25">
      <c r="B2575"/>
      <c r="K2575"/>
    </row>
    <row r="2576" spans="2:11" x14ac:dyDescent="0.25">
      <c r="B2576"/>
      <c r="K2576"/>
    </row>
    <row r="2577" spans="2:11" x14ac:dyDescent="0.25">
      <c r="B2577"/>
      <c r="K2577"/>
    </row>
    <row r="2578" spans="2:11" x14ac:dyDescent="0.25">
      <c r="B2578"/>
      <c r="K2578"/>
    </row>
    <row r="2579" spans="2:11" x14ac:dyDescent="0.25">
      <c r="B2579"/>
      <c r="K2579"/>
    </row>
    <row r="2580" spans="2:11" x14ac:dyDescent="0.25">
      <c r="B2580"/>
      <c r="K2580"/>
    </row>
    <row r="2581" spans="2:11" x14ac:dyDescent="0.25">
      <c r="B2581"/>
      <c r="K2581"/>
    </row>
    <row r="2582" spans="2:11" x14ac:dyDescent="0.25">
      <c r="B2582"/>
      <c r="K2582"/>
    </row>
    <row r="2583" spans="2:11" x14ac:dyDescent="0.25">
      <c r="B2583"/>
      <c r="K2583"/>
    </row>
    <row r="2584" spans="2:11" x14ac:dyDescent="0.25">
      <c r="B2584"/>
      <c r="K2584"/>
    </row>
    <row r="2585" spans="2:11" x14ac:dyDescent="0.25">
      <c r="B2585"/>
      <c r="K2585"/>
    </row>
    <row r="2586" spans="2:11" x14ac:dyDescent="0.25">
      <c r="B2586"/>
      <c r="K2586"/>
    </row>
    <row r="2587" spans="2:11" x14ac:dyDescent="0.25">
      <c r="B2587"/>
      <c r="K2587"/>
    </row>
    <row r="2588" spans="2:11" x14ac:dyDescent="0.25">
      <c r="B2588"/>
      <c r="K2588"/>
    </row>
    <row r="2589" spans="2:11" x14ac:dyDescent="0.25">
      <c r="B2589"/>
      <c r="K2589"/>
    </row>
    <row r="2590" spans="2:11" x14ac:dyDescent="0.25">
      <c r="B2590"/>
      <c r="K2590"/>
    </row>
    <row r="2591" spans="2:11" x14ac:dyDescent="0.25">
      <c r="B2591"/>
      <c r="K2591"/>
    </row>
    <row r="2592" spans="2:11" x14ac:dyDescent="0.25">
      <c r="B2592"/>
      <c r="K2592"/>
    </row>
    <row r="2593" spans="2:11" x14ac:dyDescent="0.25">
      <c r="B2593"/>
      <c r="K2593"/>
    </row>
    <row r="2594" spans="2:11" x14ac:dyDescent="0.25">
      <c r="B2594"/>
      <c r="K2594"/>
    </row>
    <row r="2595" spans="2:11" x14ac:dyDescent="0.25">
      <c r="B2595"/>
      <c r="K2595"/>
    </row>
    <row r="2596" spans="2:11" x14ac:dyDescent="0.25">
      <c r="B2596"/>
      <c r="K2596"/>
    </row>
    <row r="2597" spans="2:11" x14ac:dyDescent="0.25">
      <c r="B2597"/>
      <c r="K2597"/>
    </row>
    <row r="2598" spans="2:11" x14ac:dyDescent="0.25">
      <c r="B2598"/>
      <c r="K2598"/>
    </row>
    <row r="2599" spans="2:11" x14ac:dyDescent="0.25">
      <c r="B2599"/>
      <c r="K2599"/>
    </row>
    <row r="2600" spans="2:11" x14ac:dyDescent="0.25">
      <c r="B2600"/>
      <c r="K2600"/>
    </row>
    <row r="2601" spans="2:11" x14ac:dyDescent="0.25">
      <c r="B2601"/>
      <c r="K2601"/>
    </row>
    <row r="2602" spans="2:11" x14ac:dyDescent="0.25">
      <c r="B2602"/>
      <c r="K2602"/>
    </row>
    <row r="2603" spans="2:11" x14ac:dyDescent="0.25">
      <c r="B2603"/>
      <c r="K2603"/>
    </row>
    <row r="2604" spans="2:11" x14ac:dyDescent="0.25">
      <c r="B2604"/>
      <c r="K2604"/>
    </row>
    <row r="2605" spans="2:11" x14ac:dyDescent="0.25">
      <c r="B2605"/>
      <c r="K2605"/>
    </row>
    <row r="2606" spans="2:11" x14ac:dyDescent="0.25">
      <c r="B2606"/>
      <c r="K2606"/>
    </row>
    <row r="2607" spans="2:11" x14ac:dyDescent="0.25">
      <c r="B2607"/>
      <c r="K2607"/>
    </row>
    <row r="2608" spans="2:11" x14ac:dyDescent="0.25">
      <c r="B2608"/>
      <c r="K2608"/>
    </row>
    <row r="2609" spans="2:11" x14ac:dyDescent="0.25">
      <c r="B2609"/>
      <c r="K2609"/>
    </row>
    <row r="2610" spans="2:11" x14ac:dyDescent="0.25">
      <c r="B2610"/>
      <c r="K2610"/>
    </row>
    <row r="2611" spans="2:11" x14ac:dyDescent="0.25">
      <c r="B2611"/>
      <c r="K2611"/>
    </row>
    <row r="2612" spans="2:11" x14ac:dyDescent="0.25">
      <c r="B2612"/>
      <c r="K2612"/>
    </row>
    <row r="2613" spans="2:11" x14ac:dyDescent="0.25">
      <c r="B2613"/>
      <c r="K2613"/>
    </row>
    <row r="2614" spans="2:11" x14ac:dyDescent="0.25">
      <c r="B2614"/>
      <c r="K2614"/>
    </row>
    <row r="2615" spans="2:11" x14ac:dyDescent="0.25">
      <c r="B2615"/>
      <c r="K2615"/>
    </row>
    <row r="2616" spans="2:11" x14ac:dyDescent="0.25">
      <c r="B2616"/>
      <c r="K2616"/>
    </row>
    <row r="2617" spans="2:11" x14ac:dyDescent="0.25">
      <c r="B2617"/>
      <c r="K2617"/>
    </row>
    <row r="2618" spans="2:11" x14ac:dyDescent="0.25">
      <c r="B2618"/>
      <c r="K2618"/>
    </row>
    <row r="2619" spans="2:11" x14ac:dyDescent="0.25">
      <c r="B2619"/>
      <c r="K2619"/>
    </row>
    <row r="2620" spans="2:11" x14ac:dyDescent="0.25">
      <c r="B2620"/>
      <c r="K2620"/>
    </row>
    <row r="2621" spans="2:11" x14ac:dyDescent="0.25">
      <c r="B2621"/>
      <c r="K2621"/>
    </row>
    <row r="2622" spans="2:11" x14ac:dyDescent="0.25">
      <c r="B2622"/>
      <c r="K2622"/>
    </row>
    <row r="2623" spans="2:11" x14ac:dyDescent="0.25">
      <c r="B2623"/>
      <c r="K2623"/>
    </row>
    <row r="2624" spans="2:11" x14ac:dyDescent="0.25">
      <c r="B2624"/>
      <c r="K2624"/>
    </row>
    <row r="2625" spans="2:11" x14ac:dyDescent="0.25">
      <c r="B2625"/>
      <c r="K2625"/>
    </row>
    <row r="2626" spans="2:11" x14ac:dyDescent="0.25">
      <c r="B2626"/>
      <c r="K2626"/>
    </row>
    <row r="2627" spans="2:11" x14ac:dyDescent="0.25">
      <c r="B2627"/>
      <c r="K2627"/>
    </row>
    <row r="2628" spans="2:11" x14ac:dyDescent="0.25">
      <c r="B2628"/>
      <c r="K2628"/>
    </row>
    <row r="2629" spans="2:11" x14ac:dyDescent="0.25">
      <c r="B2629"/>
      <c r="K2629"/>
    </row>
    <row r="2630" spans="2:11" x14ac:dyDescent="0.25">
      <c r="B2630"/>
      <c r="K2630"/>
    </row>
    <row r="2631" spans="2:11" x14ac:dyDescent="0.25">
      <c r="B2631"/>
      <c r="K2631"/>
    </row>
    <row r="2632" spans="2:11" x14ac:dyDescent="0.25">
      <c r="B2632"/>
      <c r="K2632"/>
    </row>
    <row r="2633" spans="2:11" x14ac:dyDescent="0.25">
      <c r="B2633"/>
      <c r="K2633"/>
    </row>
    <row r="2634" spans="2:11" x14ac:dyDescent="0.25">
      <c r="B2634"/>
      <c r="K2634"/>
    </row>
    <row r="2635" spans="2:11" x14ac:dyDescent="0.25">
      <c r="B2635"/>
      <c r="K2635"/>
    </row>
    <row r="2636" spans="2:11" x14ac:dyDescent="0.25">
      <c r="B2636"/>
      <c r="K2636"/>
    </row>
    <row r="2637" spans="2:11" x14ac:dyDescent="0.25">
      <c r="B2637"/>
      <c r="K2637"/>
    </row>
    <row r="2638" spans="2:11" x14ac:dyDescent="0.25">
      <c r="B2638"/>
      <c r="K2638"/>
    </row>
    <row r="2639" spans="2:11" x14ac:dyDescent="0.25">
      <c r="B2639"/>
      <c r="K2639"/>
    </row>
    <row r="2640" spans="2:11" x14ac:dyDescent="0.25">
      <c r="B2640"/>
      <c r="K2640"/>
    </row>
    <row r="2641" spans="2:11" x14ac:dyDescent="0.25">
      <c r="B2641"/>
      <c r="K2641"/>
    </row>
    <row r="2642" spans="2:11" x14ac:dyDescent="0.25">
      <c r="B2642"/>
      <c r="K2642"/>
    </row>
    <row r="2643" spans="2:11" x14ac:dyDescent="0.25">
      <c r="B2643"/>
      <c r="K2643"/>
    </row>
    <row r="2644" spans="2:11" x14ac:dyDescent="0.25">
      <c r="B2644"/>
      <c r="K2644"/>
    </row>
    <row r="2645" spans="2:11" x14ac:dyDescent="0.25">
      <c r="B2645"/>
      <c r="K2645"/>
    </row>
    <row r="2646" spans="2:11" x14ac:dyDescent="0.25">
      <c r="B2646"/>
      <c r="K2646"/>
    </row>
    <row r="2647" spans="2:11" x14ac:dyDescent="0.25">
      <c r="B2647"/>
      <c r="K2647"/>
    </row>
    <row r="2648" spans="2:11" x14ac:dyDescent="0.25">
      <c r="B2648"/>
      <c r="K2648"/>
    </row>
    <row r="2649" spans="2:11" x14ac:dyDescent="0.25">
      <c r="B2649"/>
      <c r="K2649"/>
    </row>
    <row r="2650" spans="2:11" x14ac:dyDescent="0.25">
      <c r="B2650"/>
      <c r="K2650"/>
    </row>
    <row r="2651" spans="2:11" x14ac:dyDescent="0.25">
      <c r="B2651"/>
      <c r="K2651"/>
    </row>
    <row r="2652" spans="2:11" x14ac:dyDescent="0.25">
      <c r="B2652"/>
      <c r="K2652"/>
    </row>
    <row r="2653" spans="2:11" x14ac:dyDescent="0.25">
      <c r="B2653"/>
      <c r="K2653"/>
    </row>
    <row r="2654" spans="2:11" x14ac:dyDescent="0.25">
      <c r="B2654"/>
      <c r="K2654"/>
    </row>
    <row r="2655" spans="2:11" x14ac:dyDescent="0.25">
      <c r="B2655"/>
      <c r="K2655"/>
    </row>
    <row r="2656" spans="2:11" x14ac:dyDescent="0.25">
      <c r="B2656"/>
      <c r="K2656"/>
    </row>
    <row r="2657" spans="2:11" x14ac:dyDescent="0.25">
      <c r="B2657"/>
      <c r="K2657"/>
    </row>
    <row r="2658" spans="2:11" x14ac:dyDescent="0.25">
      <c r="B2658"/>
      <c r="K2658"/>
    </row>
    <row r="2659" spans="2:11" x14ac:dyDescent="0.25">
      <c r="B2659"/>
      <c r="K2659"/>
    </row>
    <row r="2660" spans="2:11" x14ac:dyDescent="0.25">
      <c r="B2660"/>
      <c r="K2660"/>
    </row>
    <row r="2661" spans="2:11" x14ac:dyDescent="0.25">
      <c r="B2661"/>
      <c r="K2661"/>
    </row>
    <row r="2662" spans="2:11" x14ac:dyDescent="0.25">
      <c r="B2662"/>
      <c r="K2662"/>
    </row>
    <row r="2663" spans="2:11" x14ac:dyDescent="0.25">
      <c r="B2663"/>
      <c r="K2663"/>
    </row>
    <row r="2664" spans="2:11" x14ac:dyDescent="0.25">
      <c r="B2664"/>
      <c r="K2664"/>
    </row>
    <row r="2665" spans="2:11" x14ac:dyDescent="0.25">
      <c r="B2665"/>
      <c r="K2665"/>
    </row>
    <row r="2666" spans="2:11" x14ac:dyDescent="0.25">
      <c r="B2666"/>
      <c r="K2666"/>
    </row>
    <row r="2667" spans="2:11" x14ac:dyDescent="0.25">
      <c r="B2667"/>
      <c r="K2667"/>
    </row>
    <row r="2668" spans="2:11" x14ac:dyDescent="0.25">
      <c r="B2668"/>
      <c r="K2668"/>
    </row>
    <row r="2669" spans="2:11" x14ac:dyDescent="0.25">
      <c r="B2669"/>
      <c r="K2669"/>
    </row>
    <row r="2670" spans="2:11" x14ac:dyDescent="0.25">
      <c r="B2670"/>
      <c r="K2670"/>
    </row>
    <row r="2671" spans="2:11" x14ac:dyDescent="0.25">
      <c r="B2671"/>
      <c r="K2671"/>
    </row>
    <row r="2672" spans="2:11" x14ac:dyDescent="0.25">
      <c r="B2672"/>
      <c r="K2672"/>
    </row>
    <row r="2673" spans="2:11" x14ac:dyDescent="0.25">
      <c r="B2673"/>
      <c r="K2673"/>
    </row>
    <row r="2674" spans="2:11" x14ac:dyDescent="0.25">
      <c r="B2674"/>
      <c r="K2674"/>
    </row>
    <row r="2675" spans="2:11" x14ac:dyDescent="0.25">
      <c r="B2675"/>
      <c r="K2675"/>
    </row>
    <row r="2676" spans="2:11" x14ac:dyDescent="0.25">
      <c r="B2676"/>
      <c r="K2676"/>
    </row>
    <row r="2677" spans="2:11" x14ac:dyDescent="0.25">
      <c r="B2677"/>
      <c r="K2677"/>
    </row>
    <row r="2678" spans="2:11" x14ac:dyDescent="0.25">
      <c r="B2678"/>
      <c r="K2678"/>
    </row>
    <row r="2679" spans="2:11" x14ac:dyDescent="0.25">
      <c r="B2679"/>
      <c r="K2679"/>
    </row>
    <row r="2680" spans="2:11" x14ac:dyDescent="0.25">
      <c r="B2680"/>
      <c r="K2680"/>
    </row>
    <row r="2681" spans="2:11" x14ac:dyDescent="0.25">
      <c r="B2681"/>
      <c r="K2681"/>
    </row>
    <row r="2682" spans="2:11" x14ac:dyDescent="0.25">
      <c r="B2682"/>
      <c r="K2682"/>
    </row>
    <row r="2683" spans="2:11" x14ac:dyDescent="0.25">
      <c r="B2683"/>
      <c r="K2683"/>
    </row>
    <row r="2684" spans="2:11" x14ac:dyDescent="0.25">
      <c r="B2684"/>
      <c r="K2684"/>
    </row>
    <row r="2685" spans="2:11" x14ac:dyDescent="0.25">
      <c r="B2685"/>
      <c r="K2685"/>
    </row>
    <row r="2686" spans="2:11" x14ac:dyDescent="0.25">
      <c r="B2686"/>
      <c r="K2686"/>
    </row>
    <row r="2687" spans="2:11" x14ac:dyDescent="0.25">
      <c r="B2687"/>
      <c r="K2687"/>
    </row>
    <row r="2688" spans="2:11" x14ac:dyDescent="0.25">
      <c r="B2688"/>
      <c r="K2688"/>
    </row>
    <row r="2689" spans="2:11" x14ac:dyDescent="0.25">
      <c r="B2689"/>
      <c r="K2689"/>
    </row>
    <row r="2690" spans="2:11" x14ac:dyDescent="0.25">
      <c r="B2690"/>
      <c r="K2690"/>
    </row>
    <row r="2691" spans="2:11" x14ac:dyDescent="0.25">
      <c r="B2691"/>
      <c r="K2691"/>
    </row>
    <row r="2692" spans="2:11" x14ac:dyDescent="0.25">
      <c r="B2692"/>
      <c r="K2692"/>
    </row>
    <row r="2693" spans="2:11" x14ac:dyDescent="0.25">
      <c r="B2693"/>
      <c r="K2693"/>
    </row>
    <row r="2694" spans="2:11" x14ac:dyDescent="0.25">
      <c r="B2694"/>
      <c r="K2694"/>
    </row>
    <row r="2695" spans="2:11" x14ac:dyDescent="0.25">
      <c r="B2695"/>
      <c r="K2695"/>
    </row>
    <row r="2696" spans="2:11" x14ac:dyDescent="0.25">
      <c r="B2696"/>
      <c r="K2696"/>
    </row>
    <row r="2697" spans="2:11" x14ac:dyDescent="0.25">
      <c r="B2697"/>
      <c r="K2697"/>
    </row>
    <row r="2698" spans="2:11" x14ac:dyDescent="0.25">
      <c r="B2698"/>
      <c r="K2698"/>
    </row>
    <row r="2699" spans="2:11" x14ac:dyDescent="0.25">
      <c r="B2699"/>
      <c r="K2699"/>
    </row>
    <row r="2700" spans="2:11" x14ac:dyDescent="0.25">
      <c r="B2700"/>
      <c r="K2700"/>
    </row>
    <row r="2701" spans="2:11" x14ac:dyDescent="0.25">
      <c r="B2701"/>
      <c r="K2701"/>
    </row>
    <row r="2702" spans="2:11" x14ac:dyDescent="0.25">
      <c r="B2702"/>
      <c r="K2702"/>
    </row>
    <row r="2703" spans="2:11" x14ac:dyDescent="0.25">
      <c r="B2703"/>
      <c r="K2703"/>
    </row>
    <row r="2704" spans="2:11" x14ac:dyDescent="0.25">
      <c r="B2704"/>
      <c r="K2704"/>
    </row>
    <row r="2705" spans="2:11" x14ac:dyDescent="0.25">
      <c r="B2705"/>
      <c r="K2705"/>
    </row>
    <row r="2706" spans="2:11" x14ac:dyDescent="0.25">
      <c r="B2706"/>
      <c r="K2706"/>
    </row>
    <row r="2707" spans="2:11" x14ac:dyDescent="0.25">
      <c r="B2707"/>
      <c r="K2707"/>
    </row>
    <row r="2708" spans="2:11" x14ac:dyDescent="0.25">
      <c r="B2708"/>
      <c r="K2708"/>
    </row>
    <row r="2709" spans="2:11" x14ac:dyDescent="0.25">
      <c r="B2709"/>
      <c r="K2709"/>
    </row>
    <row r="2710" spans="2:11" x14ac:dyDescent="0.25">
      <c r="B2710"/>
      <c r="K2710"/>
    </row>
    <row r="2711" spans="2:11" x14ac:dyDescent="0.25">
      <c r="B2711"/>
      <c r="K2711"/>
    </row>
    <row r="2712" spans="2:11" x14ac:dyDescent="0.25">
      <c r="B2712"/>
      <c r="K2712"/>
    </row>
    <row r="2713" spans="2:11" x14ac:dyDescent="0.25">
      <c r="B2713"/>
      <c r="K2713"/>
    </row>
    <row r="2714" spans="2:11" x14ac:dyDescent="0.25">
      <c r="B2714"/>
      <c r="K2714"/>
    </row>
    <row r="2715" spans="2:11" x14ac:dyDescent="0.25">
      <c r="B2715"/>
      <c r="K2715"/>
    </row>
    <row r="2716" spans="2:11" x14ac:dyDescent="0.25">
      <c r="B2716"/>
      <c r="K2716"/>
    </row>
    <row r="2717" spans="2:11" x14ac:dyDescent="0.25">
      <c r="B2717"/>
      <c r="K2717"/>
    </row>
    <row r="2718" spans="2:11" x14ac:dyDescent="0.25">
      <c r="B2718"/>
      <c r="K2718"/>
    </row>
    <row r="2719" spans="2:11" x14ac:dyDescent="0.25">
      <c r="B2719"/>
      <c r="K2719"/>
    </row>
    <row r="2720" spans="2:11" x14ac:dyDescent="0.25">
      <c r="B2720"/>
      <c r="K2720"/>
    </row>
    <row r="2721" spans="2:11" x14ac:dyDescent="0.25">
      <c r="B2721"/>
      <c r="K2721"/>
    </row>
    <row r="2722" spans="2:11" x14ac:dyDescent="0.25">
      <c r="B2722"/>
      <c r="K2722"/>
    </row>
    <row r="2723" spans="2:11" x14ac:dyDescent="0.25">
      <c r="B2723"/>
      <c r="K2723"/>
    </row>
    <row r="2724" spans="2:11" x14ac:dyDescent="0.25">
      <c r="B2724"/>
      <c r="K2724"/>
    </row>
    <row r="2725" spans="2:11" x14ac:dyDescent="0.25">
      <c r="B2725"/>
      <c r="K2725"/>
    </row>
    <row r="2726" spans="2:11" x14ac:dyDescent="0.25">
      <c r="B2726"/>
      <c r="K2726"/>
    </row>
    <row r="2727" spans="2:11" x14ac:dyDescent="0.25">
      <c r="B2727"/>
      <c r="K2727"/>
    </row>
    <row r="2728" spans="2:11" x14ac:dyDescent="0.25">
      <c r="B2728"/>
      <c r="K2728"/>
    </row>
    <row r="2729" spans="2:11" x14ac:dyDescent="0.25">
      <c r="B2729"/>
      <c r="K2729"/>
    </row>
    <row r="2730" spans="2:11" x14ac:dyDescent="0.25">
      <c r="B2730"/>
      <c r="K2730"/>
    </row>
    <row r="2731" spans="2:11" x14ac:dyDescent="0.25">
      <c r="B2731"/>
      <c r="K2731"/>
    </row>
    <row r="2732" spans="2:11" x14ac:dyDescent="0.25">
      <c r="B2732"/>
      <c r="K2732"/>
    </row>
    <row r="2733" spans="2:11" x14ac:dyDescent="0.25">
      <c r="B2733"/>
      <c r="K2733"/>
    </row>
    <row r="2734" spans="2:11" x14ac:dyDescent="0.25">
      <c r="B2734"/>
      <c r="K2734"/>
    </row>
    <row r="2735" spans="2:11" x14ac:dyDescent="0.25">
      <c r="B2735"/>
      <c r="K2735"/>
    </row>
    <row r="2736" spans="2:11" x14ac:dyDescent="0.25">
      <c r="B2736"/>
      <c r="K2736"/>
    </row>
    <row r="2737" spans="2:11" x14ac:dyDescent="0.25">
      <c r="B2737"/>
      <c r="K2737"/>
    </row>
    <row r="2738" spans="2:11" x14ac:dyDescent="0.25">
      <c r="B2738"/>
      <c r="K2738"/>
    </row>
    <row r="2739" spans="2:11" x14ac:dyDescent="0.25">
      <c r="B2739"/>
      <c r="K2739"/>
    </row>
    <row r="2740" spans="2:11" x14ac:dyDescent="0.25">
      <c r="B2740"/>
      <c r="K2740"/>
    </row>
    <row r="2741" spans="2:11" x14ac:dyDescent="0.25">
      <c r="B2741"/>
      <c r="K2741"/>
    </row>
    <row r="2742" spans="2:11" x14ac:dyDescent="0.25">
      <c r="B2742"/>
      <c r="K2742"/>
    </row>
    <row r="2743" spans="2:11" x14ac:dyDescent="0.25">
      <c r="B2743"/>
      <c r="K2743"/>
    </row>
    <row r="2744" spans="2:11" x14ac:dyDescent="0.25">
      <c r="B2744"/>
      <c r="K2744"/>
    </row>
    <row r="2745" spans="2:11" x14ac:dyDescent="0.25">
      <c r="B2745"/>
      <c r="K2745"/>
    </row>
    <row r="2746" spans="2:11" x14ac:dyDescent="0.25">
      <c r="B2746"/>
      <c r="K2746"/>
    </row>
    <row r="2747" spans="2:11" x14ac:dyDescent="0.25">
      <c r="B2747"/>
      <c r="K2747"/>
    </row>
    <row r="2748" spans="2:11" x14ac:dyDescent="0.25">
      <c r="B2748"/>
      <c r="K2748"/>
    </row>
    <row r="2749" spans="2:11" x14ac:dyDescent="0.25">
      <c r="B2749"/>
      <c r="K2749"/>
    </row>
    <row r="2750" spans="2:11" x14ac:dyDescent="0.25">
      <c r="B2750"/>
      <c r="K2750"/>
    </row>
    <row r="2751" spans="2:11" x14ac:dyDescent="0.25">
      <c r="B2751"/>
      <c r="K2751"/>
    </row>
    <row r="2752" spans="2:11" x14ac:dyDescent="0.25">
      <c r="B2752"/>
      <c r="K2752"/>
    </row>
    <row r="2753" spans="2:11" x14ac:dyDescent="0.25">
      <c r="B2753"/>
      <c r="K2753"/>
    </row>
    <row r="2754" spans="2:11" x14ac:dyDescent="0.25">
      <c r="B2754"/>
      <c r="K2754"/>
    </row>
    <row r="2755" spans="2:11" x14ac:dyDescent="0.25">
      <c r="B2755"/>
      <c r="K2755"/>
    </row>
    <row r="2756" spans="2:11" x14ac:dyDescent="0.25">
      <c r="B2756"/>
      <c r="K2756"/>
    </row>
    <row r="2757" spans="2:11" x14ac:dyDescent="0.25">
      <c r="B2757"/>
      <c r="K2757"/>
    </row>
    <row r="2758" spans="2:11" x14ac:dyDescent="0.25">
      <c r="B2758"/>
      <c r="K2758"/>
    </row>
    <row r="2759" spans="2:11" x14ac:dyDescent="0.25">
      <c r="B2759"/>
      <c r="K2759"/>
    </row>
    <row r="2760" spans="2:11" x14ac:dyDescent="0.25">
      <c r="B2760"/>
      <c r="K2760"/>
    </row>
    <row r="2761" spans="2:11" x14ac:dyDescent="0.25">
      <c r="B2761"/>
      <c r="K2761"/>
    </row>
    <row r="2762" spans="2:11" x14ac:dyDescent="0.25">
      <c r="B2762"/>
      <c r="K2762"/>
    </row>
    <row r="2763" spans="2:11" x14ac:dyDescent="0.25">
      <c r="B2763"/>
      <c r="K2763"/>
    </row>
    <row r="2764" spans="2:11" x14ac:dyDescent="0.25">
      <c r="B2764"/>
      <c r="K2764"/>
    </row>
    <row r="2765" spans="2:11" x14ac:dyDescent="0.25">
      <c r="B2765"/>
      <c r="K2765"/>
    </row>
    <row r="2766" spans="2:11" x14ac:dyDescent="0.25">
      <c r="B2766"/>
      <c r="K2766"/>
    </row>
    <row r="2767" spans="2:11" x14ac:dyDescent="0.25">
      <c r="B2767"/>
      <c r="K2767"/>
    </row>
    <row r="2768" spans="2:11" x14ac:dyDescent="0.25">
      <c r="B2768"/>
      <c r="K2768"/>
    </row>
    <row r="2769" spans="2:11" x14ac:dyDescent="0.25">
      <c r="B2769"/>
      <c r="K2769"/>
    </row>
    <row r="2770" spans="2:11" x14ac:dyDescent="0.25">
      <c r="B2770"/>
      <c r="K2770"/>
    </row>
    <row r="2771" spans="2:11" x14ac:dyDescent="0.25">
      <c r="B2771"/>
      <c r="K2771"/>
    </row>
    <row r="2772" spans="2:11" x14ac:dyDescent="0.25">
      <c r="B2772"/>
      <c r="K2772"/>
    </row>
    <row r="2773" spans="2:11" x14ac:dyDescent="0.25">
      <c r="B2773"/>
      <c r="K2773"/>
    </row>
    <row r="2774" spans="2:11" x14ac:dyDescent="0.25">
      <c r="B2774"/>
      <c r="K2774"/>
    </row>
    <row r="2775" spans="2:11" x14ac:dyDescent="0.25">
      <c r="B2775"/>
      <c r="K2775"/>
    </row>
    <row r="2776" spans="2:11" x14ac:dyDescent="0.25">
      <c r="B2776"/>
      <c r="K2776"/>
    </row>
    <row r="2777" spans="2:11" x14ac:dyDescent="0.25">
      <c r="B2777"/>
      <c r="K2777"/>
    </row>
    <row r="2778" spans="2:11" x14ac:dyDescent="0.25">
      <c r="B2778"/>
      <c r="K2778"/>
    </row>
    <row r="2779" spans="2:11" x14ac:dyDescent="0.25">
      <c r="B2779"/>
      <c r="K2779"/>
    </row>
    <row r="2780" spans="2:11" x14ac:dyDescent="0.25">
      <c r="B2780"/>
      <c r="K2780"/>
    </row>
    <row r="2781" spans="2:11" x14ac:dyDescent="0.25">
      <c r="B2781"/>
      <c r="K2781"/>
    </row>
    <row r="2782" spans="2:11" x14ac:dyDescent="0.25">
      <c r="B2782"/>
      <c r="K2782"/>
    </row>
    <row r="2783" spans="2:11" x14ac:dyDescent="0.25">
      <c r="B2783"/>
      <c r="K2783"/>
    </row>
    <row r="2784" spans="2:11" x14ac:dyDescent="0.25">
      <c r="B2784"/>
      <c r="K2784"/>
    </row>
    <row r="2785" spans="2:11" x14ac:dyDescent="0.25">
      <c r="B2785"/>
      <c r="K2785"/>
    </row>
    <row r="2786" spans="2:11" x14ac:dyDescent="0.25">
      <c r="B2786"/>
      <c r="K2786"/>
    </row>
    <row r="2787" spans="2:11" x14ac:dyDescent="0.25">
      <c r="B2787"/>
      <c r="K2787"/>
    </row>
    <row r="2788" spans="2:11" x14ac:dyDescent="0.25">
      <c r="B2788"/>
      <c r="K2788"/>
    </row>
    <row r="2789" spans="2:11" x14ac:dyDescent="0.25">
      <c r="B2789"/>
      <c r="K2789"/>
    </row>
    <row r="2790" spans="2:11" x14ac:dyDescent="0.25">
      <c r="B2790"/>
      <c r="K2790"/>
    </row>
    <row r="2791" spans="2:11" x14ac:dyDescent="0.25">
      <c r="B2791"/>
      <c r="K2791"/>
    </row>
    <row r="2792" spans="2:11" x14ac:dyDescent="0.25">
      <c r="B2792"/>
      <c r="K2792"/>
    </row>
    <row r="2793" spans="2:11" x14ac:dyDescent="0.25">
      <c r="B2793"/>
      <c r="K2793"/>
    </row>
    <row r="2794" spans="2:11" x14ac:dyDescent="0.25">
      <c r="B2794"/>
      <c r="K2794"/>
    </row>
    <row r="2795" spans="2:11" x14ac:dyDescent="0.25">
      <c r="B2795"/>
      <c r="K2795"/>
    </row>
    <row r="2796" spans="2:11" x14ac:dyDescent="0.25">
      <c r="B2796"/>
      <c r="K2796"/>
    </row>
    <row r="2797" spans="2:11" x14ac:dyDescent="0.25">
      <c r="B2797"/>
      <c r="K2797"/>
    </row>
    <row r="2798" spans="2:11" x14ac:dyDescent="0.25">
      <c r="B2798"/>
      <c r="K2798"/>
    </row>
    <row r="2799" spans="2:11" x14ac:dyDescent="0.25">
      <c r="B2799"/>
      <c r="K2799"/>
    </row>
    <row r="2800" spans="2:11" x14ac:dyDescent="0.25">
      <c r="B2800"/>
      <c r="K2800"/>
    </row>
    <row r="2801" spans="2:11" x14ac:dyDescent="0.25">
      <c r="B2801"/>
      <c r="K2801"/>
    </row>
    <row r="2802" spans="2:11" x14ac:dyDescent="0.25">
      <c r="B2802"/>
      <c r="K2802"/>
    </row>
    <row r="2803" spans="2:11" x14ac:dyDescent="0.25">
      <c r="B2803"/>
      <c r="K2803"/>
    </row>
    <row r="2804" spans="2:11" x14ac:dyDescent="0.25">
      <c r="B2804"/>
      <c r="K2804"/>
    </row>
    <row r="2805" spans="2:11" x14ac:dyDescent="0.25">
      <c r="B2805"/>
      <c r="K2805"/>
    </row>
    <row r="2806" spans="2:11" x14ac:dyDescent="0.25">
      <c r="B2806"/>
      <c r="K2806"/>
    </row>
    <row r="2807" spans="2:11" x14ac:dyDescent="0.25">
      <c r="B2807"/>
      <c r="K2807"/>
    </row>
    <row r="2808" spans="2:11" x14ac:dyDescent="0.25">
      <c r="B2808"/>
      <c r="K2808"/>
    </row>
    <row r="2809" spans="2:11" x14ac:dyDescent="0.25">
      <c r="B2809"/>
      <c r="K2809"/>
    </row>
    <row r="2810" spans="2:11" x14ac:dyDescent="0.25">
      <c r="B2810"/>
      <c r="K2810"/>
    </row>
    <row r="2811" spans="2:11" x14ac:dyDescent="0.25">
      <c r="B2811"/>
      <c r="K2811"/>
    </row>
    <row r="2812" spans="2:11" x14ac:dyDescent="0.25">
      <c r="B2812"/>
      <c r="K2812"/>
    </row>
    <row r="2813" spans="2:11" x14ac:dyDescent="0.25">
      <c r="B2813"/>
      <c r="K2813"/>
    </row>
    <row r="2814" spans="2:11" x14ac:dyDescent="0.25">
      <c r="B2814"/>
      <c r="K2814"/>
    </row>
    <row r="2815" spans="2:11" x14ac:dyDescent="0.25">
      <c r="B2815"/>
      <c r="K2815"/>
    </row>
    <row r="2816" spans="2:11" x14ac:dyDescent="0.25">
      <c r="B2816"/>
      <c r="K2816"/>
    </row>
    <row r="2817" spans="2:11" x14ac:dyDescent="0.25">
      <c r="B2817"/>
      <c r="K2817"/>
    </row>
    <row r="2818" spans="2:11" x14ac:dyDescent="0.25">
      <c r="B2818"/>
      <c r="K2818"/>
    </row>
    <row r="2819" spans="2:11" x14ac:dyDescent="0.25">
      <c r="B2819"/>
      <c r="K2819"/>
    </row>
    <row r="2820" spans="2:11" x14ac:dyDescent="0.25">
      <c r="B2820"/>
      <c r="K2820"/>
    </row>
    <row r="2821" spans="2:11" x14ac:dyDescent="0.25">
      <c r="B2821"/>
      <c r="K2821"/>
    </row>
    <row r="2822" spans="2:11" x14ac:dyDescent="0.25">
      <c r="B2822"/>
      <c r="K2822"/>
    </row>
    <row r="2823" spans="2:11" x14ac:dyDescent="0.25">
      <c r="B2823"/>
      <c r="K2823"/>
    </row>
    <row r="2824" spans="2:11" x14ac:dyDescent="0.25">
      <c r="B2824"/>
      <c r="K2824"/>
    </row>
    <row r="2825" spans="2:11" x14ac:dyDescent="0.25">
      <c r="B2825"/>
      <c r="K2825"/>
    </row>
    <row r="2826" spans="2:11" x14ac:dyDescent="0.25">
      <c r="B2826"/>
      <c r="K2826"/>
    </row>
    <row r="2827" spans="2:11" x14ac:dyDescent="0.25">
      <c r="B2827"/>
      <c r="K2827"/>
    </row>
    <row r="2828" spans="2:11" x14ac:dyDescent="0.25">
      <c r="B2828"/>
      <c r="K2828"/>
    </row>
    <row r="2829" spans="2:11" x14ac:dyDescent="0.25">
      <c r="B2829"/>
      <c r="K2829"/>
    </row>
    <row r="2830" spans="2:11" x14ac:dyDescent="0.25">
      <c r="B2830"/>
      <c r="K2830"/>
    </row>
    <row r="2831" spans="2:11" x14ac:dyDescent="0.25">
      <c r="B2831"/>
      <c r="K2831"/>
    </row>
    <row r="2832" spans="2:11" x14ac:dyDescent="0.25">
      <c r="B2832"/>
      <c r="K2832"/>
    </row>
    <row r="2833" spans="2:11" x14ac:dyDescent="0.25">
      <c r="B2833"/>
      <c r="K2833"/>
    </row>
    <row r="2834" spans="2:11" x14ac:dyDescent="0.25">
      <c r="B2834"/>
      <c r="K2834"/>
    </row>
    <row r="2835" spans="2:11" x14ac:dyDescent="0.25">
      <c r="B2835"/>
      <c r="K2835"/>
    </row>
    <row r="2836" spans="2:11" x14ac:dyDescent="0.25">
      <c r="B2836"/>
      <c r="K2836"/>
    </row>
    <row r="2837" spans="2:11" x14ac:dyDescent="0.25">
      <c r="B2837"/>
      <c r="K2837"/>
    </row>
    <row r="2838" spans="2:11" x14ac:dyDescent="0.25">
      <c r="B2838"/>
      <c r="K2838"/>
    </row>
    <row r="2839" spans="2:11" x14ac:dyDescent="0.25">
      <c r="B2839"/>
      <c r="K2839"/>
    </row>
    <row r="2840" spans="2:11" x14ac:dyDescent="0.25">
      <c r="B2840"/>
      <c r="K2840"/>
    </row>
    <row r="2841" spans="2:11" x14ac:dyDescent="0.25">
      <c r="B2841"/>
      <c r="K2841"/>
    </row>
    <row r="2842" spans="2:11" x14ac:dyDescent="0.25">
      <c r="B2842"/>
      <c r="K2842"/>
    </row>
    <row r="2843" spans="2:11" x14ac:dyDescent="0.25">
      <c r="B2843"/>
      <c r="K2843"/>
    </row>
    <row r="2844" spans="2:11" x14ac:dyDescent="0.25">
      <c r="B2844"/>
      <c r="K2844"/>
    </row>
    <row r="2845" spans="2:11" x14ac:dyDescent="0.25">
      <c r="B2845"/>
      <c r="K2845"/>
    </row>
    <row r="2846" spans="2:11" x14ac:dyDescent="0.25">
      <c r="B2846"/>
      <c r="K2846"/>
    </row>
    <row r="2847" spans="2:11" x14ac:dyDescent="0.25">
      <c r="B2847"/>
      <c r="K2847"/>
    </row>
    <row r="2848" spans="2:11" x14ac:dyDescent="0.25">
      <c r="B2848"/>
      <c r="K2848"/>
    </row>
    <row r="2849" spans="2:11" x14ac:dyDescent="0.25">
      <c r="B2849"/>
      <c r="K2849"/>
    </row>
    <row r="2850" spans="2:11" x14ac:dyDescent="0.25">
      <c r="B2850"/>
      <c r="K2850"/>
    </row>
    <row r="2851" spans="2:11" x14ac:dyDescent="0.25">
      <c r="B2851"/>
      <c r="K2851"/>
    </row>
    <row r="2852" spans="2:11" x14ac:dyDescent="0.25">
      <c r="B2852"/>
      <c r="K2852"/>
    </row>
    <row r="2853" spans="2:11" x14ac:dyDescent="0.25">
      <c r="B2853"/>
      <c r="K2853"/>
    </row>
    <row r="2854" spans="2:11" x14ac:dyDescent="0.25">
      <c r="B2854"/>
      <c r="K2854"/>
    </row>
    <row r="2855" spans="2:11" x14ac:dyDescent="0.25">
      <c r="B2855"/>
      <c r="K2855"/>
    </row>
    <row r="2856" spans="2:11" x14ac:dyDescent="0.25">
      <c r="B2856"/>
      <c r="K2856"/>
    </row>
    <row r="2857" spans="2:11" x14ac:dyDescent="0.25">
      <c r="B2857"/>
      <c r="K2857"/>
    </row>
    <row r="2858" spans="2:11" x14ac:dyDescent="0.25">
      <c r="B2858"/>
      <c r="K2858"/>
    </row>
    <row r="2859" spans="2:11" x14ac:dyDescent="0.25">
      <c r="B2859"/>
      <c r="K2859"/>
    </row>
    <row r="2860" spans="2:11" x14ac:dyDescent="0.25">
      <c r="B2860"/>
      <c r="K2860"/>
    </row>
    <row r="2861" spans="2:11" x14ac:dyDescent="0.25">
      <c r="B2861"/>
      <c r="K2861"/>
    </row>
    <row r="2862" spans="2:11" x14ac:dyDescent="0.25">
      <c r="B2862"/>
      <c r="K2862"/>
    </row>
    <row r="2863" spans="2:11" x14ac:dyDescent="0.25">
      <c r="B2863"/>
      <c r="K2863"/>
    </row>
    <row r="2864" spans="2:11" x14ac:dyDescent="0.25">
      <c r="B2864"/>
      <c r="K2864"/>
    </row>
    <row r="2865" spans="2:11" x14ac:dyDescent="0.25">
      <c r="B2865"/>
      <c r="K2865"/>
    </row>
    <row r="2866" spans="2:11" x14ac:dyDescent="0.25">
      <c r="B2866"/>
      <c r="K2866"/>
    </row>
    <row r="2867" spans="2:11" x14ac:dyDescent="0.25">
      <c r="B2867"/>
      <c r="K2867"/>
    </row>
    <row r="2868" spans="2:11" x14ac:dyDescent="0.25">
      <c r="B2868"/>
      <c r="K2868"/>
    </row>
    <row r="2869" spans="2:11" x14ac:dyDescent="0.25">
      <c r="B2869"/>
      <c r="K2869"/>
    </row>
    <row r="2870" spans="2:11" x14ac:dyDescent="0.25">
      <c r="B2870"/>
      <c r="K2870"/>
    </row>
    <row r="2871" spans="2:11" x14ac:dyDescent="0.25">
      <c r="B2871"/>
      <c r="K2871"/>
    </row>
    <row r="2872" spans="2:11" x14ac:dyDescent="0.25">
      <c r="B2872"/>
      <c r="K2872"/>
    </row>
    <row r="2873" spans="2:11" x14ac:dyDescent="0.25">
      <c r="B2873"/>
      <c r="K2873"/>
    </row>
    <row r="2874" spans="2:11" x14ac:dyDescent="0.25">
      <c r="B2874"/>
      <c r="K2874"/>
    </row>
    <row r="2875" spans="2:11" x14ac:dyDescent="0.25">
      <c r="B2875"/>
      <c r="K2875"/>
    </row>
    <row r="2876" spans="2:11" x14ac:dyDescent="0.25">
      <c r="B2876"/>
      <c r="K2876"/>
    </row>
    <row r="2877" spans="2:11" x14ac:dyDescent="0.25">
      <c r="B2877"/>
      <c r="K2877"/>
    </row>
    <row r="2878" spans="2:11" x14ac:dyDescent="0.25">
      <c r="B2878"/>
      <c r="K2878"/>
    </row>
    <row r="2879" spans="2:11" x14ac:dyDescent="0.25">
      <c r="B2879"/>
      <c r="K2879"/>
    </row>
    <row r="2880" spans="2:11" x14ac:dyDescent="0.25">
      <c r="B2880"/>
      <c r="K2880"/>
    </row>
    <row r="2881" spans="2:11" x14ac:dyDescent="0.25">
      <c r="B2881"/>
      <c r="K2881"/>
    </row>
    <row r="2882" spans="2:11" x14ac:dyDescent="0.25">
      <c r="B2882"/>
      <c r="K2882"/>
    </row>
    <row r="2883" spans="2:11" x14ac:dyDescent="0.25">
      <c r="B2883"/>
      <c r="K2883"/>
    </row>
    <row r="2884" spans="2:11" x14ac:dyDescent="0.25">
      <c r="B2884"/>
      <c r="K2884"/>
    </row>
    <row r="2885" spans="2:11" x14ac:dyDescent="0.25">
      <c r="B2885"/>
      <c r="K2885"/>
    </row>
    <row r="2886" spans="2:11" x14ac:dyDescent="0.25">
      <c r="B2886"/>
      <c r="K2886"/>
    </row>
    <row r="2887" spans="2:11" x14ac:dyDescent="0.25">
      <c r="B2887"/>
      <c r="K2887"/>
    </row>
    <row r="2888" spans="2:11" x14ac:dyDescent="0.25">
      <c r="B2888"/>
      <c r="K2888"/>
    </row>
    <row r="2889" spans="2:11" x14ac:dyDescent="0.25">
      <c r="B2889"/>
      <c r="K2889"/>
    </row>
    <row r="2890" spans="2:11" x14ac:dyDescent="0.25">
      <c r="B2890"/>
      <c r="K2890"/>
    </row>
    <row r="2891" spans="2:11" x14ac:dyDescent="0.25">
      <c r="B2891"/>
      <c r="K2891"/>
    </row>
    <row r="2892" spans="2:11" x14ac:dyDescent="0.25">
      <c r="B2892"/>
      <c r="K2892"/>
    </row>
    <row r="2893" spans="2:11" x14ac:dyDescent="0.25">
      <c r="B2893"/>
      <c r="K2893"/>
    </row>
    <row r="2894" spans="2:11" x14ac:dyDescent="0.25">
      <c r="B2894"/>
      <c r="K2894"/>
    </row>
    <row r="2895" spans="2:11" x14ac:dyDescent="0.25">
      <c r="B2895"/>
      <c r="K2895"/>
    </row>
    <row r="2896" spans="2:11" x14ac:dyDescent="0.25">
      <c r="B2896"/>
      <c r="K2896"/>
    </row>
    <row r="2897" spans="2:11" x14ac:dyDescent="0.25">
      <c r="B2897"/>
      <c r="K2897"/>
    </row>
    <row r="2898" spans="2:11" x14ac:dyDescent="0.25">
      <c r="B2898"/>
      <c r="K2898"/>
    </row>
    <row r="2899" spans="2:11" x14ac:dyDescent="0.25">
      <c r="B2899"/>
      <c r="K2899"/>
    </row>
    <row r="2900" spans="2:11" x14ac:dyDescent="0.25">
      <c r="B2900"/>
      <c r="K2900"/>
    </row>
    <row r="2901" spans="2:11" x14ac:dyDescent="0.25">
      <c r="B2901"/>
      <c r="K2901"/>
    </row>
    <row r="2902" spans="2:11" x14ac:dyDescent="0.25">
      <c r="B2902"/>
      <c r="K2902"/>
    </row>
    <row r="2903" spans="2:11" x14ac:dyDescent="0.25">
      <c r="B2903"/>
      <c r="K2903"/>
    </row>
    <row r="2904" spans="2:11" x14ac:dyDescent="0.25">
      <c r="B2904"/>
      <c r="K2904"/>
    </row>
    <row r="2905" spans="2:11" x14ac:dyDescent="0.25">
      <c r="B2905"/>
      <c r="K2905"/>
    </row>
    <row r="2906" spans="2:11" x14ac:dyDescent="0.25">
      <c r="B2906"/>
      <c r="K2906"/>
    </row>
    <row r="2907" spans="2:11" x14ac:dyDescent="0.25">
      <c r="B2907"/>
      <c r="K2907"/>
    </row>
    <row r="2908" spans="2:11" x14ac:dyDescent="0.25">
      <c r="B2908"/>
      <c r="K2908"/>
    </row>
    <row r="2909" spans="2:11" x14ac:dyDescent="0.25">
      <c r="B2909"/>
      <c r="K2909"/>
    </row>
    <row r="2910" spans="2:11" x14ac:dyDescent="0.25">
      <c r="B2910"/>
      <c r="K2910"/>
    </row>
    <row r="2911" spans="2:11" x14ac:dyDescent="0.25">
      <c r="B2911"/>
      <c r="K2911"/>
    </row>
    <row r="2912" spans="2:11" x14ac:dyDescent="0.25">
      <c r="B2912"/>
      <c r="K2912"/>
    </row>
    <row r="2913" spans="2:11" x14ac:dyDescent="0.25">
      <c r="B2913"/>
      <c r="K2913"/>
    </row>
    <row r="2914" spans="2:11" x14ac:dyDescent="0.25">
      <c r="B2914"/>
      <c r="K2914"/>
    </row>
    <row r="2915" spans="2:11" x14ac:dyDescent="0.25">
      <c r="B2915"/>
      <c r="K2915"/>
    </row>
    <row r="2916" spans="2:11" x14ac:dyDescent="0.25">
      <c r="B2916"/>
      <c r="K2916"/>
    </row>
    <row r="2917" spans="2:11" x14ac:dyDescent="0.25">
      <c r="B2917"/>
      <c r="K2917"/>
    </row>
    <row r="2918" spans="2:11" x14ac:dyDescent="0.25">
      <c r="B2918"/>
      <c r="K2918"/>
    </row>
    <row r="2919" spans="2:11" x14ac:dyDescent="0.25">
      <c r="B2919"/>
      <c r="K2919"/>
    </row>
    <row r="2920" spans="2:11" x14ac:dyDescent="0.25">
      <c r="B2920"/>
      <c r="K2920"/>
    </row>
    <row r="2921" spans="2:11" x14ac:dyDescent="0.25">
      <c r="B2921"/>
      <c r="K2921"/>
    </row>
    <row r="2922" spans="2:11" x14ac:dyDescent="0.25">
      <c r="B2922"/>
      <c r="K2922"/>
    </row>
    <row r="2923" spans="2:11" x14ac:dyDescent="0.25">
      <c r="B2923"/>
      <c r="K2923"/>
    </row>
    <row r="2924" spans="2:11" x14ac:dyDescent="0.25">
      <c r="B2924"/>
      <c r="K2924"/>
    </row>
    <row r="2925" spans="2:11" x14ac:dyDescent="0.25">
      <c r="B2925"/>
      <c r="K2925"/>
    </row>
    <row r="2926" spans="2:11" x14ac:dyDescent="0.25">
      <c r="B2926"/>
      <c r="K2926"/>
    </row>
    <row r="2927" spans="2:11" x14ac:dyDescent="0.25">
      <c r="B2927"/>
      <c r="K2927"/>
    </row>
    <row r="2928" spans="2:11" x14ac:dyDescent="0.25">
      <c r="B2928"/>
      <c r="K2928"/>
    </row>
    <row r="2929" spans="2:11" x14ac:dyDescent="0.25">
      <c r="B2929"/>
      <c r="K2929"/>
    </row>
    <row r="2930" spans="2:11" x14ac:dyDescent="0.25">
      <c r="B2930"/>
      <c r="K2930"/>
    </row>
    <row r="2931" spans="2:11" x14ac:dyDescent="0.25">
      <c r="B2931"/>
      <c r="K2931"/>
    </row>
    <row r="2932" spans="2:11" x14ac:dyDescent="0.25">
      <c r="B2932"/>
      <c r="K2932"/>
    </row>
    <row r="2933" spans="2:11" x14ac:dyDescent="0.25">
      <c r="B2933"/>
      <c r="K2933"/>
    </row>
    <row r="2934" spans="2:11" x14ac:dyDescent="0.25">
      <c r="B2934"/>
      <c r="K2934"/>
    </row>
    <row r="2935" spans="2:11" x14ac:dyDescent="0.25">
      <c r="B2935"/>
      <c r="K2935"/>
    </row>
    <row r="2936" spans="2:11" x14ac:dyDescent="0.25">
      <c r="B2936"/>
      <c r="K2936"/>
    </row>
    <row r="2937" spans="2:11" x14ac:dyDescent="0.25">
      <c r="B2937"/>
      <c r="K2937"/>
    </row>
    <row r="2938" spans="2:11" x14ac:dyDescent="0.25">
      <c r="B2938"/>
      <c r="K2938"/>
    </row>
    <row r="2939" spans="2:11" x14ac:dyDescent="0.25">
      <c r="B2939"/>
      <c r="K2939"/>
    </row>
    <row r="2940" spans="2:11" x14ac:dyDescent="0.25">
      <c r="B2940"/>
      <c r="K2940"/>
    </row>
    <row r="2941" spans="2:11" x14ac:dyDescent="0.25">
      <c r="B2941"/>
      <c r="K2941"/>
    </row>
    <row r="2942" spans="2:11" x14ac:dyDescent="0.25">
      <c r="B2942"/>
      <c r="K2942"/>
    </row>
    <row r="2943" spans="2:11" x14ac:dyDescent="0.25">
      <c r="B2943"/>
      <c r="K2943"/>
    </row>
    <row r="2944" spans="2:11" x14ac:dyDescent="0.25">
      <c r="B2944"/>
      <c r="K2944"/>
    </row>
    <row r="2945" spans="2:11" x14ac:dyDescent="0.25">
      <c r="B2945"/>
      <c r="K2945"/>
    </row>
    <row r="2946" spans="2:11" x14ac:dyDescent="0.25">
      <c r="B2946"/>
      <c r="K2946"/>
    </row>
    <row r="2947" spans="2:11" x14ac:dyDescent="0.25">
      <c r="B2947"/>
      <c r="K2947"/>
    </row>
    <row r="2948" spans="2:11" x14ac:dyDescent="0.25">
      <c r="B2948"/>
      <c r="K2948"/>
    </row>
    <row r="2949" spans="2:11" x14ac:dyDescent="0.25">
      <c r="B2949"/>
      <c r="K2949"/>
    </row>
    <row r="2950" spans="2:11" x14ac:dyDescent="0.25">
      <c r="B2950"/>
      <c r="K2950"/>
    </row>
    <row r="2951" spans="2:11" x14ac:dyDescent="0.25">
      <c r="B2951"/>
      <c r="K2951"/>
    </row>
    <row r="2952" spans="2:11" x14ac:dyDescent="0.25">
      <c r="B2952"/>
      <c r="K2952"/>
    </row>
    <row r="2953" spans="2:11" x14ac:dyDescent="0.25">
      <c r="B2953"/>
      <c r="K2953"/>
    </row>
    <row r="2954" spans="2:11" x14ac:dyDescent="0.25">
      <c r="B2954"/>
      <c r="K2954"/>
    </row>
    <row r="2955" spans="2:11" x14ac:dyDescent="0.25">
      <c r="B2955"/>
      <c r="K2955"/>
    </row>
    <row r="2956" spans="2:11" x14ac:dyDescent="0.25">
      <c r="B2956"/>
      <c r="K2956"/>
    </row>
    <row r="2957" spans="2:11" x14ac:dyDescent="0.25">
      <c r="B2957"/>
      <c r="K2957"/>
    </row>
    <row r="2958" spans="2:11" x14ac:dyDescent="0.25">
      <c r="B2958"/>
      <c r="K2958"/>
    </row>
    <row r="2959" spans="2:11" x14ac:dyDescent="0.25">
      <c r="B2959"/>
      <c r="K2959"/>
    </row>
    <row r="2960" spans="2:11" x14ac:dyDescent="0.25">
      <c r="B2960"/>
      <c r="K2960"/>
    </row>
    <row r="2961" spans="2:11" x14ac:dyDescent="0.25">
      <c r="B2961"/>
      <c r="K2961"/>
    </row>
    <row r="2962" spans="2:11" x14ac:dyDescent="0.25">
      <c r="B2962"/>
      <c r="K2962"/>
    </row>
    <row r="2963" spans="2:11" x14ac:dyDescent="0.25">
      <c r="B2963"/>
      <c r="K2963"/>
    </row>
    <row r="2964" spans="2:11" x14ac:dyDescent="0.25">
      <c r="B2964"/>
      <c r="K2964"/>
    </row>
    <row r="2965" spans="2:11" x14ac:dyDescent="0.25">
      <c r="B2965"/>
      <c r="K2965"/>
    </row>
    <row r="2966" spans="2:11" x14ac:dyDescent="0.25">
      <c r="B2966"/>
      <c r="K2966"/>
    </row>
    <row r="2967" spans="2:11" x14ac:dyDescent="0.25">
      <c r="B2967"/>
      <c r="K2967"/>
    </row>
    <row r="2968" spans="2:11" x14ac:dyDescent="0.25">
      <c r="B2968"/>
      <c r="K2968"/>
    </row>
    <row r="2969" spans="2:11" x14ac:dyDescent="0.25">
      <c r="B2969"/>
      <c r="K2969"/>
    </row>
    <row r="2970" spans="2:11" x14ac:dyDescent="0.25">
      <c r="B2970"/>
      <c r="K2970"/>
    </row>
    <row r="2971" spans="2:11" x14ac:dyDescent="0.25">
      <c r="B2971"/>
      <c r="K2971"/>
    </row>
    <row r="2972" spans="2:11" x14ac:dyDescent="0.25">
      <c r="B2972"/>
      <c r="K2972"/>
    </row>
    <row r="2973" spans="2:11" x14ac:dyDescent="0.25">
      <c r="B2973"/>
      <c r="K2973"/>
    </row>
    <row r="2974" spans="2:11" x14ac:dyDescent="0.25">
      <c r="B2974"/>
      <c r="K2974"/>
    </row>
    <row r="2975" spans="2:11" x14ac:dyDescent="0.25">
      <c r="B2975"/>
      <c r="K2975"/>
    </row>
    <row r="2976" spans="2:11" x14ac:dyDescent="0.25">
      <c r="B2976"/>
      <c r="K2976"/>
    </row>
    <row r="2977" spans="2:11" x14ac:dyDescent="0.25">
      <c r="B2977"/>
      <c r="K2977"/>
    </row>
    <row r="2978" spans="2:11" x14ac:dyDescent="0.25">
      <c r="B2978"/>
      <c r="K2978"/>
    </row>
    <row r="2979" spans="2:11" x14ac:dyDescent="0.25">
      <c r="B2979"/>
      <c r="K2979"/>
    </row>
    <row r="2980" spans="2:11" x14ac:dyDescent="0.25">
      <c r="B2980"/>
      <c r="K2980"/>
    </row>
    <row r="2981" spans="2:11" x14ac:dyDescent="0.25">
      <c r="B2981"/>
      <c r="K2981"/>
    </row>
    <row r="2982" spans="2:11" x14ac:dyDescent="0.25">
      <c r="B2982"/>
      <c r="K2982"/>
    </row>
    <row r="2983" spans="2:11" x14ac:dyDescent="0.25">
      <c r="B2983"/>
      <c r="K2983"/>
    </row>
    <row r="2984" spans="2:11" x14ac:dyDescent="0.25">
      <c r="B2984"/>
      <c r="K2984"/>
    </row>
    <row r="2985" spans="2:11" x14ac:dyDescent="0.25">
      <c r="B2985"/>
      <c r="K2985"/>
    </row>
    <row r="2986" spans="2:11" x14ac:dyDescent="0.25">
      <c r="B2986"/>
      <c r="K2986"/>
    </row>
    <row r="2987" spans="2:11" x14ac:dyDescent="0.25">
      <c r="B2987"/>
      <c r="K2987"/>
    </row>
    <row r="2988" spans="2:11" x14ac:dyDescent="0.25">
      <c r="B2988"/>
      <c r="K2988"/>
    </row>
    <row r="2989" spans="2:11" x14ac:dyDescent="0.25">
      <c r="B2989"/>
      <c r="K2989"/>
    </row>
    <row r="2990" spans="2:11" x14ac:dyDescent="0.25">
      <c r="B2990"/>
      <c r="K2990"/>
    </row>
    <row r="2991" spans="2:11" x14ac:dyDescent="0.25">
      <c r="B2991"/>
      <c r="K2991"/>
    </row>
    <row r="2992" spans="2:11" x14ac:dyDescent="0.25">
      <c r="B2992"/>
      <c r="K2992"/>
    </row>
    <row r="2993" spans="2:11" x14ac:dyDescent="0.25">
      <c r="B2993"/>
      <c r="K2993"/>
    </row>
    <row r="2994" spans="2:11" x14ac:dyDescent="0.25">
      <c r="B2994"/>
      <c r="K2994"/>
    </row>
    <row r="2995" spans="2:11" x14ac:dyDescent="0.25">
      <c r="B2995"/>
      <c r="K2995"/>
    </row>
    <row r="2996" spans="2:11" x14ac:dyDescent="0.25">
      <c r="B2996"/>
      <c r="K2996"/>
    </row>
    <row r="2997" spans="2:11" x14ac:dyDescent="0.25">
      <c r="B2997"/>
      <c r="K2997"/>
    </row>
    <row r="2998" spans="2:11" x14ac:dyDescent="0.25">
      <c r="B2998"/>
      <c r="K2998"/>
    </row>
    <row r="2999" spans="2:11" x14ac:dyDescent="0.25">
      <c r="B2999"/>
      <c r="K2999"/>
    </row>
    <row r="3000" spans="2:11" x14ac:dyDescent="0.25">
      <c r="B3000"/>
      <c r="K3000"/>
    </row>
    <row r="3001" spans="2:11" x14ac:dyDescent="0.25">
      <c r="B3001"/>
      <c r="K3001"/>
    </row>
    <row r="3002" spans="2:11" x14ac:dyDescent="0.25">
      <c r="B3002"/>
      <c r="K3002"/>
    </row>
    <row r="3003" spans="2:11" x14ac:dyDescent="0.25">
      <c r="B3003"/>
      <c r="K3003"/>
    </row>
    <row r="3004" spans="2:11" x14ac:dyDescent="0.25">
      <c r="B3004"/>
      <c r="K3004"/>
    </row>
    <row r="3005" spans="2:11" x14ac:dyDescent="0.25">
      <c r="B3005"/>
      <c r="K3005"/>
    </row>
    <row r="3006" spans="2:11" x14ac:dyDescent="0.25">
      <c r="B3006"/>
      <c r="K3006"/>
    </row>
    <row r="3007" spans="2:11" x14ac:dyDescent="0.25">
      <c r="B3007"/>
      <c r="K3007"/>
    </row>
    <row r="3008" spans="2:11" x14ac:dyDescent="0.25">
      <c r="B3008"/>
      <c r="K3008"/>
    </row>
    <row r="3009" spans="2:11" x14ac:dyDescent="0.25">
      <c r="B3009"/>
      <c r="K3009"/>
    </row>
    <row r="3010" spans="2:11" x14ac:dyDescent="0.25">
      <c r="B3010"/>
      <c r="K3010"/>
    </row>
    <row r="3011" spans="2:11" x14ac:dyDescent="0.25">
      <c r="B3011"/>
      <c r="K3011"/>
    </row>
    <row r="3012" spans="2:11" x14ac:dyDescent="0.25">
      <c r="B3012"/>
      <c r="K3012"/>
    </row>
    <row r="3013" spans="2:11" x14ac:dyDescent="0.25">
      <c r="B3013"/>
      <c r="K3013"/>
    </row>
    <row r="3014" spans="2:11" x14ac:dyDescent="0.25">
      <c r="B3014"/>
      <c r="K3014"/>
    </row>
    <row r="3015" spans="2:11" x14ac:dyDescent="0.25">
      <c r="B3015"/>
      <c r="K3015"/>
    </row>
    <row r="3016" spans="2:11" x14ac:dyDescent="0.25">
      <c r="B3016"/>
      <c r="K3016"/>
    </row>
    <row r="3017" spans="2:11" x14ac:dyDescent="0.25">
      <c r="B3017"/>
      <c r="K3017"/>
    </row>
    <row r="3018" spans="2:11" x14ac:dyDescent="0.25">
      <c r="B3018"/>
      <c r="K3018"/>
    </row>
    <row r="3019" spans="2:11" x14ac:dyDescent="0.25">
      <c r="B3019"/>
      <c r="K3019"/>
    </row>
    <row r="3020" spans="2:11" x14ac:dyDescent="0.25">
      <c r="B3020"/>
      <c r="K3020"/>
    </row>
    <row r="3021" spans="2:11" x14ac:dyDescent="0.25">
      <c r="B3021"/>
      <c r="K3021"/>
    </row>
    <row r="3022" spans="2:11" x14ac:dyDescent="0.25">
      <c r="B3022"/>
      <c r="K3022"/>
    </row>
    <row r="3023" spans="2:11" x14ac:dyDescent="0.25">
      <c r="B3023"/>
      <c r="K3023"/>
    </row>
    <row r="3024" spans="2:11" x14ac:dyDescent="0.25">
      <c r="B3024"/>
      <c r="K3024"/>
    </row>
    <row r="3025" spans="2:11" x14ac:dyDescent="0.25">
      <c r="B3025"/>
      <c r="K3025"/>
    </row>
    <row r="3026" spans="2:11" x14ac:dyDescent="0.25">
      <c r="B3026"/>
      <c r="K3026"/>
    </row>
    <row r="3027" spans="2:11" x14ac:dyDescent="0.25">
      <c r="B3027"/>
      <c r="K3027"/>
    </row>
    <row r="3028" spans="2:11" x14ac:dyDescent="0.25">
      <c r="B3028"/>
      <c r="K3028"/>
    </row>
    <row r="3029" spans="2:11" x14ac:dyDescent="0.25">
      <c r="B3029"/>
      <c r="K3029"/>
    </row>
    <row r="3030" spans="2:11" x14ac:dyDescent="0.25">
      <c r="B3030"/>
      <c r="K3030"/>
    </row>
    <row r="3031" spans="2:11" x14ac:dyDescent="0.25">
      <c r="B3031"/>
      <c r="K3031"/>
    </row>
    <row r="3032" spans="2:11" x14ac:dyDescent="0.25">
      <c r="B3032"/>
      <c r="K3032"/>
    </row>
    <row r="3033" spans="2:11" x14ac:dyDescent="0.25">
      <c r="B3033"/>
      <c r="K3033"/>
    </row>
    <row r="3034" spans="2:11" x14ac:dyDescent="0.25">
      <c r="B3034"/>
      <c r="K3034"/>
    </row>
    <row r="3035" spans="2:11" x14ac:dyDescent="0.25">
      <c r="B3035"/>
      <c r="K3035"/>
    </row>
    <row r="3036" spans="2:11" x14ac:dyDescent="0.25">
      <c r="B3036"/>
      <c r="K3036"/>
    </row>
    <row r="3037" spans="2:11" x14ac:dyDescent="0.25">
      <c r="B3037"/>
      <c r="K3037"/>
    </row>
    <row r="3038" spans="2:11" x14ac:dyDescent="0.25">
      <c r="B3038"/>
      <c r="K3038"/>
    </row>
    <row r="3039" spans="2:11" x14ac:dyDescent="0.25">
      <c r="B3039"/>
      <c r="K3039"/>
    </row>
    <row r="3040" spans="2:11" x14ac:dyDescent="0.25">
      <c r="B3040"/>
      <c r="K3040"/>
    </row>
    <row r="3041" spans="2:11" x14ac:dyDescent="0.25">
      <c r="B3041"/>
      <c r="K3041"/>
    </row>
    <row r="3042" spans="2:11" x14ac:dyDescent="0.25">
      <c r="B3042"/>
      <c r="K3042"/>
    </row>
    <row r="3043" spans="2:11" x14ac:dyDescent="0.25">
      <c r="B3043"/>
      <c r="K3043"/>
    </row>
    <row r="3044" spans="2:11" x14ac:dyDescent="0.25">
      <c r="B3044"/>
      <c r="K3044"/>
    </row>
    <row r="3045" spans="2:11" x14ac:dyDescent="0.25">
      <c r="B3045"/>
      <c r="K3045"/>
    </row>
    <row r="3046" spans="2:11" x14ac:dyDescent="0.25">
      <c r="B3046"/>
      <c r="K3046"/>
    </row>
    <row r="3047" spans="2:11" x14ac:dyDescent="0.25">
      <c r="B3047"/>
      <c r="K3047"/>
    </row>
    <row r="3048" spans="2:11" x14ac:dyDescent="0.25">
      <c r="B3048"/>
      <c r="K3048"/>
    </row>
    <row r="3049" spans="2:11" x14ac:dyDescent="0.25">
      <c r="B3049"/>
      <c r="K3049"/>
    </row>
    <row r="3050" spans="2:11" x14ac:dyDescent="0.25">
      <c r="B3050"/>
      <c r="K3050"/>
    </row>
    <row r="3051" spans="2:11" x14ac:dyDescent="0.25">
      <c r="B3051"/>
      <c r="K3051"/>
    </row>
    <row r="3052" spans="2:11" x14ac:dyDescent="0.25">
      <c r="B3052"/>
      <c r="K3052"/>
    </row>
    <row r="3053" spans="2:11" x14ac:dyDescent="0.25">
      <c r="B3053"/>
      <c r="K3053"/>
    </row>
    <row r="3054" spans="2:11" x14ac:dyDescent="0.25">
      <c r="B3054"/>
      <c r="K3054"/>
    </row>
    <row r="3055" spans="2:11" x14ac:dyDescent="0.25">
      <c r="B3055"/>
      <c r="K3055"/>
    </row>
    <row r="3056" spans="2:11" x14ac:dyDescent="0.25">
      <c r="B3056"/>
      <c r="K3056"/>
    </row>
    <row r="3057" spans="2:11" x14ac:dyDescent="0.25">
      <c r="B3057"/>
      <c r="K3057"/>
    </row>
    <row r="3058" spans="2:11" x14ac:dyDescent="0.25">
      <c r="B3058"/>
      <c r="K3058"/>
    </row>
    <row r="3059" spans="2:11" x14ac:dyDescent="0.25">
      <c r="B3059"/>
      <c r="K3059"/>
    </row>
    <row r="3060" spans="2:11" x14ac:dyDescent="0.25">
      <c r="B3060"/>
      <c r="K3060"/>
    </row>
    <row r="3061" spans="2:11" x14ac:dyDescent="0.25">
      <c r="B3061"/>
      <c r="K3061"/>
    </row>
    <row r="3062" spans="2:11" x14ac:dyDescent="0.25">
      <c r="B3062"/>
      <c r="K3062"/>
    </row>
    <row r="3063" spans="2:11" x14ac:dyDescent="0.25">
      <c r="B3063"/>
      <c r="K3063"/>
    </row>
    <row r="3064" spans="2:11" x14ac:dyDescent="0.25">
      <c r="B3064"/>
      <c r="K3064"/>
    </row>
    <row r="3065" spans="2:11" x14ac:dyDescent="0.25">
      <c r="B3065"/>
      <c r="K3065"/>
    </row>
    <row r="3066" spans="2:11" x14ac:dyDescent="0.25">
      <c r="B3066"/>
      <c r="K3066"/>
    </row>
    <row r="3067" spans="2:11" x14ac:dyDescent="0.25">
      <c r="B3067"/>
      <c r="K3067"/>
    </row>
    <row r="3068" spans="2:11" x14ac:dyDescent="0.25">
      <c r="B3068"/>
      <c r="K3068"/>
    </row>
    <row r="3069" spans="2:11" x14ac:dyDescent="0.25">
      <c r="B3069"/>
      <c r="K3069"/>
    </row>
    <row r="3070" spans="2:11" x14ac:dyDescent="0.25">
      <c r="B3070"/>
      <c r="K3070"/>
    </row>
    <row r="3071" spans="2:11" x14ac:dyDescent="0.25">
      <c r="B3071"/>
      <c r="K3071"/>
    </row>
    <row r="3072" spans="2:11" x14ac:dyDescent="0.25">
      <c r="B3072"/>
      <c r="K3072"/>
    </row>
    <row r="3073" spans="2:11" x14ac:dyDescent="0.25">
      <c r="B3073"/>
      <c r="K3073"/>
    </row>
    <row r="3074" spans="2:11" x14ac:dyDescent="0.25">
      <c r="B3074"/>
      <c r="K3074"/>
    </row>
    <row r="3075" spans="2:11" x14ac:dyDescent="0.25">
      <c r="B3075"/>
      <c r="K3075"/>
    </row>
    <row r="3076" spans="2:11" x14ac:dyDescent="0.25">
      <c r="B3076"/>
      <c r="K3076"/>
    </row>
    <row r="3077" spans="2:11" x14ac:dyDescent="0.25">
      <c r="B3077"/>
      <c r="K3077"/>
    </row>
    <row r="3078" spans="2:11" x14ac:dyDescent="0.25">
      <c r="B3078"/>
      <c r="K3078"/>
    </row>
    <row r="3079" spans="2:11" x14ac:dyDescent="0.25">
      <c r="B3079"/>
      <c r="K3079"/>
    </row>
    <row r="3080" spans="2:11" x14ac:dyDescent="0.25">
      <c r="B3080"/>
      <c r="K3080"/>
    </row>
    <row r="3081" spans="2:11" x14ac:dyDescent="0.25">
      <c r="B3081"/>
      <c r="K3081"/>
    </row>
    <row r="3082" spans="2:11" x14ac:dyDescent="0.25">
      <c r="B3082"/>
      <c r="K3082"/>
    </row>
    <row r="3083" spans="2:11" x14ac:dyDescent="0.25">
      <c r="B3083"/>
      <c r="K3083"/>
    </row>
    <row r="3084" spans="2:11" x14ac:dyDescent="0.25">
      <c r="B3084"/>
      <c r="K3084"/>
    </row>
    <row r="3085" spans="2:11" x14ac:dyDescent="0.25">
      <c r="B3085"/>
      <c r="K3085"/>
    </row>
    <row r="3086" spans="2:11" x14ac:dyDescent="0.25">
      <c r="B3086"/>
      <c r="K3086"/>
    </row>
    <row r="3087" spans="2:11" x14ac:dyDescent="0.25">
      <c r="B3087"/>
      <c r="K3087"/>
    </row>
    <row r="3088" spans="2:11" x14ac:dyDescent="0.25">
      <c r="B3088"/>
      <c r="K3088"/>
    </row>
    <row r="3089" spans="2:11" x14ac:dyDescent="0.25">
      <c r="B3089"/>
      <c r="K3089"/>
    </row>
    <row r="3090" spans="2:11" x14ac:dyDescent="0.25">
      <c r="B3090"/>
      <c r="K3090"/>
    </row>
    <row r="3091" spans="2:11" x14ac:dyDescent="0.25">
      <c r="B3091"/>
      <c r="K3091"/>
    </row>
    <row r="3092" spans="2:11" x14ac:dyDescent="0.25">
      <c r="B3092"/>
      <c r="K3092"/>
    </row>
    <row r="3093" spans="2:11" x14ac:dyDescent="0.25">
      <c r="B3093"/>
      <c r="K3093"/>
    </row>
    <row r="3094" spans="2:11" x14ac:dyDescent="0.25">
      <c r="B3094"/>
      <c r="K3094"/>
    </row>
    <row r="3095" spans="2:11" x14ac:dyDescent="0.25">
      <c r="B3095"/>
      <c r="K3095"/>
    </row>
    <row r="3096" spans="2:11" x14ac:dyDescent="0.25">
      <c r="B3096"/>
      <c r="K3096"/>
    </row>
    <row r="3097" spans="2:11" x14ac:dyDescent="0.25">
      <c r="B3097"/>
      <c r="K3097"/>
    </row>
    <row r="3098" spans="2:11" x14ac:dyDescent="0.25">
      <c r="B3098"/>
      <c r="K3098"/>
    </row>
    <row r="3099" spans="2:11" x14ac:dyDescent="0.25">
      <c r="B3099"/>
      <c r="K3099"/>
    </row>
    <row r="3100" spans="2:11" x14ac:dyDescent="0.25">
      <c r="B3100"/>
      <c r="K3100"/>
    </row>
    <row r="3101" spans="2:11" x14ac:dyDescent="0.25">
      <c r="B3101"/>
      <c r="K3101"/>
    </row>
    <row r="3102" spans="2:11" x14ac:dyDescent="0.25">
      <c r="B3102"/>
      <c r="K3102"/>
    </row>
    <row r="3103" spans="2:11" x14ac:dyDescent="0.25">
      <c r="B3103"/>
      <c r="K3103"/>
    </row>
    <row r="3104" spans="2:11" x14ac:dyDescent="0.25">
      <c r="B3104"/>
      <c r="K3104"/>
    </row>
    <row r="3105" spans="2:11" x14ac:dyDescent="0.25">
      <c r="B3105"/>
      <c r="K3105"/>
    </row>
    <row r="3106" spans="2:11" x14ac:dyDescent="0.25">
      <c r="B3106"/>
      <c r="K3106"/>
    </row>
    <row r="3107" spans="2:11" x14ac:dyDescent="0.25">
      <c r="B3107"/>
      <c r="K3107"/>
    </row>
    <row r="3108" spans="2:11" x14ac:dyDescent="0.25">
      <c r="B3108"/>
      <c r="K3108"/>
    </row>
    <row r="3109" spans="2:11" x14ac:dyDescent="0.25">
      <c r="B3109"/>
      <c r="K3109"/>
    </row>
    <row r="3110" spans="2:11" x14ac:dyDescent="0.25">
      <c r="B3110"/>
      <c r="K3110"/>
    </row>
    <row r="3111" spans="2:11" x14ac:dyDescent="0.25">
      <c r="B3111"/>
      <c r="K3111"/>
    </row>
    <row r="3112" spans="2:11" x14ac:dyDescent="0.25">
      <c r="B3112"/>
      <c r="K3112"/>
    </row>
    <row r="3113" spans="2:11" x14ac:dyDescent="0.25">
      <c r="B3113"/>
      <c r="K3113"/>
    </row>
    <row r="3114" spans="2:11" x14ac:dyDescent="0.25">
      <c r="B3114"/>
      <c r="K3114"/>
    </row>
    <row r="3115" spans="2:11" x14ac:dyDescent="0.25">
      <c r="B3115"/>
      <c r="K3115"/>
    </row>
    <row r="3116" spans="2:11" x14ac:dyDescent="0.25">
      <c r="B3116"/>
      <c r="K3116"/>
    </row>
    <row r="3117" spans="2:11" x14ac:dyDescent="0.25">
      <c r="B3117"/>
      <c r="K3117"/>
    </row>
    <row r="3118" spans="2:11" x14ac:dyDescent="0.25">
      <c r="B3118"/>
      <c r="K3118"/>
    </row>
    <row r="3119" spans="2:11" x14ac:dyDescent="0.25">
      <c r="B3119"/>
      <c r="K3119"/>
    </row>
    <row r="3120" spans="2:11" x14ac:dyDescent="0.25">
      <c r="B3120"/>
      <c r="K3120"/>
    </row>
    <row r="3121" spans="2:11" x14ac:dyDescent="0.25">
      <c r="B3121"/>
      <c r="K3121"/>
    </row>
    <row r="3122" spans="2:11" x14ac:dyDescent="0.25">
      <c r="B3122"/>
      <c r="K3122"/>
    </row>
    <row r="3123" spans="2:11" x14ac:dyDescent="0.25">
      <c r="B3123"/>
      <c r="K3123"/>
    </row>
    <row r="3124" spans="2:11" x14ac:dyDescent="0.25">
      <c r="B3124"/>
      <c r="K3124"/>
    </row>
    <row r="3125" spans="2:11" x14ac:dyDescent="0.25">
      <c r="B3125"/>
      <c r="K3125"/>
    </row>
    <row r="3126" spans="2:11" x14ac:dyDescent="0.25">
      <c r="B3126"/>
      <c r="K3126"/>
    </row>
    <row r="3127" spans="2:11" x14ac:dyDescent="0.25">
      <c r="B3127"/>
      <c r="K3127"/>
    </row>
    <row r="3128" spans="2:11" x14ac:dyDescent="0.25">
      <c r="B3128"/>
      <c r="K3128"/>
    </row>
    <row r="3129" spans="2:11" x14ac:dyDescent="0.25">
      <c r="B3129"/>
      <c r="K3129"/>
    </row>
    <row r="3130" spans="2:11" x14ac:dyDescent="0.25">
      <c r="B3130"/>
      <c r="K3130"/>
    </row>
    <row r="3131" spans="2:11" x14ac:dyDescent="0.25">
      <c r="B3131"/>
      <c r="K3131"/>
    </row>
    <row r="3132" spans="2:11" x14ac:dyDescent="0.25">
      <c r="B3132"/>
      <c r="K3132"/>
    </row>
    <row r="3133" spans="2:11" x14ac:dyDescent="0.25">
      <c r="B3133"/>
      <c r="K3133"/>
    </row>
    <row r="3134" spans="2:11" x14ac:dyDescent="0.25">
      <c r="B3134"/>
      <c r="K3134"/>
    </row>
    <row r="3135" spans="2:11" x14ac:dyDescent="0.25">
      <c r="B3135"/>
      <c r="K3135"/>
    </row>
    <row r="3136" spans="2:11" x14ac:dyDescent="0.25">
      <c r="B3136"/>
      <c r="K3136"/>
    </row>
    <row r="3137" spans="2:11" x14ac:dyDescent="0.25">
      <c r="B3137"/>
      <c r="K3137"/>
    </row>
    <row r="3138" spans="2:11" x14ac:dyDescent="0.25">
      <c r="B3138"/>
      <c r="K3138"/>
    </row>
    <row r="3139" spans="2:11" x14ac:dyDescent="0.25">
      <c r="B3139"/>
      <c r="K3139"/>
    </row>
    <row r="3140" spans="2:11" x14ac:dyDescent="0.25">
      <c r="B3140"/>
      <c r="K3140"/>
    </row>
    <row r="3141" spans="2:11" x14ac:dyDescent="0.25">
      <c r="B3141"/>
      <c r="K3141"/>
    </row>
    <row r="3142" spans="2:11" x14ac:dyDescent="0.25">
      <c r="B3142"/>
      <c r="K3142"/>
    </row>
    <row r="3143" spans="2:11" x14ac:dyDescent="0.25">
      <c r="B3143"/>
      <c r="K3143"/>
    </row>
    <row r="3144" spans="2:11" x14ac:dyDescent="0.25">
      <c r="B3144"/>
      <c r="K3144"/>
    </row>
    <row r="3145" spans="2:11" x14ac:dyDescent="0.25">
      <c r="B3145"/>
      <c r="K3145"/>
    </row>
    <row r="3146" spans="2:11" x14ac:dyDescent="0.25">
      <c r="B3146"/>
      <c r="K3146"/>
    </row>
    <row r="3147" spans="2:11" x14ac:dyDescent="0.25">
      <c r="B3147"/>
      <c r="K3147"/>
    </row>
    <row r="3148" spans="2:11" x14ac:dyDescent="0.25">
      <c r="B3148"/>
      <c r="K3148"/>
    </row>
    <row r="3149" spans="2:11" x14ac:dyDescent="0.25">
      <c r="B3149"/>
      <c r="K3149"/>
    </row>
    <row r="3150" spans="2:11" x14ac:dyDescent="0.25">
      <c r="B3150"/>
      <c r="K3150"/>
    </row>
    <row r="3151" spans="2:11" x14ac:dyDescent="0.25">
      <c r="B3151"/>
      <c r="K3151"/>
    </row>
    <row r="3152" spans="2:11" x14ac:dyDescent="0.25">
      <c r="B3152"/>
      <c r="K3152"/>
    </row>
    <row r="3153" spans="2:11" x14ac:dyDescent="0.25">
      <c r="B3153"/>
      <c r="K3153"/>
    </row>
    <row r="3154" spans="2:11" x14ac:dyDescent="0.25">
      <c r="B3154"/>
      <c r="K3154"/>
    </row>
    <row r="3155" spans="2:11" x14ac:dyDescent="0.25">
      <c r="B3155"/>
      <c r="K3155"/>
    </row>
    <row r="3156" spans="2:11" x14ac:dyDescent="0.25">
      <c r="B3156"/>
      <c r="K3156"/>
    </row>
    <row r="3157" spans="2:11" x14ac:dyDescent="0.25">
      <c r="B3157"/>
      <c r="K3157"/>
    </row>
    <row r="3158" spans="2:11" x14ac:dyDescent="0.25">
      <c r="B3158"/>
      <c r="K3158"/>
    </row>
    <row r="3159" spans="2:11" x14ac:dyDescent="0.25">
      <c r="B3159"/>
      <c r="K3159"/>
    </row>
    <row r="3160" spans="2:11" x14ac:dyDescent="0.25">
      <c r="B3160"/>
      <c r="K3160"/>
    </row>
    <row r="3161" spans="2:11" x14ac:dyDescent="0.25">
      <c r="B3161"/>
      <c r="K3161"/>
    </row>
    <row r="3162" spans="2:11" x14ac:dyDescent="0.25">
      <c r="B3162"/>
      <c r="K3162"/>
    </row>
    <row r="3163" spans="2:11" x14ac:dyDescent="0.25">
      <c r="B3163"/>
      <c r="K3163"/>
    </row>
    <row r="3164" spans="2:11" x14ac:dyDescent="0.25">
      <c r="B3164"/>
      <c r="K3164"/>
    </row>
    <row r="3165" spans="2:11" x14ac:dyDescent="0.25">
      <c r="B3165"/>
      <c r="K3165"/>
    </row>
    <row r="3166" spans="2:11" x14ac:dyDescent="0.25">
      <c r="B3166"/>
      <c r="K3166"/>
    </row>
    <row r="3167" spans="2:11" x14ac:dyDescent="0.25">
      <c r="B3167"/>
      <c r="K3167"/>
    </row>
    <row r="3168" spans="2:11" x14ac:dyDescent="0.25">
      <c r="B3168"/>
      <c r="K3168"/>
    </row>
    <row r="3169" spans="2:11" x14ac:dyDescent="0.25">
      <c r="B3169"/>
      <c r="K3169"/>
    </row>
    <row r="3170" spans="2:11" x14ac:dyDescent="0.25">
      <c r="B3170"/>
      <c r="K3170"/>
    </row>
    <row r="3171" spans="2:11" x14ac:dyDescent="0.25">
      <c r="B3171"/>
      <c r="K3171"/>
    </row>
    <row r="3172" spans="2:11" x14ac:dyDescent="0.25">
      <c r="B3172"/>
      <c r="K3172"/>
    </row>
    <row r="3173" spans="2:11" x14ac:dyDescent="0.25">
      <c r="B3173"/>
      <c r="K3173"/>
    </row>
    <row r="3174" spans="2:11" x14ac:dyDescent="0.25">
      <c r="B3174"/>
      <c r="K3174"/>
    </row>
    <row r="3175" spans="2:11" x14ac:dyDescent="0.25">
      <c r="B3175"/>
      <c r="K3175"/>
    </row>
    <row r="3176" spans="2:11" x14ac:dyDescent="0.25">
      <c r="B3176"/>
      <c r="K3176"/>
    </row>
    <row r="3177" spans="2:11" x14ac:dyDescent="0.25">
      <c r="B3177"/>
      <c r="K3177"/>
    </row>
    <row r="3178" spans="2:11" x14ac:dyDescent="0.25">
      <c r="B3178"/>
      <c r="K3178"/>
    </row>
    <row r="3179" spans="2:11" x14ac:dyDescent="0.25">
      <c r="B3179"/>
      <c r="K3179"/>
    </row>
    <row r="3180" spans="2:11" x14ac:dyDescent="0.25">
      <c r="B3180"/>
      <c r="K3180"/>
    </row>
    <row r="3181" spans="2:11" x14ac:dyDescent="0.25">
      <c r="B3181"/>
      <c r="K3181"/>
    </row>
    <row r="3182" spans="2:11" x14ac:dyDescent="0.25">
      <c r="B3182"/>
      <c r="K3182"/>
    </row>
    <row r="3183" spans="2:11" x14ac:dyDescent="0.25">
      <c r="B3183"/>
      <c r="K3183"/>
    </row>
    <row r="3184" spans="2:11" x14ac:dyDescent="0.25">
      <c r="B3184"/>
      <c r="K3184"/>
    </row>
    <row r="3185" spans="2:11" x14ac:dyDescent="0.25">
      <c r="B3185"/>
      <c r="K3185"/>
    </row>
    <row r="3186" spans="2:11" x14ac:dyDescent="0.25">
      <c r="B3186"/>
      <c r="K3186"/>
    </row>
    <row r="3187" spans="2:11" x14ac:dyDescent="0.25">
      <c r="B3187"/>
      <c r="K3187"/>
    </row>
    <row r="3188" spans="2:11" x14ac:dyDescent="0.25">
      <c r="B3188"/>
      <c r="K3188"/>
    </row>
    <row r="3189" spans="2:11" x14ac:dyDescent="0.25">
      <c r="B3189"/>
      <c r="K3189"/>
    </row>
    <row r="3190" spans="2:11" x14ac:dyDescent="0.25">
      <c r="B3190"/>
      <c r="K3190"/>
    </row>
    <row r="3191" spans="2:11" x14ac:dyDescent="0.25">
      <c r="B3191"/>
      <c r="K3191"/>
    </row>
    <row r="3192" spans="2:11" x14ac:dyDescent="0.25">
      <c r="B3192"/>
      <c r="K3192"/>
    </row>
    <row r="3193" spans="2:11" x14ac:dyDescent="0.25">
      <c r="B3193"/>
      <c r="K3193"/>
    </row>
    <row r="3194" spans="2:11" x14ac:dyDescent="0.25">
      <c r="B3194"/>
      <c r="K3194"/>
    </row>
    <row r="3195" spans="2:11" x14ac:dyDescent="0.25">
      <c r="B3195"/>
      <c r="K3195"/>
    </row>
    <row r="3196" spans="2:11" x14ac:dyDescent="0.25">
      <c r="B3196"/>
      <c r="K3196"/>
    </row>
    <row r="3197" spans="2:11" x14ac:dyDescent="0.25">
      <c r="B3197"/>
      <c r="K3197"/>
    </row>
    <row r="3198" spans="2:11" x14ac:dyDescent="0.25">
      <c r="B3198"/>
      <c r="K3198"/>
    </row>
    <row r="3199" spans="2:11" x14ac:dyDescent="0.25">
      <c r="B3199"/>
      <c r="K3199"/>
    </row>
    <row r="3200" spans="2:11" x14ac:dyDescent="0.25">
      <c r="B3200"/>
      <c r="K3200"/>
    </row>
    <row r="3201" spans="2:11" x14ac:dyDescent="0.25">
      <c r="B3201"/>
      <c r="K3201"/>
    </row>
    <row r="3202" spans="2:11" x14ac:dyDescent="0.25">
      <c r="B3202"/>
      <c r="K3202"/>
    </row>
    <row r="3203" spans="2:11" x14ac:dyDescent="0.25">
      <c r="B3203"/>
      <c r="K3203"/>
    </row>
    <row r="3204" spans="2:11" x14ac:dyDescent="0.25">
      <c r="B3204"/>
      <c r="K3204"/>
    </row>
    <row r="3205" spans="2:11" x14ac:dyDescent="0.25">
      <c r="B3205"/>
      <c r="K3205"/>
    </row>
    <row r="3206" spans="2:11" x14ac:dyDescent="0.25">
      <c r="B3206"/>
      <c r="K3206"/>
    </row>
    <row r="3207" spans="2:11" x14ac:dyDescent="0.25">
      <c r="B3207"/>
      <c r="K3207"/>
    </row>
    <row r="3208" spans="2:11" x14ac:dyDescent="0.25">
      <c r="B3208"/>
      <c r="K3208"/>
    </row>
    <row r="3209" spans="2:11" x14ac:dyDescent="0.25">
      <c r="B3209"/>
      <c r="K3209"/>
    </row>
    <row r="3210" spans="2:11" x14ac:dyDescent="0.25">
      <c r="B3210"/>
      <c r="K3210"/>
    </row>
    <row r="3211" spans="2:11" x14ac:dyDescent="0.25">
      <c r="B3211"/>
      <c r="K3211"/>
    </row>
    <row r="3212" spans="2:11" x14ac:dyDescent="0.25">
      <c r="B3212"/>
      <c r="K3212"/>
    </row>
    <row r="3213" spans="2:11" x14ac:dyDescent="0.25">
      <c r="B3213"/>
      <c r="K3213"/>
    </row>
    <row r="3214" spans="2:11" x14ac:dyDescent="0.25">
      <c r="B3214"/>
      <c r="K3214"/>
    </row>
    <row r="3215" spans="2:11" x14ac:dyDescent="0.25">
      <c r="B3215"/>
      <c r="K3215"/>
    </row>
    <row r="3216" spans="2:11" x14ac:dyDescent="0.25">
      <c r="B3216"/>
      <c r="K3216"/>
    </row>
    <row r="3217" spans="2:11" x14ac:dyDescent="0.25">
      <c r="B3217"/>
      <c r="K3217"/>
    </row>
    <row r="3218" spans="2:11" x14ac:dyDescent="0.25">
      <c r="B3218"/>
      <c r="K3218"/>
    </row>
    <row r="3219" spans="2:11" x14ac:dyDescent="0.25">
      <c r="B3219"/>
      <c r="K3219"/>
    </row>
    <row r="3220" spans="2:11" x14ac:dyDescent="0.25">
      <c r="B3220"/>
      <c r="K3220"/>
    </row>
    <row r="3221" spans="2:11" x14ac:dyDescent="0.25">
      <c r="B3221"/>
      <c r="K3221"/>
    </row>
    <row r="3222" spans="2:11" x14ac:dyDescent="0.25">
      <c r="B3222"/>
      <c r="K3222"/>
    </row>
    <row r="3223" spans="2:11" x14ac:dyDescent="0.25">
      <c r="B3223"/>
      <c r="K3223"/>
    </row>
    <row r="3224" spans="2:11" x14ac:dyDescent="0.25">
      <c r="B3224"/>
      <c r="K3224"/>
    </row>
    <row r="3225" spans="2:11" x14ac:dyDescent="0.25">
      <c r="B3225"/>
      <c r="K3225"/>
    </row>
    <row r="3226" spans="2:11" x14ac:dyDescent="0.25">
      <c r="B3226"/>
      <c r="K3226"/>
    </row>
    <row r="3227" spans="2:11" x14ac:dyDescent="0.25">
      <c r="B3227"/>
      <c r="K3227"/>
    </row>
    <row r="3228" spans="2:11" x14ac:dyDescent="0.25">
      <c r="B3228"/>
      <c r="K3228"/>
    </row>
    <row r="3229" spans="2:11" x14ac:dyDescent="0.25">
      <c r="B3229"/>
      <c r="K3229"/>
    </row>
    <row r="3230" spans="2:11" x14ac:dyDescent="0.25">
      <c r="B3230"/>
      <c r="K3230"/>
    </row>
    <row r="3231" spans="2:11" x14ac:dyDescent="0.25">
      <c r="B3231"/>
      <c r="K3231"/>
    </row>
    <row r="3232" spans="2:11" x14ac:dyDescent="0.25">
      <c r="B3232"/>
      <c r="K3232"/>
    </row>
    <row r="3233" spans="2:11" x14ac:dyDescent="0.25">
      <c r="B3233"/>
      <c r="K3233"/>
    </row>
    <row r="3234" spans="2:11" x14ac:dyDescent="0.25">
      <c r="B3234"/>
      <c r="K3234"/>
    </row>
    <row r="3235" spans="2:11" x14ac:dyDescent="0.25">
      <c r="B3235"/>
      <c r="K3235"/>
    </row>
    <row r="3236" spans="2:11" x14ac:dyDescent="0.25">
      <c r="B3236"/>
      <c r="K3236"/>
    </row>
    <row r="3237" spans="2:11" x14ac:dyDescent="0.25">
      <c r="B3237"/>
      <c r="K3237"/>
    </row>
    <row r="3238" spans="2:11" x14ac:dyDescent="0.25">
      <c r="B3238"/>
      <c r="K3238"/>
    </row>
    <row r="3239" spans="2:11" x14ac:dyDescent="0.25">
      <c r="B3239"/>
      <c r="K3239"/>
    </row>
    <row r="3240" spans="2:11" x14ac:dyDescent="0.25">
      <c r="B3240"/>
      <c r="K3240"/>
    </row>
    <row r="3241" spans="2:11" x14ac:dyDescent="0.25">
      <c r="B3241"/>
      <c r="K3241"/>
    </row>
    <row r="3242" spans="2:11" x14ac:dyDescent="0.25">
      <c r="B3242"/>
      <c r="K3242"/>
    </row>
    <row r="3243" spans="2:11" x14ac:dyDescent="0.25">
      <c r="B3243"/>
      <c r="K3243"/>
    </row>
    <row r="3244" spans="2:11" x14ac:dyDescent="0.25">
      <c r="B3244"/>
      <c r="K3244"/>
    </row>
    <row r="3245" spans="2:11" x14ac:dyDescent="0.25">
      <c r="B3245"/>
      <c r="K3245"/>
    </row>
    <row r="3246" spans="2:11" x14ac:dyDescent="0.25">
      <c r="B3246"/>
      <c r="K3246"/>
    </row>
    <row r="3247" spans="2:11" x14ac:dyDescent="0.25">
      <c r="B3247"/>
      <c r="K3247"/>
    </row>
    <row r="3248" spans="2:11" x14ac:dyDescent="0.25">
      <c r="B3248"/>
      <c r="K3248"/>
    </row>
    <row r="3249" spans="2:11" x14ac:dyDescent="0.25">
      <c r="B3249"/>
      <c r="K3249"/>
    </row>
    <row r="3250" spans="2:11" x14ac:dyDescent="0.25">
      <c r="B3250"/>
      <c r="K3250"/>
    </row>
    <row r="3251" spans="2:11" x14ac:dyDescent="0.25">
      <c r="B3251"/>
      <c r="K3251"/>
    </row>
    <row r="3252" spans="2:11" x14ac:dyDescent="0.25">
      <c r="B3252"/>
      <c r="K3252"/>
    </row>
    <row r="3253" spans="2:11" x14ac:dyDescent="0.25">
      <c r="B3253"/>
      <c r="K3253"/>
    </row>
    <row r="3254" spans="2:11" x14ac:dyDescent="0.25">
      <c r="B3254"/>
      <c r="K3254"/>
    </row>
    <row r="3255" spans="2:11" x14ac:dyDescent="0.25">
      <c r="B3255"/>
      <c r="K3255"/>
    </row>
    <row r="3256" spans="2:11" x14ac:dyDescent="0.25">
      <c r="B3256"/>
      <c r="K3256"/>
    </row>
    <row r="3257" spans="2:11" x14ac:dyDescent="0.25">
      <c r="B3257"/>
      <c r="K3257"/>
    </row>
    <row r="3258" spans="2:11" x14ac:dyDescent="0.25">
      <c r="B3258"/>
      <c r="K3258"/>
    </row>
    <row r="3259" spans="2:11" x14ac:dyDescent="0.25">
      <c r="B3259"/>
      <c r="K3259"/>
    </row>
    <row r="3260" spans="2:11" x14ac:dyDescent="0.25">
      <c r="B3260"/>
      <c r="K3260"/>
    </row>
    <row r="3261" spans="2:11" x14ac:dyDescent="0.25">
      <c r="B3261"/>
      <c r="K3261"/>
    </row>
    <row r="3262" spans="2:11" x14ac:dyDescent="0.25">
      <c r="B3262"/>
      <c r="K3262"/>
    </row>
    <row r="3263" spans="2:11" x14ac:dyDescent="0.25">
      <c r="B3263"/>
      <c r="K3263"/>
    </row>
    <row r="3264" spans="2:11" x14ac:dyDescent="0.25">
      <c r="B3264"/>
      <c r="K3264"/>
    </row>
    <row r="3265" spans="2:11" x14ac:dyDescent="0.25">
      <c r="B3265"/>
      <c r="K3265"/>
    </row>
    <row r="3266" spans="2:11" x14ac:dyDescent="0.25">
      <c r="B3266"/>
      <c r="K3266"/>
    </row>
    <row r="3267" spans="2:11" x14ac:dyDescent="0.25">
      <c r="B3267"/>
      <c r="K3267"/>
    </row>
    <row r="3268" spans="2:11" x14ac:dyDescent="0.25">
      <c r="B3268"/>
      <c r="K3268"/>
    </row>
    <row r="3269" spans="2:11" x14ac:dyDescent="0.25">
      <c r="B3269"/>
      <c r="K3269"/>
    </row>
    <row r="3270" spans="2:11" x14ac:dyDescent="0.25">
      <c r="B3270"/>
      <c r="K3270"/>
    </row>
    <row r="3271" spans="2:11" x14ac:dyDescent="0.25">
      <c r="B3271"/>
      <c r="K3271"/>
    </row>
    <row r="3272" spans="2:11" x14ac:dyDescent="0.25">
      <c r="B3272"/>
      <c r="K3272"/>
    </row>
    <row r="3273" spans="2:11" x14ac:dyDescent="0.25">
      <c r="B3273"/>
      <c r="K3273"/>
    </row>
    <row r="3274" spans="2:11" x14ac:dyDescent="0.25">
      <c r="B3274"/>
      <c r="K3274"/>
    </row>
    <row r="3275" spans="2:11" x14ac:dyDescent="0.25">
      <c r="B3275"/>
      <c r="K3275"/>
    </row>
    <row r="3276" spans="2:11" x14ac:dyDescent="0.25">
      <c r="B3276"/>
      <c r="K3276"/>
    </row>
    <row r="3277" spans="2:11" x14ac:dyDescent="0.25">
      <c r="B3277"/>
      <c r="K3277"/>
    </row>
    <row r="3278" spans="2:11" x14ac:dyDescent="0.25">
      <c r="B3278"/>
      <c r="K3278"/>
    </row>
    <row r="3279" spans="2:11" x14ac:dyDescent="0.25">
      <c r="B3279"/>
      <c r="K3279"/>
    </row>
    <row r="3280" spans="2:11" x14ac:dyDescent="0.25">
      <c r="B3280"/>
      <c r="K3280"/>
    </row>
    <row r="3281" spans="2:11" x14ac:dyDescent="0.25">
      <c r="B3281"/>
      <c r="K3281"/>
    </row>
    <row r="3282" spans="2:11" x14ac:dyDescent="0.25">
      <c r="B3282"/>
      <c r="K3282"/>
    </row>
    <row r="3283" spans="2:11" x14ac:dyDescent="0.25">
      <c r="B3283"/>
      <c r="K3283"/>
    </row>
    <row r="3284" spans="2:11" x14ac:dyDescent="0.25">
      <c r="B3284"/>
      <c r="K3284"/>
    </row>
    <row r="3285" spans="2:11" x14ac:dyDescent="0.25">
      <c r="B3285"/>
      <c r="K3285"/>
    </row>
    <row r="3286" spans="2:11" x14ac:dyDescent="0.25">
      <c r="B3286"/>
      <c r="K3286"/>
    </row>
    <row r="3287" spans="2:11" x14ac:dyDescent="0.25">
      <c r="B3287"/>
      <c r="K3287"/>
    </row>
    <row r="3288" spans="2:11" x14ac:dyDescent="0.25">
      <c r="B3288"/>
      <c r="K3288"/>
    </row>
    <row r="3289" spans="2:11" x14ac:dyDescent="0.25">
      <c r="B3289"/>
      <c r="K3289"/>
    </row>
    <row r="3290" spans="2:11" x14ac:dyDescent="0.25">
      <c r="B3290"/>
      <c r="K3290"/>
    </row>
    <row r="3291" spans="2:11" x14ac:dyDescent="0.25">
      <c r="B3291"/>
      <c r="K3291"/>
    </row>
    <row r="3292" spans="2:11" x14ac:dyDescent="0.25">
      <c r="B3292"/>
      <c r="K3292"/>
    </row>
    <row r="3293" spans="2:11" x14ac:dyDescent="0.25">
      <c r="B3293"/>
      <c r="K3293"/>
    </row>
    <row r="3294" spans="2:11" x14ac:dyDescent="0.25">
      <c r="B3294"/>
      <c r="K3294"/>
    </row>
    <row r="3295" spans="2:11" x14ac:dyDescent="0.25">
      <c r="B3295"/>
      <c r="K3295"/>
    </row>
    <row r="3296" spans="2:11" x14ac:dyDescent="0.25">
      <c r="B3296"/>
      <c r="K3296"/>
    </row>
    <row r="3297" spans="2:11" x14ac:dyDescent="0.25">
      <c r="B3297"/>
      <c r="K3297"/>
    </row>
    <row r="3298" spans="2:11" x14ac:dyDescent="0.25">
      <c r="B3298"/>
      <c r="K3298"/>
    </row>
    <row r="3299" spans="2:11" x14ac:dyDescent="0.25">
      <c r="B3299"/>
      <c r="K3299"/>
    </row>
    <row r="3300" spans="2:11" x14ac:dyDescent="0.25">
      <c r="B3300"/>
      <c r="K3300"/>
    </row>
    <row r="3301" spans="2:11" x14ac:dyDescent="0.25">
      <c r="B3301"/>
      <c r="K3301"/>
    </row>
    <row r="3302" spans="2:11" x14ac:dyDescent="0.25">
      <c r="B3302"/>
      <c r="K3302"/>
    </row>
    <row r="3303" spans="2:11" x14ac:dyDescent="0.25">
      <c r="B3303"/>
      <c r="K3303"/>
    </row>
    <row r="3304" spans="2:11" x14ac:dyDescent="0.25">
      <c r="B3304"/>
      <c r="K3304"/>
    </row>
    <row r="3305" spans="2:11" x14ac:dyDescent="0.25">
      <c r="B3305"/>
      <c r="K3305"/>
    </row>
    <row r="3306" spans="2:11" x14ac:dyDescent="0.25">
      <c r="B3306"/>
      <c r="K3306"/>
    </row>
    <row r="3307" spans="2:11" x14ac:dyDescent="0.25">
      <c r="B3307"/>
      <c r="K3307"/>
    </row>
    <row r="3308" spans="2:11" x14ac:dyDescent="0.25">
      <c r="B3308"/>
      <c r="K3308"/>
    </row>
    <row r="3309" spans="2:11" x14ac:dyDescent="0.25">
      <c r="B3309"/>
      <c r="K3309"/>
    </row>
    <row r="3310" spans="2:11" x14ac:dyDescent="0.25">
      <c r="B3310"/>
      <c r="K3310"/>
    </row>
    <row r="3311" spans="2:11" x14ac:dyDescent="0.25">
      <c r="B3311"/>
      <c r="K3311"/>
    </row>
    <row r="3312" spans="2:11" x14ac:dyDescent="0.25">
      <c r="B3312"/>
      <c r="K3312"/>
    </row>
    <row r="3313" spans="2:11" x14ac:dyDescent="0.25">
      <c r="B3313"/>
      <c r="K3313"/>
    </row>
    <row r="3314" spans="2:11" x14ac:dyDescent="0.25">
      <c r="B3314"/>
      <c r="K3314"/>
    </row>
    <row r="3315" spans="2:11" x14ac:dyDescent="0.25">
      <c r="B3315"/>
      <c r="K3315"/>
    </row>
    <row r="3316" spans="2:11" x14ac:dyDescent="0.25">
      <c r="B3316"/>
      <c r="K3316"/>
    </row>
    <row r="3317" spans="2:11" x14ac:dyDescent="0.25">
      <c r="B3317"/>
      <c r="K3317"/>
    </row>
    <row r="3318" spans="2:11" x14ac:dyDescent="0.25">
      <c r="B3318"/>
      <c r="K3318"/>
    </row>
    <row r="3319" spans="2:11" x14ac:dyDescent="0.25">
      <c r="B3319"/>
      <c r="K3319"/>
    </row>
    <row r="3320" spans="2:11" x14ac:dyDescent="0.25">
      <c r="B3320"/>
      <c r="K3320"/>
    </row>
    <row r="3321" spans="2:11" x14ac:dyDescent="0.25">
      <c r="B3321"/>
      <c r="K3321"/>
    </row>
    <row r="3322" spans="2:11" x14ac:dyDescent="0.25">
      <c r="B3322"/>
      <c r="K3322"/>
    </row>
    <row r="3323" spans="2:11" x14ac:dyDescent="0.25">
      <c r="B3323"/>
      <c r="K3323"/>
    </row>
    <row r="3324" spans="2:11" x14ac:dyDescent="0.25">
      <c r="B3324"/>
      <c r="K3324"/>
    </row>
    <row r="3325" spans="2:11" x14ac:dyDescent="0.25">
      <c r="B3325"/>
      <c r="K3325"/>
    </row>
    <row r="3326" spans="2:11" x14ac:dyDescent="0.25">
      <c r="B3326"/>
      <c r="K3326"/>
    </row>
    <row r="3327" spans="2:11" x14ac:dyDescent="0.25">
      <c r="B3327"/>
      <c r="K3327"/>
    </row>
    <row r="3328" spans="2:11" x14ac:dyDescent="0.25">
      <c r="B3328"/>
      <c r="K3328"/>
    </row>
    <row r="3329" spans="2:11" x14ac:dyDescent="0.25">
      <c r="B3329"/>
      <c r="K3329"/>
    </row>
    <row r="3330" spans="2:11" x14ac:dyDescent="0.25">
      <c r="B3330"/>
      <c r="K3330"/>
    </row>
    <row r="3331" spans="2:11" x14ac:dyDescent="0.25">
      <c r="B3331"/>
      <c r="K3331"/>
    </row>
    <row r="3332" spans="2:11" x14ac:dyDescent="0.25">
      <c r="B3332"/>
      <c r="K3332"/>
    </row>
    <row r="3333" spans="2:11" x14ac:dyDescent="0.25">
      <c r="B3333"/>
      <c r="K3333"/>
    </row>
    <row r="3334" spans="2:11" x14ac:dyDescent="0.25">
      <c r="B3334"/>
      <c r="K3334"/>
    </row>
    <row r="3335" spans="2:11" x14ac:dyDescent="0.25">
      <c r="B3335"/>
      <c r="K3335"/>
    </row>
    <row r="3336" spans="2:11" x14ac:dyDescent="0.25">
      <c r="B3336"/>
      <c r="K3336"/>
    </row>
    <row r="3337" spans="2:11" x14ac:dyDescent="0.25">
      <c r="B3337"/>
      <c r="K3337"/>
    </row>
    <row r="3338" spans="2:11" x14ac:dyDescent="0.25">
      <c r="B3338"/>
      <c r="K3338"/>
    </row>
    <row r="3339" spans="2:11" x14ac:dyDescent="0.25">
      <c r="B3339"/>
      <c r="K3339"/>
    </row>
    <row r="3340" spans="2:11" x14ac:dyDescent="0.25">
      <c r="B3340"/>
      <c r="K3340"/>
    </row>
    <row r="3341" spans="2:11" x14ac:dyDescent="0.25">
      <c r="B3341"/>
      <c r="K3341"/>
    </row>
    <row r="3342" spans="2:11" x14ac:dyDescent="0.25">
      <c r="B3342"/>
      <c r="K3342"/>
    </row>
    <row r="3343" spans="2:11" x14ac:dyDescent="0.25">
      <c r="B3343"/>
      <c r="K3343"/>
    </row>
    <row r="3344" spans="2:11" x14ac:dyDescent="0.25">
      <c r="B3344"/>
      <c r="K3344"/>
    </row>
    <row r="3345" spans="2:11" x14ac:dyDescent="0.25">
      <c r="B3345"/>
      <c r="K3345"/>
    </row>
    <row r="3346" spans="2:11" x14ac:dyDescent="0.25">
      <c r="B3346"/>
      <c r="K3346"/>
    </row>
    <row r="3347" spans="2:11" x14ac:dyDescent="0.25">
      <c r="B3347"/>
      <c r="K3347"/>
    </row>
    <row r="3348" spans="2:11" x14ac:dyDescent="0.25">
      <c r="B3348"/>
      <c r="K3348"/>
    </row>
    <row r="3349" spans="2:11" x14ac:dyDescent="0.25">
      <c r="B3349"/>
      <c r="K3349"/>
    </row>
    <row r="3350" spans="2:11" x14ac:dyDescent="0.25">
      <c r="B3350"/>
      <c r="K3350"/>
    </row>
    <row r="3351" spans="2:11" x14ac:dyDescent="0.25">
      <c r="B3351"/>
      <c r="K3351"/>
    </row>
    <row r="3352" spans="2:11" x14ac:dyDescent="0.25">
      <c r="B3352"/>
      <c r="K3352"/>
    </row>
    <row r="3353" spans="2:11" x14ac:dyDescent="0.25">
      <c r="B3353"/>
      <c r="K3353"/>
    </row>
    <row r="3354" spans="2:11" x14ac:dyDescent="0.25">
      <c r="B3354"/>
      <c r="K3354"/>
    </row>
    <row r="3355" spans="2:11" x14ac:dyDescent="0.25">
      <c r="B3355"/>
      <c r="K3355"/>
    </row>
    <row r="3356" spans="2:11" x14ac:dyDescent="0.25">
      <c r="B3356"/>
      <c r="K3356"/>
    </row>
    <row r="3357" spans="2:11" x14ac:dyDescent="0.25">
      <c r="B3357"/>
      <c r="K3357"/>
    </row>
    <row r="3358" spans="2:11" x14ac:dyDescent="0.25">
      <c r="B3358"/>
      <c r="K3358"/>
    </row>
    <row r="3359" spans="2:11" x14ac:dyDescent="0.25">
      <c r="B3359"/>
      <c r="K3359"/>
    </row>
    <row r="3360" spans="2:11" x14ac:dyDescent="0.25">
      <c r="B3360"/>
      <c r="K3360"/>
    </row>
    <row r="3361" spans="2:11" x14ac:dyDescent="0.25">
      <c r="B3361"/>
      <c r="K3361"/>
    </row>
    <row r="3362" spans="2:11" x14ac:dyDescent="0.25">
      <c r="B3362"/>
      <c r="K3362"/>
    </row>
    <row r="3363" spans="2:11" x14ac:dyDescent="0.25">
      <c r="B3363"/>
      <c r="K3363"/>
    </row>
    <row r="3364" spans="2:11" x14ac:dyDescent="0.25">
      <c r="B3364"/>
      <c r="K3364"/>
    </row>
    <row r="3365" spans="2:11" x14ac:dyDescent="0.25">
      <c r="B3365"/>
      <c r="K3365"/>
    </row>
    <row r="3366" spans="2:11" x14ac:dyDescent="0.25">
      <c r="B3366"/>
      <c r="K3366"/>
    </row>
    <row r="3367" spans="2:11" x14ac:dyDescent="0.25">
      <c r="B3367"/>
      <c r="K3367"/>
    </row>
    <row r="3368" spans="2:11" x14ac:dyDescent="0.25">
      <c r="B3368"/>
      <c r="K3368"/>
    </row>
    <row r="3369" spans="2:11" x14ac:dyDescent="0.25">
      <c r="B3369"/>
      <c r="K3369"/>
    </row>
    <row r="3370" spans="2:11" x14ac:dyDescent="0.25">
      <c r="B3370"/>
      <c r="K3370"/>
    </row>
    <row r="3371" spans="2:11" x14ac:dyDescent="0.25">
      <c r="B3371"/>
      <c r="K3371"/>
    </row>
    <row r="3372" spans="2:11" x14ac:dyDescent="0.25">
      <c r="B3372"/>
      <c r="K3372"/>
    </row>
    <row r="3373" spans="2:11" x14ac:dyDescent="0.25">
      <c r="B3373"/>
      <c r="K3373"/>
    </row>
    <row r="3374" spans="2:11" x14ac:dyDescent="0.25">
      <c r="B3374"/>
      <c r="K3374"/>
    </row>
    <row r="3375" spans="2:11" x14ac:dyDescent="0.25">
      <c r="B3375"/>
      <c r="K3375"/>
    </row>
    <row r="3376" spans="2:11" x14ac:dyDescent="0.25">
      <c r="B3376"/>
      <c r="K3376"/>
    </row>
    <row r="3377" spans="2:11" x14ac:dyDescent="0.25">
      <c r="B3377"/>
      <c r="K3377"/>
    </row>
    <row r="3378" spans="2:11" x14ac:dyDescent="0.25">
      <c r="B3378"/>
      <c r="K3378"/>
    </row>
    <row r="3379" spans="2:11" x14ac:dyDescent="0.25">
      <c r="B3379"/>
      <c r="K3379"/>
    </row>
    <row r="3380" spans="2:11" x14ac:dyDescent="0.25">
      <c r="B3380"/>
      <c r="K3380"/>
    </row>
    <row r="3381" spans="2:11" x14ac:dyDescent="0.25">
      <c r="B3381"/>
      <c r="K3381"/>
    </row>
    <row r="3382" spans="2:11" x14ac:dyDescent="0.25">
      <c r="B3382"/>
      <c r="K3382"/>
    </row>
    <row r="3383" spans="2:11" x14ac:dyDescent="0.25">
      <c r="B3383"/>
      <c r="K3383"/>
    </row>
    <row r="3384" spans="2:11" x14ac:dyDescent="0.25">
      <c r="B3384"/>
      <c r="K3384"/>
    </row>
    <row r="3385" spans="2:11" x14ac:dyDescent="0.25">
      <c r="B3385"/>
      <c r="K3385"/>
    </row>
    <row r="3386" spans="2:11" x14ac:dyDescent="0.25">
      <c r="B3386"/>
      <c r="K3386"/>
    </row>
    <row r="3387" spans="2:11" x14ac:dyDescent="0.25">
      <c r="B3387"/>
      <c r="K3387"/>
    </row>
    <row r="3388" spans="2:11" x14ac:dyDescent="0.25">
      <c r="B3388"/>
      <c r="K3388"/>
    </row>
    <row r="3389" spans="2:11" x14ac:dyDescent="0.25">
      <c r="B3389"/>
      <c r="K3389"/>
    </row>
    <row r="3390" spans="2:11" x14ac:dyDescent="0.25">
      <c r="B3390"/>
      <c r="K3390"/>
    </row>
    <row r="3391" spans="2:11" x14ac:dyDescent="0.25">
      <c r="B3391"/>
      <c r="K3391"/>
    </row>
    <row r="3392" spans="2:11" x14ac:dyDescent="0.25">
      <c r="B3392"/>
      <c r="K3392"/>
    </row>
    <row r="3393" spans="2:11" x14ac:dyDescent="0.25">
      <c r="B3393"/>
      <c r="K3393"/>
    </row>
    <row r="3394" spans="2:11" x14ac:dyDescent="0.25">
      <c r="B3394"/>
      <c r="K3394"/>
    </row>
    <row r="3395" spans="2:11" x14ac:dyDescent="0.25">
      <c r="B3395"/>
      <c r="K3395"/>
    </row>
    <row r="3396" spans="2:11" x14ac:dyDescent="0.25">
      <c r="B3396"/>
      <c r="K3396"/>
    </row>
    <row r="3397" spans="2:11" x14ac:dyDescent="0.25">
      <c r="B3397"/>
      <c r="K3397"/>
    </row>
    <row r="3398" spans="2:11" x14ac:dyDescent="0.25">
      <c r="B3398"/>
      <c r="K3398"/>
    </row>
    <row r="3399" spans="2:11" x14ac:dyDescent="0.25">
      <c r="B3399"/>
      <c r="K3399"/>
    </row>
    <row r="3400" spans="2:11" x14ac:dyDescent="0.25">
      <c r="B3400"/>
      <c r="K3400"/>
    </row>
    <row r="3401" spans="2:11" x14ac:dyDescent="0.25">
      <c r="B3401"/>
      <c r="K3401"/>
    </row>
    <row r="3402" spans="2:11" x14ac:dyDescent="0.25">
      <c r="B3402"/>
      <c r="K3402"/>
    </row>
    <row r="3403" spans="2:11" x14ac:dyDescent="0.25">
      <c r="B3403"/>
      <c r="K3403"/>
    </row>
    <row r="3404" spans="2:11" x14ac:dyDescent="0.25">
      <c r="B3404"/>
      <c r="K3404"/>
    </row>
    <row r="3405" spans="2:11" x14ac:dyDescent="0.25">
      <c r="B3405"/>
      <c r="K3405"/>
    </row>
    <row r="3406" spans="2:11" x14ac:dyDescent="0.25">
      <c r="B3406"/>
      <c r="K3406"/>
    </row>
    <row r="3407" spans="2:11" x14ac:dyDescent="0.25">
      <c r="B3407"/>
      <c r="K3407"/>
    </row>
    <row r="3408" spans="2:11" x14ac:dyDescent="0.25">
      <c r="B3408"/>
      <c r="K3408"/>
    </row>
    <row r="3409" spans="2:11" x14ac:dyDescent="0.25">
      <c r="B3409"/>
      <c r="K3409"/>
    </row>
    <row r="3410" spans="2:11" x14ac:dyDescent="0.25">
      <c r="B3410"/>
      <c r="K3410"/>
    </row>
    <row r="3411" spans="2:11" x14ac:dyDescent="0.25">
      <c r="B3411"/>
      <c r="K3411"/>
    </row>
    <row r="3412" spans="2:11" x14ac:dyDescent="0.25">
      <c r="B3412"/>
      <c r="K3412"/>
    </row>
    <row r="3413" spans="2:11" x14ac:dyDescent="0.25">
      <c r="B3413"/>
      <c r="K3413"/>
    </row>
    <row r="3414" spans="2:11" x14ac:dyDescent="0.25">
      <c r="B3414"/>
      <c r="K3414"/>
    </row>
    <row r="3415" spans="2:11" x14ac:dyDescent="0.25">
      <c r="B3415"/>
      <c r="K3415"/>
    </row>
    <row r="3416" spans="2:11" x14ac:dyDescent="0.25">
      <c r="B3416"/>
      <c r="K3416"/>
    </row>
    <row r="3417" spans="2:11" x14ac:dyDescent="0.25">
      <c r="B3417"/>
      <c r="K3417"/>
    </row>
    <row r="3418" spans="2:11" x14ac:dyDescent="0.25">
      <c r="B3418"/>
      <c r="K3418"/>
    </row>
    <row r="3419" spans="2:11" x14ac:dyDescent="0.25">
      <c r="B3419"/>
      <c r="K3419"/>
    </row>
    <row r="3420" spans="2:11" x14ac:dyDescent="0.25">
      <c r="B3420"/>
      <c r="K3420"/>
    </row>
    <row r="3421" spans="2:11" x14ac:dyDescent="0.25">
      <c r="B3421"/>
      <c r="K3421"/>
    </row>
    <row r="3422" spans="2:11" x14ac:dyDescent="0.25">
      <c r="B3422"/>
      <c r="K3422"/>
    </row>
    <row r="3423" spans="2:11" x14ac:dyDescent="0.25">
      <c r="B3423"/>
      <c r="K3423"/>
    </row>
    <row r="3424" spans="2:11" x14ac:dyDescent="0.25">
      <c r="B3424"/>
      <c r="K3424"/>
    </row>
    <row r="3425" spans="2:11" x14ac:dyDescent="0.25">
      <c r="B3425"/>
      <c r="K3425"/>
    </row>
    <row r="3426" spans="2:11" x14ac:dyDescent="0.25">
      <c r="B3426"/>
      <c r="K3426"/>
    </row>
    <row r="3427" spans="2:11" x14ac:dyDescent="0.25">
      <c r="B3427"/>
      <c r="K3427"/>
    </row>
    <row r="3428" spans="2:11" x14ac:dyDescent="0.25">
      <c r="B3428"/>
      <c r="K3428"/>
    </row>
    <row r="3429" spans="2:11" x14ac:dyDescent="0.25">
      <c r="B3429"/>
      <c r="K3429"/>
    </row>
    <row r="3430" spans="2:11" x14ac:dyDescent="0.25">
      <c r="B3430"/>
      <c r="K3430"/>
    </row>
    <row r="3431" spans="2:11" x14ac:dyDescent="0.25">
      <c r="B3431"/>
      <c r="K3431"/>
    </row>
    <row r="3432" spans="2:11" x14ac:dyDescent="0.25">
      <c r="B3432"/>
      <c r="K3432"/>
    </row>
    <row r="3433" spans="2:11" x14ac:dyDescent="0.25">
      <c r="B3433"/>
      <c r="K3433"/>
    </row>
    <row r="3434" spans="2:11" x14ac:dyDescent="0.25">
      <c r="B3434"/>
      <c r="K3434"/>
    </row>
    <row r="3435" spans="2:11" x14ac:dyDescent="0.25">
      <c r="B3435"/>
      <c r="K3435"/>
    </row>
    <row r="3436" spans="2:11" x14ac:dyDescent="0.25">
      <c r="B3436"/>
      <c r="K3436"/>
    </row>
    <row r="3437" spans="2:11" x14ac:dyDescent="0.25">
      <c r="B3437"/>
      <c r="K3437"/>
    </row>
    <row r="3438" spans="2:11" x14ac:dyDescent="0.25">
      <c r="B3438"/>
      <c r="K3438"/>
    </row>
    <row r="3439" spans="2:11" x14ac:dyDescent="0.25">
      <c r="B3439"/>
      <c r="K3439"/>
    </row>
    <row r="3440" spans="2:11" x14ac:dyDescent="0.25">
      <c r="B3440"/>
      <c r="K3440"/>
    </row>
    <row r="3441" spans="2:11" x14ac:dyDescent="0.25">
      <c r="B3441"/>
      <c r="K3441"/>
    </row>
    <row r="3442" spans="2:11" x14ac:dyDescent="0.25">
      <c r="B3442"/>
      <c r="K3442"/>
    </row>
    <row r="3443" spans="2:11" x14ac:dyDescent="0.25">
      <c r="B3443"/>
      <c r="K3443"/>
    </row>
    <row r="3444" spans="2:11" x14ac:dyDescent="0.25">
      <c r="B3444"/>
      <c r="K3444"/>
    </row>
    <row r="3445" spans="2:11" x14ac:dyDescent="0.25">
      <c r="B3445"/>
      <c r="K3445"/>
    </row>
    <row r="3446" spans="2:11" x14ac:dyDescent="0.25">
      <c r="B3446"/>
      <c r="K3446"/>
    </row>
    <row r="3447" spans="2:11" x14ac:dyDescent="0.25">
      <c r="B3447"/>
      <c r="K3447"/>
    </row>
    <row r="3448" spans="2:11" x14ac:dyDescent="0.25">
      <c r="B3448"/>
      <c r="K3448"/>
    </row>
    <row r="3449" spans="2:11" x14ac:dyDescent="0.25">
      <c r="B3449"/>
      <c r="K3449"/>
    </row>
    <row r="3450" spans="2:11" x14ac:dyDescent="0.25">
      <c r="B3450"/>
      <c r="K3450"/>
    </row>
    <row r="3451" spans="2:11" x14ac:dyDescent="0.25">
      <c r="B3451"/>
      <c r="K3451"/>
    </row>
    <row r="3452" spans="2:11" x14ac:dyDescent="0.25">
      <c r="B3452"/>
      <c r="K3452"/>
    </row>
    <row r="3453" spans="2:11" x14ac:dyDescent="0.25">
      <c r="B3453"/>
      <c r="K3453"/>
    </row>
    <row r="3454" spans="2:11" x14ac:dyDescent="0.25">
      <c r="B3454"/>
      <c r="K3454"/>
    </row>
    <row r="3455" spans="2:11" x14ac:dyDescent="0.25">
      <c r="B3455"/>
      <c r="K3455"/>
    </row>
    <row r="3456" spans="2:11" x14ac:dyDescent="0.25">
      <c r="B3456"/>
      <c r="K3456"/>
    </row>
    <row r="3457" spans="2:11" x14ac:dyDescent="0.25">
      <c r="B3457"/>
      <c r="K3457"/>
    </row>
    <row r="3458" spans="2:11" x14ac:dyDescent="0.25">
      <c r="B3458"/>
      <c r="K3458"/>
    </row>
    <row r="3459" spans="2:11" x14ac:dyDescent="0.25">
      <c r="B3459"/>
      <c r="K3459"/>
    </row>
    <row r="3460" spans="2:11" x14ac:dyDescent="0.25">
      <c r="B3460"/>
      <c r="K3460"/>
    </row>
    <row r="3461" spans="2:11" x14ac:dyDescent="0.25">
      <c r="B3461"/>
      <c r="K3461"/>
    </row>
    <row r="3462" spans="2:11" x14ac:dyDescent="0.25">
      <c r="B3462"/>
      <c r="K3462"/>
    </row>
    <row r="3463" spans="2:11" x14ac:dyDescent="0.25">
      <c r="B3463"/>
      <c r="K3463"/>
    </row>
    <row r="3464" spans="2:11" x14ac:dyDescent="0.25">
      <c r="B3464"/>
      <c r="K3464"/>
    </row>
    <row r="3465" spans="2:11" x14ac:dyDescent="0.25">
      <c r="B3465"/>
      <c r="K3465"/>
    </row>
    <row r="3466" spans="2:11" x14ac:dyDescent="0.25">
      <c r="B3466"/>
      <c r="K3466"/>
    </row>
    <row r="3467" spans="2:11" x14ac:dyDescent="0.25">
      <c r="B3467"/>
      <c r="K3467"/>
    </row>
    <row r="3468" spans="2:11" x14ac:dyDescent="0.25">
      <c r="B3468"/>
      <c r="K3468"/>
    </row>
    <row r="3469" spans="2:11" x14ac:dyDescent="0.25">
      <c r="B3469"/>
      <c r="K3469"/>
    </row>
    <row r="3470" spans="2:11" x14ac:dyDescent="0.25">
      <c r="B3470"/>
      <c r="K3470"/>
    </row>
    <row r="3471" spans="2:11" x14ac:dyDescent="0.25">
      <c r="B3471"/>
      <c r="K3471"/>
    </row>
    <row r="3472" spans="2:11" x14ac:dyDescent="0.25">
      <c r="B3472"/>
      <c r="K3472"/>
    </row>
    <row r="3473" spans="2:11" x14ac:dyDescent="0.25">
      <c r="B3473"/>
      <c r="K3473"/>
    </row>
    <row r="3474" spans="2:11" x14ac:dyDescent="0.25">
      <c r="B3474"/>
      <c r="K3474"/>
    </row>
    <row r="3475" spans="2:11" x14ac:dyDescent="0.25">
      <c r="B3475"/>
      <c r="K3475"/>
    </row>
    <row r="3476" spans="2:11" x14ac:dyDescent="0.25">
      <c r="B3476"/>
      <c r="K3476"/>
    </row>
    <row r="3477" spans="2:11" x14ac:dyDescent="0.25">
      <c r="B3477"/>
      <c r="K3477"/>
    </row>
    <row r="3478" spans="2:11" x14ac:dyDescent="0.25">
      <c r="B3478"/>
      <c r="K3478"/>
    </row>
    <row r="3479" spans="2:11" x14ac:dyDescent="0.25">
      <c r="B3479"/>
      <c r="K3479"/>
    </row>
    <row r="3480" spans="2:11" x14ac:dyDescent="0.25">
      <c r="B3480"/>
      <c r="K3480"/>
    </row>
    <row r="3481" spans="2:11" x14ac:dyDescent="0.25">
      <c r="B3481"/>
      <c r="K3481"/>
    </row>
    <row r="3482" spans="2:11" x14ac:dyDescent="0.25">
      <c r="B3482"/>
      <c r="K3482"/>
    </row>
    <row r="3483" spans="2:11" x14ac:dyDescent="0.25">
      <c r="B3483"/>
      <c r="K3483"/>
    </row>
    <row r="3484" spans="2:11" x14ac:dyDescent="0.25">
      <c r="B3484"/>
      <c r="K3484"/>
    </row>
    <row r="3485" spans="2:11" x14ac:dyDescent="0.25">
      <c r="B3485"/>
      <c r="K3485"/>
    </row>
    <row r="3486" spans="2:11" x14ac:dyDescent="0.25">
      <c r="B3486"/>
      <c r="K3486"/>
    </row>
    <row r="3487" spans="2:11" x14ac:dyDescent="0.25">
      <c r="B3487"/>
      <c r="K3487"/>
    </row>
    <row r="3488" spans="2:11" x14ac:dyDescent="0.25">
      <c r="B3488"/>
      <c r="K3488"/>
    </row>
    <row r="3489" spans="2:11" x14ac:dyDescent="0.25">
      <c r="B3489"/>
      <c r="K3489"/>
    </row>
    <row r="3490" spans="2:11" x14ac:dyDescent="0.25">
      <c r="B3490"/>
      <c r="K3490"/>
    </row>
    <row r="3491" spans="2:11" x14ac:dyDescent="0.25">
      <c r="B3491"/>
      <c r="K3491"/>
    </row>
    <row r="3492" spans="2:11" x14ac:dyDescent="0.25">
      <c r="B3492"/>
      <c r="K3492"/>
    </row>
    <row r="3493" spans="2:11" x14ac:dyDescent="0.25">
      <c r="B3493"/>
      <c r="K3493"/>
    </row>
    <row r="3494" spans="2:11" x14ac:dyDescent="0.25">
      <c r="B3494"/>
      <c r="K3494"/>
    </row>
    <row r="3495" spans="2:11" x14ac:dyDescent="0.25">
      <c r="B3495"/>
      <c r="K3495"/>
    </row>
    <row r="3496" spans="2:11" x14ac:dyDescent="0.25">
      <c r="B3496"/>
      <c r="K3496"/>
    </row>
    <row r="3497" spans="2:11" x14ac:dyDescent="0.25">
      <c r="B3497"/>
      <c r="K3497"/>
    </row>
    <row r="3498" spans="2:11" x14ac:dyDescent="0.25">
      <c r="B3498"/>
      <c r="K3498"/>
    </row>
    <row r="3499" spans="2:11" x14ac:dyDescent="0.25">
      <c r="B3499"/>
      <c r="K3499"/>
    </row>
    <row r="3500" spans="2:11" x14ac:dyDescent="0.25">
      <c r="B3500"/>
      <c r="K3500"/>
    </row>
    <row r="3501" spans="2:11" x14ac:dyDescent="0.25">
      <c r="B3501"/>
      <c r="K3501"/>
    </row>
    <row r="3502" spans="2:11" x14ac:dyDescent="0.25">
      <c r="B3502"/>
      <c r="K3502"/>
    </row>
    <row r="3503" spans="2:11" x14ac:dyDescent="0.25">
      <c r="B3503"/>
      <c r="K3503"/>
    </row>
    <row r="3504" spans="2:11" x14ac:dyDescent="0.25">
      <c r="B3504"/>
      <c r="K3504"/>
    </row>
    <row r="3505" spans="2:11" x14ac:dyDescent="0.25">
      <c r="B3505"/>
      <c r="K3505"/>
    </row>
    <row r="3506" spans="2:11" x14ac:dyDescent="0.25">
      <c r="B3506"/>
      <c r="K3506"/>
    </row>
    <row r="3507" spans="2:11" x14ac:dyDescent="0.25">
      <c r="B3507"/>
      <c r="K3507"/>
    </row>
    <row r="3508" spans="2:11" x14ac:dyDescent="0.25">
      <c r="B3508"/>
      <c r="K3508"/>
    </row>
    <row r="3509" spans="2:11" x14ac:dyDescent="0.25">
      <c r="B3509"/>
      <c r="K3509"/>
    </row>
    <row r="3510" spans="2:11" x14ac:dyDescent="0.25">
      <c r="B3510"/>
      <c r="K3510"/>
    </row>
    <row r="3511" spans="2:11" x14ac:dyDescent="0.25">
      <c r="B3511"/>
      <c r="K3511"/>
    </row>
    <row r="3512" spans="2:11" x14ac:dyDescent="0.25">
      <c r="B3512"/>
      <c r="K3512"/>
    </row>
    <row r="3513" spans="2:11" x14ac:dyDescent="0.25">
      <c r="B3513"/>
      <c r="K3513"/>
    </row>
    <row r="3514" spans="2:11" x14ac:dyDescent="0.25">
      <c r="B3514"/>
      <c r="K3514"/>
    </row>
    <row r="3515" spans="2:11" x14ac:dyDescent="0.25">
      <c r="B3515"/>
      <c r="K3515"/>
    </row>
    <row r="3516" spans="2:11" x14ac:dyDescent="0.25">
      <c r="B3516"/>
      <c r="K3516"/>
    </row>
    <row r="3517" spans="2:11" x14ac:dyDescent="0.25">
      <c r="B3517"/>
      <c r="K3517"/>
    </row>
    <row r="3518" spans="2:11" x14ac:dyDescent="0.25">
      <c r="B3518"/>
      <c r="K3518"/>
    </row>
    <row r="3519" spans="2:11" x14ac:dyDescent="0.25">
      <c r="B3519"/>
      <c r="K3519"/>
    </row>
    <row r="3520" spans="2:11" x14ac:dyDescent="0.25">
      <c r="B3520"/>
      <c r="K3520"/>
    </row>
    <row r="3521" spans="2:11" x14ac:dyDescent="0.25">
      <c r="B3521"/>
      <c r="K3521"/>
    </row>
    <row r="3522" spans="2:11" x14ac:dyDescent="0.25">
      <c r="B3522"/>
      <c r="K3522"/>
    </row>
    <row r="3523" spans="2:11" x14ac:dyDescent="0.25">
      <c r="B3523"/>
      <c r="K3523"/>
    </row>
    <row r="3524" spans="2:11" x14ac:dyDescent="0.25">
      <c r="B3524"/>
      <c r="K3524"/>
    </row>
    <row r="3525" spans="2:11" x14ac:dyDescent="0.25">
      <c r="B3525"/>
      <c r="K3525"/>
    </row>
    <row r="3526" spans="2:11" x14ac:dyDescent="0.25">
      <c r="B3526"/>
      <c r="K3526"/>
    </row>
    <row r="3527" spans="2:11" x14ac:dyDescent="0.25">
      <c r="B3527"/>
      <c r="K3527"/>
    </row>
    <row r="3528" spans="2:11" x14ac:dyDescent="0.25">
      <c r="B3528"/>
      <c r="K3528"/>
    </row>
    <row r="3529" spans="2:11" x14ac:dyDescent="0.25">
      <c r="B3529"/>
      <c r="K3529"/>
    </row>
    <row r="3530" spans="2:11" x14ac:dyDescent="0.25">
      <c r="B3530"/>
      <c r="K3530"/>
    </row>
    <row r="3531" spans="2:11" x14ac:dyDescent="0.25">
      <c r="B3531"/>
      <c r="K3531"/>
    </row>
    <row r="3532" spans="2:11" x14ac:dyDescent="0.25">
      <c r="B3532"/>
      <c r="K3532"/>
    </row>
    <row r="3533" spans="2:11" x14ac:dyDescent="0.25">
      <c r="B3533"/>
      <c r="K3533"/>
    </row>
    <row r="3534" spans="2:11" x14ac:dyDescent="0.25">
      <c r="B3534"/>
      <c r="K3534"/>
    </row>
    <row r="3535" spans="2:11" x14ac:dyDescent="0.25">
      <c r="B3535"/>
      <c r="K3535"/>
    </row>
    <row r="3536" spans="2:11" x14ac:dyDescent="0.25">
      <c r="B3536"/>
      <c r="K3536"/>
    </row>
    <row r="3537" spans="2:11" x14ac:dyDescent="0.25">
      <c r="B3537"/>
      <c r="K3537"/>
    </row>
    <row r="3538" spans="2:11" x14ac:dyDescent="0.25">
      <c r="B3538"/>
      <c r="K3538"/>
    </row>
    <row r="3539" spans="2:11" x14ac:dyDescent="0.25">
      <c r="B3539"/>
      <c r="K3539"/>
    </row>
    <row r="3540" spans="2:11" x14ac:dyDescent="0.25">
      <c r="B3540"/>
      <c r="K3540"/>
    </row>
    <row r="3541" spans="2:11" x14ac:dyDescent="0.25">
      <c r="B3541"/>
      <c r="K3541"/>
    </row>
    <row r="3542" spans="2:11" x14ac:dyDescent="0.25">
      <c r="B3542"/>
      <c r="K3542"/>
    </row>
    <row r="3543" spans="2:11" x14ac:dyDescent="0.25">
      <c r="B3543"/>
      <c r="K3543"/>
    </row>
    <row r="3544" spans="2:11" x14ac:dyDescent="0.25">
      <c r="B3544"/>
      <c r="K3544"/>
    </row>
    <row r="3545" spans="2:11" x14ac:dyDescent="0.25">
      <c r="B3545"/>
      <c r="K3545"/>
    </row>
    <row r="3546" spans="2:11" x14ac:dyDescent="0.25">
      <c r="B3546"/>
      <c r="K3546"/>
    </row>
    <row r="3547" spans="2:11" x14ac:dyDescent="0.25">
      <c r="B3547"/>
      <c r="K3547"/>
    </row>
    <row r="3548" spans="2:11" x14ac:dyDescent="0.25">
      <c r="B3548"/>
      <c r="K3548"/>
    </row>
    <row r="3549" spans="2:11" x14ac:dyDescent="0.25">
      <c r="B3549"/>
      <c r="K3549"/>
    </row>
    <row r="3550" spans="2:11" x14ac:dyDescent="0.25">
      <c r="B3550"/>
      <c r="K3550"/>
    </row>
    <row r="3551" spans="2:11" x14ac:dyDescent="0.25">
      <c r="B3551"/>
      <c r="K3551"/>
    </row>
    <row r="3552" spans="2:11" x14ac:dyDescent="0.25">
      <c r="B3552"/>
      <c r="K3552"/>
    </row>
    <row r="3553" spans="2:11" x14ac:dyDescent="0.25">
      <c r="B3553"/>
      <c r="K3553"/>
    </row>
    <row r="3554" spans="2:11" x14ac:dyDescent="0.25">
      <c r="B3554"/>
      <c r="K3554"/>
    </row>
    <row r="3555" spans="2:11" x14ac:dyDescent="0.25">
      <c r="B3555"/>
      <c r="K3555"/>
    </row>
    <row r="3556" spans="2:11" x14ac:dyDescent="0.25">
      <c r="B3556"/>
      <c r="K3556"/>
    </row>
    <row r="3557" spans="2:11" x14ac:dyDescent="0.25">
      <c r="B3557"/>
      <c r="K3557"/>
    </row>
    <row r="3558" spans="2:11" x14ac:dyDescent="0.25">
      <c r="B3558"/>
      <c r="K3558"/>
    </row>
    <row r="3559" spans="2:11" x14ac:dyDescent="0.25">
      <c r="B3559"/>
      <c r="K3559"/>
    </row>
    <row r="3560" spans="2:11" x14ac:dyDescent="0.25">
      <c r="B3560"/>
      <c r="K3560"/>
    </row>
    <row r="3561" spans="2:11" x14ac:dyDescent="0.25">
      <c r="B3561"/>
      <c r="K3561"/>
    </row>
    <row r="3562" spans="2:11" x14ac:dyDescent="0.25">
      <c r="B3562"/>
      <c r="K3562"/>
    </row>
    <row r="3563" spans="2:11" x14ac:dyDescent="0.25">
      <c r="B3563"/>
      <c r="K3563"/>
    </row>
    <row r="3564" spans="2:11" x14ac:dyDescent="0.25">
      <c r="B3564"/>
      <c r="K3564"/>
    </row>
    <row r="3565" spans="2:11" x14ac:dyDescent="0.25">
      <c r="B3565"/>
      <c r="K3565"/>
    </row>
    <row r="3566" spans="2:11" x14ac:dyDescent="0.25">
      <c r="B3566"/>
      <c r="K3566"/>
    </row>
    <row r="3567" spans="2:11" x14ac:dyDescent="0.25">
      <c r="B3567"/>
      <c r="K3567"/>
    </row>
    <row r="3568" spans="2:11" x14ac:dyDescent="0.25">
      <c r="B3568"/>
      <c r="K3568"/>
    </row>
    <row r="3569" spans="2:11" x14ac:dyDescent="0.25">
      <c r="B3569"/>
      <c r="K3569"/>
    </row>
    <row r="3570" spans="2:11" x14ac:dyDescent="0.25">
      <c r="B3570"/>
      <c r="K3570"/>
    </row>
    <row r="3571" spans="2:11" x14ac:dyDescent="0.25">
      <c r="B3571"/>
      <c r="K3571"/>
    </row>
    <row r="3572" spans="2:11" x14ac:dyDescent="0.25">
      <c r="B3572"/>
      <c r="K3572"/>
    </row>
    <row r="3573" spans="2:11" x14ac:dyDescent="0.25">
      <c r="B3573"/>
      <c r="K3573"/>
    </row>
    <row r="3574" spans="2:11" x14ac:dyDescent="0.25">
      <c r="B3574"/>
      <c r="K3574"/>
    </row>
    <row r="3575" spans="2:11" x14ac:dyDescent="0.25">
      <c r="B3575"/>
      <c r="K3575"/>
    </row>
    <row r="3576" spans="2:11" x14ac:dyDescent="0.25">
      <c r="B3576"/>
      <c r="K3576"/>
    </row>
    <row r="3577" spans="2:11" x14ac:dyDescent="0.25">
      <c r="B3577"/>
      <c r="K3577"/>
    </row>
    <row r="3578" spans="2:11" x14ac:dyDescent="0.25">
      <c r="B3578"/>
      <c r="K3578"/>
    </row>
    <row r="3579" spans="2:11" x14ac:dyDescent="0.25">
      <c r="B3579"/>
      <c r="K3579"/>
    </row>
    <row r="3580" spans="2:11" x14ac:dyDescent="0.25">
      <c r="B3580"/>
      <c r="K3580"/>
    </row>
    <row r="3581" spans="2:11" x14ac:dyDescent="0.25">
      <c r="B3581"/>
      <c r="K3581"/>
    </row>
    <row r="3582" spans="2:11" x14ac:dyDescent="0.25">
      <c r="B3582"/>
      <c r="K3582"/>
    </row>
    <row r="3583" spans="2:11" x14ac:dyDescent="0.25">
      <c r="B3583"/>
      <c r="K3583"/>
    </row>
    <row r="3584" spans="2:11" x14ac:dyDescent="0.25">
      <c r="B3584"/>
      <c r="K3584"/>
    </row>
    <row r="3585" spans="2:11" x14ac:dyDescent="0.25">
      <c r="B3585"/>
      <c r="K3585"/>
    </row>
    <row r="3586" spans="2:11" x14ac:dyDescent="0.25">
      <c r="B3586"/>
      <c r="K3586"/>
    </row>
    <row r="3587" spans="2:11" x14ac:dyDescent="0.25">
      <c r="B3587"/>
      <c r="K3587"/>
    </row>
    <row r="3588" spans="2:11" x14ac:dyDescent="0.25">
      <c r="B3588"/>
      <c r="K3588"/>
    </row>
    <row r="3589" spans="2:11" x14ac:dyDescent="0.25">
      <c r="B3589"/>
      <c r="K3589"/>
    </row>
    <row r="3590" spans="2:11" x14ac:dyDescent="0.25">
      <c r="B3590"/>
      <c r="K3590"/>
    </row>
    <row r="3591" spans="2:11" x14ac:dyDescent="0.25">
      <c r="B3591"/>
      <c r="K3591"/>
    </row>
    <row r="3592" spans="2:11" x14ac:dyDescent="0.25">
      <c r="B3592"/>
      <c r="K3592"/>
    </row>
    <row r="3593" spans="2:11" x14ac:dyDescent="0.25">
      <c r="B3593"/>
      <c r="K3593"/>
    </row>
    <row r="3594" spans="2:11" x14ac:dyDescent="0.25">
      <c r="B3594"/>
      <c r="K3594"/>
    </row>
    <row r="3595" spans="2:11" x14ac:dyDescent="0.25">
      <c r="B3595"/>
      <c r="K3595"/>
    </row>
    <row r="3596" spans="2:11" x14ac:dyDescent="0.25">
      <c r="B3596"/>
      <c r="K3596"/>
    </row>
    <row r="3597" spans="2:11" x14ac:dyDescent="0.25">
      <c r="B3597"/>
      <c r="K3597"/>
    </row>
    <row r="3598" spans="2:11" x14ac:dyDescent="0.25">
      <c r="B3598"/>
      <c r="K3598"/>
    </row>
    <row r="3599" spans="2:11" x14ac:dyDescent="0.25">
      <c r="B3599"/>
      <c r="K3599"/>
    </row>
    <row r="3600" spans="2:11" x14ac:dyDescent="0.25">
      <c r="B3600"/>
      <c r="K3600"/>
    </row>
    <row r="3601" spans="2:11" x14ac:dyDescent="0.25">
      <c r="B3601"/>
      <c r="K3601"/>
    </row>
    <row r="3602" spans="2:11" x14ac:dyDescent="0.25">
      <c r="B3602"/>
      <c r="K3602"/>
    </row>
    <row r="3603" spans="2:11" x14ac:dyDescent="0.25">
      <c r="B3603"/>
      <c r="K3603"/>
    </row>
    <row r="3604" spans="2:11" x14ac:dyDescent="0.25">
      <c r="B3604"/>
      <c r="K3604"/>
    </row>
    <row r="3605" spans="2:11" x14ac:dyDescent="0.25">
      <c r="B3605"/>
      <c r="K3605"/>
    </row>
    <row r="3606" spans="2:11" x14ac:dyDescent="0.25">
      <c r="B3606"/>
      <c r="K3606"/>
    </row>
    <row r="3607" spans="2:11" x14ac:dyDescent="0.25">
      <c r="B3607"/>
      <c r="K3607"/>
    </row>
    <row r="3608" spans="2:11" x14ac:dyDescent="0.25">
      <c r="B3608"/>
      <c r="K3608"/>
    </row>
    <row r="3609" spans="2:11" x14ac:dyDescent="0.25">
      <c r="B3609"/>
      <c r="K3609"/>
    </row>
    <row r="3610" spans="2:11" x14ac:dyDescent="0.25">
      <c r="B3610"/>
      <c r="K3610"/>
    </row>
    <row r="3611" spans="2:11" x14ac:dyDescent="0.25">
      <c r="B3611"/>
      <c r="K3611"/>
    </row>
    <row r="3612" spans="2:11" x14ac:dyDescent="0.25">
      <c r="B3612"/>
      <c r="K3612"/>
    </row>
    <row r="3613" spans="2:11" x14ac:dyDescent="0.25">
      <c r="B3613"/>
      <c r="K3613"/>
    </row>
    <row r="3614" spans="2:11" x14ac:dyDescent="0.25">
      <c r="B3614"/>
      <c r="K3614"/>
    </row>
    <row r="3615" spans="2:11" x14ac:dyDescent="0.25">
      <c r="B3615"/>
      <c r="K3615"/>
    </row>
    <row r="3616" spans="2:11" x14ac:dyDescent="0.25">
      <c r="B3616"/>
      <c r="K3616"/>
    </row>
    <row r="3617" spans="2:11" x14ac:dyDescent="0.25">
      <c r="B3617"/>
      <c r="K3617"/>
    </row>
    <row r="3618" spans="2:11" x14ac:dyDescent="0.25">
      <c r="B3618"/>
      <c r="K3618"/>
    </row>
    <row r="3619" spans="2:11" x14ac:dyDescent="0.25">
      <c r="B3619"/>
      <c r="K3619"/>
    </row>
    <row r="3620" spans="2:11" x14ac:dyDescent="0.25">
      <c r="B3620"/>
      <c r="K3620"/>
    </row>
    <row r="3621" spans="2:11" x14ac:dyDescent="0.25">
      <c r="B3621"/>
      <c r="K3621"/>
    </row>
    <row r="3622" spans="2:11" x14ac:dyDescent="0.25">
      <c r="B3622"/>
      <c r="K3622"/>
    </row>
    <row r="3623" spans="2:11" x14ac:dyDescent="0.25">
      <c r="B3623"/>
      <c r="K3623"/>
    </row>
    <row r="3624" spans="2:11" x14ac:dyDescent="0.25">
      <c r="B3624"/>
      <c r="K3624"/>
    </row>
    <row r="3625" spans="2:11" x14ac:dyDescent="0.25">
      <c r="B3625"/>
      <c r="K3625"/>
    </row>
    <row r="3626" spans="2:11" x14ac:dyDescent="0.25">
      <c r="B3626"/>
      <c r="K3626"/>
    </row>
    <row r="3627" spans="2:11" x14ac:dyDescent="0.25">
      <c r="B3627"/>
      <c r="K3627"/>
    </row>
    <row r="3628" spans="2:11" x14ac:dyDescent="0.25">
      <c r="B3628"/>
      <c r="K3628"/>
    </row>
    <row r="3629" spans="2:11" x14ac:dyDescent="0.25">
      <c r="B3629"/>
      <c r="K3629"/>
    </row>
    <row r="3630" spans="2:11" x14ac:dyDescent="0.25">
      <c r="B3630"/>
      <c r="K3630"/>
    </row>
    <row r="3631" spans="2:11" x14ac:dyDescent="0.25">
      <c r="B3631"/>
      <c r="K3631"/>
    </row>
    <row r="3632" spans="2:11" x14ac:dyDescent="0.25">
      <c r="B3632"/>
      <c r="K3632"/>
    </row>
    <row r="3633" spans="2:11" x14ac:dyDescent="0.25">
      <c r="B3633"/>
      <c r="K3633"/>
    </row>
    <row r="3634" spans="2:11" x14ac:dyDescent="0.25">
      <c r="B3634"/>
      <c r="K3634"/>
    </row>
    <row r="3635" spans="2:11" x14ac:dyDescent="0.25">
      <c r="B3635"/>
      <c r="K3635"/>
    </row>
    <row r="3636" spans="2:11" x14ac:dyDescent="0.25">
      <c r="B3636"/>
      <c r="K3636"/>
    </row>
    <row r="3637" spans="2:11" x14ac:dyDescent="0.25">
      <c r="B3637"/>
      <c r="K3637"/>
    </row>
    <row r="3638" spans="2:11" x14ac:dyDescent="0.25">
      <c r="B3638"/>
      <c r="K3638"/>
    </row>
    <row r="3639" spans="2:11" x14ac:dyDescent="0.25">
      <c r="B3639"/>
      <c r="K3639"/>
    </row>
    <row r="3640" spans="2:11" x14ac:dyDescent="0.25">
      <c r="B3640"/>
      <c r="K3640"/>
    </row>
    <row r="3641" spans="2:11" x14ac:dyDescent="0.25">
      <c r="B3641"/>
      <c r="K3641"/>
    </row>
    <row r="3642" spans="2:11" x14ac:dyDescent="0.25">
      <c r="B3642"/>
      <c r="K3642"/>
    </row>
    <row r="3643" spans="2:11" x14ac:dyDescent="0.25">
      <c r="B3643"/>
      <c r="K3643"/>
    </row>
    <row r="3644" spans="2:11" x14ac:dyDescent="0.25">
      <c r="B3644"/>
      <c r="K3644"/>
    </row>
    <row r="3645" spans="2:11" x14ac:dyDescent="0.25">
      <c r="B3645"/>
      <c r="K3645"/>
    </row>
    <row r="3646" spans="2:11" x14ac:dyDescent="0.25">
      <c r="B3646"/>
      <c r="K3646"/>
    </row>
    <row r="3647" spans="2:11" x14ac:dyDescent="0.25">
      <c r="B3647"/>
      <c r="K3647"/>
    </row>
    <row r="3648" spans="2:11" x14ac:dyDescent="0.25">
      <c r="B3648"/>
      <c r="K3648"/>
    </row>
    <row r="3649" spans="2:11" x14ac:dyDescent="0.25">
      <c r="B3649"/>
      <c r="K3649"/>
    </row>
    <row r="3650" spans="2:11" x14ac:dyDescent="0.25">
      <c r="B3650"/>
      <c r="K3650"/>
    </row>
    <row r="3651" spans="2:11" x14ac:dyDescent="0.25">
      <c r="B3651"/>
      <c r="K3651"/>
    </row>
    <row r="3652" spans="2:11" x14ac:dyDescent="0.25">
      <c r="B3652"/>
      <c r="K3652"/>
    </row>
    <row r="3653" spans="2:11" x14ac:dyDescent="0.25">
      <c r="B3653"/>
      <c r="K3653"/>
    </row>
    <row r="3654" spans="2:11" x14ac:dyDescent="0.25">
      <c r="B3654"/>
      <c r="K3654"/>
    </row>
    <row r="3655" spans="2:11" x14ac:dyDescent="0.25">
      <c r="B3655"/>
      <c r="K3655"/>
    </row>
    <row r="3656" spans="2:11" x14ac:dyDescent="0.25">
      <c r="B3656"/>
      <c r="K3656"/>
    </row>
    <row r="3657" spans="2:11" x14ac:dyDescent="0.25">
      <c r="B3657"/>
      <c r="K3657"/>
    </row>
    <row r="3658" spans="2:11" x14ac:dyDescent="0.25">
      <c r="B3658"/>
      <c r="K3658"/>
    </row>
    <row r="3659" spans="2:11" x14ac:dyDescent="0.25">
      <c r="B3659"/>
      <c r="K3659"/>
    </row>
    <row r="3660" spans="2:11" x14ac:dyDescent="0.25">
      <c r="B3660"/>
      <c r="K3660"/>
    </row>
    <row r="3661" spans="2:11" x14ac:dyDescent="0.25">
      <c r="B3661"/>
      <c r="K3661"/>
    </row>
    <row r="3662" spans="2:11" x14ac:dyDescent="0.25">
      <c r="B3662"/>
      <c r="K3662"/>
    </row>
    <row r="3663" spans="2:11" x14ac:dyDescent="0.25">
      <c r="B3663"/>
      <c r="K3663"/>
    </row>
    <row r="3664" spans="2:11" x14ac:dyDescent="0.25">
      <c r="B3664"/>
      <c r="K3664"/>
    </row>
    <row r="3665" spans="2:11" x14ac:dyDescent="0.25">
      <c r="B3665"/>
      <c r="K3665"/>
    </row>
    <row r="3666" spans="2:11" x14ac:dyDescent="0.25">
      <c r="B3666"/>
      <c r="K3666"/>
    </row>
    <row r="3667" spans="2:11" x14ac:dyDescent="0.25">
      <c r="B3667"/>
      <c r="K3667"/>
    </row>
    <row r="3668" spans="2:11" x14ac:dyDescent="0.25">
      <c r="B3668"/>
      <c r="K3668"/>
    </row>
    <row r="3669" spans="2:11" x14ac:dyDescent="0.25">
      <c r="B3669"/>
      <c r="K3669"/>
    </row>
    <row r="3670" spans="2:11" x14ac:dyDescent="0.25">
      <c r="B3670"/>
      <c r="K3670"/>
    </row>
    <row r="3671" spans="2:11" x14ac:dyDescent="0.25">
      <c r="B3671"/>
      <c r="K3671"/>
    </row>
    <row r="3672" spans="2:11" x14ac:dyDescent="0.25">
      <c r="B3672"/>
      <c r="K3672"/>
    </row>
    <row r="3673" spans="2:11" x14ac:dyDescent="0.25">
      <c r="B3673"/>
      <c r="K3673"/>
    </row>
    <row r="3674" spans="2:11" x14ac:dyDescent="0.25">
      <c r="B3674"/>
      <c r="K3674"/>
    </row>
    <row r="3675" spans="2:11" x14ac:dyDescent="0.25">
      <c r="B3675"/>
      <c r="K3675"/>
    </row>
    <row r="3676" spans="2:11" x14ac:dyDescent="0.25">
      <c r="B3676"/>
      <c r="K3676"/>
    </row>
    <row r="3677" spans="2:11" x14ac:dyDescent="0.25">
      <c r="B3677"/>
      <c r="K3677"/>
    </row>
    <row r="3678" spans="2:11" x14ac:dyDescent="0.25">
      <c r="B3678"/>
      <c r="K3678"/>
    </row>
    <row r="3679" spans="2:11" x14ac:dyDescent="0.25">
      <c r="B3679"/>
      <c r="K3679"/>
    </row>
    <row r="3680" spans="2:11" x14ac:dyDescent="0.25">
      <c r="B3680"/>
      <c r="K3680"/>
    </row>
    <row r="3681" spans="2:11" x14ac:dyDescent="0.25">
      <c r="B3681"/>
      <c r="K3681"/>
    </row>
    <row r="3682" spans="2:11" x14ac:dyDescent="0.25">
      <c r="B3682"/>
      <c r="K3682"/>
    </row>
    <row r="3683" spans="2:11" x14ac:dyDescent="0.25">
      <c r="B3683"/>
      <c r="K3683"/>
    </row>
    <row r="3684" spans="2:11" x14ac:dyDescent="0.25">
      <c r="B3684"/>
      <c r="K3684"/>
    </row>
    <row r="3685" spans="2:11" x14ac:dyDescent="0.25">
      <c r="B3685"/>
      <c r="K3685"/>
    </row>
    <row r="3686" spans="2:11" x14ac:dyDescent="0.25">
      <c r="B3686"/>
      <c r="K3686"/>
    </row>
    <row r="3687" spans="2:11" x14ac:dyDescent="0.25">
      <c r="B3687"/>
      <c r="K3687"/>
    </row>
    <row r="3688" spans="2:11" x14ac:dyDescent="0.25">
      <c r="B3688"/>
      <c r="K3688"/>
    </row>
    <row r="3689" spans="2:11" x14ac:dyDescent="0.25">
      <c r="B3689"/>
      <c r="K3689"/>
    </row>
    <row r="3690" spans="2:11" x14ac:dyDescent="0.25">
      <c r="B3690"/>
      <c r="K3690"/>
    </row>
    <row r="3691" spans="2:11" x14ac:dyDescent="0.25">
      <c r="B3691"/>
      <c r="K3691"/>
    </row>
    <row r="3692" spans="2:11" x14ac:dyDescent="0.25">
      <c r="B3692"/>
      <c r="K3692"/>
    </row>
    <row r="3693" spans="2:11" x14ac:dyDescent="0.25">
      <c r="B3693"/>
      <c r="K3693"/>
    </row>
    <row r="3694" spans="2:11" x14ac:dyDescent="0.25">
      <c r="B3694"/>
      <c r="K3694"/>
    </row>
    <row r="3695" spans="2:11" x14ac:dyDescent="0.25">
      <c r="B3695"/>
      <c r="K3695"/>
    </row>
    <row r="3696" spans="2:11" x14ac:dyDescent="0.25">
      <c r="B3696"/>
      <c r="K3696"/>
    </row>
    <row r="3697" spans="2:11" x14ac:dyDescent="0.25">
      <c r="B3697"/>
      <c r="K3697"/>
    </row>
    <row r="3698" spans="2:11" x14ac:dyDescent="0.25">
      <c r="B3698"/>
      <c r="K3698"/>
    </row>
    <row r="3699" spans="2:11" x14ac:dyDescent="0.25">
      <c r="B3699"/>
      <c r="K3699"/>
    </row>
    <row r="3700" spans="2:11" x14ac:dyDescent="0.25">
      <c r="B3700"/>
      <c r="K3700"/>
    </row>
    <row r="3701" spans="2:11" x14ac:dyDescent="0.25">
      <c r="B3701"/>
      <c r="K3701"/>
    </row>
    <row r="3702" spans="2:11" x14ac:dyDescent="0.25">
      <c r="B3702"/>
      <c r="K3702"/>
    </row>
    <row r="3703" spans="2:11" x14ac:dyDescent="0.25">
      <c r="B3703"/>
      <c r="K3703"/>
    </row>
    <row r="3704" spans="2:11" x14ac:dyDescent="0.25">
      <c r="B3704"/>
      <c r="K3704"/>
    </row>
    <row r="3705" spans="2:11" x14ac:dyDescent="0.25">
      <c r="B3705"/>
      <c r="K3705"/>
    </row>
    <row r="3706" spans="2:11" x14ac:dyDescent="0.25">
      <c r="B3706"/>
      <c r="K3706"/>
    </row>
    <row r="3707" spans="2:11" x14ac:dyDescent="0.25">
      <c r="B3707"/>
      <c r="K3707"/>
    </row>
    <row r="3708" spans="2:11" x14ac:dyDescent="0.25">
      <c r="B3708"/>
      <c r="K3708"/>
    </row>
    <row r="3709" spans="2:11" x14ac:dyDescent="0.25">
      <c r="B3709"/>
      <c r="K3709"/>
    </row>
    <row r="3710" spans="2:11" x14ac:dyDescent="0.25">
      <c r="B3710"/>
      <c r="K3710"/>
    </row>
    <row r="3711" spans="2:11" x14ac:dyDescent="0.25">
      <c r="B3711"/>
      <c r="K3711"/>
    </row>
    <row r="3712" spans="2:11" x14ac:dyDescent="0.25">
      <c r="B3712"/>
      <c r="K3712"/>
    </row>
    <row r="3713" spans="2:11" x14ac:dyDescent="0.25">
      <c r="B3713"/>
      <c r="K3713"/>
    </row>
    <row r="3714" spans="2:11" x14ac:dyDescent="0.25">
      <c r="B3714"/>
      <c r="K3714"/>
    </row>
    <row r="3715" spans="2:11" x14ac:dyDescent="0.25">
      <c r="B3715"/>
      <c r="K3715"/>
    </row>
    <row r="3716" spans="2:11" x14ac:dyDescent="0.25">
      <c r="B3716"/>
      <c r="K3716"/>
    </row>
    <row r="3717" spans="2:11" x14ac:dyDescent="0.25">
      <c r="B3717"/>
      <c r="K3717"/>
    </row>
    <row r="3718" spans="2:11" x14ac:dyDescent="0.25">
      <c r="B3718"/>
      <c r="K3718"/>
    </row>
    <row r="3719" spans="2:11" x14ac:dyDescent="0.25">
      <c r="B3719"/>
      <c r="K3719"/>
    </row>
    <row r="3720" spans="2:11" x14ac:dyDescent="0.25">
      <c r="B3720"/>
      <c r="K3720"/>
    </row>
    <row r="3721" spans="2:11" x14ac:dyDescent="0.25">
      <c r="B3721"/>
      <c r="K3721"/>
    </row>
    <row r="3722" spans="2:11" x14ac:dyDescent="0.25">
      <c r="B3722"/>
      <c r="K3722"/>
    </row>
    <row r="3723" spans="2:11" x14ac:dyDescent="0.25">
      <c r="B3723"/>
      <c r="K3723"/>
    </row>
    <row r="3724" spans="2:11" x14ac:dyDescent="0.25">
      <c r="B3724"/>
      <c r="K3724"/>
    </row>
    <row r="3725" spans="2:11" x14ac:dyDescent="0.25">
      <c r="B3725"/>
      <c r="K3725"/>
    </row>
    <row r="3726" spans="2:11" x14ac:dyDescent="0.25">
      <c r="B3726"/>
      <c r="K3726"/>
    </row>
    <row r="3727" spans="2:11" x14ac:dyDescent="0.25">
      <c r="B3727"/>
      <c r="K3727"/>
    </row>
    <row r="3728" spans="2:11" x14ac:dyDescent="0.25">
      <c r="B3728"/>
      <c r="K3728"/>
    </row>
    <row r="3729" spans="2:11" x14ac:dyDescent="0.25">
      <c r="B3729"/>
      <c r="K3729"/>
    </row>
    <row r="3730" spans="2:11" x14ac:dyDescent="0.25">
      <c r="B3730"/>
      <c r="K3730"/>
    </row>
    <row r="3731" spans="2:11" x14ac:dyDescent="0.25">
      <c r="B3731"/>
      <c r="K3731"/>
    </row>
    <row r="3732" spans="2:11" x14ac:dyDescent="0.25">
      <c r="B3732"/>
      <c r="K3732"/>
    </row>
    <row r="3733" spans="2:11" x14ac:dyDescent="0.25">
      <c r="B3733"/>
      <c r="K3733"/>
    </row>
    <row r="3734" spans="2:11" x14ac:dyDescent="0.25">
      <c r="B3734"/>
      <c r="K3734"/>
    </row>
    <row r="3735" spans="2:11" x14ac:dyDescent="0.25">
      <c r="B3735"/>
      <c r="K3735"/>
    </row>
    <row r="3736" spans="2:11" x14ac:dyDescent="0.25">
      <c r="B3736"/>
      <c r="K3736"/>
    </row>
    <row r="3737" spans="2:11" x14ac:dyDescent="0.25">
      <c r="B3737"/>
      <c r="K3737"/>
    </row>
    <row r="3738" spans="2:11" x14ac:dyDescent="0.25">
      <c r="B3738"/>
      <c r="K3738"/>
    </row>
    <row r="3739" spans="2:11" x14ac:dyDescent="0.25">
      <c r="B3739"/>
      <c r="K3739"/>
    </row>
    <row r="3740" spans="2:11" x14ac:dyDescent="0.25">
      <c r="B3740"/>
      <c r="K3740"/>
    </row>
    <row r="3741" spans="2:11" x14ac:dyDescent="0.25">
      <c r="B3741"/>
      <c r="K3741"/>
    </row>
    <row r="3742" spans="2:11" x14ac:dyDescent="0.25">
      <c r="B3742"/>
      <c r="K3742"/>
    </row>
    <row r="3743" spans="2:11" x14ac:dyDescent="0.25">
      <c r="B3743"/>
      <c r="K3743"/>
    </row>
    <row r="3744" spans="2:11" x14ac:dyDescent="0.25">
      <c r="B3744"/>
      <c r="K3744"/>
    </row>
    <row r="3745" spans="2:11" x14ac:dyDescent="0.25">
      <c r="B3745"/>
      <c r="K3745"/>
    </row>
    <row r="3746" spans="2:11" x14ac:dyDescent="0.25">
      <c r="B3746"/>
      <c r="K3746"/>
    </row>
    <row r="3747" spans="2:11" x14ac:dyDescent="0.25">
      <c r="B3747"/>
      <c r="K3747"/>
    </row>
    <row r="3748" spans="2:11" x14ac:dyDescent="0.25">
      <c r="B3748"/>
      <c r="K3748"/>
    </row>
    <row r="3749" spans="2:11" x14ac:dyDescent="0.25">
      <c r="B3749"/>
      <c r="K3749"/>
    </row>
    <row r="3750" spans="2:11" x14ac:dyDescent="0.25">
      <c r="B3750"/>
      <c r="K3750"/>
    </row>
    <row r="3751" spans="2:11" x14ac:dyDescent="0.25">
      <c r="B3751"/>
      <c r="K3751"/>
    </row>
    <row r="3752" spans="2:11" x14ac:dyDescent="0.25">
      <c r="B3752"/>
      <c r="K3752"/>
    </row>
    <row r="3753" spans="2:11" x14ac:dyDescent="0.25">
      <c r="B3753"/>
      <c r="K3753"/>
    </row>
    <row r="3754" spans="2:11" x14ac:dyDescent="0.25">
      <c r="B3754"/>
      <c r="K3754"/>
    </row>
    <row r="3755" spans="2:11" x14ac:dyDescent="0.25">
      <c r="B3755"/>
      <c r="K3755"/>
    </row>
    <row r="3756" spans="2:11" x14ac:dyDescent="0.25">
      <c r="B3756"/>
      <c r="K3756"/>
    </row>
    <row r="3757" spans="2:11" x14ac:dyDescent="0.25">
      <c r="B3757"/>
      <c r="K3757"/>
    </row>
    <row r="3758" spans="2:11" x14ac:dyDescent="0.25">
      <c r="B3758"/>
      <c r="K3758"/>
    </row>
    <row r="3759" spans="2:11" x14ac:dyDescent="0.25">
      <c r="B3759"/>
      <c r="K3759"/>
    </row>
    <row r="3760" spans="2:11" x14ac:dyDescent="0.25">
      <c r="B3760"/>
      <c r="K3760"/>
    </row>
    <row r="3761" spans="2:11" x14ac:dyDescent="0.25">
      <c r="B3761"/>
      <c r="K3761"/>
    </row>
    <row r="3762" spans="2:11" x14ac:dyDescent="0.25">
      <c r="B3762"/>
      <c r="K3762"/>
    </row>
    <row r="3763" spans="2:11" x14ac:dyDescent="0.25">
      <c r="B3763"/>
      <c r="K3763"/>
    </row>
    <row r="3764" spans="2:11" x14ac:dyDescent="0.25">
      <c r="B3764"/>
      <c r="K3764"/>
    </row>
    <row r="3765" spans="2:11" x14ac:dyDescent="0.25">
      <c r="B3765"/>
      <c r="K3765"/>
    </row>
    <row r="3766" spans="2:11" x14ac:dyDescent="0.25">
      <c r="B3766"/>
      <c r="K3766"/>
    </row>
    <row r="3767" spans="2:11" x14ac:dyDescent="0.25">
      <c r="B3767"/>
      <c r="K3767"/>
    </row>
    <row r="3768" spans="2:11" x14ac:dyDescent="0.25">
      <c r="B3768"/>
      <c r="K3768"/>
    </row>
    <row r="3769" spans="2:11" x14ac:dyDescent="0.25">
      <c r="B3769"/>
      <c r="K3769"/>
    </row>
    <row r="3770" spans="2:11" x14ac:dyDescent="0.25">
      <c r="B3770"/>
      <c r="K3770"/>
    </row>
    <row r="3771" spans="2:11" x14ac:dyDescent="0.25">
      <c r="B3771"/>
      <c r="K3771"/>
    </row>
    <row r="3772" spans="2:11" x14ac:dyDescent="0.25">
      <c r="B3772"/>
      <c r="K3772"/>
    </row>
    <row r="3773" spans="2:11" x14ac:dyDescent="0.25">
      <c r="B3773"/>
      <c r="K3773"/>
    </row>
    <row r="3774" spans="2:11" x14ac:dyDescent="0.25">
      <c r="B3774"/>
      <c r="K3774"/>
    </row>
    <row r="3775" spans="2:11" x14ac:dyDescent="0.25">
      <c r="B3775"/>
      <c r="K3775"/>
    </row>
    <row r="3776" spans="2:11" x14ac:dyDescent="0.25">
      <c r="B3776"/>
      <c r="K3776"/>
    </row>
    <row r="3777" spans="2:11" x14ac:dyDescent="0.25">
      <c r="B3777"/>
      <c r="K3777"/>
    </row>
    <row r="3778" spans="2:11" x14ac:dyDescent="0.25">
      <c r="B3778"/>
      <c r="K3778"/>
    </row>
    <row r="3779" spans="2:11" x14ac:dyDescent="0.25">
      <c r="B3779"/>
      <c r="K3779"/>
    </row>
    <row r="3780" spans="2:11" x14ac:dyDescent="0.25">
      <c r="B3780"/>
      <c r="K3780"/>
    </row>
    <row r="3781" spans="2:11" x14ac:dyDescent="0.25">
      <c r="B3781"/>
      <c r="K3781"/>
    </row>
    <row r="3782" spans="2:11" x14ac:dyDescent="0.25">
      <c r="B3782"/>
      <c r="K3782"/>
    </row>
    <row r="3783" spans="2:11" x14ac:dyDescent="0.25">
      <c r="B3783"/>
      <c r="K3783"/>
    </row>
    <row r="3784" spans="2:11" x14ac:dyDescent="0.25">
      <c r="B3784"/>
      <c r="K3784"/>
    </row>
    <row r="3785" spans="2:11" x14ac:dyDescent="0.25">
      <c r="B3785"/>
      <c r="K3785"/>
    </row>
    <row r="3786" spans="2:11" x14ac:dyDescent="0.25">
      <c r="B3786"/>
      <c r="K3786"/>
    </row>
    <row r="3787" spans="2:11" x14ac:dyDescent="0.25">
      <c r="B3787"/>
      <c r="K3787"/>
    </row>
    <row r="3788" spans="2:11" x14ac:dyDescent="0.25">
      <c r="B3788"/>
      <c r="K3788"/>
    </row>
    <row r="3789" spans="2:11" x14ac:dyDescent="0.25">
      <c r="B3789"/>
      <c r="K3789"/>
    </row>
    <row r="3790" spans="2:11" x14ac:dyDescent="0.25">
      <c r="B3790"/>
      <c r="K3790"/>
    </row>
    <row r="3791" spans="2:11" x14ac:dyDescent="0.25">
      <c r="B3791"/>
      <c r="K3791"/>
    </row>
    <row r="3792" spans="2:11" x14ac:dyDescent="0.25">
      <c r="B3792"/>
      <c r="K3792"/>
    </row>
    <row r="3793" spans="2:11" x14ac:dyDescent="0.25">
      <c r="B3793"/>
      <c r="K3793"/>
    </row>
    <row r="3794" spans="2:11" x14ac:dyDescent="0.25">
      <c r="B3794"/>
      <c r="K3794"/>
    </row>
    <row r="3795" spans="2:11" x14ac:dyDescent="0.25">
      <c r="B3795"/>
      <c r="K3795"/>
    </row>
    <row r="3796" spans="2:11" x14ac:dyDescent="0.25">
      <c r="B3796"/>
      <c r="K3796"/>
    </row>
    <row r="3797" spans="2:11" x14ac:dyDescent="0.25">
      <c r="B3797"/>
      <c r="K3797"/>
    </row>
    <row r="3798" spans="2:11" x14ac:dyDescent="0.25">
      <c r="B3798"/>
      <c r="K3798"/>
    </row>
    <row r="3799" spans="2:11" x14ac:dyDescent="0.25">
      <c r="B3799"/>
      <c r="K3799"/>
    </row>
    <row r="3800" spans="2:11" x14ac:dyDescent="0.25">
      <c r="B3800"/>
      <c r="K3800"/>
    </row>
    <row r="3801" spans="2:11" x14ac:dyDescent="0.25">
      <c r="B3801"/>
      <c r="K3801"/>
    </row>
    <row r="3802" spans="2:11" x14ac:dyDescent="0.25">
      <c r="B3802"/>
      <c r="K3802"/>
    </row>
    <row r="3803" spans="2:11" x14ac:dyDescent="0.25">
      <c r="B3803"/>
      <c r="K3803"/>
    </row>
    <row r="3804" spans="2:11" x14ac:dyDescent="0.25">
      <c r="B3804"/>
      <c r="K3804"/>
    </row>
    <row r="3805" spans="2:11" x14ac:dyDescent="0.25">
      <c r="B3805"/>
      <c r="K3805"/>
    </row>
    <row r="3806" spans="2:11" x14ac:dyDescent="0.25">
      <c r="B3806"/>
      <c r="K3806"/>
    </row>
    <row r="3807" spans="2:11" x14ac:dyDescent="0.25">
      <c r="B3807"/>
      <c r="K3807"/>
    </row>
    <row r="3808" spans="2:11" x14ac:dyDescent="0.25">
      <c r="B3808"/>
      <c r="K3808"/>
    </row>
    <row r="3809" spans="2:11" x14ac:dyDescent="0.25">
      <c r="B3809"/>
      <c r="K3809"/>
    </row>
    <row r="3810" spans="2:11" x14ac:dyDescent="0.25">
      <c r="B3810"/>
      <c r="K3810"/>
    </row>
    <row r="3811" spans="2:11" x14ac:dyDescent="0.25">
      <c r="B3811"/>
      <c r="K3811"/>
    </row>
    <row r="3812" spans="2:11" x14ac:dyDescent="0.25">
      <c r="B3812"/>
      <c r="K3812"/>
    </row>
    <row r="3813" spans="2:11" x14ac:dyDescent="0.25">
      <c r="B3813"/>
      <c r="K3813"/>
    </row>
    <row r="3814" spans="2:11" x14ac:dyDescent="0.25">
      <c r="B3814"/>
      <c r="K3814"/>
    </row>
    <row r="3815" spans="2:11" x14ac:dyDescent="0.25">
      <c r="B3815"/>
      <c r="K3815"/>
    </row>
    <row r="3816" spans="2:11" x14ac:dyDescent="0.25">
      <c r="B3816"/>
      <c r="K3816"/>
    </row>
    <row r="3817" spans="2:11" x14ac:dyDescent="0.25">
      <c r="B3817"/>
      <c r="K3817"/>
    </row>
    <row r="3818" spans="2:11" x14ac:dyDescent="0.25">
      <c r="B3818"/>
      <c r="K3818"/>
    </row>
    <row r="3819" spans="2:11" x14ac:dyDescent="0.25">
      <c r="B3819"/>
      <c r="K3819"/>
    </row>
    <row r="3820" spans="2:11" x14ac:dyDescent="0.25">
      <c r="B3820"/>
      <c r="K3820"/>
    </row>
    <row r="3821" spans="2:11" x14ac:dyDescent="0.25">
      <c r="B3821"/>
      <c r="K3821"/>
    </row>
    <row r="3822" spans="2:11" x14ac:dyDescent="0.25">
      <c r="B3822"/>
      <c r="K3822"/>
    </row>
    <row r="3823" spans="2:11" x14ac:dyDescent="0.25">
      <c r="B3823"/>
      <c r="K3823"/>
    </row>
    <row r="3824" spans="2:11" x14ac:dyDescent="0.25">
      <c r="B3824"/>
      <c r="K3824"/>
    </row>
    <row r="3825" spans="2:11" x14ac:dyDescent="0.25">
      <c r="B3825"/>
      <c r="K3825"/>
    </row>
    <row r="3826" spans="2:11" x14ac:dyDescent="0.25">
      <c r="B3826"/>
      <c r="K3826"/>
    </row>
    <row r="3827" spans="2:11" x14ac:dyDescent="0.25">
      <c r="B3827"/>
      <c r="K3827"/>
    </row>
    <row r="3828" spans="2:11" x14ac:dyDescent="0.25">
      <c r="B3828"/>
      <c r="K3828"/>
    </row>
    <row r="3829" spans="2:11" x14ac:dyDescent="0.25">
      <c r="B3829"/>
      <c r="K3829"/>
    </row>
    <row r="3830" spans="2:11" x14ac:dyDescent="0.25">
      <c r="B3830"/>
      <c r="K3830"/>
    </row>
    <row r="3831" spans="2:11" x14ac:dyDescent="0.25">
      <c r="B3831"/>
      <c r="K3831"/>
    </row>
    <row r="3832" spans="2:11" x14ac:dyDescent="0.25">
      <c r="B3832"/>
      <c r="K3832"/>
    </row>
    <row r="3833" spans="2:11" x14ac:dyDescent="0.25">
      <c r="B3833"/>
      <c r="K3833"/>
    </row>
    <row r="3834" spans="2:11" x14ac:dyDescent="0.25">
      <c r="B3834"/>
      <c r="K3834"/>
    </row>
    <row r="3835" spans="2:11" x14ac:dyDescent="0.25">
      <c r="B3835"/>
      <c r="K3835"/>
    </row>
    <row r="3836" spans="2:11" x14ac:dyDescent="0.25">
      <c r="B3836"/>
      <c r="K3836"/>
    </row>
    <row r="3837" spans="2:11" x14ac:dyDescent="0.25">
      <c r="B3837"/>
      <c r="K3837"/>
    </row>
    <row r="3838" spans="2:11" x14ac:dyDescent="0.25">
      <c r="B3838"/>
      <c r="K3838"/>
    </row>
    <row r="3839" spans="2:11" x14ac:dyDescent="0.25">
      <c r="B3839"/>
      <c r="K3839"/>
    </row>
    <row r="3840" spans="2:11" x14ac:dyDescent="0.25">
      <c r="B3840"/>
      <c r="K3840"/>
    </row>
    <row r="3841" spans="2:11" x14ac:dyDescent="0.25">
      <c r="B3841"/>
      <c r="K3841"/>
    </row>
    <row r="3842" spans="2:11" x14ac:dyDescent="0.25">
      <c r="B3842"/>
      <c r="K3842"/>
    </row>
    <row r="3843" spans="2:11" x14ac:dyDescent="0.25">
      <c r="B3843"/>
      <c r="K3843"/>
    </row>
    <row r="3844" spans="2:11" x14ac:dyDescent="0.25">
      <c r="B3844"/>
      <c r="K3844"/>
    </row>
    <row r="3845" spans="2:11" x14ac:dyDescent="0.25">
      <c r="B3845"/>
      <c r="K3845"/>
    </row>
    <row r="3846" spans="2:11" x14ac:dyDescent="0.25">
      <c r="B3846"/>
      <c r="K3846"/>
    </row>
    <row r="3847" spans="2:11" x14ac:dyDescent="0.25">
      <c r="B3847"/>
      <c r="K3847"/>
    </row>
    <row r="3848" spans="2:11" x14ac:dyDescent="0.25">
      <c r="B3848"/>
      <c r="K3848"/>
    </row>
    <row r="3849" spans="2:11" x14ac:dyDescent="0.25">
      <c r="B3849"/>
      <c r="K3849"/>
    </row>
    <row r="3850" spans="2:11" x14ac:dyDescent="0.25">
      <c r="B3850"/>
      <c r="K3850"/>
    </row>
    <row r="3851" spans="2:11" x14ac:dyDescent="0.25">
      <c r="B3851"/>
      <c r="K3851"/>
    </row>
    <row r="3852" spans="2:11" x14ac:dyDescent="0.25">
      <c r="B3852"/>
      <c r="K3852"/>
    </row>
    <row r="3853" spans="2:11" x14ac:dyDescent="0.25">
      <c r="B3853"/>
      <c r="K3853"/>
    </row>
    <row r="3854" spans="2:11" x14ac:dyDescent="0.25">
      <c r="B3854"/>
      <c r="K3854"/>
    </row>
    <row r="3855" spans="2:11" x14ac:dyDescent="0.25">
      <c r="B3855"/>
      <c r="K3855"/>
    </row>
    <row r="3856" spans="2:11" x14ac:dyDescent="0.25">
      <c r="B3856"/>
      <c r="K3856"/>
    </row>
    <row r="3857" spans="2:11" x14ac:dyDescent="0.25">
      <c r="B3857"/>
      <c r="K3857"/>
    </row>
    <row r="3858" spans="2:11" x14ac:dyDescent="0.25">
      <c r="B3858"/>
      <c r="K3858"/>
    </row>
    <row r="3859" spans="2:11" x14ac:dyDescent="0.25">
      <c r="B3859"/>
      <c r="K3859"/>
    </row>
    <row r="3860" spans="2:11" x14ac:dyDescent="0.25">
      <c r="B3860"/>
      <c r="K3860"/>
    </row>
    <row r="3861" spans="2:11" x14ac:dyDescent="0.25">
      <c r="B3861"/>
      <c r="K3861"/>
    </row>
    <row r="3862" spans="2:11" x14ac:dyDescent="0.25">
      <c r="B3862"/>
      <c r="K3862"/>
    </row>
    <row r="3863" spans="2:11" x14ac:dyDescent="0.25">
      <c r="B3863"/>
      <c r="K3863"/>
    </row>
    <row r="3864" spans="2:11" x14ac:dyDescent="0.25">
      <c r="B3864"/>
      <c r="K3864"/>
    </row>
    <row r="3865" spans="2:11" x14ac:dyDescent="0.25">
      <c r="B3865"/>
      <c r="K3865"/>
    </row>
    <row r="3866" spans="2:11" x14ac:dyDescent="0.25">
      <c r="B3866"/>
      <c r="K3866"/>
    </row>
    <row r="3867" spans="2:11" x14ac:dyDescent="0.25">
      <c r="B3867"/>
      <c r="K3867"/>
    </row>
    <row r="3868" spans="2:11" x14ac:dyDescent="0.25">
      <c r="B3868"/>
      <c r="K3868"/>
    </row>
    <row r="3869" spans="2:11" x14ac:dyDescent="0.25">
      <c r="B3869"/>
      <c r="K3869"/>
    </row>
    <row r="3870" spans="2:11" x14ac:dyDescent="0.25">
      <c r="B3870"/>
      <c r="K3870"/>
    </row>
    <row r="3871" spans="2:11" x14ac:dyDescent="0.25">
      <c r="B3871"/>
      <c r="K3871"/>
    </row>
    <row r="3872" spans="2:11" x14ac:dyDescent="0.25">
      <c r="B3872"/>
      <c r="K3872"/>
    </row>
    <row r="3873" spans="2:11" x14ac:dyDescent="0.25">
      <c r="B3873"/>
      <c r="K3873"/>
    </row>
    <row r="3874" spans="2:11" x14ac:dyDescent="0.25">
      <c r="B3874"/>
      <c r="K3874"/>
    </row>
    <row r="3875" spans="2:11" x14ac:dyDescent="0.25">
      <c r="B3875"/>
      <c r="K3875"/>
    </row>
    <row r="3876" spans="2:11" x14ac:dyDescent="0.25">
      <c r="B3876"/>
      <c r="K3876"/>
    </row>
    <row r="3877" spans="2:11" x14ac:dyDescent="0.25">
      <c r="B3877"/>
      <c r="K3877"/>
    </row>
    <row r="3878" spans="2:11" x14ac:dyDescent="0.25">
      <c r="B3878"/>
      <c r="K3878"/>
    </row>
    <row r="3879" spans="2:11" x14ac:dyDescent="0.25">
      <c r="B3879"/>
      <c r="K3879"/>
    </row>
    <row r="3880" spans="2:11" x14ac:dyDescent="0.25">
      <c r="B3880"/>
      <c r="K3880"/>
    </row>
    <row r="3881" spans="2:11" x14ac:dyDescent="0.25">
      <c r="B3881"/>
      <c r="K3881"/>
    </row>
    <row r="3882" spans="2:11" x14ac:dyDescent="0.25">
      <c r="B3882"/>
      <c r="K3882"/>
    </row>
    <row r="3883" spans="2:11" x14ac:dyDescent="0.25">
      <c r="B3883"/>
      <c r="K3883"/>
    </row>
    <row r="3884" spans="2:11" x14ac:dyDescent="0.25">
      <c r="B3884"/>
      <c r="K3884"/>
    </row>
    <row r="3885" spans="2:11" x14ac:dyDescent="0.25">
      <c r="B3885"/>
      <c r="K3885"/>
    </row>
    <row r="3886" spans="2:11" x14ac:dyDescent="0.25">
      <c r="B3886"/>
      <c r="K3886"/>
    </row>
    <row r="3887" spans="2:11" x14ac:dyDescent="0.25">
      <c r="B3887"/>
      <c r="K3887"/>
    </row>
    <row r="3888" spans="2:11" x14ac:dyDescent="0.25">
      <c r="B3888"/>
      <c r="K3888"/>
    </row>
    <row r="3889" spans="2:11" x14ac:dyDescent="0.25">
      <c r="B3889"/>
      <c r="K3889"/>
    </row>
    <row r="3890" spans="2:11" x14ac:dyDescent="0.25">
      <c r="B3890"/>
      <c r="K3890"/>
    </row>
    <row r="3891" spans="2:11" x14ac:dyDescent="0.25">
      <c r="B3891"/>
      <c r="K3891"/>
    </row>
    <row r="3892" spans="2:11" x14ac:dyDescent="0.25">
      <c r="B3892"/>
      <c r="K3892"/>
    </row>
    <row r="3893" spans="2:11" x14ac:dyDescent="0.25">
      <c r="B3893"/>
      <c r="K3893"/>
    </row>
    <row r="3894" spans="2:11" x14ac:dyDescent="0.25">
      <c r="B3894"/>
      <c r="K3894"/>
    </row>
    <row r="3895" spans="2:11" x14ac:dyDescent="0.25">
      <c r="B3895"/>
      <c r="K3895"/>
    </row>
    <row r="3896" spans="2:11" x14ac:dyDescent="0.25">
      <c r="B3896"/>
      <c r="K3896"/>
    </row>
    <row r="3897" spans="2:11" x14ac:dyDescent="0.25">
      <c r="B3897"/>
      <c r="K3897"/>
    </row>
    <row r="3898" spans="2:11" x14ac:dyDescent="0.25">
      <c r="B3898"/>
      <c r="K3898"/>
    </row>
    <row r="3899" spans="2:11" x14ac:dyDescent="0.25">
      <c r="B3899"/>
      <c r="K3899"/>
    </row>
    <row r="3900" spans="2:11" x14ac:dyDescent="0.25">
      <c r="B3900"/>
      <c r="K3900"/>
    </row>
    <row r="3901" spans="2:11" x14ac:dyDescent="0.25">
      <c r="B3901"/>
      <c r="K3901"/>
    </row>
    <row r="3902" spans="2:11" x14ac:dyDescent="0.25">
      <c r="B3902"/>
      <c r="K3902"/>
    </row>
    <row r="3903" spans="2:11" x14ac:dyDescent="0.25">
      <c r="B3903"/>
      <c r="K3903"/>
    </row>
    <row r="3904" spans="2:11" x14ac:dyDescent="0.25">
      <c r="B3904"/>
      <c r="K3904"/>
    </row>
    <row r="3905" spans="2:11" x14ac:dyDescent="0.25">
      <c r="B3905"/>
      <c r="K3905"/>
    </row>
    <row r="3906" spans="2:11" x14ac:dyDescent="0.25">
      <c r="B3906"/>
      <c r="K3906"/>
    </row>
    <row r="3907" spans="2:11" x14ac:dyDescent="0.25">
      <c r="B3907"/>
      <c r="K3907"/>
    </row>
    <row r="3908" spans="2:11" x14ac:dyDescent="0.25">
      <c r="B3908"/>
      <c r="K3908"/>
    </row>
    <row r="3909" spans="2:11" x14ac:dyDescent="0.25">
      <c r="B3909"/>
      <c r="K3909"/>
    </row>
    <row r="3910" spans="2:11" x14ac:dyDescent="0.25">
      <c r="B3910"/>
      <c r="K3910"/>
    </row>
    <row r="3911" spans="2:11" x14ac:dyDescent="0.25">
      <c r="B3911"/>
      <c r="K3911"/>
    </row>
    <row r="3912" spans="2:11" x14ac:dyDescent="0.25">
      <c r="B3912"/>
      <c r="K3912"/>
    </row>
    <row r="3913" spans="2:11" x14ac:dyDescent="0.25">
      <c r="B3913"/>
      <c r="K3913"/>
    </row>
    <row r="3914" spans="2:11" x14ac:dyDescent="0.25">
      <c r="B3914"/>
      <c r="K3914"/>
    </row>
    <row r="3915" spans="2:11" x14ac:dyDescent="0.25">
      <c r="B3915"/>
      <c r="K3915"/>
    </row>
    <row r="3916" spans="2:11" x14ac:dyDescent="0.25">
      <c r="B3916"/>
      <c r="K3916"/>
    </row>
    <row r="3917" spans="2:11" x14ac:dyDescent="0.25">
      <c r="B3917"/>
      <c r="K3917"/>
    </row>
    <row r="3918" spans="2:11" x14ac:dyDescent="0.25">
      <c r="B3918"/>
      <c r="K3918"/>
    </row>
    <row r="3919" spans="2:11" x14ac:dyDescent="0.25">
      <c r="B3919"/>
      <c r="K3919"/>
    </row>
    <row r="3920" spans="2:11" x14ac:dyDescent="0.25">
      <c r="B3920"/>
      <c r="K3920"/>
    </row>
    <row r="3921" spans="2:11" x14ac:dyDescent="0.25">
      <c r="B3921"/>
      <c r="K3921"/>
    </row>
    <row r="3922" spans="2:11" x14ac:dyDescent="0.25">
      <c r="B3922"/>
      <c r="K3922"/>
    </row>
    <row r="3923" spans="2:11" x14ac:dyDescent="0.25">
      <c r="B3923"/>
      <c r="K3923"/>
    </row>
    <row r="3924" spans="2:11" x14ac:dyDescent="0.25">
      <c r="B3924"/>
      <c r="K3924"/>
    </row>
    <row r="3925" spans="2:11" x14ac:dyDescent="0.25">
      <c r="B3925"/>
      <c r="K3925"/>
    </row>
    <row r="3926" spans="2:11" x14ac:dyDescent="0.25">
      <c r="B3926"/>
      <c r="K3926"/>
    </row>
    <row r="3927" spans="2:11" x14ac:dyDescent="0.25">
      <c r="B3927"/>
      <c r="K3927"/>
    </row>
    <row r="3928" spans="2:11" x14ac:dyDescent="0.25">
      <c r="B3928"/>
      <c r="K3928"/>
    </row>
    <row r="3929" spans="2:11" x14ac:dyDescent="0.25">
      <c r="B3929"/>
      <c r="K3929"/>
    </row>
    <row r="3930" spans="2:11" x14ac:dyDescent="0.25">
      <c r="B3930"/>
      <c r="K3930"/>
    </row>
    <row r="3931" spans="2:11" x14ac:dyDescent="0.25">
      <c r="B3931"/>
      <c r="K3931"/>
    </row>
    <row r="3932" spans="2:11" x14ac:dyDescent="0.25">
      <c r="B3932"/>
      <c r="K3932"/>
    </row>
    <row r="3933" spans="2:11" x14ac:dyDescent="0.25">
      <c r="B3933"/>
      <c r="K3933"/>
    </row>
    <row r="3934" spans="2:11" x14ac:dyDescent="0.25">
      <c r="B3934"/>
      <c r="K3934"/>
    </row>
    <row r="3935" spans="2:11" x14ac:dyDescent="0.25">
      <c r="B3935"/>
      <c r="K3935"/>
    </row>
    <row r="3936" spans="2:11" x14ac:dyDescent="0.25">
      <c r="B3936"/>
      <c r="K3936"/>
    </row>
    <row r="3937" spans="2:11" x14ac:dyDescent="0.25">
      <c r="B3937"/>
      <c r="K3937"/>
    </row>
    <row r="3938" spans="2:11" x14ac:dyDescent="0.25">
      <c r="B3938"/>
      <c r="K3938"/>
    </row>
    <row r="3939" spans="2:11" x14ac:dyDescent="0.25">
      <c r="B3939"/>
      <c r="K3939"/>
    </row>
    <row r="3940" spans="2:11" x14ac:dyDescent="0.25">
      <c r="B3940"/>
      <c r="K3940"/>
    </row>
    <row r="3941" spans="2:11" x14ac:dyDescent="0.25">
      <c r="B3941"/>
      <c r="K3941"/>
    </row>
    <row r="3942" spans="2:11" x14ac:dyDescent="0.25">
      <c r="B3942"/>
      <c r="K3942"/>
    </row>
    <row r="3943" spans="2:11" x14ac:dyDescent="0.25">
      <c r="B3943"/>
      <c r="K3943"/>
    </row>
    <row r="3944" spans="2:11" x14ac:dyDescent="0.25">
      <c r="B3944"/>
      <c r="K3944"/>
    </row>
    <row r="3945" spans="2:11" x14ac:dyDescent="0.25">
      <c r="B3945"/>
      <c r="K3945"/>
    </row>
    <row r="3946" spans="2:11" x14ac:dyDescent="0.25">
      <c r="B3946"/>
      <c r="K3946"/>
    </row>
    <row r="3947" spans="2:11" x14ac:dyDescent="0.25">
      <c r="B3947"/>
      <c r="K3947"/>
    </row>
    <row r="3948" spans="2:11" x14ac:dyDescent="0.25">
      <c r="B3948"/>
      <c r="K3948"/>
    </row>
    <row r="3949" spans="2:11" x14ac:dyDescent="0.25">
      <c r="B3949"/>
      <c r="K3949"/>
    </row>
    <row r="3950" spans="2:11" x14ac:dyDescent="0.25">
      <c r="B3950"/>
      <c r="K3950"/>
    </row>
    <row r="3951" spans="2:11" x14ac:dyDescent="0.25">
      <c r="B3951"/>
      <c r="K3951"/>
    </row>
    <row r="3952" spans="2:11" x14ac:dyDescent="0.25">
      <c r="B3952"/>
      <c r="K3952"/>
    </row>
    <row r="3953" spans="2:11" x14ac:dyDescent="0.25">
      <c r="B3953"/>
      <c r="K3953"/>
    </row>
    <row r="3954" spans="2:11" x14ac:dyDescent="0.25">
      <c r="B3954"/>
      <c r="K3954"/>
    </row>
    <row r="3955" spans="2:11" x14ac:dyDescent="0.25">
      <c r="B3955"/>
      <c r="K3955"/>
    </row>
    <row r="3956" spans="2:11" x14ac:dyDescent="0.25">
      <c r="B3956"/>
      <c r="K3956"/>
    </row>
    <row r="3957" spans="2:11" x14ac:dyDescent="0.25">
      <c r="B3957"/>
      <c r="K3957"/>
    </row>
    <row r="3958" spans="2:11" x14ac:dyDescent="0.25">
      <c r="B3958"/>
      <c r="K3958"/>
    </row>
    <row r="3959" spans="2:11" x14ac:dyDescent="0.25">
      <c r="B3959"/>
      <c r="K3959"/>
    </row>
    <row r="3960" spans="2:11" x14ac:dyDescent="0.25">
      <c r="B3960"/>
      <c r="K3960"/>
    </row>
    <row r="3961" spans="2:11" x14ac:dyDescent="0.25">
      <c r="B3961"/>
      <c r="K3961"/>
    </row>
    <row r="3962" spans="2:11" x14ac:dyDescent="0.25">
      <c r="B3962"/>
      <c r="K3962"/>
    </row>
    <row r="3963" spans="2:11" x14ac:dyDescent="0.25">
      <c r="B3963"/>
      <c r="K3963"/>
    </row>
    <row r="3964" spans="2:11" x14ac:dyDescent="0.25">
      <c r="B3964"/>
      <c r="K3964"/>
    </row>
    <row r="3965" spans="2:11" x14ac:dyDescent="0.25">
      <c r="B3965"/>
      <c r="K3965"/>
    </row>
    <row r="3966" spans="2:11" x14ac:dyDescent="0.25">
      <c r="B3966"/>
      <c r="K3966"/>
    </row>
    <row r="3967" spans="2:11" x14ac:dyDescent="0.25">
      <c r="B3967"/>
      <c r="K3967"/>
    </row>
    <row r="3968" spans="2:11" x14ac:dyDescent="0.25">
      <c r="B3968"/>
      <c r="K3968"/>
    </row>
    <row r="3969" spans="2:11" x14ac:dyDescent="0.25">
      <c r="B3969"/>
      <c r="K3969"/>
    </row>
    <row r="3970" spans="2:11" x14ac:dyDescent="0.25">
      <c r="B3970"/>
      <c r="K3970"/>
    </row>
    <row r="3971" spans="2:11" x14ac:dyDescent="0.25">
      <c r="B3971"/>
      <c r="K3971"/>
    </row>
    <row r="3972" spans="2:11" x14ac:dyDescent="0.25">
      <c r="B3972"/>
      <c r="K3972"/>
    </row>
    <row r="3973" spans="2:11" x14ac:dyDescent="0.25">
      <c r="B3973"/>
      <c r="K3973"/>
    </row>
    <row r="3974" spans="2:11" x14ac:dyDescent="0.25">
      <c r="B3974"/>
      <c r="K3974"/>
    </row>
    <row r="3975" spans="2:11" x14ac:dyDescent="0.25">
      <c r="B3975"/>
      <c r="K3975"/>
    </row>
    <row r="3976" spans="2:11" x14ac:dyDescent="0.25">
      <c r="B3976"/>
      <c r="K3976"/>
    </row>
    <row r="3977" spans="2:11" x14ac:dyDescent="0.25">
      <c r="B3977"/>
      <c r="K3977"/>
    </row>
    <row r="3978" spans="2:11" x14ac:dyDescent="0.25">
      <c r="B3978"/>
      <c r="K3978"/>
    </row>
    <row r="3979" spans="2:11" x14ac:dyDescent="0.25">
      <c r="B3979"/>
      <c r="K3979"/>
    </row>
    <row r="3980" spans="2:11" x14ac:dyDescent="0.25">
      <c r="B3980"/>
      <c r="K3980"/>
    </row>
    <row r="3981" spans="2:11" x14ac:dyDescent="0.25">
      <c r="B3981"/>
      <c r="K3981"/>
    </row>
    <row r="3982" spans="2:11" x14ac:dyDescent="0.25">
      <c r="B3982"/>
      <c r="K3982"/>
    </row>
    <row r="3983" spans="2:11" x14ac:dyDescent="0.25">
      <c r="B3983"/>
      <c r="K3983"/>
    </row>
    <row r="3984" spans="2:11" x14ac:dyDescent="0.25">
      <c r="B3984"/>
      <c r="K3984"/>
    </row>
    <row r="3985" spans="2:11" x14ac:dyDescent="0.25">
      <c r="B3985"/>
      <c r="K3985"/>
    </row>
    <row r="3986" spans="2:11" x14ac:dyDescent="0.25">
      <c r="B3986"/>
      <c r="K3986"/>
    </row>
    <row r="3987" spans="2:11" x14ac:dyDescent="0.25">
      <c r="B3987"/>
      <c r="K3987"/>
    </row>
    <row r="3988" spans="2:11" x14ac:dyDescent="0.25">
      <c r="B3988"/>
      <c r="K3988"/>
    </row>
    <row r="3989" spans="2:11" x14ac:dyDescent="0.25">
      <c r="B3989"/>
      <c r="K3989"/>
    </row>
    <row r="3990" spans="2:11" x14ac:dyDescent="0.25">
      <c r="B3990"/>
      <c r="K3990"/>
    </row>
    <row r="3991" spans="2:11" x14ac:dyDescent="0.25">
      <c r="B3991"/>
      <c r="K3991"/>
    </row>
    <row r="3992" spans="2:11" x14ac:dyDescent="0.25">
      <c r="B3992"/>
      <c r="K3992"/>
    </row>
    <row r="3993" spans="2:11" x14ac:dyDescent="0.25">
      <c r="B3993"/>
      <c r="K3993"/>
    </row>
    <row r="3994" spans="2:11" x14ac:dyDescent="0.25">
      <c r="B3994"/>
      <c r="K3994"/>
    </row>
    <row r="3995" spans="2:11" x14ac:dyDescent="0.25">
      <c r="B3995"/>
      <c r="K3995"/>
    </row>
    <row r="3996" spans="2:11" x14ac:dyDescent="0.25">
      <c r="B3996"/>
      <c r="K3996"/>
    </row>
    <row r="3997" spans="2:11" x14ac:dyDescent="0.25">
      <c r="B3997"/>
      <c r="K3997"/>
    </row>
    <row r="3998" spans="2:11" x14ac:dyDescent="0.25">
      <c r="B3998"/>
      <c r="K3998"/>
    </row>
    <row r="3999" spans="2:11" x14ac:dyDescent="0.25">
      <c r="B3999"/>
      <c r="K3999"/>
    </row>
    <row r="4000" spans="2:11" x14ac:dyDescent="0.25">
      <c r="B4000"/>
      <c r="K4000"/>
    </row>
    <row r="4001" spans="2:11" x14ac:dyDescent="0.25">
      <c r="B4001"/>
      <c r="K4001"/>
    </row>
    <row r="4002" spans="2:11" x14ac:dyDescent="0.25">
      <c r="B4002"/>
      <c r="K4002"/>
    </row>
    <row r="4003" spans="2:11" x14ac:dyDescent="0.25">
      <c r="B4003"/>
      <c r="K4003"/>
    </row>
    <row r="4004" spans="2:11" x14ac:dyDescent="0.25">
      <c r="B4004"/>
      <c r="K4004"/>
    </row>
    <row r="4005" spans="2:11" x14ac:dyDescent="0.25">
      <c r="B4005"/>
      <c r="K4005"/>
    </row>
    <row r="4006" spans="2:11" x14ac:dyDescent="0.25">
      <c r="B4006"/>
      <c r="K4006"/>
    </row>
    <row r="4007" spans="2:11" x14ac:dyDescent="0.25">
      <c r="B4007"/>
      <c r="K4007"/>
    </row>
    <row r="4008" spans="2:11" x14ac:dyDescent="0.25">
      <c r="B4008"/>
      <c r="K4008"/>
    </row>
    <row r="4009" spans="2:11" x14ac:dyDescent="0.25">
      <c r="B4009"/>
      <c r="K4009"/>
    </row>
    <row r="4010" spans="2:11" x14ac:dyDescent="0.25">
      <c r="B4010"/>
      <c r="K4010"/>
    </row>
    <row r="4011" spans="2:11" x14ac:dyDescent="0.25">
      <c r="B4011"/>
      <c r="K4011"/>
    </row>
    <row r="4012" spans="2:11" x14ac:dyDescent="0.25">
      <c r="B4012"/>
      <c r="K4012"/>
    </row>
    <row r="4013" spans="2:11" x14ac:dyDescent="0.25">
      <c r="B4013"/>
      <c r="K4013"/>
    </row>
    <row r="4014" spans="2:11" x14ac:dyDescent="0.25">
      <c r="B4014"/>
      <c r="K4014"/>
    </row>
    <row r="4015" spans="2:11" x14ac:dyDescent="0.25">
      <c r="B4015"/>
      <c r="K4015"/>
    </row>
    <row r="4016" spans="2:11" x14ac:dyDescent="0.25">
      <c r="B4016"/>
      <c r="K4016"/>
    </row>
    <row r="4017" spans="2:11" x14ac:dyDescent="0.25">
      <c r="B4017"/>
      <c r="K4017"/>
    </row>
    <row r="4018" spans="2:11" x14ac:dyDescent="0.25">
      <c r="B4018"/>
      <c r="K4018"/>
    </row>
    <row r="4019" spans="2:11" x14ac:dyDescent="0.25">
      <c r="B4019"/>
      <c r="K4019"/>
    </row>
    <row r="4020" spans="2:11" x14ac:dyDescent="0.25">
      <c r="B4020"/>
      <c r="K4020"/>
    </row>
    <row r="4021" spans="2:11" x14ac:dyDescent="0.25">
      <c r="B4021"/>
      <c r="K4021"/>
    </row>
    <row r="4022" spans="2:11" x14ac:dyDescent="0.25">
      <c r="B4022"/>
      <c r="K4022"/>
    </row>
    <row r="4023" spans="2:11" x14ac:dyDescent="0.25">
      <c r="B4023"/>
      <c r="K4023"/>
    </row>
    <row r="4024" spans="2:11" x14ac:dyDescent="0.25">
      <c r="B4024"/>
      <c r="K4024"/>
    </row>
    <row r="4025" spans="2:11" x14ac:dyDescent="0.25">
      <c r="B4025"/>
      <c r="K4025"/>
    </row>
    <row r="4026" spans="2:11" x14ac:dyDescent="0.25">
      <c r="B4026"/>
      <c r="K4026"/>
    </row>
    <row r="4027" spans="2:11" x14ac:dyDescent="0.25">
      <c r="B4027"/>
      <c r="K4027"/>
    </row>
    <row r="4028" spans="2:11" x14ac:dyDescent="0.25">
      <c r="B4028"/>
      <c r="K4028"/>
    </row>
    <row r="4029" spans="2:11" x14ac:dyDescent="0.25">
      <c r="B4029"/>
      <c r="K4029"/>
    </row>
    <row r="4030" spans="2:11" x14ac:dyDescent="0.25">
      <c r="B4030"/>
      <c r="K4030"/>
    </row>
    <row r="4031" spans="2:11" x14ac:dyDescent="0.25">
      <c r="B4031"/>
      <c r="K4031"/>
    </row>
    <row r="4032" spans="2:11" x14ac:dyDescent="0.25">
      <c r="B4032"/>
      <c r="K4032"/>
    </row>
    <row r="4033" spans="2:11" x14ac:dyDescent="0.25">
      <c r="B4033"/>
      <c r="K4033"/>
    </row>
    <row r="4034" spans="2:11" x14ac:dyDescent="0.25">
      <c r="B4034"/>
      <c r="K4034"/>
    </row>
    <row r="4035" spans="2:11" x14ac:dyDescent="0.25">
      <c r="B4035"/>
      <c r="K4035"/>
    </row>
    <row r="4036" spans="2:11" x14ac:dyDescent="0.25">
      <c r="B4036"/>
      <c r="K4036"/>
    </row>
    <row r="4037" spans="2:11" x14ac:dyDescent="0.25">
      <c r="B4037"/>
      <c r="K4037"/>
    </row>
    <row r="4038" spans="2:11" x14ac:dyDescent="0.25">
      <c r="B4038"/>
      <c r="K4038"/>
    </row>
    <row r="4039" spans="2:11" x14ac:dyDescent="0.25">
      <c r="B4039"/>
      <c r="K4039"/>
    </row>
    <row r="4040" spans="2:11" x14ac:dyDescent="0.25">
      <c r="B4040"/>
      <c r="K4040"/>
    </row>
    <row r="4041" spans="2:11" x14ac:dyDescent="0.25">
      <c r="B4041"/>
      <c r="K4041"/>
    </row>
    <row r="4042" spans="2:11" x14ac:dyDescent="0.25">
      <c r="B4042"/>
      <c r="K4042"/>
    </row>
    <row r="4043" spans="2:11" x14ac:dyDescent="0.25">
      <c r="B4043"/>
      <c r="K4043"/>
    </row>
    <row r="4044" spans="2:11" x14ac:dyDescent="0.25">
      <c r="B4044"/>
      <c r="K4044"/>
    </row>
    <row r="4045" spans="2:11" x14ac:dyDescent="0.25">
      <c r="B4045"/>
      <c r="K4045"/>
    </row>
    <row r="4046" spans="2:11" x14ac:dyDescent="0.25">
      <c r="B4046"/>
      <c r="K4046"/>
    </row>
    <row r="4047" spans="2:11" x14ac:dyDescent="0.25">
      <c r="B4047"/>
      <c r="K4047"/>
    </row>
    <row r="4048" spans="2:11" x14ac:dyDescent="0.25">
      <c r="B4048"/>
      <c r="K4048"/>
    </row>
    <row r="4049" spans="2:11" x14ac:dyDescent="0.25">
      <c r="B4049"/>
      <c r="K4049"/>
    </row>
    <row r="4050" spans="2:11" x14ac:dyDescent="0.25">
      <c r="B4050"/>
      <c r="K4050"/>
    </row>
    <row r="4051" spans="2:11" x14ac:dyDescent="0.25">
      <c r="B4051"/>
      <c r="K4051"/>
    </row>
    <row r="4052" spans="2:11" x14ac:dyDescent="0.25">
      <c r="B4052"/>
      <c r="K4052"/>
    </row>
    <row r="4053" spans="2:11" x14ac:dyDescent="0.25">
      <c r="B4053"/>
      <c r="K4053"/>
    </row>
    <row r="4054" spans="2:11" x14ac:dyDescent="0.25">
      <c r="B4054"/>
      <c r="K4054"/>
    </row>
    <row r="4055" spans="2:11" x14ac:dyDescent="0.25">
      <c r="B4055"/>
      <c r="K4055"/>
    </row>
    <row r="4056" spans="2:11" x14ac:dyDescent="0.25">
      <c r="B4056"/>
      <c r="K4056"/>
    </row>
    <row r="4057" spans="2:11" x14ac:dyDescent="0.25">
      <c r="B4057"/>
      <c r="K4057"/>
    </row>
    <row r="4058" spans="2:11" x14ac:dyDescent="0.25">
      <c r="B4058"/>
      <c r="K4058"/>
    </row>
    <row r="4059" spans="2:11" x14ac:dyDescent="0.25">
      <c r="B4059"/>
      <c r="K4059"/>
    </row>
    <row r="4060" spans="2:11" x14ac:dyDescent="0.25">
      <c r="B4060"/>
      <c r="K4060"/>
    </row>
    <row r="4061" spans="2:11" x14ac:dyDescent="0.25">
      <c r="B4061"/>
      <c r="K4061"/>
    </row>
    <row r="4062" spans="2:11" x14ac:dyDescent="0.25">
      <c r="B4062"/>
      <c r="K4062"/>
    </row>
    <row r="4063" spans="2:11" x14ac:dyDescent="0.25">
      <c r="B4063"/>
      <c r="K4063"/>
    </row>
    <row r="4064" spans="2:11" x14ac:dyDescent="0.25">
      <c r="B4064"/>
      <c r="K4064"/>
    </row>
    <row r="4065" spans="2:11" x14ac:dyDescent="0.25">
      <c r="B4065"/>
      <c r="K4065"/>
    </row>
    <row r="4066" spans="2:11" x14ac:dyDescent="0.25">
      <c r="B4066"/>
      <c r="K4066"/>
    </row>
    <row r="4067" spans="2:11" x14ac:dyDescent="0.25">
      <c r="B4067"/>
      <c r="K4067"/>
    </row>
    <row r="4068" spans="2:11" x14ac:dyDescent="0.25">
      <c r="B4068"/>
      <c r="K4068"/>
    </row>
    <row r="4069" spans="2:11" x14ac:dyDescent="0.25">
      <c r="B4069"/>
      <c r="K4069"/>
    </row>
    <row r="4070" spans="2:11" x14ac:dyDescent="0.25">
      <c r="B4070"/>
      <c r="K4070"/>
    </row>
    <row r="4071" spans="2:11" x14ac:dyDescent="0.25">
      <c r="B4071"/>
      <c r="K4071"/>
    </row>
    <row r="4072" spans="2:11" x14ac:dyDescent="0.25">
      <c r="B4072"/>
      <c r="K4072"/>
    </row>
    <row r="4073" spans="2:11" x14ac:dyDescent="0.25">
      <c r="B4073"/>
      <c r="K4073"/>
    </row>
    <row r="4074" spans="2:11" x14ac:dyDescent="0.25">
      <c r="B4074"/>
      <c r="K4074"/>
    </row>
    <row r="4075" spans="2:11" x14ac:dyDescent="0.25">
      <c r="B4075"/>
      <c r="K4075"/>
    </row>
    <row r="4076" spans="2:11" x14ac:dyDescent="0.25">
      <c r="B4076"/>
      <c r="K4076"/>
    </row>
    <row r="4077" spans="2:11" x14ac:dyDescent="0.25">
      <c r="B4077"/>
      <c r="K4077"/>
    </row>
    <row r="4078" spans="2:11" x14ac:dyDescent="0.25">
      <c r="B4078"/>
      <c r="K4078"/>
    </row>
    <row r="4079" spans="2:11" x14ac:dyDescent="0.25">
      <c r="B4079"/>
      <c r="K4079"/>
    </row>
    <row r="4080" spans="2:11" x14ac:dyDescent="0.25">
      <c r="B4080"/>
      <c r="K4080"/>
    </row>
    <row r="4081" spans="2:11" x14ac:dyDescent="0.25">
      <c r="B4081"/>
      <c r="K4081"/>
    </row>
    <row r="4082" spans="2:11" x14ac:dyDescent="0.25">
      <c r="B4082"/>
      <c r="K4082"/>
    </row>
    <row r="4083" spans="2:11" x14ac:dyDescent="0.25">
      <c r="B4083"/>
      <c r="K4083"/>
    </row>
    <row r="4084" spans="2:11" x14ac:dyDescent="0.25">
      <c r="B4084"/>
      <c r="K4084"/>
    </row>
    <row r="4085" spans="2:11" x14ac:dyDescent="0.25">
      <c r="B4085"/>
      <c r="K4085"/>
    </row>
    <row r="4086" spans="2:11" x14ac:dyDescent="0.25">
      <c r="B4086"/>
      <c r="K4086"/>
    </row>
    <row r="4087" spans="2:11" x14ac:dyDescent="0.25">
      <c r="B4087"/>
      <c r="K4087"/>
    </row>
    <row r="4088" spans="2:11" x14ac:dyDescent="0.25">
      <c r="B4088"/>
      <c r="K4088"/>
    </row>
    <row r="4089" spans="2:11" x14ac:dyDescent="0.25">
      <c r="B4089"/>
      <c r="K4089"/>
    </row>
    <row r="4090" spans="2:11" x14ac:dyDescent="0.25">
      <c r="B4090"/>
      <c r="K4090"/>
    </row>
    <row r="4091" spans="2:11" x14ac:dyDescent="0.25">
      <c r="B4091"/>
      <c r="K4091"/>
    </row>
    <row r="4092" spans="2:11" x14ac:dyDescent="0.25">
      <c r="B4092"/>
      <c r="K4092"/>
    </row>
    <row r="4093" spans="2:11" x14ac:dyDescent="0.25">
      <c r="B4093"/>
      <c r="K4093"/>
    </row>
    <row r="4094" spans="2:11" x14ac:dyDescent="0.25">
      <c r="B4094"/>
      <c r="K4094"/>
    </row>
    <row r="4095" spans="2:11" x14ac:dyDescent="0.25">
      <c r="B4095"/>
      <c r="K4095"/>
    </row>
    <row r="4096" spans="2:11" x14ac:dyDescent="0.25">
      <c r="B4096"/>
      <c r="K4096"/>
    </row>
    <row r="4097" spans="2:11" x14ac:dyDescent="0.25">
      <c r="B4097"/>
      <c r="K4097"/>
    </row>
    <row r="4098" spans="2:11" x14ac:dyDescent="0.25">
      <c r="B4098"/>
      <c r="K4098"/>
    </row>
    <row r="4099" spans="2:11" x14ac:dyDescent="0.25">
      <c r="B4099"/>
      <c r="K4099"/>
    </row>
    <row r="4100" spans="2:11" x14ac:dyDescent="0.25">
      <c r="B4100"/>
      <c r="K4100"/>
    </row>
    <row r="4101" spans="2:11" x14ac:dyDescent="0.25">
      <c r="B4101"/>
      <c r="K4101"/>
    </row>
    <row r="4102" spans="2:11" x14ac:dyDescent="0.25">
      <c r="B4102"/>
      <c r="K4102"/>
    </row>
    <row r="4103" spans="2:11" x14ac:dyDescent="0.25">
      <c r="B4103"/>
      <c r="K4103"/>
    </row>
    <row r="4104" spans="2:11" x14ac:dyDescent="0.25">
      <c r="B4104"/>
      <c r="K4104"/>
    </row>
    <row r="4105" spans="2:11" x14ac:dyDescent="0.25">
      <c r="B4105"/>
      <c r="K4105"/>
    </row>
    <row r="4106" spans="2:11" x14ac:dyDescent="0.25">
      <c r="B4106"/>
      <c r="K4106"/>
    </row>
    <row r="4107" spans="2:11" x14ac:dyDescent="0.25">
      <c r="B4107"/>
      <c r="K4107"/>
    </row>
    <row r="4108" spans="2:11" x14ac:dyDescent="0.25">
      <c r="B4108"/>
      <c r="K4108"/>
    </row>
    <row r="4109" spans="2:11" x14ac:dyDescent="0.25">
      <c r="B4109"/>
      <c r="K4109"/>
    </row>
    <row r="4110" spans="2:11" x14ac:dyDescent="0.25">
      <c r="B4110"/>
      <c r="K4110"/>
    </row>
    <row r="4111" spans="2:11" x14ac:dyDescent="0.25">
      <c r="B4111"/>
      <c r="K4111"/>
    </row>
    <row r="4112" spans="2:11" x14ac:dyDescent="0.25">
      <c r="B4112"/>
      <c r="K4112"/>
    </row>
    <row r="4113" spans="2:11" x14ac:dyDescent="0.25">
      <c r="B4113"/>
      <c r="K4113"/>
    </row>
    <row r="4114" spans="2:11" x14ac:dyDescent="0.25">
      <c r="B4114"/>
      <c r="K4114"/>
    </row>
    <row r="4115" spans="2:11" x14ac:dyDescent="0.25">
      <c r="B4115"/>
      <c r="K4115"/>
    </row>
    <row r="4116" spans="2:11" x14ac:dyDescent="0.25">
      <c r="B4116"/>
      <c r="K4116"/>
    </row>
    <row r="4117" spans="2:11" x14ac:dyDescent="0.25">
      <c r="B4117"/>
      <c r="K4117"/>
    </row>
    <row r="4118" spans="2:11" x14ac:dyDescent="0.25">
      <c r="B4118"/>
      <c r="K4118"/>
    </row>
    <row r="4119" spans="2:11" x14ac:dyDescent="0.25">
      <c r="B4119"/>
      <c r="K4119"/>
    </row>
    <row r="4120" spans="2:11" x14ac:dyDescent="0.25">
      <c r="B4120"/>
      <c r="K4120"/>
    </row>
    <row r="4121" spans="2:11" x14ac:dyDescent="0.25">
      <c r="B4121"/>
      <c r="K4121"/>
    </row>
    <row r="4122" spans="2:11" x14ac:dyDescent="0.25">
      <c r="B4122"/>
      <c r="K4122"/>
    </row>
    <row r="4123" spans="2:11" x14ac:dyDescent="0.25">
      <c r="B4123"/>
      <c r="K4123"/>
    </row>
    <row r="4124" spans="2:11" x14ac:dyDescent="0.25">
      <c r="B4124"/>
      <c r="K4124"/>
    </row>
    <row r="4125" spans="2:11" x14ac:dyDescent="0.25">
      <c r="B4125"/>
      <c r="K4125"/>
    </row>
    <row r="4126" spans="2:11" x14ac:dyDescent="0.25">
      <c r="B4126"/>
      <c r="K4126"/>
    </row>
    <row r="4127" spans="2:11" x14ac:dyDescent="0.25">
      <c r="B4127"/>
      <c r="K4127"/>
    </row>
    <row r="4128" spans="2:11" x14ac:dyDescent="0.25">
      <c r="B4128"/>
      <c r="K4128"/>
    </row>
    <row r="4129" spans="2:11" x14ac:dyDescent="0.25">
      <c r="B4129"/>
      <c r="K4129"/>
    </row>
    <row r="4130" spans="2:11" x14ac:dyDescent="0.25">
      <c r="B4130"/>
      <c r="K4130"/>
    </row>
    <row r="4131" spans="2:11" x14ac:dyDescent="0.25">
      <c r="B4131"/>
      <c r="K4131"/>
    </row>
    <row r="4132" spans="2:11" x14ac:dyDescent="0.25">
      <c r="B4132"/>
      <c r="K4132"/>
    </row>
    <row r="4133" spans="2:11" x14ac:dyDescent="0.25">
      <c r="B4133"/>
      <c r="K4133"/>
    </row>
    <row r="4134" spans="2:11" x14ac:dyDescent="0.25">
      <c r="B4134"/>
      <c r="K4134"/>
    </row>
    <row r="4135" spans="2:11" x14ac:dyDescent="0.25">
      <c r="B4135"/>
      <c r="K4135"/>
    </row>
    <row r="4136" spans="2:11" x14ac:dyDescent="0.25">
      <c r="B4136"/>
      <c r="K4136"/>
    </row>
    <row r="4137" spans="2:11" x14ac:dyDescent="0.25">
      <c r="B4137"/>
      <c r="K4137"/>
    </row>
    <row r="4138" spans="2:11" x14ac:dyDescent="0.25">
      <c r="B4138"/>
      <c r="K4138"/>
    </row>
    <row r="4139" spans="2:11" x14ac:dyDescent="0.25">
      <c r="B4139"/>
      <c r="K4139"/>
    </row>
    <row r="4140" spans="2:11" x14ac:dyDescent="0.25">
      <c r="B4140"/>
      <c r="K4140"/>
    </row>
    <row r="4141" spans="2:11" x14ac:dyDescent="0.25">
      <c r="B4141"/>
      <c r="K4141"/>
    </row>
    <row r="4142" spans="2:11" x14ac:dyDescent="0.25">
      <c r="B4142"/>
      <c r="K4142"/>
    </row>
    <row r="4143" spans="2:11" x14ac:dyDescent="0.25">
      <c r="B4143"/>
      <c r="K4143"/>
    </row>
    <row r="4144" spans="2:11" x14ac:dyDescent="0.25">
      <c r="B4144"/>
      <c r="K4144"/>
    </row>
    <row r="4145" spans="2:11" x14ac:dyDescent="0.25">
      <c r="B4145"/>
      <c r="K4145"/>
    </row>
    <row r="4146" spans="2:11" x14ac:dyDescent="0.25">
      <c r="B4146"/>
      <c r="K4146"/>
    </row>
    <row r="4147" spans="2:11" x14ac:dyDescent="0.25">
      <c r="B4147"/>
      <c r="K4147"/>
    </row>
    <row r="4148" spans="2:11" x14ac:dyDescent="0.25">
      <c r="B4148"/>
      <c r="K4148"/>
    </row>
    <row r="4149" spans="2:11" x14ac:dyDescent="0.25">
      <c r="B4149"/>
      <c r="K4149"/>
    </row>
    <row r="4150" spans="2:11" x14ac:dyDescent="0.25">
      <c r="B4150"/>
      <c r="K4150"/>
    </row>
    <row r="4151" spans="2:11" x14ac:dyDescent="0.25">
      <c r="B4151"/>
      <c r="K4151"/>
    </row>
    <row r="4152" spans="2:11" x14ac:dyDescent="0.25">
      <c r="B4152"/>
      <c r="K4152"/>
    </row>
    <row r="4153" spans="2:11" x14ac:dyDescent="0.25">
      <c r="B4153"/>
      <c r="K4153"/>
    </row>
    <row r="4154" spans="2:11" x14ac:dyDescent="0.25">
      <c r="B4154"/>
      <c r="K4154"/>
    </row>
    <row r="4155" spans="2:11" x14ac:dyDescent="0.25">
      <c r="B4155"/>
      <c r="K4155"/>
    </row>
    <row r="4156" spans="2:11" x14ac:dyDescent="0.25">
      <c r="B4156"/>
      <c r="K4156"/>
    </row>
    <row r="4157" spans="2:11" x14ac:dyDescent="0.25">
      <c r="B4157"/>
      <c r="K4157"/>
    </row>
    <row r="4158" spans="2:11" x14ac:dyDescent="0.25">
      <c r="B4158"/>
      <c r="K4158"/>
    </row>
    <row r="4159" spans="2:11" x14ac:dyDescent="0.25">
      <c r="B4159"/>
      <c r="K4159"/>
    </row>
    <row r="4160" spans="2:11" x14ac:dyDescent="0.25">
      <c r="B4160"/>
      <c r="K4160"/>
    </row>
    <row r="4161" spans="2:11" x14ac:dyDescent="0.25">
      <c r="B4161"/>
      <c r="K4161"/>
    </row>
    <row r="4162" spans="2:11" x14ac:dyDescent="0.25">
      <c r="B4162"/>
      <c r="K4162"/>
    </row>
    <row r="4163" spans="2:11" x14ac:dyDescent="0.25">
      <c r="B4163"/>
      <c r="K4163"/>
    </row>
    <row r="4164" spans="2:11" x14ac:dyDescent="0.25">
      <c r="B4164"/>
      <c r="K4164"/>
    </row>
    <row r="4165" spans="2:11" x14ac:dyDescent="0.25">
      <c r="B4165"/>
      <c r="K4165"/>
    </row>
    <row r="4166" spans="2:11" x14ac:dyDescent="0.25">
      <c r="B4166"/>
      <c r="K4166"/>
    </row>
    <row r="4167" spans="2:11" x14ac:dyDescent="0.25">
      <c r="B4167"/>
      <c r="K4167"/>
    </row>
    <row r="4168" spans="2:11" x14ac:dyDescent="0.25">
      <c r="B4168"/>
      <c r="K4168"/>
    </row>
    <row r="4169" spans="2:11" x14ac:dyDescent="0.25">
      <c r="B4169"/>
      <c r="K4169"/>
    </row>
    <row r="4170" spans="2:11" x14ac:dyDescent="0.25">
      <c r="B4170"/>
      <c r="K4170"/>
    </row>
    <row r="4171" spans="2:11" x14ac:dyDescent="0.25">
      <c r="B4171"/>
      <c r="K4171"/>
    </row>
    <row r="4172" spans="2:11" x14ac:dyDescent="0.25">
      <c r="B4172"/>
      <c r="K4172"/>
    </row>
    <row r="4173" spans="2:11" x14ac:dyDescent="0.25">
      <c r="B4173"/>
      <c r="K4173"/>
    </row>
    <row r="4174" spans="2:11" x14ac:dyDescent="0.25">
      <c r="B4174"/>
      <c r="K4174"/>
    </row>
    <row r="4175" spans="2:11" x14ac:dyDescent="0.25">
      <c r="B4175"/>
      <c r="K4175"/>
    </row>
    <row r="4176" spans="2:11" x14ac:dyDescent="0.25">
      <c r="B4176"/>
      <c r="K4176"/>
    </row>
    <row r="4177" spans="2:11" x14ac:dyDescent="0.25">
      <c r="B4177"/>
      <c r="K4177"/>
    </row>
    <row r="4178" spans="2:11" x14ac:dyDescent="0.25">
      <c r="B4178"/>
      <c r="K4178"/>
    </row>
    <row r="4179" spans="2:11" x14ac:dyDescent="0.25">
      <c r="B4179"/>
      <c r="K4179"/>
    </row>
    <row r="4180" spans="2:11" x14ac:dyDescent="0.25">
      <c r="B4180"/>
      <c r="K4180"/>
    </row>
    <row r="4181" spans="2:11" x14ac:dyDescent="0.25">
      <c r="B4181"/>
      <c r="K4181"/>
    </row>
    <row r="4182" spans="2:11" x14ac:dyDescent="0.25">
      <c r="B4182"/>
      <c r="K4182"/>
    </row>
    <row r="4183" spans="2:11" x14ac:dyDescent="0.25">
      <c r="B4183"/>
      <c r="K4183"/>
    </row>
    <row r="4184" spans="2:11" x14ac:dyDescent="0.25">
      <c r="B4184"/>
      <c r="K4184"/>
    </row>
    <row r="4185" spans="2:11" x14ac:dyDescent="0.25">
      <c r="B4185"/>
      <c r="K4185"/>
    </row>
    <row r="4186" spans="2:11" x14ac:dyDescent="0.25">
      <c r="B4186"/>
      <c r="K4186"/>
    </row>
    <row r="4187" spans="2:11" x14ac:dyDescent="0.25">
      <c r="B4187"/>
      <c r="K4187"/>
    </row>
    <row r="4188" spans="2:11" x14ac:dyDescent="0.25">
      <c r="B4188"/>
      <c r="K4188"/>
    </row>
    <row r="4189" spans="2:11" x14ac:dyDescent="0.25">
      <c r="B4189"/>
      <c r="K4189"/>
    </row>
    <row r="4190" spans="2:11" x14ac:dyDescent="0.25">
      <c r="B4190"/>
      <c r="K4190"/>
    </row>
    <row r="4191" spans="2:11" x14ac:dyDescent="0.25">
      <c r="B4191"/>
      <c r="K4191"/>
    </row>
    <row r="4192" spans="2:11" x14ac:dyDescent="0.25">
      <c r="B4192"/>
      <c r="K4192"/>
    </row>
    <row r="4193" spans="2:11" x14ac:dyDescent="0.25">
      <c r="B4193"/>
      <c r="K4193"/>
    </row>
    <row r="4194" spans="2:11" x14ac:dyDescent="0.25">
      <c r="B4194"/>
      <c r="K4194"/>
    </row>
    <row r="4195" spans="2:11" x14ac:dyDescent="0.25">
      <c r="B4195"/>
      <c r="K4195"/>
    </row>
    <row r="4196" spans="2:11" x14ac:dyDescent="0.25">
      <c r="B4196"/>
      <c r="K4196"/>
    </row>
    <row r="4197" spans="2:11" x14ac:dyDescent="0.25">
      <c r="B4197"/>
      <c r="K4197"/>
    </row>
    <row r="4198" spans="2:11" x14ac:dyDescent="0.25">
      <c r="B4198"/>
      <c r="K4198"/>
    </row>
    <row r="4199" spans="2:11" x14ac:dyDescent="0.25">
      <c r="B4199"/>
      <c r="K4199"/>
    </row>
    <row r="4200" spans="2:11" x14ac:dyDescent="0.25">
      <c r="B4200"/>
      <c r="K4200"/>
    </row>
    <row r="4201" spans="2:11" x14ac:dyDescent="0.25">
      <c r="B4201"/>
      <c r="K4201"/>
    </row>
    <row r="4202" spans="2:11" x14ac:dyDescent="0.25">
      <c r="B4202"/>
      <c r="K4202"/>
    </row>
    <row r="4203" spans="2:11" x14ac:dyDescent="0.25">
      <c r="B4203"/>
      <c r="K4203"/>
    </row>
    <row r="4204" spans="2:11" x14ac:dyDescent="0.25">
      <c r="B4204"/>
      <c r="K4204"/>
    </row>
    <row r="4205" spans="2:11" x14ac:dyDescent="0.25">
      <c r="B4205"/>
      <c r="K4205"/>
    </row>
    <row r="4206" spans="2:11" x14ac:dyDescent="0.25">
      <c r="B4206"/>
      <c r="K4206"/>
    </row>
    <row r="4207" spans="2:11" x14ac:dyDescent="0.25">
      <c r="B4207"/>
      <c r="K4207"/>
    </row>
    <row r="4208" spans="2:11" x14ac:dyDescent="0.25">
      <c r="B4208"/>
      <c r="K4208"/>
    </row>
    <row r="4209" spans="2:11" x14ac:dyDescent="0.25">
      <c r="B4209"/>
      <c r="K4209"/>
    </row>
    <row r="4210" spans="2:11" x14ac:dyDescent="0.25">
      <c r="B4210"/>
      <c r="K4210"/>
    </row>
    <row r="4211" spans="2:11" x14ac:dyDescent="0.25">
      <c r="B4211"/>
      <c r="K4211"/>
    </row>
    <row r="4212" spans="2:11" x14ac:dyDescent="0.25">
      <c r="B4212"/>
      <c r="K4212"/>
    </row>
    <row r="4213" spans="2:11" x14ac:dyDescent="0.25">
      <c r="B4213"/>
      <c r="K4213"/>
    </row>
    <row r="4214" spans="2:11" x14ac:dyDescent="0.25">
      <c r="B4214"/>
      <c r="K4214"/>
    </row>
    <row r="4215" spans="2:11" x14ac:dyDescent="0.25">
      <c r="B4215"/>
      <c r="K4215"/>
    </row>
    <row r="4216" spans="2:11" x14ac:dyDescent="0.25">
      <c r="B4216"/>
      <c r="K4216"/>
    </row>
    <row r="4217" spans="2:11" x14ac:dyDescent="0.25">
      <c r="B4217"/>
      <c r="K4217"/>
    </row>
    <row r="4218" spans="2:11" x14ac:dyDescent="0.25">
      <c r="B4218"/>
      <c r="K4218"/>
    </row>
    <row r="4219" spans="2:11" x14ac:dyDescent="0.25">
      <c r="B4219"/>
      <c r="K4219"/>
    </row>
    <row r="4220" spans="2:11" x14ac:dyDescent="0.25">
      <c r="B4220"/>
      <c r="K4220"/>
    </row>
    <row r="4221" spans="2:11" x14ac:dyDescent="0.25">
      <c r="B4221"/>
      <c r="K4221"/>
    </row>
    <row r="4222" spans="2:11" x14ac:dyDescent="0.25">
      <c r="B4222"/>
      <c r="K4222"/>
    </row>
    <row r="4223" spans="2:11" x14ac:dyDescent="0.25">
      <c r="B4223"/>
      <c r="K4223"/>
    </row>
    <row r="4224" spans="2:11" x14ac:dyDescent="0.25">
      <c r="B4224"/>
      <c r="K4224"/>
    </row>
    <row r="4225" spans="2:11" x14ac:dyDescent="0.25">
      <c r="B4225"/>
      <c r="K4225"/>
    </row>
    <row r="4226" spans="2:11" x14ac:dyDescent="0.25">
      <c r="B4226"/>
      <c r="K4226"/>
    </row>
    <row r="4227" spans="2:11" x14ac:dyDescent="0.25">
      <c r="B4227"/>
      <c r="K4227"/>
    </row>
    <row r="4228" spans="2:11" x14ac:dyDescent="0.25">
      <c r="B4228"/>
      <c r="K4228"/>
    </row>
    <row r="4229" spans="2:11" x14ac:dyDescent="0.25">
      <c r="B4229"/>
      <c r="K4229"/>
    </row>
    <row r="4230" spans="2:11" x14ac:dyDescent="0.25">
      <c r="B4230"/>
      <c r="K4230"/>
    </row>
    <row r="4231" spans="2:11" x14ac:dyDescent="0.25">
      <c r="B4231"/>
      <c r="K4231"/>
    </row>
    <row r="4232" spans="2:11" x14ac:dyDescent="0.25">
      <c r="B4232"/>
      <c r="K4232"/>
    </row>
    <row r="4233" spans="2:11" x14ac:dyDescent="0.25">
      <c r="B4233"/>
      <c r="K4233"/>
    </row>
    <row r="4234" spans="2:11" x14ac:dyDescent="0.25">
      <c r="B4234"/>
      <c r="K4234"/>
    </row>
    <row r="4235" spans="2:11" x14ac:dyDescent="0.25">
      <c r="B4235"/>
      <c r="K4235"/>
    </row>
    <row r="4236" spans="2:11" x14ac:dyDescent="0.25">
      <c r="B4236"/>
      <c r="K4236"/>
    </row>
    <row r="4237" spans="2:11" x14ac:dyDescent="0.25">
      <c r="B4237"/>
      <c r="K4237"/>
    </row>
    <row r="4238" spans="2:11" x14ac:dyDescent="0.25">
      <c r="B4238"/>
      <c r="K4238"/>
    </row>
    <row r="4239" spans="2:11" x14ac:dyDescent="0.25">
      <c r="B4239"/>
      <c r="K4239"/>
    </row>
    <row r="4240" spans="2:11" x14ac:dyDescent="0.25">
      <c r="B4240"/>
      <c r="K4240"/>
    </row>
    <row r="4241" spans="2:11" x14ac:dyDescent="0.25">
      <c r="B4241"/>
      <c r="K4241"/>
    </row>
    <row r="4242" spans="2:11" x14ac:dyDescent="0.25">
      <c r="B4242"/>
      <c r="K4242"/>
    </row>
    <row r="4243" spans="2:11" x14ac:dyDescent="0.25">
      <c r="B4243"/>
      <c r="K4243"/>
    </row>
    <row r="4244" spans="2:11" x14ac:dyDescent="0.25">
      <c r="B4244"/>
      <c r="K4244"/>
    </row>
    <row r="4245" spans="2:11" x14ac:dyDescent="0.25">
      <c r="B4245"/>
      <c r="K4245"/>
    </row>
    <row r="4246" spans="2:11" x14ac:dyDescent="0.25">
      <c r="B4246"/>
      <c r="K4246"/>
    </row>
    <row r="4247" spans="2:11" x14ac:dyDescent="0.25">
      <c r="B4247"/>
      <c r="K4247"/>
    </row>
    <row r="4248" spans="2:11" x14ac:dyDescent="0.25">
      <c r="B4248"/>
      <c r="K4248"/>
    </row>
    <row r="4249" spans="2:11" x14ac:dyDescent="0.25">
      <c r="B4249"/>
      <c r="K4249"/>
    </row>
    <row r="4250" spans="2:11" x14ac:dyDescent="0.25">
      <c r="B4250"/>
      <c r="K4250"/>
    </row>
    <row r="4251" spans="2:11" x14ac:dyDescent="0.25">
      <c r="B4251"/>
      <c r="K4251"/>
    </row>
    <row r="4252" spans="2:11" x14ac:dyDescent="0.25">
      <c r="B4252"/>
      <c r="K4252"/>
    </row>
    <row r="4253" spans="2:11" x14ac:dyDescent="0.25">
      <c r="B4253"/>
      <c r="K4253"/>
    </row>
    <row r="4254" spans="2:11" x14ac:dyDescent="0.25">
      <c r="B4254"/>
      <c r="K4254"/>
    </row>
    <row r="4255" spans="2:11" x14ac:dyDescent="0.25">
      <c r="B4255"/>
      <c r="K4255"/>
    </row>
    <row r="4256" spans="2:11" x14ac:dyDescent="0.25">
      <c r="B4256"/>
      <c r="K4256"/>
    </row>
    <row r="4257" spans="2:11" x14ac:dyDescent="0.25">
      <c r="B4257"/>
      <c r="K4257"/>
    </row>
    <row r="4258" spans="2:11" x14ac:dyDescent="0.25">
      <c r="B4258"/>
      <c r="K4258"/>
    </row>
    <row r="4259" spans="2:11" x14ac:dyDescent="0.25">
      <c r="B4259"/>
      <c r="K4259"/>
    </row>
    <row r="4260" spans="2:11" x14ac:dyDescent="0.25">
      <c r="B4260"/>
      <c r="K4260"/>
    </row>
    <row r="4261" spans="2:11" x14ac:dyDescent="0.25">
      <c r="B4261"/>
      <c r="K4261"/>
    </row>
    <row r="4262" spans="2:11" x14ac:dyDescent="0.25">
      <c r="B4262"/>
      <c r="K4262"/>
    </row>
    <row r="4263" spans="2:11" x14ac:dyDescent="0.25">
      <c r="B4263"/>
      <c r="K4263"/>
    </row>
    <row r="4264" spans="2:11" x14ac:dyDescent="0.25">
      <c r="B4264"/>
      <c r="K4264"/>
    </row>
    <row r="4265" spans="2:11" x14ac:dyDescent="0.25">
      <c r="B4265"/>
      <c r="K4265"/>
    </row>
    <row r="4266" spans="2:11" x14ac:dyDescent="0.25">
      <c r="B4266"/>
      <c r="K4266"/>
    </row>
    <row r="4267" spans="2:11" x14ac:dyDescent="0.25">
      <c r="B4267"/>
      <c r="K4267"/>
    </row>
    <row r="4268" spans="2:11" x14ac:dyDescent="0.25">
      <c r="B4268"/>
      <c r="K4268"/>
    </row>
    <row r="4269" spans="2:11" x14ac:dyDescent="0.25">
      <c r="B4269"/>
      <c r="K4269"/>
    </row>
    <row r="4270" spans="2:11" x14ac:dyDescent="0.25">
      <c r="B4270"/>
      <c r="K4270"/>
    </row>
    <row r="4271" spans="2:11" x14ac:dyDescent="0.25">
      <c r="B4271"/>
      <c r="K4271"/>
    </row>
    <row r="4272" spans="2:11" x14ac:dyDescent="0.25">
      <c r="B4272"/>
      <c r="K4272"/>
    </row>
    <row r="4273" spans="2:11" x14ac:dyDescent="0.25">
      <c r="B4273"/>
      <c r="K4273"/>
    </row>
    <row r="4274" spans="2:11" x14ac:dyDescent="0.25">
      <c r="B4274"/>
      <c r="K4274"/>
    </row>
    <row r="4275" spans="2:11" x14ac:dyDescent="0.25">
      <c r="B4275"/>
      <c r="K4275"/>
    </row>
    <row r="4276" spans="2:11" x14ac:dyDescent="0.25">
      <c r="B4276"/>
      <c r="K4276"/>
    </row>
    <row r="4277" spans="2:11" x14ac:dyDescent="0.25">
      <c r="B4277"/>
      <c r="K4277"/>
    </row>
    <row r="4278" spans="2:11" x14ac:dyDescent="0.25">
      <c r="B4278"/>
      <c r="K4278"/>
    </row>
    <row r="4279" spans="2:11" x14ac:dyDescent="0.25">
      <c r="B4279"/>
      <c r="K4279"/>
    </row>
    <row r="4280" spans="2:11" x14ac:dyDescent="0.25">
      <c r="B4280"/>
      <c r="K4280"/>
    </row>
    <row r="4281" spans="2:11" x14ac:dyDescent="0.25">
      <c r="B4281"/>
      <c r="K4281"/>
    </row>
    <row r="4282" spans="2:11" x14ac:dyDescent="0.25">
      <c r="B4282"/>
      <c r="K4282"/>
    </row>
    <row r="4283" spans="2:11" x14ac:dyDescent="0.25">
      <c r="B4283"/>
      <c r="K4283"/>
    </row>
    <row r="4284" spans="2:11" x14ac:dyDescent="0.25">
      <c r="B4284"/>
      <c r="K4284"/>
    </row>
    <row r="4285" spans="2:11" x14ac:dyDescent="0.25">
      <c r="B4285"/>
      <c r="K4285"/>
    </row>
    <row r="4286" spans="2:11" x14ac:dyDescent="0.25">
      <c r="B4286"/>
      <c r="K4286"/>
    </row>
    <row r="4287" spans="2:11" x14ac:dyDescent="0.25">
      <c r="B4287"/>
      <c r="K4287"/>
    </row>
    <row r="4288" spans="2:11" x14ac:dyDescent="0.25">
      <c r="B4288"/>
      <c r="K4288"/>
    </row>
    <row r="4289" spans="2:11" x14ac:dyDescent="0.25">
      <c r="B4289"/>
      <c r="K4289"/>
    </row>
    <row r="4290" spans="2:11" x14ac:dyDescent="0.25">
      <c r="B4290"/>
      <c r="K4290"/>
    </row>
    <row r="4291" spans="2:11" x14ac:dyDescent="0.25">
      <c r="B4291"/>
      <c r="K4291"/>
    </row>
    <row r="4292" spans="2:11" x14ac:dyDescent="0.25">
      <c r="B4292"/>
      <c r="K4292"/>
    </row>
    <row r="4293" spans="2:11" x14ac:dyDescent="0.25">
      <c r="B4293"/>
      <c r="K4293"/>
    </row>
    <row r="4294" spans="2:11" x14ac:dyDescent="0.25">
      <c r="B4294"/>
      <c r="K4294"/>
    </row>
    <row r="4295" spans="2:11" x14ac:dyDescent="0.25">
      <c r="B4295"/>
      <c r="K4295"/>
    </row>
    <row r="4296" spans="2:11" x14ac:dyDescent="0.25">
      <c r="B4296"/>
      <c r="K4296"/>
    </row>
    <row r="4297" spans="2:11" x14ac:dyDescent="0.25">
      <c r="B4297"/>
      <c r="K4297"/>
    </row>
    <row r="4298" spans="2:11" x14ac:dyDescent="0.25">
      <c r="B4298"/>
      <c r="K4298"/>
    </row>
    <row r="4299" spans="2:11" x14ac:dyDescent="0.25">
      <c r="B4299"/>
      <c r="K4299"/>
    </row>
    <row r="4300" spans="2:11" x14ac:dyDescent="0.25">
      <c r="B4300"/>
      <c r="K4300"/>
    </row>
    <row r="4301" spans="2:11" x14ac:dyDescent="0.25">
      <c r="B4301"/>
      <c r="K4301"/>
    </row>
    <row r="4302" spans="2:11" x14ac:dyDescent="0.25">
      <c r="B4302"/>
      <c r="K4302"/>
    </row>
    <row r="4303" spans="2:11" x14ac:dyDescent="0.25">
      <c r="B4303"/>
      <c r="K4303"/>
    </row>
    <row r="4304" spans="2:11" x14ac:dyDescent="0.25">
      <c r="B4304"/>
      <c r="K4304"/>
    </row>
    <row r="4305" spans="2:11" x14ac:dyDescent="0.25">
      <c r="B4305"/>
      <c r="K4305"/>
    </row>
    <row r="4306" spans="2:11" x14ac:dyDescent="0.25">
      <c r="B4306"/>
      <c r="K4306"/>
    </row>
    <row r="4307" spans="2:11" x14ac:dyDescent="0.25">
      <c r="B4307"/>
      <c r="K4307"/>
    </row>
    <row r="4308" spans="2:11" x14ac:dyDescent="0.25">
      <c r="B4308"/>
      <c r="K4308"/>
    </row>
    <row r="4309" spans="2:11" x14ac:dyDescent="0.25">
      <c r="B4309"/>
      <c r="K4309"/>
    </row>
    <row r="4310" spans="2:11" x14ac:dyDescent="0.25">
      <c r="B4310"/>
      <c r="K4310"/>
    </row>
    <row r="4311" spans="2:11" x14ac:dyDescent="0.25">
      <c r="B4311"/>
      <c r="K4311"/>
    </row>
    <row r="4312" spans="2:11" x14ac:dyDescent="0.25">
      <c r="B4312"/>
      <c r="K4312"/>
    </row>
    <row r="4313" spans="2:11" x14ac:dyDescent="0.25">
      <c r="B4313"/>
      <c r="K4313"/>
    </row>
    <row r="4314" spans="2:11" x14ac:dyDescent="0.25">
      <c r="B4314"/>
      <c r="K4314"/>
    </row>
    <row r="4315" spans="2:11" x14ac:dyDescent="0.25">
      <c r="B4315"/>
      <c r="K4315"/>
    </row>
    <row r="4316" spans="2:11" x14ac:dyDescent="0.25">
      <c r="B4316"/>
      <c r="K4316"/>
    </row>
    <row r="4317" spans="2:11" x14ac:dyDescent="0.25">
      <c r="B4317"/>
      <c r="K4317"/>
    </row>
    <row r="4318" spans="2:11" x14ac:dyDescent="0.25">
      <c r="B4318"/>
      <c r="K4318"/>
    </row>
    <row r="4319" spans="2:11" x14ac:dyDescent="0.25">
      <c r="B4319"/>
      <c r="K4319"/>
    </row>
    <row r="4320" spans="2:11" x14ac:dyDescent="0.25">
      <c r="B4320"/>
      <c r="K4320"/>
    </row>
    <row r="4321" spans="2:11" x14ac:dyDescent="0.25">
      <c r="B4321"/>
      <c r="K4321"/>
    </row>
    <row r="4322" spans="2:11" x14ac:dyDescent="0.25">
      <c r="B4322"/>
      <c r="K4322"/>
    </row>
    <row r="4323" spans="2:11" x14ac:dyDescent="0.25">
      <c r="B4323"/>
      <c r="K4323"/>
    </row>
    <row r="4324" spans="2:11" x14ac:dyDescent="0.25">
      <c r="B4324"/>
      <c r="K4324"/>
    </row>
    <row r="4325" spans="2:11" x14ac:dyDescent="0.25">
      <c r="B4325"/>
      <c r="K4325"/>
    </row>
    <row r="4326" spans="2:11" x14ac:dyDescent="0.25">
      <c r="B4326"/>
      <c r="K4326"/>
    </row>
    <row r="4327" spans="2:11" x14ac:dyDescent="0.25">
      <c r="B4327"/>
      <c r="K4327"/>
    </row>
    <row r="4328" spans="2:11" x14ac:dyDescent="0.25">
      <c r="B4328"/>
      <c r="K4328"/>
    </row>
    <row r="4329" spans="2:11" x14ac:dyDescent="0.25">
      <c r="B4329"/>
      <c r="K4329"/>
    </row>
    <row r="4330" spans="2:11" x14ac:dyDescent="0.25">
      <c r="B4330"/>
      <c r="K4330"/>
    </row>
    <row r="4331" spans="2:11" x14ac:dyDescent="0.25">
      <c r="B4331"/>
      <c r="K4331"/>
    </row>
    <row r="4332" spans="2:11" x14ac:dyDescent="0.25">
      <c r="B4332"/>
      <c r="K4332"/>
    </row>
    <row r="4333" spans="2:11" x14ac:dyDescent="0.25">
      <c r="B4333"/>
      <c r="K4333"/>
    </row>
    <row r="4334" spans="2:11" x14ac:dyDescent="0.25">
      <c r="B4334"/>
      <c r="K4334"/>
    </row>
    <row r="4335" spans="2:11" x14ac:dyDescent="0.25">
      <c r="B4335"/>
      <c r="K4335"/>
    </row>
    <row r="4336" spans="2:11" x14ac:dyDescent="0.25">
      <c r="B4336"/>
      <c r="K4336"/>
    </row>
    <row r="4337" spans="2:11" x14ac:dyDescent="0.25">
      <c r="B4337"/>
      <c r="K4337"/>
    </row>
    <row r="4338" spans="2:11" x14ac:dyDescent="0.25">
      <c r="B4338"/>
      <c r="K4338"/>
    </row>
    <row r="4339" spans="2:11" x14ac:dyDescent="0.25">
      <c r="B4339"/>
      <c r="K4339"/>
    </row>
    <row r="4340" spans="2:11" x14ac:dyDescent="0.25">
      <c r="B4340"/>
      <c r="K4340"/>
    </row>
    <row r="4341" spans="2:11" x14ac:dyDescent="0.25">
      <c r="B4341"/>
      <c r="K4341"/>
    </row>
    <row r="4342" spans="2:11" x14ac:dyDescent="0.25">
      <c r="B4342"/>
      <c r="K4342"/>
    </row>
    <row r="4343" spans="2:11" x14ac:dyDescent="0.25">
      <c r="B4343"/>
      <c r="K4343"/>
    </row>
    <row r="4344" spans="2:11" x14ac:dyDescent="0.25">
      <c r="B4344"/>
      <c r="K4344"/>
    </row>
    <row r="4345" spans="2:11" x14ac:dyDescent="0.25">
      <c r="B4345"/>
      <c r="K4345"/>
    </row>
    <row r="4346" spans="2:11" x14ac:dyDescent="0.25">
      <c r="B4346"/>
      <c r="K4346"/>
    </row>
    <row r="4347" spans="2:11" x14ac:dyDescent="0.25">
      <c r="B4347"/>
      <c r="K4347"/>
    </row>
    <row r="4348" spans="2:11" x14ac:dyDescent="0.25">
      <c r="B4348"/>
      <c r="K4348"/>
    </row>
    <row r="4349" spans="2:11" x14ac:dyDescent="0.25">
      <c r="B4349"/>
      <c r="K4349"/>
    </row>
    <row r="4350" spans="2:11" x14ac:dyDescent="0.25">
      <c r="B4350"/>
      <c r="K4350"/>
    </row>
    <row r="4351" spans="2:11" x14ac:dyDescent="0.25">
      <c r="B4351"/>
      <c r="K4351"/>
    </row>
    <row r="4352" spans="2:11" x14ac:dyDescent="0.25">
      <c r="B4352"/>
      <c r="K4352"/>
    </row>
    <row r="4353" spans="2:11" x14ac:dyDescent="0.25">
      <c r="B4353"/>
      <c r="K4353"/>
    </row>
    <row r="4354" spans="2:11" x14ac:dyDescent="0.25">
      <c r="B4354"/>
      <c r="K4354"/>
    </row>
    <row r="4355" spans="2:11" x14ac:dyDescent="0.25">
      <c r="B4355"/>
      <c r="K4355"/>
    </row>
    <row r="4356" spans="2:11" x14ac:dyDescent="0.25">
      <c r="B4356"/>
      <c r="K4356"/>
    </row>
    <row r="4357" spans="2:11" x14ac:dyDescent="0.25">
      <c r="B4357"/>
      <c r="K4357"/>
    </row>
    <row r="4358" spans="2:11" x14ac:dyDescent="0.25">
      <c r="B4358"/>
      <c r="K4358"/>
    </row>
    <row r="4359" spans="2:11" x14ac:dyDescent="0.25">
      <c r="B4359"/>
      <c r="K4359"/>
    </row>
    <row r="4360" spans="2:11" x14ac:dyDescent="0.25">
      <c r="B4360"/>
      <c r="K4360"/>
    </row>
    <row r="4361" spans="2:11" x14ac:dyDescent="0.25">
      <c r="B4361"/>
      <c r="K4361"/>
    </row>
    <row r="4362" spans="2:11" x14ac:dyDescent="0.25">
      <c r="B4362"/>
      <c r="K4362"/>
    </row>
    <row r="4363" spans="2:11" x14ac:dyDescent="0.25">
      <c r="B4363"/>
      <c r="K4363"/>
    </row>
    <row r="4364" spans="2:11" x14ac:dyDescent="0.25">
      <c r="B4364"/>
      <c r="K4364"/>
    </row>
    <row r="4365" spans="2:11" x14ac:dyDescent="0.25">
      <c r="B4365"/>
      <c r="K4365"/>
    </row>
    <row r="4366" spans="2:11" x14ac:dyDescent="0.25">
      <c r="B4366"/>
      <c r="K4366"/>
    </row>
    <row r="4367" spans="2:11" x14ac:dyDescent="0.25">
      <c r="B4367"/>
      <c r="K4367"/>
    </row>
    <row r="4368" spans="2:11" x14ac:dyDescent="0.25">
      <c r="B4368"/>
      <c r="K4368"/>
    </row>
    <row r="4369" spans="2:11" x14ac:dyDescent="0.25">
      <c r="B4369"/>
      <c r="K4369"/>
    </row>
    <row r="4370" spans="2:11" x14ac:dyDescent="0.25">
      <c r="B4370"/>
      <c r="K4370"/>
    </row>
    <row r="4371" spans="2:11" x14ac:dyDescent="0.25">
      <c r="B4371"/>
      <c r="K4371"/>
    </row>
    <row r="4372" spans="2:11" x14ac:dyDescent="0.25">
      <c r="B4372"/>
      <c r="K4372"/>
    </row>
    <row r="4373" spans="2:11" x14ac:dyDescent="0.25">
      <c r="B4373"/>
      <c r="K4373"/>
    </row>
    <row r="4374" spans="2:11" x14ac:dyDescent="0.25">
      <c r="B4374"/>
      <c r="K4374"/>
    </row>
    <row r="4375" spans="2:11" x14ac:dyDescent="0.25">
      <c r="B4375"/>
      <c r="K4375"/>
    </row>
    <row r="4376" spans="2:11" x14ac:dyDescent="0.25">
      <c r="B4376"/>
      <c r="K4376"/>
    </row>
    <row r="4377" spans="2:11" x14ac:dyDescent="0.25">
      <c r="B4377"/>
      <c r="K4377"/>
    </row>
    <row r="4378" spans="2:11" x14ac:dyDescent="0.25">
      <c r="B4378"/>
      <c r="K4378"/>
    </row>
    <row r="4379" spans="2:11" x14ac:dyDescent="0.25">
      <c r="B4379"/>
      <c r="K4379"/>
    </row>
    <row r="4380" spans="2:11" x14ac:dyDescent="0.25">
      <c r="B4380"/>
      <c r="K4380"/>
    </row>
    <row r="4381" spans="2:11" x14ac:dyDescent="0.25">
      <c r="B4381"/>
      <c r="K4381"/>
    </row>
    <row r="4382" spans="2:11" x14ac:dyDescent="0.25">
      <c r="B4382"/>
      <c r="K4382"/>
    </row>
    <row r="4383" spans="2:11" x14ac:dyDescent="0.25">
      <c r="B4383"/>
      <c r="K4383"/>
    </row>
    <row r="4384" spans="2:11" x14ac:dyDescent="0.25">
      <c r="B4384"/>
      <c r="K4384"/>
    </row>
    <row r="4385" spans="2:11" x14ac:dyDescent="0.25">
      <c r="B4385"/>
      <c r="K4385"/>
    </row>
    <row r="4386" spans="2:11" x14ac:dyDescent="0.25">
      <c r="B4386"/>
      <c r="K4386"/>
    </row>
    <row r="4387" spans="2:11" x14ac:dyDescent="0.25">
      <c r="B4387"/>
      <c r="K4387"/>
    </row>
    <row r="4388" spans="2:11" x14ac:dyDescent="0.25">
      <c r="B4388"/>
      <c r="K4388"/>
    </row>
    <row r="4389" spans="2:11" x14ac:dyDescent="0.25">
      <c r="B4389"/>
      <c r="K4389"/>
    </row>
    <row r="4390" spans="2:11" x14ac:dyDescent="0.25">
      <c r="B4390"/>
      <c r="K4390"/>
    </row>
    <row r="4391" spans="2:11" x14ac:dyDescent="0.25">
      <c r="B4391"/>
      <c r="K4391"/>
    </row>
    <row r="4392" spans="2:11" x14ac:dyDescent="0.25">
      <c r="B4392"/>
      <c r="K4392"/>
    </row>
    <row r="4393" spans="2:11" x14ac:dyDescent="0.25">
      <c r="B4393"/>
      <c r="K4393"/>
    </row>
    <row r="4394" spans="2:11" x14ac:dyDescent="0.25">
      <c r="B4394"/>
      <c r="K4394"/>
    </row>
    <row r="4395" spans="2:11" x14ac:dyDescent="0.25">
      <c r="B4395"/>
      <c r="K4395"/>
    </row>
    <row r="4396" spans="2:11" x14ac:dyDescent="0.25">
      <c r="B4396"/>
      <c r="K4396"/>
    </row>
    <row r="4397" spans="2:11" x14ac:dyDescent="0.25">
      <c r="B4397"/>
      <c r="K4397"/>
    </row>
    <row r="4398" spans="2:11" x14ac:dyDescent="0.25">
      <c r="B4398"/>
      <c r="K4398"/>
    </row>
    <row r="4399" spans="2:11" x14ac:dyDescent="0.25">
      <c r="B4399"/>
      <c r="K4399"/>
    </row>
    <row r="4400" spans="2:11" x14ac:dyDescent="0.25">
      <c r="B4400"/>
      <c r="K4400"/>
    </row>
    <row r="4401" spans="2:11" x14ac:dyDescent="0.25">
      <c r="B4401"/>
      <c r="K4401"/>
    </row>
    <row r="4402" spans="2:11" x14ac:dyDescent="0.25">
      <c r="B4402"/>
      <c r="K4402"/>
    </row>
    <row r="4403" spans="2:11" x14ac:dyDescent="0.25">
      <c r="B4403"/>
      <c r="K4403"/>
    </row>
    <row r="4404" spans="2:11" x14ac:dyDescent="0.25">
      <c r="B4404"/>
      <c r="K4404"/>
    </row>
    <row r="4405" spans="2:11" x14ac:dyDescent="0.25">
      <c r="B4405"/>
      <c r="K4405"/>
    </row>
    <row r="4406" spans="2:11" x14ac:dyDescent="0.25">
      <c r="B4406"/>
      <c r="K4406"/>
    </row>
    <row r="4407" spans="2:11" x14ac:dyDescent="0.25">
      <c r="B4407"/>
      <c r="K4407"/>
    </row>
    <row r="4408" spans="2:11" x14ac:dyDescent="0.25">
      <c r="B4408"/>
      <c r="K4408"/>
    </row>
    <row r="4409" spans="2:11" x14ac:dyDescent="0.25">
      <c r="B4409"/>
      <c r="K4409"/>
    </row>
    <row r="4410" spans="2:11" x14ac:dyDescent="0.25">
      <c r="B4410"/>
      <c r="K4410"/>
    </row>
    <row r="4411" spans="2:11" x14ac:dyDescent="0.25">
      <c r="B4411"/>
      <c r="K4411"/>
    </row>
    <row r="4412" spans="2:11" x14ac:dyDescent="0.25">
      <c r="B4412"/>
      <c r="K4412"/>
    </row>
    <row r="4413" spans="2:11" x14ac:dyDescent="0.25">
      <c r="B4413"/>
      <c r="K4413"/>
    </row>
    <row r="4414" spans="2:11" x14ac:dyDescent="0.25">
      <c r="B4414"/>
      <c r="K4414"/>
    </row>
    <row r="4415" spans="2:11" x14ac:dyDescent="0.25">
      <c r="B4415"/>
      <c r="K4415"/>
    </row>
    <row r="4416" spans="2:11" x14ac:dyDescent="0.25">
      <c r="B4416"/>
      <c r="K4416"/>
    </row>
    <row r="4417" spans="2:11" x14ac:dyDescent="0.25">
      <c r="B4417"/>
      <c r="K4417"/>
    </row>
    <row r="4418" spans="2:11" x14ac:dyDescent="0.25">
      <c r="B4418"/>
      <c r="K4418"/>
    </row>
    <row r="4419" spans="2:11" x14ac:dyDescent="0.25">
      <c r="B4419"/>
      <c r="K4419"/>
    </row>
    <row r="4420" spans="2:11" x14ac:dyDescent="0.25">
      <c r="B4420"/>
      <c r="K4420"/>
    </row>
    <row r="4421" spans="2:11" x14ac:dyDescent="0.25">
      <c r="B4421"/>
      <c r="K4421"/>
    </row>
    <row r="4422" spans="2:11" x14ac:dyDescent="0.25">
      <c r="B4422"/>
      <c r="K4422"/>
    </row>
    <row r="4423" spans="2:11" x14ac:dyDescent="0.25">
      <c r="B4423"/>
      <c r="K4423"/>
    </row>
    <row r="4424" spans="2:11" x14ac:dyDescent="0.25">
      <c r="B4424"/>
      <c r="K4424"/>
    </row>
    <row r="4425" spans="2:11" x14ac:dyDescent="0.25">
      <c r="B4425"/>
      <c r="K4425"/>
    </row>
    <row r="4426" spans="2:11" x14ac:dyDescent="0.25">
      <c r="B4426"/>
      <c r="K4426"/>
    </row>
    <row r="4427" spans="2:11" x14ac:dyDescent="0.25">
      <c r="B4427"/>
      <c r="K4427"/>
    </row>
    <row r="4428" spans="2:11" x14ac:dyDescent="0.25">
      <c r="B4428"/>
      <c r="K4428"/>
    </row>
    <row r="4429" spans="2:11" x14ac:dyDescent="0.25">
      <c r="B4429"/>
      <c r="K4429"/>
    </row>
    <row r="4430" spans="2:11" x14ac:dyDescent="0.25">
      <c r="B4430"/>
      <c r="K4430"/>
    </row>
    <row r="4431" spans="2:11" x14ac:dyDescent="0.25">
      <c r="B4431"/>
      <c r="K4431"/>
    </row>
    <row r="4432" spans="2:11" x14ac:dyDescent="0.25">
      <c r="B4432"/>
      <c r="K4432"/>
    </row>
    <row r="4433" spans="2:11" x14ac:dyDescent="0.25">
      <c r="B4433"/>
      <c r="K4433"/>
    </row>
    <row r="4434" spans="2:11" x14ac:dyDescent="0.25">
      <c r="B4434"/>
      <c r="K4434"/>
    </row>
    <row r="4435" spans="2:11" x14ac:dyDescent="0.25">
      <c r="B4435"/>
      <c r="K4435"/>
    </row>
    <row r="4436" spans="2:11" x14ac:dyDescent="0.25">
      <c r="B4436"/>
      <c r="K4436"/>
    </row>
    <row r="4437" spans="2:11" x14ac:dyDescent="0.25">
      <c r="B4437"/>
      <c r="K4437"/>
    </row>
    <row r="4438" spans="2:11" x14ac:dyDescent="0.25">
      <c r="B4438"/>
      <c r="K4438"/>
    </row>
    <row r="4439" spans="2:11" x14ac:dyDescent="0.25">
      <c r="B4439"/>
      <c r="K4439"/>
    </row>
    <row r="4440" spans="2:11" x14ac:dyDescent="0.25">
      <c r="B4440"/>
      <c r="K4440"/>
    </row>
    <row r="4441" spans="2:11" x14ac:dyDescent="0.25">
      <c r="B4441"/>
      <c r="K4441"/>
    </row>
    <row r="4442" spans="2:11" x14ac:dyDescent="0.25">
      <c r="B4442"/>
      <c r="K4442"/>
    </row>
    <row r="4443" spans="2:11" x14ac:dyDescent="0.25">
      <c r="B4443"/>
      <c r="K4443"/>
    </row>
    <row r="4444" spans="2:11" x14ac:dyDescent="0.25">
      <c r="B4444"/>
      <c r="K4444"/>
    </row>
    <row r="4445" spans="2:11" x14ac:dyDescent="0.25">
      <c r="B4445"/>
      <c r="K4445"/>
    </row>
    <row r="4446" spans="2:11" x14ac:dyDescent="0.25">
      <c r="B4446"/>
      <c r="K4446"/>
    </row>
    <row r="4447" spans="2:11" x14ac:dyDescent="0.25">
      <c r="B4447"/>
      <c r="K4447"/>
    </row>
    <row r="4448" spans="2:11" x14ac:dyDescent="0.25">
      <c r="B4448"/>
      <c r="K4448"/>
    </row>
    <row r="4449" spans="2:11" x14ac:dyDescent="0.25">
      <c r="B4449"/>
      <c r="K4449"/>
    </row>
    <row r="4450" spans="2:11" x14ac:dyDescent="0.25">
      <c r="B4450"/>
      <c r="K4450"/>
    </row>
    <row r="4451" spans="2:11" x14ac:dyDescent="0.25">
      <c r="B4451"/>
      <c r="K4451"/>
    </row>
    <row r="4452" spans="2:11" x14ac:dyDescent="0.25">
      <c r="B4452"/>
      <c r="K4452"/>
    </row>
    <row r="4453" spans="2:11" x14ac:dyDescent="0.25">
      <c r="B4453"/>
      <c r="K4453"/>
    </row>
    <row r="4454" spans="2:11" x14ac:dyDescent="0.25">
      <c r="B4454"/>
      <c r="K4454"/>
    </row>
    <row r="4455" spans="2:11" x14ac:dyDescent="0.25">
      <c r="B4455"/>
      <c r="K4455"/>
    </row>
    <row r="4456" spans="2:11" x14ac:dyDescent="0.25">
      <c r="B4456"/>
      <c r="K4456"/>
    </row>
    <row r="4457" spans="2:11" x14ac:dyDescent="0.25">
      <c r="B4457"/>
      <c r="K4457"/>
    </row>
    <row r="4458" spans="2:11" x14ac:dyDescent="0.25">
      <c r="B4458"/>
      <c r="K4458"/>
    </row>
    <row r="4459" spans="2:11" x14ac:dyDescent="0.25">
      <c r="B4459"/>
      <c r="K4459"/>
    </row>
    <row r="4460" spans="2:11" x14ac:dyDescent="0.25">
      <c r="B4460"/>
      <c r="K4460"/>
    </row>
    <row r="4461" spans="2:11" x14ac:dyDescent="0.25">
      <c r="B4461"/>
      <c r="K4461"/>
    </row>
    <row r="4462" spans="2:11" x14ac:dyDescent="0.25">
      <c r="B4462"/>
      <c r="K4462"/>
    </row>
    <row r="4463" spans="2:11" x14ac:dyDescent="0.25">
      <c r="B4463"/>
      <c r="K4463"/>
    </row>
    <row r="4464" spans="2:11" x14ac:dyDescent="0.25">
      <c r="B4464"/>
      <c r="K4464"/>
    </row>
    <row r="4465" spans="2:11" x14ac:dyDescent="0.25">
      <c r="B4465"/>
      <c r="K4465"/>
    </row>
    <row r="4466" spans="2:11" x14ac:dyDescent="0.25">
      <c r="B4466"/>
      <c r="K4466"/>
    </row>
    <row r="4467" spans="2:11" x14ac:dyDescent="0.25">
      <c r="B4467"/>
      <c r="K4467"/>
    </row>
    <row r="4468" spans="2:11" x14ac:dyDescent="0.25">
      <c r="B4468"/>
      <c r="K4468"/>
    </row>
    <row r="4469" spans="2:11" x14ac:dyDescent="0.25">
      <c r="B4469"/>
      <c r="K4469"/>
    </row>
    <row r="4470" spans="2:11" x14ac:dyDescent="0.25">
      <c r="B4470"/>
      <c r="K4470"/>
    </row>
    <row r="4471" spans="2:11" x14ac:dyDescent="0.25">
      <c r="B4471"/>
      <c r="K4471"/>
    </row>
    <row r="4472" spans="2:11" x14ac:dyDescent="0.25">
      <c r="B4472"/>
      <c r="K4472"/>
    </row>
    <row r="4473" spans="2:11" x14ac:dyDescent="0.25">
      <c r="B4473"/>
      <c r="K4473"/>
    </row>
    <row r="4474" spans="2:11" x14ac:dyDescent="0.25">
      <c r="B4474"/>
      <c r="K4474"/>
    </row>
    <row r="4475" spans="2:11" x14ac:dyDescent="0.25">
      <c r="B4475"/>
      <c r="K4475"/>
    </row>
    <row r="4476" spans="2:11" x14ac:dyDescent="0.25">
      <c r="B4476"/>
      <c r="K4476"/>
    </row>
    <row r="4477" spans="2:11" x14ac:dyDescent="0.25">
      <c r="B4477"/>
      <c r="K4477"/>
    </row>
    <row r="4478" spans="2:11" x14ac:dyDescent="0.25">
      <c r="B4478"/>
      <c r="K4478"/>
    </row>
    <row r="4479" spans="2:11" x14ac:dyDescent="0.25">
      <c r="B4479"/>
      <c r="K4479"/>
    </row>
    <row r="4480" spans="2:11" x14ac:dyDescent="0.25">
      <c r="B4480"/>
      <c r="K4480"/>
    </row>
    <row r="4481" spans="2:11" x14ac:dyDescent="0.25">
      <c r="B4481"/>
      <c r="K4481"/>
    </row>
    <row r="4482" spans="2:11" x14ac:dyDescent="0.25">
      <c r="B4482"/>
      <c r="K4482"/>
    </row>
    <row r="4483" spans="2:11" x14ac:dyDescent="0.25">
      <c r="B4483"/>
      <c r="K4483"/>
    </row>
    <row r="4484" spans="2:11" x14ac:dyDescent="0.25">
      <c r="B4484"/>
      <c r="K4484"/>
    </row>
    <row r="4485" spans="2:11" x14ac:dyDescent="0.25">
      <c r="B4485"/>
      <c r="K4485"/>
    </row>
    <row r="4486" spans="2:11" x14ac:dyDescent="0.25">
      <c r="B4486"/>
      <c r="K4486"/>
    </row>
    <row r="4487" spans="2:11" x14ac:dyDescent="0.25">
      <c r="B4487"/>
      <c r="K4487"/>
    </row>
    <row r="4488" spans="2:11" x14ac:dyDescent="0.25">
      <c r="B4488"/>
      <c r="K4488"/>
    </row>
    <row r="4489" spans="2:11" x14ac:dyDescent="0.25">
      <c r="B4489"/>
      <c r="K4489"/>
    </row>
    <row r="4490" spans="2:11" x14ac:dyDescent="0.25">
      <c r="B4490"/>
      <c r="K4490"/>
    </row>
    <row r="4491" spans="2:11" x14ac:dyDescent="0.25">
      <c r="B4491"/>
      <c r="K4491"/>
    </row>
    <row r="4492" spans="2:11" x14ac:dyDescent="0.25">
      <c r="B4492"/>
      <c r="K4492"/>
    </row>
    <row r="4493" spans="2:11" x14ac:dyDescent="0.25">
      <c r="B4493"/>
      <c r="K4493"/>
    </row>
    <row r="4494" spans="2:11" x14ac:dyDescent="0.25">
      <c r="B4494"/>
      <c r="K4494"/>
    </row>
    <row r="4495" spans="2:11" x14ac:dyDescent="0.25">
      <c r="B4495"/>
      <c r="K4495"/>
    </row>
    <row r="4496" spans="2:11" x14ac:dyDescent="0.25">
      <c r="B4496"/>
      <c r="K4496"/>
    </row>
    <row r="4497" spans="2:11" x14ac:dyDescent="0.25">
      <c r="B4497"/>
      <c r="K4497"/>
    </row>
    <row r="4498" spans="2:11" x14ac:dyDescent="0.25">
      <c r="B4498"/>
      <c r="K4498"/>
    </row>
    <row r="4499" spans="2:11" x14ac:dyDescent="0.25">
      <c r="B4499"/>
      <c r="K4499"/>
    </row>
    <row r="4500" spans="2:11" x14ac:dyDescent="0.25">
      <c r="B4500"/>
      <c r="K4500"/>
    </row>
    <row r="4501" spans="2:11" x14ac:dyDescent="0.25">
      <c r="B4501"/>
      <c r="K4501"/>
    </row>
    <row r="4502" spans="2:11" x14ac:dyDescent="0.25">
      <c r="B4502"/>
      <c r="K4502"/>
    </row>
    <row r="4503" spans="2:11" x14ac:dyDescent="0.25">
      <c r="B4503"/>
      <c r="K4503"/>
    </row>
    <row r="4504" spans="2:11" x14ac:dyDescent="0.25">
      <c r="B4504"/>
      <c r="K4504"/>
    </row>
    <row r="4505" spans="2:11" x14ac:dyDescent="0.25">
      <c r="B4505"/>
      <c r="K4505"/>
    </row>
    <row r="4506" spans="2:11" x14ac:dyDescent="0.25">
      <c r="B4506"/>
      <c r="K4506"/>
    </row>
    <row r="4507" spans="2:11" x14ac:dyDescent="0.25">
      <c r="B4507"/>
      <c r="K4507"/>
    </row>
    <row r="4508" spans="2:11" x14ac:dyDescent="0.25">
      <c r="B4508"/>
      <c r="K4508"/>
    </row>
    <row r="4509" spans="2:11" x14ac:dyDescent="0.25">
      <c r="B4509"/>
      <c r="K4509"/>
    </row>
    <row r="4510" spans="2:11" x14ac:dyDescent="0.25">
      <c r="B4510"/>
      <c r="K4510"/>
    </row>
    <row r="4511" spans="2:11" x14ac:dyDescent="0.25">
      <c r="B4511"/>
      <c r="K4511"/>
    </row>
    <row r="4512" spans="2:11" x14ac:dyDescent="0.25">
      <c r="B4512"/>
      <c r="K4512"/>
    </row>
    <row r="4513" spans="2:11" x14ac:dyDescent="0.25">
      <c r="B4513"/>
      <c r="K4513"/>
    </row>
    <row r="4514" spans="2:11" x14ac:dyDescent="0.25">
      <c r="B4514"/>
      <c r="K4514"/>
    </row>
    <row r="4515" spans="2:11" x14ac:dyDescent="0.25">
      <c r="B4515"/>
      <c r="K4515"/>
    </row>
    <row r="4516" spans="2:11" x14ac:dyDescent="0.25">
      <c r="B4516"/>
      <c r="K4516"/>
    </row>
    <row r="4517" spans="2:11" x14ac:dyDescent="0.25">
      <c r="B4517"/>
      <c r="K4517"/>
    </row>
    <row r="4518" spans="2:11" x14ac:dyDescent="0.25">
      <c r="B4518"/>
      <c r="K4518"/>
    </row>
    <row r="4519" spans="2:11" x14ac:dyDescent="0.25">
      <c r="B4519"/>
      <c r="K4519"/>
    </row>
    <row r="4520" spans="2:11" x14ac:dyDescent="0.25">
      <c r="B4520"/>
      <c r="K4520"/>
    </row>
    <row r="4521" spans="2:11" x14ac:dyDescent="0.25">
      <c r="B4521"/>
      <c r="K4521"/>
    </row>
    <row r="4522" spans="2:11" x14ac:dyDescent="0.25">
      <c r="B4522"/>
      <c r="K4522"/>
    </row>
    <row r="4523" spans="2:11" x14ac:dyDescent="0.25">
      <c r="B4523"/>
      <c r="K4523"/>
    </row>
    <row r="4524" spans="2:11" x14ac:dyDescent="0.25">
      <c r="B4524"/>
      <c r="K4524"/>
    </row>
    <row r="4525" spans="2:11" x14ac:dyDescent="0.25">
      <c r="B4525"/>
      <c r="K4525"/>
    </row>
    <row r="4526" spans="2:11" x14ac:dyDescent="0.25">
      <c r="B4526"/>
      <c r="K4526"/>
    </row>
    <row r="4527" spans="2:11" x14ac:dyDescent="0.25">
      <c r="B4527"/>
      <c r="K4527"/>
    </row>
    <row r="4528" spans="2:11" x14ac:dyDescent="0.25">
      <c r="B4528"/>
      <c r="K4528"/>
    </row>
    <row r="4529" spans="2:11" x14ac:dyDescent="0.25">
      <c r="B4529"/>
      <c r="K4529"/>
    </row>
    <row r="4530" spans="2:11" x14ac:dyDescent="0.25">
      <c r="B4530"/>
      <c r="K4530"/>
    </row>
    <row r="4531" spans="2:11" x14ac:dyDescent="0.25">
      <c r="B4531"/>
      <c r="K4531"/>
    </row>
    <row r="4532" spans="2:11" x14ac:dyDescent="0.25">
      <c r="B4532"/>
      <c r="K4532"/>
    </row>
    <row r="4533" spans="2:11" x14ac:dyDescent="0.25">
      <c r="B4533"/>
      <c r="K4533"/>
    </row>
    <row r="4534" spans="2:11" x14ac:dyDescent="0.25">
      <c r="B4534"/>
      <c r="K4534"/>
    </row>
    <row r="4535" spans="2:11" x14ac:dyDescent="0.25">
      <c r="B4535"/>
      <c r="K4535"/>
    </row>
    <row r="4536" spans="2:11" x14ac:dyDescent="0.25">
      <c r="B4536"/>
      <c r="K4536"/>
    </row>
    <row r="4537" spans="2:11" x14ac:dyDescent="0.25">
      <c r="B4537"/>
      <c r="K4537"/>
    </row>
    <row r="4538" spans="2:11" x14ac:dyDescent="0.25">
      <c r="B4538"/>
      <c r="K4538"/>
    </row>
    <row r="4539" spans="2:11" x14ac:dyDescent="0.25">
      <c r="B4539"/>
      <c r="K4539"/>
    </row>
    <row r="4540" spans="2:11" x14ac:dyDescent="0.25">
      <c r="B4540"/>
      <c r="K4540"/>
    </row>
    <row r="4541" spans="2:11" x14ac:dyDescent="0.25">
      <c r="B4541"/>
      <c r="K4541"/>
    </row>
    <row r="4542" spans="2:11" x14ac:dyDescent="0.25">
      <c r="B4542"/>
      <c r="K4542"/>
    </row>
    <row r="4543" spans="2:11" x14ac:dyDescent="0.25">
      <c r="B4543"/>
      <c r="K4543"/>
    </row>
    <row r="4544" spans="2:11" x14ac:dyDescent="0.25">
      <c r="B4544"/>
      <c r="K4544"/>
    </row>
    <row r="4545" spans="2:11" x14ac:dyDescent="0.25">
      <c r="B4545"/>
      <c r="K4545"/>
    </row>
    <row r="4546" spans="2:11" x14ac:dyDescent="0.25">
      <c r="B4546"/>
      <c r="K4546"/>
    </row>
    <row r="4547" spans="2:11" x14ac:dyDescent="0.25">
      <c r="B4547"/>
      <c r="K4547"/>
    </row>
    <row r="4548" spans="2:11" x14ac:dyDescent="0.25">
      <c r="B4548"/>
      <c r="K4548"/>
    </row>
    <row r="4549" spans="2:11" x14ac:dyDescent="0.25">
      <c r="B4549"/>
      <c r="K4549"/>
    </row>
    <row r="4550" spans="2:11" x14ac:dyDescent="0.25">
      <c r="B4550"/>
      <c r="K4550"/>
    </row>
    <row r="4551" spans="2:11" x14ac:dyDescent="0.25">
      <c r="B4551"/>
      <c r="K4551"/>
    </row>
    <row r="4552" spans="2:11" x14ac:dyDescent="0.25">
      <c r="B4552"/>
      <c r="K4552"/>
    </row>
    <row r="4553" spans="2:11" x14ac:dyDescent="0.25">
      <c r="B4553"/>
      <c r="K4553"/>
    </row>
    <row r="4554" spans="2:11" x14ac:dyDescent="0.25">
      <c r="B4554"/>
      <c r="K4554"/>
    </row>
    <row r="4555" spans="2:11" x14ac:dyDescent="0.25">
      <c r="B4555"/>
      <c r="K4555"/>
    </row>
    <row r="4556" spans="2:11" x14ac:dyDescent="0.25">
      <c r="B4556"/>
      <c r="K4556"/>
    </row>
    <row r="4557" spans="2:11" x14ac:dyDescent="0.25">
      <c r="B4557"/>
      <c r="K4557"/>
    </row>
    <row r="4558" spans="2:11" x14ac:dyDescent="0.25">
      <c r="B4558"/>
      <c r="K4558"/>
    </row>
    <row r="4559" spans="2:11" x14ac:dyDescent="0.25">
      <c r="B4559"/>
      <c r="K4559"/>
    </row>
    <row r="4560" spans="2:11" x14ac:dyDescent="0.25">
      <c r="B4560"/>
      <c r="K4560"/>
    </row>
    <row r="4561" spans="2:11" x14ac:dyDescent="0.25">
      <c r="B4561"/>
      <c r="K4561"/>
    </row>
    <row r="4562" spans="2:11" x14ac:dyDescent="0.25">
      <c r="B4562"/>
      <c r="K4562"/>
    </row>
    <row r="4563" spans="2:11" x14ac:dyDescent="0.25">
      <c r="B4563"/>
      <c r="K4563"/>
    </row>
    <row r="4564" spans="2:11" x14ac:dyDescent="0.25">
      <c r="B4564"/>
      <c r="K4564"/>
    </row>
    <row r="4565" spans="2:11" x14ac:dyDescent="0.25">
      <c r="B4565"/>
      <c r="K4565"/>
    </row>
    <row r="4566" spans="2:11" x14ac:dyDescent="0.25">
      <c r="B4566"/>
      <c r="K4566"/>
    </row>
    <row r="4567" spans="2:11" x14ac:dyDescent="0.25">
      <c r="B4567"/>
      <c r="K4567"/>
    </row>
    <row r="4568" spans="2:11" x14ac:dyDescent="0.25">
      <c r="B4568"/>
      <c r="K4568"/>
    </row>
    <row r="4569" spans="2:11" x14ac:dyDescent="0.25">
      <c r="B4569"/>
      <c r="K4569"/>
    </row>
    <row r="4570" spans="2:11" x14ac:dyDescent="0.25">
      <c r="B4570"/>
      <c r="K4570"/>
    </row>
    <row r="4571" spans="2:11" x14ac:dyDescent="0.25">
      <c r="B4571"/>
      <c r="K4571"/>
    </row>
    <row r="4572" spans="2:11" x14ac:dyDescent="0.25">
      <c r="B4572"/>
      <c r="K4572"/>
    </row>
    <row r="4573" spans="2:11" x14ac:dyDescent="0.25">
      <c r="B4573"/>
      <c r="K4573"/>
    </row>
    <row r="4574" spans="2:11" x14ac:dyDescent="0.25">
      <c r="B4574"/>
      <c r="K4574"/>
    </row>
    <row r="4575" spans="2:11" x14ac:dyDescent="0.25">
      <c r="B4575"/>
      <c r="K4575"/>
    </row>
    <row r="4576" spans="2:11" x14ac:dyDescent="0.25">
      <c r="B4576"/>
      <c r="K4576"/>
    </row>
    <row r="4577" spans="2:11" x14ac:dyDescent="0.25">
      <c r="B4577"/>
      <c r="K4577"/>
    </row>
    <row r="4578" spans="2:11" x14ac:dyDescent="0.25">
      <c r="B4578"/>
      <c r="K4578"/>
    </row>
    <row r="4579" spans="2:11" x14ac:dyDescent="0.25">
      <c r="B4579"/>
      <c r="K4579"/>
    </row>
    <row r="4580" spans="2:11" x14ac:dyDescent="0.25">
      <c r="B4580"/>
      <c r="K4580"/>
    </row>
    <row r="4581" spans="2:11" x14ac:dyDescent="0.25">
      <c r="B4581"/>
      <c r="K4581"/>
    </row>
    <row r="4582" spans="2:11" x14ac:dyDescent="0.25">
      <c r="B4582"/>
      <c r="K4582"/>
    </row>
    <row r="4583" spans="2:11" x14ac:dyDescent="0.25">
      <c r="B4583"/>
      <c r="K4583"/>
    </row>
    <row r="4584" spans="2:11" x14ac:dyDescent="0.25">
      <c r="B4584"/>
      <c r="K4584"/>
    </row>
    <row r="4585" spans="2:11" x14ac:dyDescent="0.25">
      <c r="B4585"/>
      <c r="K4585"/>
    </row>
    <row r="4586" spans="2:11" x14ac:dyDescent="0.25">
      <c r="B4586"/>
      <c r="K4586"/>
    </row>
    <row r="4587" spans="2:11" x14ac:dyDescent="0.25">
      <c r="B4587"/>
      <c r="K4587"/>
    </row>
    <row r="4588" spans="2:11" x14ac:dyDescent="0.25">
      <c r="B4588"/>
      <c r="K4588"/>
    </row>
    <row r="4589" spans="2:11" x14ac:dyDescent="0.25">
      <c r="B4589"/>
      <c r="K4589"/>
    </row>
    <row r="4590" spans="2:11" x14ac:dyDescent="0.25">
      <c r="B4590"/>
      <c r="K4590"/>
    </row>
    <row r="4591" spans="2:11" x14ac:dyDescent="0.25">
      <c r="B4591"/>
      <c r="K4591"/>
    </row>
    <row r="4592" spans="2:11" x14ac:dyDescent="0.25">
      <c r="B4592"/>
      <c r="K4592"/>
    </row>
    <row r="4593" spans="2:11" x14ac:dyDescent="0.25">
      <c r="B4593"/>
      <c r="K4593"/>
    </row>
    <row r="4594" spans="2:11" x14ac:dyDescent="0.25">
      <c r="B4594"/>
      <c r="K4594"/>
    </row>
    <row r="4595" spans="2:11" x14ac:dyDescent="0.25">
      <c r="B4595"/>
      <c r="K4595"/>
    </row>
    <row r="4596" spans="2:11" x14ac:dyDescent="0.25">
      <c r="B4596"/>
      <c r="K4596"/>
    </row>
    <row r="4597" spans="2:11" x14ac:dyDescent="0.25">
      <c r="B4597"/>
      <c r="K4597"/>
    </row>
    <row r="4598" spans="2:11" x14ac:dyDescent="0.25">
      <c r="B4598"/>
      <c r="K4598"/>
    </row>
    <row r="4599" spans="2:11" x14ac:dyDescent="0.25">
      <c r="B4599"/>
      <c r="K4599"/>
    </row>
    <row r="4600" spans="2:11" x14ac:dyDescent="0.25">
      <c r="B4600"/>
      <c r="K4600"/>
    </row>
    <row r="4601" spans="2:11" x14ac:dyDescent="0.25">
      <c r="B4601"/>
      <c r="K4601"/>
    </row>
    <row r="4602" spans="2:11" x14ac:dyDescent="0.25">
      <c r="B4602"/>
      <c r="K4602"/>
    </row>
    <row r="4603" spans="2:11" x14ac:dyDescent="0.25">
      <c r="B4603"/>
      <c r="K4603"/>
    </row>
    <row r="4604" spans="2:11" x14ac:dyDescent="0.25">
      <c r="B4604"/>
      <c r="K4604"/>
    </row>
    <row r="4605" spans="2:11" x14ac:dyDescent="0.25">
      <c r="B4605"/>
      <c r="K4605"/>
    </row>
    <row r="4606" spans="2:11" x14ac:dyDescent="0.25">
      <c r="B4606"/>
      <c r="K4606"/>
    </row>
    <row r="4607" spans="2:11" x14ac:dyDescent="0.25">
      <c r="B4607"/>
      <c r="K4607"/>
    </row>
    <row r="4608" spans="2:11" x14ac:dyDescent="0.25">
      <c r="B4608"/>
      <c r="K4608"/>
    </row>
    <row r="4609" spans="2:11" x14ac:dyDescent="0.25">
      <c r="B4609"/>
      <c r="K4609"/>
    </row>
    <row r="4610" spans="2:11" x14ac:dyDescent="0.25">
      <c r="B4610"/>
      <c r="K4610"/>
    </row>
    <row r="4611" spans="2:11" x14ac:dyDescent="0.25">
      <c r="B4611"/>
      <c r="K4611"/>
    </row>
    <row r="4612" spans="2:11" x14ac:dyDescent="0.25">
      <c r="B4612"/>
      <c r="K4612"/>
    </row>
    <row r="4613" spans="2:11" x14ac:dyDescent="0.25">
      <c r="B4613"/>
      <c r="K4613"/>
    </row>
    <row r="4614" spans="2:11" x14ac:dyDescent="0.25">
      <c r="B4614"/>
      <c r="K4614"/>
    </row>
    <row r="4615" spans="2:11" x14ac:dyDescent="0.25">
      <c r="B4615"/>
      <c r="K4615"/>
    </row>
    <row r="4616" spans="2:11" x14ac:dyDescent="0.25">
      <c r="B4616"/>
      <c r="K4616"/>
    </row>
    <row r="4617" spans="2:11" x14ac:dyDescent="0.25">
      <c r="B4617"/>
      <c r="K4617"/>
    </row>
    <row r="4618" spans="2:11" x14ac:dyDescent="0.25">
      <c r="B4618"/>
      <c r="K4618"/>
    </row>
    <row r="4619" spans="2:11" x14ac:dyDescent="0.25">
      <c r="B4619"/>
      <c r="K4619"/>
    </row>
    <row r="4620" spans="2:11" x14ac:dyDescent="0.25">
      <c r="B4620"/>
      <c r="K4620"/>
    </row>
    <row r="4621" spans="2:11" x14ac:dyDescent="0.25">
      <c r="B4621"/>
      <c r="K4621"/>
    </row>
    <row r="4622" spans="2:11" x14ac:dyDescent="0.25">
      <c r="B4622"/>
      <c r="K4622"/>
    </row>
    <row r="4623" spans="2:11" x14ac:dyDescent="0.25">
      <c r="B4623"/>
      <c r="K4623"/>
    </row>
    <row r="4624" spans="2:11" x14ac:dyDescent="0.25">
      <c r="B4624"/>
      <c r="K4624"/>
    </row>
    <row r="4625" spans="2:11" x14ac:dyDescent="0.25">
      <c r="B4625"/>
      <c r="K4625"/>
    </row>
    <row r="4626" spans="2:11" x14ac:dyDescent="0.25">
      <c r="B4626"/>
      <c r="K4626"/>
    </row>
    <row r="4627" spans="2:11" x14ac:dyDescent="0.25">
      <c r="B4627"/>
      <c r="K4627"/>
    </row>
    <row r="4628" spans="2:11" x14ac:dyDescent="0.25">
      <c r="B4628"/>
      <c r="K4628"/>
    </row>
    <row r="4629" spans="2:11" x14ac:dyDescent="0.25">
      <c r="B4629"/>
      <c r="K4629"/>
    </row>
    <row r="4630" spans="2:11" x14ac:dyDescent="0.25">
      <c r="B4630"/>
      <c r="K4630"/>
    </row>
    <row r="4631" spans="2:11" x14ac:dyDescent="0.25">
      <c r="B4631"/>
      <c r="K4631"/>
    </row>
    <row r="4632" spans="2:11" x14ac:dyDescent="0.25">
      <c r="B4632"/>
      <c r="K4632"/>
    </row>
    <row r="4633" spans="2:11" x14ac:dyDescent="0.25">
      <c r="B4633"/>
      <c r="K4633"/>
    </row>
    <row r="4634" spans="2:11" x14ac:dyDescent="0.25">
      <c r="B4634"/>
      <c r="K4634"/>
    </row>
    <row r="4635" spans="2:11" x14ac:dyDescent="0.25">
      <c r="B4635"/>
      <c r="K4635"/>
    </row>
    <row r="4636" spans="2:11" x14ac:dyDescent="0.25">
      <c r="B4636"/>
      <c r="K4636"/>
    </row>
    <row r="4637" spans="2:11" x14ac:dyDescent="0.25">
      <c r="B4637"/>
      <c r="K4637"/>
    </row>
    <row r="4638" spans="2:11" x14ac:dyDescent="0.25">
      <c r="B4638"/>
      <c r="K4638"/>
    </row>
    <row r="4639" spans="2:11" x14ac:dyDescent="0.25">
      <c r="B4639"/>
      <c r="K4639"/>
    </row>
    <row r="4640" spans="2:11" x14ac:dyDescent="0.25">
      <c r="B4640"/>
      <c r="K4640"/>
    </row>
    <row r="4641" spans="2:11" x14ac:dyDescent="0.25">
      <c r="B4641"/>
      <c r="K4641"/>
    </row>
    <row r="4642" spans="2:11" x14ac:dyDescent="0.25">
      <c r="B4642"/>
      <c r="K4642"/>
    </row>
    <row r="4643" spans="2:11" x14ac:dyDescent="0.25">
      <c r="B4643"/>
      <c r="K4643"/>
    </row>
    <row r="4644" spans="2:11" x14ac:dyDescent="0.25">
      <c r="B4644"/>
      <c r="K4644"/>
    </row>
    <row r="4645" spans="2:11" x14ac:dyDescent="0.25">
      <c r="B4645"/>
      <c r="K4645"/>
    </row>
    <row r="4646" spans="2:11" x14ac:dyDescent="0.25">
      <c r="B4646"/>
      <c r="K4646"/>
    </row>
    <row r="4647" spans="2:11" x14ac:dyDescent="0.25">
      <c r="B4647"/>
      <c r="K4647"/>
    </row>
    <row r="4648" spans="2:11" x14ac:dyDescent="0.25">
      <c r="B4648"/>
      <c r="K4648"/>
    </row>
    <row r="4649" spans="2:11" x14ac:dyDescent="0.25">
      <c r="B4649"/>
      <c r="K4649"/>
    </row>
    <row r="4650" spans="2:11" x14ac:dyDescent="0.25">
      <c r="B4650"/>
      <c r="K4650"/>
    </row>
    <row r="4651" spans="2:11" x14ac:dyDescent="0.25">
      <c r="B4651"/>
      <c r="K4651"/>
    </row>
    <row r="4652" spans="2:11" x14ac:dyDescent="0.25">
      <c r="B4652"/>
      <c r="K4652"/>
    </row>
    <row r="4653" spans="2:11" x14ac:dyDescent="0.25">
      <c r="B4653"/>
      <c r="K4653"/>
    </row>
    <row r="4654" spans="2:11" x14ac:dyDescent="0.25">
      <c r="B4654"/>
      <c r="K4654"/>
    </row>
    <row r="4655" spans="2:11" x14ac:dyDescent="0.25">
      <c r="B4655"/>
      <c r="K4655"/>
    </row>
    <row r="4656" spans="2:11" x14ac:dyDescent="0.25">
      <c r="B4656"/>
      <c r="K4656"/>
    </row>
    <row r="4657" spans="2:11" x14ac:dyDescent="0.25">
      <c r="B4657"/>
      <c r="K4657"/>
    </row>
    <row r="4658" spans="2:11" x14ac:dyDescent="0.25">
      <c r="B4658"/>
      <c r="K4658"/>
    </row>
    <row r="4659" spans="2:11" x14ac:dyDescent="0.25">
      <c r="B4659"/>
      <c r="K4659"/>
    </row>
    <row r="4660" spans="2:11" x14ac:dyDescent="0.25">
      <c r="B4660"/>
      <c r="K4660"/>
    </row>
    <row r="4661" spans="2:11" x14ac:dyDescent="0.25">
      <c r="B4661"/>
      <c r="K4661"/>
    </row>
    <row r="4662" spans="2:11" x14ac:dyDescent="0.25">
      <c r="B4662"/>
      <c r="K4662"/>
    </row>
    <row r="4663" spans="2:11" x14ac:dyDescent="0.25">
      <c r="B4663"/>
      <c r="K4663"/>
    </row>
    <row r="4664" spans="2:11" x14ac:dyDescent="0.25">
      <c r="B4664"/>
      <c r="K4664"/>
    </row>
    <row r="4665" spans="2:11" x14ac:dyDescent="0.25">
      <c r="B4665"/>
      <c r="K4665"/>
    </row>
    <row r="4666" spans="2:11" x14ac:dyDescent="0.25">
      <c r="B4666"/>
      <c r="K4666"/>
    </row>
    <row r="4667" spans="2:11" x14ac:dyDescent="0.25">
      <c r="B4667"/>
      <c r="K4667"/>
    </row>
    <row r="4668" spans="2:11" x14ac:dyDescent="0.25">
      <c r="B4668"/>
      <c r="K4668"/>
    </row>
    <row r="4669" spans="2:11" x14ac:dyDescent="0.25">
      <c r="B4669"/>
      <c r="K4669"/>
    </row>
    <row r="4670" spans="2:11" x14ac:dyDescent="0.25">
      <c r="B4670"/>
      <c r="K4670"/>
    </row>
    <row r="4671" spans="2:11" x14ac:dyDescent="0.25">
      <c r="B4671"/>
      <c r="K4671"/>
    </row>
    <row r="4672" spans="2:11" x14ac:dyDescent="0.25">
      <c r="B4672"/>
      <c r="K4672"/>
    </row>
    <row r="4673" spans="2:11" x14ac:dyDescent="0.25">
      <c r="B4673"/>
      <c r="K4673"/>
    </row>
    <row r="4674" spans="2:11" x14ac:dyDescent="0.25">
      <c r="B4674"/>
      <c r="K4674"/>
    </row>
    <row r="4675" spans="2:11" x14ac:dyDescent="0.25">
      <c r="B4675"/>
      <c r="K4675"/>
    </row>
    <row r="4676" spans="2:11" x14ac:dyDescent="0.25">
      <c r="B4676"/>
      <c r="K4676"/>
    </row>
    <row r="4677" spans="2:11" x14ac:dyDescent="0.25">
      <c r="B4677"/>
      <c r="K4677"/>
    </row>
    <row r="4678" spans="2:11" x14ac:dyDescent="0.25">
      <c r="B4678"/>
      <c r="K4678"/>
    </row>
    <row r="4679" spans="2:11" x14ac:dyDescent="0.25">
      <c r="B4679"/>
      <c r="K4679"/>
    </row>
    <row r="4680" spans="2:11" x14ac:dyDescent="0.25">
      <c r="B4680"/>
      <c r="K4680"/>
    </row>
    <row r="4681" spans="2:11" x14ac:dyDescent="0.25">
      <c r="B4681"/>
      <c r="K4681"/>
    </row>
    <row r="4682" spans="2:11" x14ac:dyDescent="0.25">
      <c r="B4682"/>
      <c r="K4682"/>
    </row>
    <row r="4683" spans="2:11" x14ac:dyDescent="0.25">
      <c r="B4683"/>
      <c r="K4683"/>
    </row>
    <row r="4684" spans="2:11" x14ac:dyDescent="0.25">
      <c r="B4684"/>
      <c r="K4684"/>
    </row>
    <row r="4685" spans="2:11" x14ac:dyDescent="0.25">
      <c r="B4685"/>
      <c r="K4685"/>
    </row>
    <row r="4686" spans="2:11" x14ac:dyDescent="0.25">
      <c r="B4686"/>
      <c r="K4686"/>
    </row>
    <row r="4687" spans="2:11" x14ac:dyDescent="0.25">
      <c r="B4687"/>
      <c r="K4687"/>
    </row>
    <row r="4688" spans="2:11" x14ac:dyDescent="0.25">
      <c r="B4688"/>
      <c r="K4688"/>
    </row>
    <row r="4689" spans="2:11" x14ac:dyDescent="0.25">
      <c r="B4689"/>
      <c r="K4689"/>
    </row>
    <row r="4690" spans="2:11" x14ac:dyDescent="0.25">
      <c r="B4690"/>
      <c r="K4690"/>
    </row>
    <row r="4691" spans="2:11" x14ac:dyDescent="0.25">
      <c r="B4691"/>
      <c r="K4691"/>
    </row>
    <row r="4692" spans="2:11" x14ac:dyDescent="0.25">
      <c r="B4692"/>
      <c r="K4692"/>
    </row>
    <row r="4693" spans="2:11" x14ac:dyDescent="0.25">
      <c r="B4693"/>
      <c r="K4693"/>
    </row>
    <row r="4694" spans="2:11" x14ac:dyDescent="0.25">
      <c r="B4694"/>
      <c r="K4694"/>
    </row>
    <row r="4695" spans="2:11" x14ac:dyDescent="0.25">
      <c r="B4695"/>
      <c r="K4695"/>
    </row>
    <row r="4696" spans="2:11" x14ac:dyDescent="0.25">
      <c r="B4696"/>
      <c r="K4696"/>
    </row>
    <row r="4697" spans="2:11" x14ac:dyDescent="0.25">
      <c r="B4697"/>
      <c r="K4697"/>
    </row>
    <row r="4698" spans="2:11" x14ac:dyDescent="0.25">
      <c r="B4698"/>
      <c r="K4698"/>
    </row>
    <row r="4699" spans="2:11" x14ac:dyDescent="0.25">
      <c r="B4699"/>
      <c r="K4699"/>
    </row>
    <row r="4700" spans="2:11" x14ac:dyDescent="0.25">
      <c r="B4700"/>
      <c r="K4700"/>
    </row>
    <row r="4701" spans="2:11" x14ac:dyDescent="0.25">
      <c r="B4701"/>
      <c r="K4701"/>
    </row>
    <row r="4702" spans="2:11" x14ac:dyDescent="0.25">
      <c r="B4702"/>
      <c r="K4702"/>
    </row>
    <row r="4703" spans="2:11" x14ac:dyDescent="0.25">
      <c r="B4703"/>
      <c r="K4703"/>
    </row>
    <row r="4704" spans="2:11" x14ac:dyDescent="0.25">
      <c r="B4704"/>
      <c r="K4704"/>
    </row>
    <row r="4705" spans="2:11" x14ac:dyDescent="0.25">
      <c r="B4705"/>
      <c r="K4705"/>
    </row>
    <row r="4706" spans="2:11" x14ac:dyDescent="0.25">
      <c r="B4706"/>
      <c r="K4706"/>
    </row>
    <row r="4707" spans="2:11" x14ac:dyDescent="0.25">
      <c r="B4707"/>
      <c r="K4707"/>
    </row>
    <row r="4708" spans="2:11" x14ac:dyDescent="0.25">
      <c r="B4708"/>
      <c r="K4708"/>
    </row>
    <row r="4709" spans="2:11" x14ac:dyDescent="0.25">
      <c r="B4709"/>
      <c r="K4709"/>
    </row>
    <row r="4710" spans="2:11" x14ac:dyDescent="0.25">
      <c r="B4710"/>
      <c r="K4710"/>
    </row>
    <row r="4711" spans="2:11" x14ac:dyDescent="0.25">
      <c r="B4711"/>
      <c r="K4711"/>
    </row>
    <row r="4712" spans="2:11" x14ac:dyDescent="0.25">
      <c r="B4712"/>
      <c r="K4712"/>
    </row>
    <row r="4713" spans="2:11" x14ac:dyDescent="0.25">
      <c r="B4713"/>
      <c r="K4713"/>
    </row>
    <row r="4714" spans="2:11" x14ac:dyDescent="0.25">
      <c r="B4714"/>
      <c r="K4714"/>
    </row>
    <row r="4715" spans="2:11" x14ac:dyDescent="0.25">
      <c r="B4715"/>
      <c r="K4715"/>
    </row>
    <row r="4716" spans="2:11" x14ac:dyDescent="0.25">
      <c r="B4716"/>
      <c r="K4716"/>
    </row>
    <row r="4717" spans="2:11" x14ac:dyDescent="0.25">
      <c r="B4717"/>
      <c r="K4717"/>
    </row>
    <row r="4718" spans="2:11" x14ac:dyDescent="0.25">
      <c r="B4718"/>
      <c r="K4718"/>
    </row>
    <row r="4719" spans="2:11" x14ac:dyDescent="0.25">
      <c r="B4719"/>
      <c r="K4719"/>
    </row>
    <row r="4720" spans="2:11" x14ac:dyDescent="0.25">
      <c r="B4720"/>
      <c r="K4720"/>
    </row>
    <row r="4721" spans="2:11" x14ac:dyDescent="0.25">
      <c r="B4721"/>
      <c r="K4721"/>
    </row>
    <row r="4722" spans="2:11" x14ac:dyDescent="0.25">
      <c r="B4722"/>
      <c r="K4722"/>
    </row>
    <row r="4723" spans="2:11" x14ac:dyDescent="0.25">
      <c r="B4723"/>
      <c r="K4723"/>
    </row>
    <row r="4724" spans="2:11" x14ac:dyDescent="0.25">
      <c r="B4724"/>
      <c r="K4724"/>
    </row>
    <row r="4725" spans="2:11" x14ac:dyDescent="0.25">
      <c r="B4725"/>
      <c r="K4725"/>
    </row>
    <row r="4726" spans="2:11" x14ac:dyDescent="0.25">
      <c r="B4726"/>
      <c r="K4726"/>
    </row>
    <row r="4727" spans="2:11" x14ac:dyDescent="0.25">
      <c r="B4727"/>
      <c r="K4727"/>
    </row>
    <row r="4728" spans="2:11" x14ac:dyDescent="0.25">
      <c r="B4728"/>
      <c r="K4728"/>
    </row>
    <row r="4729" spans="2:11" x14ac:dyDescent="0.25">
      <c r="B4729"/>
      <c r="K4729"/>
    </row>
    <row r="4730" spans="2:11" x14ac:dyDescent="0.25">
      <c r="B4730"/>
      <c r="K4730"/>
    </row>
    <row r="4731" spans="2:11" x14ac:dyDescent="0.25">
      <c r="B4731"/>
      <c r="K4731"/>
    </row>
    <row r="4732" spans="2:11" x14ac:dyDescent="0.25">
      <c r="B4732"/>
      <c r="K4732"/>
    </row>
    <row r="4733" spans="2:11" x14ac:dyDescent="0.25">
      <c r="B4733"/>
      <c r="K4733"/>
    </row>
    <row r="4734" spans="2:11" x14ac:dyDescent="0.25">
      <c r="B4734"/>
      <c r="K4734"/>
    </row>
    <row r="4735" spans="2:11" x14ac:dyDescent="0.25">
      <c r="B4735"/>
      <c r="K4735"/>
    </row>
    <row r="4736" spans="2:11" x14ac:dyDescent="0.25">
      <c r="B4736"/>
      <c r="K4736"/>
    </row>
    <row r="4737" spans="2:11" x14ac:dyDescent="0.25">
      <c r="B4737"/>
      <c r="K4737"/>
    </row>
    <row r="4738" spans="2:11" x14ac:dyDescent="0.25">
      <c r="B4738"/>
      <c r="K4738"/>
    </row>
    <row r="4739" spans="2:11" x14ac:dyDescent="0.25">
      <c r="B4739"/>
      <c r="K4739"/>
    </row>
    <row r="4740" spans="2:11" x14ac:dyDescent="0.25">
      <c r="B4740"/>
      <c r="K4740"/>
    </row>
    <row r="4741" spans="2:11" x14ac:dyDescent="0.25">
      <c r="B4741"/>
      <c r="K4741"/>
    </row>
    <row r="4742" spans="2:11" x14ac:dyDescent="0.25">
      <c r="B4742"/>
      <c r="K4742"/>
    </row>
    <row r="4743" spans="2:11" x14ac:dyDescent="0.25">
      <c r="B4743"/>
      <c r="K4743"/>
    </row>
    <row r="4744" spans="2:11" x14ac:dyDescent="0.25">
      <c r="B4744"/>
      <c r="K4744"/>
    </row>
    <row r="4745" spans="2:11" x14ac:dyDescent="0.25">
      <c r="B4745"/>
      <c r="K4745"/>
    </row>
    <row r="4746" spans="2:11" x14ac:dyDescent="0.25">
      <c r="B4746"/>
      <c r="K4746"/>
    </row>
    <row r="4747" spans="2:11" x14ac:dyDescent="0.25">
      <c r="B4747"/>
      <c r="K4747"/>
    </row>
    <row r="4748" spans="2:11" x14ac:dyDescent="0.25">
      <c r="B4748"/>
      <c r="K4748"/>
    </row>
    <row r="4749" spans="2:11" x14ac:dyDescent="0.25">
      <c r="B4749"/>
      <c r="K4749"/>
    </row>
    <row r="4750" spans="2:11" x14ac:dyDescent="0.25">
      <c r="B4750"/>
      <c r="K4750"/>
    </row>
    <row r="4751" spans="2:11" x14ac:dyDescent="0.25">
      <c r="B4751"/>
      <c r="K4751"/>
    </row>
    <row r="4752" spans="2:11" x14ac:dyDescent="0.25">
      <c r="B4752"/>
      <c r="K4752"/>
    </row>
    <row r="4753" spans="2:11" x14ac:dyDescent="0.25">
      <c r="B4753"/>
      <c r="K4753"/>
    </row>
    <row r="4754" spans="2:11" x14ac:dyDescent="0.25">
      <c r="B4754"/>
      <c r="K4754"/>
    </row>
    <row r="4755" spans="2:11" x14ac:dyDescent="0.25">
      <c r="B4755"/>
      <c r="K4755"/>
    </row>
    <row r="4756" spans="2:11" x14ac:dyDescent="0.25">
      <c r="B4756"/>
      <c r="K4756"/>
    </row>
    <row r="4757" spans="2:11" x14ac:dyDescent="0.25">
      <c r="B4757"/>
      <c r="K4757"/>
    </row>
    <row r="4758" spans="2:11" x14ac:dyDescent="0.25">
      <c r="B4758"/>
      <c r="K4758"/>
    </row>
    <row r="4759" spans="2:11" x14ac:dyDescent="0.25">
      <c r="B4759"/>
      <c r="K4759"/>
    </row>
    <row r="4760" spans="2:11" x14ac:dyDescent="0.25">
      <c r="B4760"/>
      <c r="K4760"/>
    </row>
    <row r="4761" spans="2:11" x14ac:dyDescent="0.25">
      <c r="B4761"/>
      <c r="K4761"/>
    </row>
    <row r="4762" spans="2:11" x14ac:dyDescent="0.25">
      <c r="B4762"/>
      <c r="K4762"/>
    </row>
    <row r="4763" spans="2:11" x14ac:dyDescent="0.25">
      <c r="B4763"/>
      <c r="K4763"/>
    </row>
    <row r="4764" spans="2:11" x14ac:dyDescent="0.25">
      <c r="B4764"/>
      <c r="K4764"/>
    </row>
    <row r="4765" spans="2:11" x14ac:dyDescent="0.25">
      <c r="B4765"/>
      <c r="K4765"/>
    </row>
    <row r="4766" spans="2:11" x14ac:dyDescent="0.25">
      <c r="B4766"/>
      <c r="K4766"/>
    </row>
    <row r="4767" spans="2:11" x14ac:dyDescent="0.25">
      <c r="B4767"/>
      <c r="K4767"/>
    </row>
    <row r="4768" spans="2:11" x14ac:dyDescent="0.25">
      <c r="B4768"/>
      <c r="K4768"/>
    </row>
    <row r="4769" spans="2:11" x14ac:dyDescent="0.25">
      <c r="B4769"/>
      <c r="K4769"/>
    </row>
    <row r="4770" spans="2:11" x14ac:dyDescent="0.25">
      <c r="B4770"/>
      <c r="K4770"/>
    </row>
    <row r="4771" spans="2:11" x14ac:dyDescent="0.25">
      <c r="B4771"/>
      <c r="K4771"/>
    </row>
    <row r="4772" spans="2:11" x14ac:dyDescent="0.25">
      <c r="B4772"/>
      <c r="K4772"/>
    </row>
    <row r="4773" spans="2:11" x14ac:dyDescent="0.25">
      <c r="B4773"/>
      <c r="K4773"/>
    </row>
    <row r="4774" spans="2:11" x14ac:dyDescent="0.25">
      <c r="B4774"/>
      <c r="K4774"/>
    </row>
    <row r="4775" spans="2:11" x14ac:dyDescent="0.25">
      <c r="B4775"/>
      <c r="K4775"/>
    </row>
    <row r="4776" spans="2:11" x14ac:dyDescent="0.25">
      <c r="B4776"/>
      <c r="K4776"/>
    </row>
    <row r="4777" spans="2:11" x14ac:dyDescent="0.25">
      <c r="B4777"/>
      <c r="K4777"/>
    </row>
    <row r="4778" spans="2:11" x14ac:dyDescent="0.25">
      <c r="B4778"/>
      <c r="K4778"/>
    </row>
    <row r="4779" spans="2:11" x14ac:dyDescent="0.25">
      <c r="B4779"/>
      <c r="K4779"/>
    </row>
    <row r="4780" spans="2:11" x14ac:dyDescent="0.25">
      <c r="B4780"/>
      <c r="K4780"/>
    </row>
    <row r="4781" spans="2:11" x14ac:dyDescent="0.25">
      <c r="B4781"/>
      <c r="K4781"/>
    </row>
    <row r="4782" spans="2:11" x14ac:dyDescent="0.25">
      <c r="B4782"/>
      <c r="K4782"/>
    </row>
    <row r="4783" spans="2:11" x14ac:dyDescent="0.25">
      <c r="B4783"/>
      <c r="K4783"/>
    </row>
    <row r="4784" spans="2:11" x14ac:dyDescent="0.25">
      <c r="B4784"/>
      <c r="K4784"/>
    </row>
    <row r="4785" spans="2:11" x14ac:dyDescent="0.25">
      <c r="B4785"/>
      <c r="K4785"/>
    </row>
    <row r="4786" spans="2:11" x14ac:dyDescent="0.25">
      <c r="B4786"/>
      <c r="K4786"/>
    </row>
    <row r="4787" spans="2:11" x14ac:dyDescent="0.25">
      <c r="B4787"/>
      <c r="K4787"/>
    </row>
    <row r="4788" spans="2:11" x14ac:dyDescent="0.25">
      <c r="B4788"/>
      <c r="K4788"/>
    </row>
    <row r="4789" spans="2:11" x14ac:dyDescent="0.25">
      <c r="B4789"/>
      <c r="K4789"/>
    </row>
    <row r="4790" spans="2:11" x14ac:dyDescent="0.25">
      <c r="B4790"/>
      <c r="K4790"/>
    </row>
    <row r="4791" spans="2:11" x14ac:dyDescent="0.25">
      <c r="B4791"/>
      <c r="K4791"/>
    </row>
    <row r="4792" spans="2:11" x14ac:dyDescent="0.25">
      <c r="B4792"/>
      <c r="K4792"/>
    </row>
    <row r="4793" spans="2:11" x14ac:dyDescent="0.25">
      <c r="B4793"/>
      <c r="K4793"/>
    </row>
    <row r="4794" spans="2:11" x14ac:dyDescent="0.25">
      <c r="B4794"/>
      <c r="K4794"/>
    </row>
    <row r="4795" spans="2:11" x14ac:dyDescent="0.25">
      <c r="B4795"/>
      <c r="K4795"/>
    </row>
    <row r="4796" spans="2:11" x14ac:dyDescent="0.25">
      <c r="B4796"/>
      <c r="K4796"/>
    </row>
    <row r="4797" spans="2:11" x14ac:dyDescent="0.25">
      <c r="B4797"/>
      <c r="K4797"/>
    </row>
    <row r="4798" spans="2:11" x14ac:dyDescent="0.25">
      <c r="B4798"/>
      <c r="K4798"/>
    </row>
    <row r="4799" spans="2:11" x14ac:dyDescent="0.25">
      <c r="B4799"/>
      <c r="K4799"/>
    </row>
    <row r="4800" spans="2:11" x14ac:dyDescent="0.25">
      <c r="B4800"/>
      <c r="K4800"/>
    </row>
    <row r="4801" spans="2:11" x14ac:dyDescent="0.25">
      <c r="B4801"/>
      <c r="K4801"/>
    </row>
    <row r="4802" spans="2:11" x14ac:dyDescent="0.25">
      <c r="B4802"/>
      <c r="K4802"/>
    </row>
    <row r="4803" spans="2:11" x14ac:dyDescent="0.25">
      <c r="B4803"/>
      <c r="K4803"/>
    </row>
    <row r="4804" spans="2:11" x14ac:dyDescent="0.25">
      <c r="B4804"/>
      <c r="K4804"/>
    </row>
    <row r="4805" spans="2:11" x14ac:dyDescent="0.25">
      <c r="B4805"/>
      <c r="K4805"/>
    </row>
    <row r="4806" spans="2:11" x14ac:dyDescent="0.25">
      <c r="B4806"/>
      <c r="K4806"/>
    </row>
    <row r="4807" spans="2:11" x14ac:dyDescent="0.25">
      <c r="B4807"/>
      <c r="K4807"/>
    </row>
    <row r="4808" spans="2:11" x14ac:dyDescent="0.25">
      <c r="B4808"/>
      <c r="K4808"/>
    </row>
    <row r="4809" spans="2:11" x14ac:dyDescent="0.25">
      <c r="B4809"/>
      <c r="K4809"/>
    </row>
    <row r="4810" spans="2:11" x14ac:dyDescent="0.25">
      <c r="B4810"/>
      <c r="K4810"/>
    </row>
    <row r="4811" spans="2:11" x14ac:dyDescent="0.25">
      <c r="B4811"/>
      <c r="K4811"/>
    </row>
    <row r="4812" spans="2:11" x14ac:dyDescent="0.25">
      <c r="B4812"/>
      <c r="K4812"/>
    </row>
    <row r="4813" spans="2:11" x14ac:dyDescent="0.25">
      <c r="B4813"/>
      <c r="K4813"/>
    </row>
    <row r="4814" spans="2:11" x14ac:dyDescent="0.25">
      <c r="B4814"/>
      <c r="K4814"/>
    </row>
    <row r="4815" spans="2:11" x14ac:dyDescent="0.25">
      <c r="B4815"/>
      <c r="K4815"/>
    </row>
    <row r="4816" spans="2:11" x14ac:dyDescent="0.25">
      <c r="B4816"/>
      <c r="K4816"/>
    </row>
    <row r="4817" spans="2:11" x14ac:dyDescent="0.25">
      <c r="B4817"/>
      <c r="K4817"/>
    </row>
    <row r="4818" spans="2:11" x14ac:dyDescent="0.25">
      <c r="B4818"/>
      <c r="K4818"/>
    </row>
    <row r="4819" spans="2:11" x14ac:dyDescent="0.25">
      <c r="B4819"/>
      <c r="K4819"/>
    </row>
    <row r="4820" spans="2:11" x14ac:dyDescent="0.25">
      <c r="B4820"/>
      <c r="K4820"/>
    </row>
    <row r="4821" spans="2:11" x14ac:dyDescent="0.25">
      <c r="B4821"/>
      <c r="K4821"/>
    </row>
    <row r="4822" spans="2:11" x14ac:dyDescent="0.25">
      <c r="B4822"/>
      <c r="K4822"/>
    </row>
    <row r="4823" spans="2:11" x14ac:dyDescent="0.25">
      <c r="B4823"/>
      <c r="K4823"/>
    </row>
    <row r="4824" spans="2:11" x14ac:dyDescent="0.25">
      <c r="B4824"/>
      <c r="K4824"/>
    </row>
    <row r="4825" spans="2:11" x14ac:dyDescent="0.25">
      <c r="B4825"/>
      <c r="K4825"/>
    </row>
    <row r="4826" spans="2:11" x14ac:dyDescent="0.25">
      <c r="B4826"/>
      <c r="K4826"/>
    </row>
    <row r="4827" spans="2:11" x14ac:dyDescent="0.25">
      <c r="B4827"/>
      <c r="K4827"/>
    </row>
    <row r="4828" spans="2:11" x14ac:dyDescent="0.25">
      <c r="B4828"/>
      <c r="K4828"/>
    </row>
    <row r="4829" spans="2:11" x14ac:dyDescent="0.25">
      <c r="B4829"/>
      <c r="K4829"/>
    </row>
    <row r="4830" spans="2:11" x14ac:dyDescent="0.25">
      <c r="B4830"/>
      <c r="K4830"/>
    </row>
    <row r="4831" spans="2:11" x14ac:dyDescent="0.25">
      <c r="B4831"/>
      <c r="K4831"/>
    </row>
    <row r="4832" spans="2:11" x14ac:dyDescent="0.25">
      <c r="B4832"/>
      <c r="K4832"/>
    </row>
    <row r="4833" spans="2:11" x14ac:dyDescent="0.25">
      <c r="B4833"/>
      <c r="K4833"/>
    </row>
    <row r="4834" spans="2:11" x14ac:dyDescent="0.25">
      <c r="B4834"/>
      <c r="K4834"/>
    </row>
    <row r="4835" spans="2:11" x14ac:dyDescent="0.25">
      <c r="B4835"/>
      <c r="K4835"/>
    </row>
    <row r="4836" spans="2:11" x14ac:dyDescent="0.25">
      <c r="B4836"/>
      <c r="K4836"/>
    </row>
    <row r="4837" spans="2:11" x14ac:dyDescent="0.25">
      <c r="B4837"/>
      <c r="K4837"/>
    </row>
    <row r="4838" spans="2:11" x14ac:dyDescent="0.25">
      <c r="B4838"/>
      <c r="K4838"/>
    </row>
    <row r="4839" spans="2:11" x14ac:dyDescent="0.25">
      <c r="B4839"/>
      <c r="K4839"/>
    </row>
    <row r="4840" spans="2:11" x14ac:dyDescent="0.25">
      <c r="B4840"/>
      <c r="K4840"/>
    </row>
    <row r="4841" spans="2:11" x14ac:dyDescent="0.25">
      <c r="B4841"/>
      <c r="K4841"/>
    </row>
    <row r="4842" spans="2:11" x14ac:dyDescent="0.25">
      <c r="B4842"/>
      <c r="K4842"/>
    </row>
    <row r="4843" spans="2:11" x14ac:dyDescent="0.25">
      <c r="B4843"/>
      <c r="K4843"/>
    </row>
    <row r="4844" spans="2:11" x14ac:dyDescent="0.25">
      <c r="B4844"/>
      <c r="K4844"/>
    </row>
    <row r="4845" spans="2:11" x14ac:dyDescent="0.25">
      <c r="B4845"/>
      <c r="K4845"/>
    </row>
    <row r="4846" spans="2:11" x14ac:dyDescent="0.25">
      <c r="B4846"/>
      <c r="K4846"/>
    </row>
    <row r="4847" spans="2:11" x14ac:dyDescent="0.25">
      <c r="B4847"/>
      <c r="K4847"/>
    </row>
    <row r="4848" spans="2:11" x14ac:dyDescent="0.25">
      <c r="B4848"/>
      <c r="K4848"/>
    </row>
    <row r="4849" spans="2:11" x14ac:dyDescent="0.25">
      <c r="B4849"/>
      <c r="K4849"/>
    </row>
    <row r="4850" spans="2:11" x14ac:dyDescent="0.25">
      <c r="B4850"/>
      <c r="K4850"/>
    </row>
    <row r="4851" spans="2:11" x14ac:dyDescent="0.25">
      <c r="B4851"/>
      <c r="K4851"/>
    </row>
    <row r="4852" spans="2:11" x14ac:dyDescent="0.25">
      <c r="B4852"/>
      <c r="K4852"/>
    </row>
    <row r="4853" spans="2:11" x14ac:dyDescent="0.25">
      <c r="B4853"/>
      <c r="K4853"/>
    </row>
    <row r="4854" spans="2:11" x14ac:dyDescent="0.25">
      <c r="B4854"/>
      <c r="K4854"/>
    </row>
    <row r="4855" spans="2:11" x14ac:dyDescent="0.25">
      <c r="B4855"/>
      <c r="K4855"/>
    </row>
    <row r="4856" spans="2:11" x14ac:dyDescent="0.25">
      <c r="B4856"/>
      <c r="K4856"/>
    </row>
    <row r="4857" spans="2:11" x14ac:dyDescent="0.25">
      <c r="B4857"/>
      <c r="K4857"/>
    </row>
    <row r="4858" spans="2:11" x14ac:dyDescent="0.25">
      <c r="B4858"/>
      <c r="K4858"/>
    </row>
    <row r="4859" spans="2:11" x14ac:dyDescent="0.25">
      <c r="B4859"/>
      <c r="K4859"/>
    </row>
    <row r="4860" spans="2:11" x14ac:dyDescent="0.25">
      <c r="B4860"/>
      <c r="K4860"/>
    </row>
    <row r="4861" spans="2:11" x14ac:dyDescent="0.25">
      <c r="B4861"/>
      <c r="K4861"/>
    </row>
    <row r="4862" spans="2:11" x14ac:dyDescent="0.25">
      <c r="B4862"/>
      <c r="K4862"/>
    </row>
    <row r="4863" spans="2:11" x14ac:dyDescent="0.25">
      <c r="B4863"/>
      <c r="K4863"/>
    </row>
    <row r="4864" spans="2:11" x14ac:dyDescent="0.25">
      <c r="B4864"/>
      <c r="K4864"/>
    </row>
    <row r="4865" spans="2:11" x14ac:dyDescent="0.25">
      <c r="B4865"/>
      <c r="K4865"/>
    </row>
    <row r="4866" spans="2:11" x14ac:dyDescent="0.25">
      <c r="B4866"/>
      <c r="K4866"/>
    </row>
    <row r="4867" spans="2:11" x14ac:dyDescent="0.25">
      <c r="B4867"/>
      <c r="K4867"/>
    </row>
    <row r="4868" spans="2:11" x14ac:dyDescent="0.25">
      <c r="B4868"/>
      <c r="K4868"/>
    </row>
    <row r="4869" spans="2:11" x14ac:dyDescent="0.25">
      <c r="B4869"/>
      <c r="K4869"/>
    </row>
    <row r="4870" spans="2:11" x14ac:dyDescent="0.25">
      <c r="B4870"/>
      <c r="K4870"/>
    </row>
    <row r="4871" spans="2:11" x14ac:dyDescent="0.25">
      <c r="B4871"/>
      <c r="K4871"/>
    </row>
    <row r="4872" spans="2:11" x14ac:dyDescent="0.25">
      <c r="B4872"/>
      <c r="K4872"/>
    </row>
    <row r="4873" spans="2:11" x14ac:dyDescent="0.25">
      <c r="B4873"/>
      <c r="K4873"/>
    </row>
    <row r="4874" spans="2:11" x14ac:dyDescent="0.25">
      <c r="B4874"/>
      <c r="K4874"/>
    </row>
    <row r="4875" spans="2:11" x14ac:dyDescent="0.25">
      <c r="B4875"/>
      <c r="K4875"/>
    </row>
    <row r="4876" spans="2:11" x14ac:dyDescent="0.25">
      <c r="B4876"/>
      <c r="K4876"/>
    </row>
    <row r="4877" spans="2:11" x14ac:dyDescent="0.25">
      <c r="B4877"/>
      <c r="K4877"/>
    </row>
    <row r="4878" spans="2:11" x14ac:dyDescent="0.25">
      <c r="B4878"/>
      <c r="K4878"/>
    </row>
    <row r="4879" spans="2:11" x14ac:dyDescent="0.25">
      <c r="B4879"/>
      <c r="K4879"/>
    </row>
    <row r="4880" spans="2:11" x14ac:dyDescent="0.25">
      <c r="B4880"/>
      <c r="K4880"/>
    </row>
    <row r="4881" spans="2:11" x14ac:dyDescent="0.25">
      <c r="B4881"/>
      <c r="K4881"/>
    </row>
    <row r="4882" spans="2:11" x14ac:dyDescent="0.25">
      <c r="B4882"/>
      <c r="K4882"/>
    </row>
    <row r="4883" spans="2:11" x14ac:dyDescent="0.25">
      <c r="B4883"/>
      <c r="K4883"/>
    </row>
    <row r="4884" spans="2:11" x14ac:dyDescent="0.25">
      <c r="B4884"/>
      <c r="K4884"/>
    </row>
    <row r="4885" spans="2:11" x14ac:dyDescent="0.25">
      <c r="B4885"/>
      <c r="K4885"/>
    </row>
    <row r="4886" spans="2:11" x14ac:dyDescent="0.25">
      <c r="B4886"/>
      <c r="K4886"/>
    </row>
    <row r="4887" spans="2:11" x14ac:dyDescent="0.25">
      <c r="B4887"/>
      <c r="K4887"/>
    </row>
    <row r="4888" spans="2:11" x14ac:dyDescent="0.25">
      <c r="B4888"/>
      <c r="K4888"/>
    </row>
    <row r="4889" spans="2:11" x14ac:dyDescent="0.25">
      <c r="B4889"/>
      <c r="K4889"/>
    </row>
    <row r="4890" spans="2:11" x14ac:dyDescent="0.25">
      <c r="B4890"/>
      <c r="K4890"/>
    </row>
    <row r="4891" spans="2:11" x14ac:dyDescent="0.25">
      <c r="B4891"/>
      <c r="K4891"/>
    </row>
    <row r="4892" spans="2:11" x14ac:dyDescent="0.25">
      <c r="B4892"/>
      <c r="K4892"/>
    </row>
    <row r="4893" spans="2:11" x14ac:dyDescent="0.25">
      <c r="B4893"/>
      <c r="K4893"/>
    </row>
    <row r="4894" spans="2:11" x14ac:dyDescent="0.25">
      <c r="B4894"/>
      <c r="K4894"/>
    </row>
    <row r="4895" spans="2:11" x14ac:dyDescent="0.25">
      <c r="B4895"/>
      <c r="K4895"/>
    </row>
    <row r="4896" spans="2:11" x14ac:dyDescent="0.25">
      <c r="B4896"/>
      <c r="K4896"/>
    </row>
    <row r="4897" spans="2:11" x14ac:dyDescent="0.25">
      <c r="B4897"/>
      <c r="K4897"/>
    </row>
    <row r="4898" spans="2:11" x14ac:dyDescent="0.25">
      <c r="B4898"/>
      <c r="K4898"/>
    </row>
    <row r="4899" spans="2:11" x14ac:dyDescent="0.25">
      <c r="B4899"/>
      <c r="K4899"/>
    </row>
    <row r="4900" spans="2:11" x14ac:dyDescent="0.25">
      <c r="B4900"/>
      <c r="K4900"/>
    </row>
    <row r="4901" spans="2:11" x14ac:dyDescent="0.25">
      <c r="B4901"/>
      <c r="K4901"/>
    </row>
    <row r="4902" spans="2:11" x14ac:dyDescent="0.25">
      <c r="B4902"/>
      <c r="K4902"/>
    </row>
    <row r="4903" spans="2:11" x14ac:dyDescent="0.25">
      <c r="B4903"/>
      <c r="K4903"/>
    </row>
    <row r="4904" spans="2:11" x14ac:dyDescent="0.25">
      <c r="B4904"/>
      <c r="K4904"/>
    </row>
    <row r="4905" spans="2:11" x14ac:dyDescent="0.25">
      <c r="B4905"/>
      <c r="K4905"/>
    </row>
    <row r="4906" spans="2:11" x14ac:dyDescent="0.25">
      <c r="B4906"/>
      <c r="K4906"/>
    </row>
    <row r="4907" spans="2:11" x14ac:dyDescent="0.25">
      <c r="B4907"/>
      <c r="K4907"/>
    </row>
    <row r="4908" spans="2:11" x14ac:dyDescent="0.25">
      <c r="B4908"/>
      <c r="K4908"/>
    </row>
    <row r="4909" spans="2:11" x14ac:dyDescent="0.25">
      <c r="B4909"/>
      <c r="K4909"/>
    </row>
    <row r="4910" spans="2:11" x14ac:dyDescent="0.25">
      <c r="B4910"/>
      <c r="K4910"/>
    </row>
    <row r="4911" spans="2:11" x14ac:dyDescent="0.25">
      <c r="B4911"/>
      <c r="K4911"/>
    </row>
    <row r="4912" spans="2:11" x14ac:dyDescent="0.25">
      <c r="B4912"/>
      <c r="K4912"/>
    </row>
    <row r="4913" spans="2:11" x14ac:dyDescent="0.25">
      <c r="B4913"/>
      <c r="K4913"/>
    </row>
    <row r="4914" spans="2:11" x14ac:dyDescent="0.25">
      <c r="B4914"/>
      <c r="K4914"/>
    </row>
    <row r="4915" spans="2:11" x14ac:dyDescent="0.25">
      <c r="B4915"/>
      <c r="K4915"/>
    </row>
    <row r="4916" spans="2:11" x14ac:dyDescent="0.25">
      <c r="B4916"/>
      <c r="K4916"/>
    </row>
    <row r="4917" spans="2:11" x14ac:dyDescent="0.25">
      <c r="B4917"/>
      <c r="K4917"/>
    </row>
    <row r="4918" spans="2:11" x14ac:dyDescent="0.25">
      <c r="B4918"/>
      <c r="K4918"/>
    </row>
    <row r="4919" spans="2:11" x14ac:dyDescent="0.25">
      <c r="B4919"/>
      <c r="K4919"/>
    </row>
    <row r="4920" spans="2:11" x14ac:dyDescent="0.25">
      <c r="B4920"/>
      <c r="K4920"/>
    </row>
    <row r="4921" spans="2:11" x14ac:dyDescent="0.25">
      <c r="B4921"/>
      <c r="K4921"/>
    </row>
    <row r="4922" spans="2:11" x14ac:dyDescent="0.25">
      <c r="B4922"/>
      <c r="K4922"/>
    </row>
    <row r="4923" spans="2:11" x14ac:dyDescent="0.25">
      <c r="B4923"/>
      <c r="K4923"/>
    </row>
    <row r="4924" spans="2:11" x14ac:dyDescent="0.25">
      <c r="B4924"/>
      <c r="K4924"/>
    </row>
    <row r="4925" spans="2:11" x14ac:dyDescent="0.25">
      <c r="B4925"/>
      <c r="K4925"/>
    </row>
    <row r="4926" spans="2:11" x14ac:dyDescent="0.25">
      <c r="B4926"/>
      <c r="K4926"/>
    </row>
    <row r="4927" spans="2:11" x14ac:dyDescent="0.25">
      <c r="B4927"/>
      <c r="K4927"/>
    </row>
    <row r="4928" spans="2:11" x14ac:dyDescent="0.25">
      <c r="B4928"/>
      <c r="K4928"/>
    </row>
    <row r="4929" spans="2:11" x14ac:dyDescent="0.25">
      <c r="B4929"/>
      <c r="K4929"/>
    </row>
    <row r="4930" spans="2:11" x14ac:dyDescent="0.25">
      <c r="B4930"/>
      <c r="K4930"/>
    </row>
    <row r="4931" spans="2:11" x14ac:dyDescent="0.25">
      <c r="B4931"/>
      <c r="K4931"/>
    </row>
    <row r="4932" spans="2:11" x14ac:dyDescent="0.25">
      <c r="B4932"/>
      <c r="K4932"/>
    </row>
    <row r="4933" spans="2:11" x14ac:dyDescent="0.25">
      <c r="B4933"/>
      <c r="K4933"/>
    </row>
    <row r="4934" spans="2:11" x14ac:dyDescent="0.25">
      <c r="B4934"/>
      <c r="K4934"/>
    </row>
    <row r="4935" spans="2:11" x14ac:dyDescent="0.25">
      <c r="B4935"/>
      <c r="K4935"/>
    </row>
    <row r="4936" spans="2:11" x14ac:dyDescent="0.25">
      <c r="B4936"/>
      <c r="K4936"/>
    </row>
    <row r="4937" spans="2:11" x14ac:dyDescent="0.25">
      <c r="B4937"/>
      <c r="K4937"/>
    </row>
    <row r="4938" spans="2:11" x14ac:dyDescent="0.25">
      <c r="B4938"/>
      <c r="K4938"/>
    </row>
    <row r="4939" spans="2:11" x14ac:dyDescent="0.25">
      <c r="B4939"/>
      <c r="K4939"/>
    </row>
    <row r="4940" spans="2:11" x14ac:dyDescent="0.25">
      <c r="B4940"/>
      <c r="K4940"/>
    </row>
    <row r="4941" spans="2:11" x14ac:dyDescent="0.25">
      <c r="B4941"/>
      <c r="K4941"/>
    </row>
    <row r="4942" spans="2:11" x14ac:dyDescent="0.25">
      <c r="B4942"/>
      <c r="K4942"/>
    </row>
    <row r="4943" spans="2:11" x14ac:dyDescent="0.25">
      <c r="B4943"/>
      <c r="K4943"/>
    </row>
    <row r="4944" spans="2:11" x14ac:dyDescent="0.25">
      <c r="B4944"/>
      <c r="K4944"/>
    </row>
    <row r="4945" spans="2:11" x14ac:dyDescent="0.25">
      <c r="B4945"/>
      <c r="K4945"/>
    </row>
    <row r="4946" spans="2:11" x14ac:dyDescent="0.25">
      <c r="B4946"/>
      <c r="K4946"/>
    </row>
    <row r="4947" spans="2:11" x14ac:dyDescent="0.25">
      <c r="B4947"/>
      <c r="K4947"/>
    </row>
    <row r="4948" spans="2:11" x14ac:dyDescent="0.25">
      <c r="B4948"/>
      <c r="K4948"/>
    </row>
    <row r="4949" spans="2:11" x14ac:dyDescent="0.25">
      <c r="B4949"/>
      <c r="K4949"/>
    </row>
    <row r="4950" spans="2:11" x14ac:dyDescent="0.25">
      <c r="B4950"/>
      <c r="K4950"/>
    </row>
    <row r="4951" spans="2:11" x14ac:dyDescent="0.25">
      <c r="B4951"/>
      <c r="K4951"/>
    </row>
    <row r="4952" spans="2:11" x14ac:dyDescent="0.25">
      <c r="B4952"/>
      <c r="K4952"/>
    </row>
    <row r="4953" spans="2:11" x14ac:dyDescent="0.25">
      <c r="B4953"/>
      <c r="K4953"/>
    </row>
    <row r="4954" spans="2:11" x14ac:dyDescent="0.25">
      <c r="B4954"/>
      <c r="K4954"/>
    </row>
    <row r="4955" spans="2:11" x14ac:dyDescent="0.25">
      <c r="B4955"/>
      <c r="K4955"/>
    </row>
    <row r="4956" spans="2:11" x14ac:dyDescent="0.25">
      <c r="B4956"/>
      <c r="K4956"/>
    </row>
    <row r="4957" spans="2:11" x14ac:dyDescent="0.25">
      <c r="B4957"/>
      <c r="K4957"/>
    </row>
    <row r="4958" spans="2:11" x14ac:dyDescent="0.25">
      <c r="B4958"/>
      <c r="K4958"/>
    </row>
    <row r="4959" spans="2:11" x14ac:dyDescent="0.25">
      <c r="B4959"/>
      <c r="K4959"/>
    </row>
    <row r="4960" spans="2:11" x14ac:dyDescent="0.25">
      <c r="B4960"/>
      <c r="K4960"/>
    </row>
    <row r="4961" spans="2:11" x14ac:dyDescent="0.25">
      <c r="B4961"/>
      <c r="K4961"/>
    </row>
    <row r="4962" spans="2:11" x14ac:dyDescent="0.25">
      <c r="B4962"/>
      <c r="K4962"/>
    </row>
    <row r="4963" spans="2:11" x14ac:dyDescent="0.25">
      <c r="B4963"/>
      <c r="K4963"/>
    </row>
    <row r="4964" spans="2:11" x14ac:dyDescent="0.25">
      <c r="B4964"/>
      <c r="K4964"/>
    </row>
    <row r="4965" spans="2:11" x14ac:dyDescent="0.25">
      <c r="B4965"/>
      <c r="K4965"/>
    </row>
    <row r="4966" spans="2:11" x14ac:dyDescent="0.25">
      <c r="B4966"/>
      <c r="K4966"/>
    </row>
    <row r="4967" spans="2:11" x14ac:dyDescent="0.25">
      <c r="B4967"/>
      <c r="K4967"/>
    </row>
    <row r="4968" spans="2:11" x14ac:dyDescent="0.25">
      <c r="B4968"/>
      <c r="K4968"/>
    </row>
    <row r="4969" spans="2:11" x14ac:dyDescent="0.25">
      <c r="B4969"/>
      <c r="K4969"/>
    </row>
    <row r="4970" spans="2:11" x14ac:dyDescent="0.25">
      <c r="B4970"/>
      <c r="K4970"/>
    </row>
    <row r="4971" spans="2:11" x14ac:dyDescent="0.25">
      <c r="B4971"/>
      <c r="K4971"/>
    </row>
    <row r="4972" spans="2:11" x14ac:dyDescent="0.25">
      <c r="B4972"/>
      <c r="K4972"/>
    </row>
    <row r="4973" spans="2:11" x14ac:dyDescent="0.25">
      <c r="B4973"/>
      <c r="K4973"/>
    </row>
    <row r="4974" spans="2:11" x14ac:dyDescent="0.25">
      <c r="B4974"/>
      <c r="K4974"/>
    </row>
    <row r="4975" spans="2:11" x14ac:dyDescent="0.25">
      <c r="B4975"/>
      <c r="K4975"/>
    </row>
    <row r="4976" spans="2:11" x14ac:dyDescent="0.25">
      <c r="B4976"/>
      <c r="K4976"/>
    </row>
    <row r="4977" spans="2:11" x14ac:dyDescent="0.25">
      <c r="B4977"/>
      <c r="K4977"/>
    </row>
    <row r="4978" spans="2:11" x14ac:dyDescent="0.25">
      <c r="B4978"/>
      <c r="K4978"/>
    </row>
    <row r="4979" spans="2:11" x14ac:dyDescent="0.25">
      <c r="B4979"/>
      <c r="K4979"/>
    </row>
    <row r="4980" spans="2:11" x14ac:dyDescent="0.25">
      <c r="B4980"/>
      <c r="K4980"/>
    </row>
    <row r="4981" spans="2:11" x14ac:dyDescent="0.25">
      <c r="B4981"/>
      <c r="K4981"/>
    </row>
    <row r="4982" spans="2:11" x14ac:dyDescent="0.25">
      <c r="B4982"/>
      <c r="K4982"/>
    </row>
    <row r="4983" spans="2:11" x14ac:dyDescent="0.25">
      <c r="B4983"/>
      <c r="K4983"/>
    </row>
    <row r="4984" spans="2:11" x14ac:dyDescent="0.25">
      <c r="B4984"/>
      <c r="K4984"/>
    </row>
    <row r="4985" spans="2:11" x14ac:dyDescent="0.25">
      <c r="B4985"/>
      <c r="K4985"/>
    </row>
    <row r="4986" spans="2:11" x14ac:dyDescent="0.25">
      <c r="B4986"/>
      <c r="K4986"/>
    </row>
    <row r="4987" spans="2:11" x14ac:dyDescent="0.25">
      <c r="B4987"/>
      <c r="K4987"/>
    </row>
    <row r="4988" spans="2:11" x14ac:dyDescent="0.25">
      <c r="B4988"/>
      <c r="K4988"/>
    </row>
    <row r="4989" spans="2:11" x14ac:dyDescent="0.25">
      <c r="B4989"/>
      <c r="K4989"/>
    </row>
    <row r="4990" spans="2:11" x14ac:dyDescent="0.25">
      <c r="B4990"/>
      <c r="K4990"/>
    </row>
    <row r="4991" spans="2:11" x14ac:dyDescent="0.25">
      <c r="B4991"/>
      <c r="K4991"/>
    </row>
    <row r="4992" spans="2:11" x14ac:dyDescent="0.25">
      <c r="B4992"/>
      <c r="K4992"/>
    </row>
    <row r="4993" spans="2:11" x14ac:dyDescent="0.25">
      <c r="B4993"/>
      <c r="K4993"/>
    </row>
    <row r="4994" spans="2:11" x14ac:dyDescent="0.25">
      <c r="B4994"/>
      <c r="K4994"/>
    </row>
    <row r="4995" spans="2:11" x14ac:dyDescent="0.25">
      <c r="B4995"/>
      <c r="K4995"/>
    </row>
    <row r="4996" spans="2:11" x14ac:dyDescent="0.25">
      <c r="B4996"/>
      <c r="K4996"/>
    </row>
    <row r="4997" spans="2:11" x14ac:dyDescent="0.25">
      <c r="B4997"/>
      <c r="K4997"/>
    </row>
    <row r="4998" spans="2:11" x14ac:dyDescent="0.25">
      <c r="B4998"/>
      <c r="K4998"/>
    </row>
    <row r="4999" spans="2:11" x14ac:dyDescent="0.25">
      <c r="B4999"/>
      <c r="K4999"/>
    </row>
    <row r="5000" spans="2:11" x14ac:dyDescent="0.25">
      <c r="B5000"/>
      <c r="K5000"/>
    </row>
    <row r="5001" spans="2:11" x14ac:dyDescent="0.25">
      <c r="B5001"/>
      <c r="K5001"/>
    </row>
    <row r="5002" spans="2:11" x14ac:dyDescent="0.25">
      <c r="B5002"/>
      <c r="K5002"/>
    </row>
    <row r="5003" spans="2:11" x14ac:dyDescent="0.25">
      <c r="B5003"/>
      <c r="K5003"/>
    </row>
    <row r="5004" spans="2:11" x14ac:dyDescent="0.25">
      <c r="B5004"/>
      <c r="K5004"/>
    </row>
    <row r="5005" spans="2:11" x14ac:dyDescent="0.25">
      <c r="B5005"/>
      <c r="K5005"/>
    </row>
    <row r="5006" spans="2:11" x14ac:dyDescent="0.25">
      <c r="B5006"/>
      <c r="K5006"/>
    </row>
    <row r="5007" spans="2:11" x14ac:dyDescent="0.25">
      <c r="B5007"/>
      <c r="K5007"/>
    </row>
    <row r="5008" spans="2:11" x14ac:dyDescent="0.25">
      <c r="B5008"/>
      <c r="K5008"/>
    </row>
    <row r="5009" spans="2:11" x14ac:dyDescent="0.25">
      <c r="B5009"/>
      <c r="K5009"/>
    </row>
    <row r="5010" spans="2:11" x14ac:dyDescent="0.25">
      <c r="B5010"/>
      <c r="K5010"/>
    </row>
    <row r="5011" spans="2:11" x14ac:dyDescent="0.25">
      <c r="B5011"/>
      <c r="K5011"/>
    </row>
    <row r="5012" spans="2:11" x14ac:dyDescent="0.25">
      <c r="B5012"/>
      <c r="K5012"/>
    </row>
    <row r="5013" spans="2:11" x14ac:dyDescent="0.25">
      <c r="B5013"/>
      <c r="K5013"/>
    </row>
    <row r="5014" spans="2:11" x14ac:dyDescent="0.25">
      <c r="B5014"/>
      <c r="K5014"/>
    </row>
    <row r="5015" spans="2:11" x14ac:dyDescent="0.25">
      <c r="B5015"/>
      <c r="K5015"/>
    </row>
    <row r="5016" spans="2:11" x14ac:dyDescent="0.25">
      <c r="B5016"/>
      <c r="K5016"/>
    </row>
    <row r="5017" spans="2:11" x14ac:dyDescent="0.25">
      <c r="B5017"/>
      <c r="K5017"/>
    </row>
    <row r="5018" spans="2:11" x14ac:dyDescent="0.25">
      <c r="B5018"/>
      <c r="K5018"/>
    </row>
    <row r="5019" spans="2:11" x14ac:dyDescent="0.25">
      <c r="B5019"/>
      <c r="K5019"/>
    </row>
    <row r="5020" spans="2:11" x14ac:dyDescent="0.25">
      <c r="B5020"/>
      <c r="K5020"/>
    </row>
    <row r="5021" spans="2:11" x14ac:dyDescent="0.25">
      <c r="B5021"/>
      <c r="K5021"/>
    </row>
    <row r="5022" spans="2:11" x14ac:dyDescent="0.25">
      <c r="B5022"/>
      <c r="K5022"/>
    </row>
    <row r="5023" spans="2:11" x14ac:dyDescent="0.25">
      <c r="B5023"/>
      <c r="K5023"/>
    </row>
    <row r="5024" spans="2:11" x14ac:dyDescent="0.25">
      <c r="B5024"/>
      <c r="K5024"/>
    </row>
    <row r="5025" spans="2:11" x14ac:dyDescent="0.25">
      <c r="B5025"/>
      <c r="K5025"/>
    </row>
    <row r="5026" spans="2:11" x14ac:dyDescent="0.25">
      <c r="B5026"/>
      <c r="K5026"/>
    </row>
    <row r="5027" spans="2:11" x14ac:dyDescent="0.25">
      <c r="B5027"/>
      <c r="K5027"/>
    </row>
    <row r="5028" spans="2:11" x14ac:dyDescent="0.25">
      <c r="B5028"/>
      <c r="K5028"/>
    </row>
    <row r="5029" spans="2:11" x14ac:dyDescent="0.25">
      <c r="B5029"/>
      <c r="K5029"/>
    </row>
    <row r="5030" spans="2:11" x14ac:dyDescent="0.25">
      <c r="B5030"/>
      <c r="K5030"/>
    </row>
    <row r="5031" spans="2:11" x14ac:dyDescent="0.25">
      <c r="B5031"/>
      <c r="K5031"/>
    </row>
    <row r="5032" spans="2:11" x14ac:dyDescent="0.25">
      <c r="B5032"/>
      <c r="K5032"/>
    </row>
    <row r="5033" spans="2:11" x14ac:dyDescent="0.25">
      <c r="B5033"/>
      <c r="K5033"/>
    </row>
    <row r="5034" spans="2:11" x14ac:dyDescent="0.25">
      <c r="B5034"/>
      <c r="K5034"/>
    </row>
    <row r="5035" spans="2:11" x14ac:dyDescent="0.25">
      <c r="B5035"/>
      <c r="K5035"/>
    </row>
    <row r="5036" spans="2:11" x14ac:dyDescent="0.25">
      <c r="B5036"/>
      <c r="K5036"/>
    </row>
    <row r="5037" spans="2:11" x14ac:dyDescent="0.25">
      <c r="B5037"/>
      <c r="K5037"/>
    </row>
    <row r="5038" spans="2:11" x14ac:dyDescent="0.25">
      <c r="B5038"/>
      <c r="K5038"/>
    </row>
    <row r="5039" spans="2:11" x14ac:dyDescent="0.25">
      <c r="B5039"/>
      <c r="K5039"/>
    </row>
    <row r="5040" spans="2:11" x14ac:dyDescent="0.25">
      <c r="B5040"/>
      <c r="K5040"/>
    </row>
    <row r="5041" spans="2:11" x14ac:dyDescent="0.25">
      <c r="B5041"/>
      <c r="K5041"/>
    </row>
    <row r="5042" spans="2:11" x14ac:dyDescent="0.25">
      <c r="B5042"/>
      <c r="K5042"/>
    </row>
    <row r="5043" spans="2:11" x14ac:dyDescent="0.25">
      <c r="B5043"/>
      <c r="K5043"/>
    </row>
    <row r="5044" spans="2:11" x14ac:dyDescent="0.25">
      <c r="B5044"/>
      <c r="K5044"/>
    </row>
    <row r="5045" spans="2:11" x14ac:dyDescent="0.25">
      <c r="B5045"/>
      <c r="K5045"/>
    </row>
    <row r="5046" spans="2:11" x14ac:dyDescent="0.25">
      <c r="B5046"/>
      <c r="K5046"/>
    </row>
    <row r="5047" spans="2:11" x14ac:dyDescent="0.25">
      <c r="B5047"/>
      <c r="K5047"/>
    </row>
    <row r="5048" spans="2:11" x14ac:dyDescent="0.25">
      <c r="B5048"/>
      <c r="K5048"/>
    </row>
    <row r="5049" spans="2:11" x14ac:dyDescent="0.25">
      <c r="B5049"/>
      <c r="K5049"/>
    </row>
    <row r="5050" spans="2:11" x14ac:dyDescent="0.25">
      <c r="B5050"/>
      <c r="K5050"/>
    </row>
    <row r="5051" spans="2:11" x14ac:dyDescent="0.25">
      <c r="B5051"/>
      <c r="K5051"/>
    </row>
    <row r="5052" spans="2:11" x14ac:dyDescent="0.25">
      <c r="B5052"/>
      <c r="K5052"/>
    </row>
    <row r="5053" spans="2:11" x14ac:dyDescent="0.25">
      <c r="B5053"/>
      <c r="K5053"/>
    </row>
    <row r="5054" spans="2:11" x14ac:dyDescent="0.25">
      <c r="B5054"/>
      <c r="K5054"/>
    </row>
    <row r="5055" spans="2:11" x14ac:dyDescent="0.25">
      <c r="B5055"/>
      <c r="K5055"/>
    </row>
    <row r="5056" spans="2:11" x14ac:dyDescent="0.25">
      <c r="B5056"/>
      <c r="K5056"/>
    </row>
    <row r="5057" spans="2:11" x14ac:dyDescent="0.25">
      <c r="B5057"/>
      <c r="K5057"/>
    </row>
    <row r="5058" spans="2:11" x14ac:dyDescent="0.25">
      <c r="B5058"/>
      <c r="K5058"/>
    </row>
    <row r="5059" spans="2:11" x14ac:dyDescent="0.25">
      <c r="B5059"/>
      <c r="K5059"/>
    </row>
    <row r="5060" spans="2:11" x14ac:dyDescent="0.25">
      <c r="B5060"/>
      <c r="K5060"/>
    </row>
    <row r="5061" spans="2:11" x14ac:dyDescent="0.25">
      <c r="B5061"/>
      <c r="K5061"/>
    </row>
    <row r="5062" spans="2:11" x14ac:dyDescent="0.25">
      <c r="B5062"/>
      <c r="K5062"/>
    </row>
    <row r="5063" spans="2:11" x14ac:dyDescent="0.25">
      <c r="B5063"/>
      <c r="K5063"/>
    </row>
    <row r="5064" spans="2:11" x14ac:dyDescent="0.25">
      <c r="B5064"/>
      <c r="K5064"/>
    </row>
    <row r="5065" spans="2:11" x14ac:dyDescent="0.25">
      <c r="B5065"/>
      <c r="K5065"/>
    </row>
    <row r="5066" spans="2:11" x14ac:dyDescent="0.25">
      <c r="B5066"/>
      <c r="K5066"/>
    </row>
    <row r="5067" spans="2:11" x14ac:dyDescent="0.25">
      <c r="B5067"/>
      <c r="K5067"/>
    </row>
    <row r="5068" spans="2:11" x14ac:dyDescent="0.25">
      <c r="B5068"/>
      <c r="K5068"/>
    </row>
    <row r="5069" spans="2:11" x14ac:dyDescent="0.25">
      <c r="B5069"/>
      <c r="K5069"/>
    </row>
    <row r="5070" spans="2:11" x14ac:dyDescent="0.25">
      <c r="B5070"/>
      <c r="K5070"/>
    </row>
    <row r="5071" spans="2:11" x14ac:dyDescent="0.25">
      <c r="B5071"/>
      <c r="K5071"/>
    </row>
    <row r="5072" spans="2:11" x14ac:dyDescent="0.25">
      <c r="B5072"/>
      <c r="K5072"/>
    </row>
    <row r="5073" spans="2:11" x14ac:dyDescent="0.25">
      <c r="B5073"/>
      <c r="K5073"/>
    </row>
    <row r="5074" spans="2:11" x14ac:dyDescent="0.25">
      <c r="B5074"/>
      <c r="K5074"/>
    </row>
    <row r="5075" spans="2:11" x14ac:dyDescent="0.25">
      <c r="B5075"/>
      <c r="K5075"/>
    </row>
    <row r="5076" spans="2:11" x14ac:dyDescent="0.25">
      <c r="B5076"/>
      <c r="K5076"/>
    </row>
    <row r="5077" spans="2:11" x14ac:dyDescent="0.25">
      <c r="B5077"/>
      <c r="K5077"/>
    </row>
    <row r="5078" spans="2:11" x14ac:dyDescent="0.25">
      <c r="B5078"/>
      <c r="K5078"/>
    </row>
    <row r="5079" spans="2:11" x14ac:dyDescent="0.25">
      <c r="B5079"/>
      <c r="K5079"/>
    </row>
    <row r="5080" spans="2:11" x14ac:dyDescent="0.25">
      <c r="B5080"/>
      <c r="K5080"/>
    </row>
    <row r="5081" spans="2:11" x14ac:dyDescent="0.25">
      <c r="B5081"/>
      <c r="K5081"/>
    </row>
    <row r="5082" spans="2:11" x14ac:dyDescent="0.25">
      <c r="B5082"/>
      <c r="K5082"/>
    </row>
    <row r="5083" spans="2:11" x14ac:dyDescent="0.25">
      <c r="B5083"/>
      <c r="K5083"/>
    </row>
    <row r="5084" spans="2:11" x14ac:dyDescent="0.25">
      <c r="B5084"/>
      <c r="K5084"/>
    </row>
    <row r="5085" spans="2:11" x14ac:dyDescent="0.25">
      <c r="B5085"/>
      <c r="K5085"/>
    </row>
    <row r="5086" spans="2:11" x14ac:dyDescent="0.25">
      <c r="B5086"/>
      <c r="K5086"/>
    </row>
    <row r="5087" spans="2:11" x14ac:dyDescent="0.25">
      <c r="B5087"/>
      <c r="K5087"/>
    </row>
    <row r="5088" spans="2:11" x14ac:dyDescent="0.25">
      <c r="B5088"/>
      <c r="K5088"/>
    </row>
    <row r="5089" spans="2:11" x14ac:dyDescent="0.25">
      <c r="B5089"/>
      <c r="K5089"/>
    </row>
    <row r="5090" spans="2:11" x14ac:dyDescent="0.25">
      <c r="B5090"/>
      <c r="K5090"/>
    </row>
    <row r="5091" spans="2:11" x14ac:dyDescent="0.25">
      <c r="B5091"/>
      <c r="K5091"/>
    </row>
    <row r="5092" spans="2:11" x14ac:dyDescent="0.25">
      <c r="B5092"/>
      <c r="K5092"/>
    </row>
    <row r="5093" spans="2:11" x14ac:dyDescent="0.25">
      <c r="B5093"/>
      <c r="K5093"/>
    </row>
    <row r="5094" spans="2:11" x14ac:dyDescent="0.25">
      <c r="B5094"/>
      <c r="K5094"/>
    </row>
    <row r="5095" spans="2:11" x14ac:dyDescent="0.25">
      <c r="B5095"/>
      <c r="K5095"/>
    </row>
    <row r="5096" spans="2:11" x14ac:dyDescent="0.25">
      <c r="B5096"/>
      <c r="K5096"/>
    </row>
    <row r="5097" spans="2:11" x14ac:dyDescent="0.25">
      <c r="B5097"/>
      <c r="K5097"/>
    </row>
    <row r="5098" spans="2:11" x14ac:dyDescent="0.25">
      <c r="B5098"/>
      <c r="K5098"/>
    </row>
    <row r="5099" spans="2:11" x14ac:dyDescent="0.25">
      <c r="B5099"/>
      <c r="K5099"/>
    </row>
    <row r="5100" spans="2:11" x14ac:dyDescent="0.25">
      <c r="B5100"/>
      <c r="K5100"/>
    </row>
    <row r="5101" spans="2:11" x14ac:dyDescent="0.25">
      <c r="B5101"/>
      <c r="K5101"/>
    </row>
    <row r="5102" spans="2:11" x14ac:dyDescent="0.25">
      <c r="B5102"/>
      <c r="K5102"/>
    </row>
    <row r="5103" spans="2:11" x14ac:dyDescent="0.25">
      <c r="B5103"/>
      <c r="K5103"/>
    </row>
    <row r="5104" spans="2:11" x14ac:dyDescent="0.25">
      <c r="B5104"/>
      <c r="K5104"/>
    </row>
    <row r="5105" spans="2:11" x14ac:dyDescent="0.25">
      <c r="B5105"/>
      <c r="K5105"/>
    </row>
    <row r="5106" spans="2:11" x14ac:dyDescent="0.25">
      <c r="B5106"/>
      <c r="K5106"/>
    </row>
    <row r="5107" spans="2:11" x14ac:dyDescent="0.25">
      <c r="B5107"/>
      <c r="K5107"/>
    </row>
    <row r="5108" spans="2:11" x14ac:dyDescent="0.25">
      <c r="B5108"/>
      <c r="K5108"/>
    </row>
    <row r="5109" spans="2:11" x14ac:dyDescent="0.25">
      <c r="B5109"/>
      <c r="K5109"/>
    </row>
    <row r="5110" spans="2:11" x14ac:dyDescent="0.25">
      <c r="B5110"/>
      <c r="K5110"/>
    </row>
    <row r="5111" spans="2:11" x14ac:dyDescent="0.25">
      <c r="B5111"/>
      <c r="K5111"/>
    </row>
    <row r="5112" spans="2:11" x14ac:dyDescent="0.25">
      <c r="B5112"/>
      <c r="K5112"/>
    </row>
    <row r="5113" spans="2:11" x14ac:dyDescent="0.25">
      <c r="B5113"/>
      <c r="K5113"/>
    </row>
    <row r="5114" spans="2:11" x14ac:dyDescent="0.25">
      <c r="B5114"/>
      <c r="K5114"/>
    </row>
    <row r="5115" spans="2:11" x14ac:dyDescent="0.25">
      <c r="B5115"/>
      <c r="K5115"/>
    </row>
    <row r="5116" spans="2:11" x14ac:dyDescent="0.25">
      <c r="B5116"/>
      <c r="K5116"/>
    </row>
    <row r="5117" spans="2:11" x14ac:dyDescent="0.25">
      <c r="B5117"/>
      <c r="K5117"/>
    </row>
    <row r="5118" spans="2:11" x14ac:dyDescent="0.25">
      <c r="B5118"/>
      <c r="K5118"/>
    </row>
    <row r="5119" spans="2:11" x14ac:dyDescent="0.25">
      <c r="B5119"/>
      <c r="K5119"/>
    </row>
    <row r="5120" spans="2:11" x14ac:dyDescent="0.25">
      <c r="B5120"/>
      <c r="K5120"/>
    </row>
    <row r="5121" spans="2:11" x14ac:dyDescent="0.25">
      <c r="B5121"/>
      <c r="K5121"/>
    </row>
    <row r="5122" spans="2:11" x14ac:dyDescent="0.25">
      <c r="B5122"/>
      <c r="K5122"/>
    </row>
    <row r="5123" spans="2:11" x14ac:dyDescent="0.25">
      <c r="B5123"/>
      <c r="K5123"/>
    </row>
    <row r="5124" spans="2:11" x14ac:dyDescent="0.25">
      <c r="B5124"/>
      <c r="K5124"/>
    </row>
    <row r="5125" spans="2:11" x14ac:dyDescent="0.25">
      <c r="B5125"/>
      <c r="K5125"/>
    </row>
    <row r="5126" spans="2:11" x14ac:dyDescent="0.25">
      <c r="B5126"/>
      <c r="K5126"/>
    </row>
    <row r="5127" spans="2:11" x14ac:dyDescent="0.25">
      <c r="B5127"/>
      <c r="K5127"/>
    </row>
    <row r="5128" spans="2:11" x14ac:dyDescent="0.25">
      <c r="B5128"/>
      <c r="K5128"/>
    </row>
    <row r="5129" spans="2:11" x14ac:dyDescent="0.25">
      <c r="B5129"/>
      <c r="K5129"/>
    </row>
    <row r="5130" spans="2:11" x14ac:dyDescent="0.25">
      <c r="B5130"/>
      <c r="K5130"/>
    </row>
    <row r="5131" spans="2:11" x14ac:dyDescent="0.25">
      <c r="B5131"/>
      <c r="K5131"/>
    </row>
    <row r="5132" spans="2:11" x14ac:dyDescent="0.25">
      <c r="B5132"/>
      <c r="K5132"/>
    </row>
    <row r="5133" spans="2:11" x14ac:dyDescent="0.25">
      <c r="B5133"/>
      <c r="K5133"/>
    </row>
    <row r="5134" spans="2:11" x14ac:dyDescent="0.25">
      <c r="B5134"/>
      <c r="K5134"/>
    </row>
    <row r="5135" spans="2:11" x14ac:dyDescent="0.25">
      <c r="B5135"/>
      <c r="K5135"/>
    </row>
    <row r="5136" spans="2:11" x14ac:dyDescent="0.25">
      <c r="B5136"/>
      <c r="K5136"/>
    </row>
    <row r="5137" spans="2:11" x14ac:dyDescent="0.25">
      <c r="B5137"/>
      <c r="K5137"/>
    </row>
    <row r="5138" spans="2:11" x14ac:dyDescent="0.25">
      <c r="B5138"/>
      <c r="K5138"/>
    </row>
    <row r="5139" spans="2:11" x14ac:dyDescent="0.25">
      <c r="B5139"/>
      <c r="K5139"/>
    </row>
    <row r="5140" spans="2:11" x14ac:dyDescent="0.25">
      <c r="B5140"/>
      <c r="K5140"/>
    </row>
    <row r="5141" spans="2:11" x14ac:dyDescent="0.25">
      <c r="B5141"/>
      <c r="K5141"/>
    </row>
    <row r="5142" spans="2:11" x14ac:dyDescent="0.25">
      <c r="B5142"/>
      <c r="K5142"/>
    </row>
    <row r="5143" spans="2:11" x14ac:dyDescent="0.25">
      <c r="B5143"/>
      <c r="K5143"/>
    </row>
    <row r="5144" spans="2:11" x14ac:dyDescent="0.25">
      <c r="B5144"/>
      <c r="K5144"/>
    </row>
    <row r="5145" spans="2:11" x14ac:dyDescent="0.25">
      <c r="B5145"/>
      <c r="K5145"/>
    </row>
    <row r="5146" spans="2:11" x14ac:dyDescent="0.25">
      <c r="B5146"/>
      <c r="K5146"/>
    </row>
    <row r="5147" spans="2:11" x14ac:dyDescent="0.25">
      <c r="B5147"/>
      <c r="K5147"/>
    </row>
    <row r="5148" spans="2:11" x14ac:dyDescent="0.25">
      <c r="B5148"/>
      <c r="K5148"/>
    </row>
    <row r="5149" spans="2:11" x14ac:dyDescent="0.25">
      <c r="B5149"/>
      <c r="K5149"/>
    </row>
    <row r="5150" spans="2:11" x14ac:dyDescent="0.25">
      <c r="B5150"/>
      <c r="K5150"/>
    </row>
    <row r="5151" spans="2:11" x14ac:dyDescent="0.25">
      <c r="B5151"/>
      <c r="K5151"/>
    </row>
    <row r="5152" spans="2:11" x14ac:dyDescent="0.25">
      <c r="B5152"/>
      <c r="K5152"/>
    </row>
    <row r="5153" spans="2:11" x14ac:dyDescent="0.25">
      <c r="B5153"/>
      <c r="K5153"/>
    </row>
    <row r="5154" spans="2:11" x14ac:dyDescent="0.25">
      <c r="B5154"/>
      <c r="K5154"/>
    </row>
    <row r="5155" spans="2:11" x14ac:dyDescent="0.25">
      <c r="B5155"/>
      <c r="K5155"/>
    </row>
    <row r="5156" spans="2:11" x14ac:dyDescent="0.25">
      <c r="B5156"/>
      <c r="K5156"/>
    </row>
    <row r="5157" spans="2:11" x14ac:dyDescent="0.25">
      <c r="B5157"/>
      <c r="K5157"/>
    </row>
    <row r="5158" spans="2:11" x14ac:dyDescent="0.25">
      <c r="B5158"/>
      <c r="K5158"/>
    </row>
    <row r="5159" spans="2:11" x14ac:dyDescent="0.25">
      <c r="B5159"/>
      <c r="K5159"/>
    </row>
    <row r="5160" spans="2:11" x14ac:dyDescent="0.25">
      <c r="B5160"/>
      <c r="K5160"/>
    </row>
    <row r="5161" spans="2:11" x14ac:dyDescent="0.25">
      <c r="B5161"/>
      <c r="K5161"/>
    </row>
    <row r="5162" spans="2:11" x14ac:dyDescent="0.25">
      <c r="B5162"/>
      <c r="K5162"/>
    </row>
    <row r="5163" spans="2:11" x14ac:dyDescent="0.25">
      <c r="B5163"/>
      <c r="K5163"/>
    </row>
    <row r="5164" spans="2:11" x14ac:dyDescent="0.25">
      <c r="B5164"/>
      <c r="K5164"/>
    </row>
    <row r="5165" spans="2:11" x14ac:dyDescent="0.25">
      <c r="B5165"/>
      <c r="K5165"/>
    </row>
    <row r="5166" spans="2:11" x14ac:dyDescent="0.25">
      <c r="B5166"/>
      <c r="K5166"/>
    </row>
    <row r="5167" spans="2:11" x14ac:dyDescent="0.25">
      <c r="B5167"/>
      <c r="K5167"/>
    </row>
    <row r="5168" spans="2:11" x14ac:dyDescent="0.25">
      <c r="B5168"/>
      <c r="K5168"/>
    </row>
    <row r="5169" spans="2:11" x14ac:dyDescent="0.25">
      <c r="B5169"/>
      <c r="K5169"/>
    </row>
    <row r="5170" spans="2:11" x14ac:dyDescent="0.25">
      <c r="B5170"/>
      <c r="K5170"/>
    </row>
    <row r="5171" spans="2:11" x14ac:dyDescent="0.25">
      <c r="B5171"/>
      <c r="K5171"/>
    </row>
    <row r="5172" spans="2:11" x14ac:dyDescent="0.25">
      <c r="B5172"/>
      <c r="K5172"/>
    </row>
    <row r="5173" spans="2:11" x14ac:dyDescent="0.25">
      <c r="B5173"/>
      <c r="K5173"/>
    </row>
    <row r="5174" spans="2:11" x14ac:dyDescent="0.25">
      <c r="B5174"/>
      <c r="K5174"/>
    </row>
    <row r="5175" spans="2:11" x14ac:dyDescent="0.25">
      <c r="B5175"/>
      <c r="K5175"/>
    </row>
    <row r="5176" spans="2:11" x14ac:dyDescent="0.25">
      <c r="B5176"/>
      <c r="K5176"/>
    </row>
    <row r="5177" spans="2:11" x14ac:dyDescent="0.25">
      <c r="B5177"/>
      <c r="K5177"/>
    </row>
    <row r="5178" spans="2:11" x14ac:dyDescent="0.25">
      <c r="B5178"/>
      <c r="K5178"/>
    </row>
    <row r="5179" spans="2:11" x14ac:dyDescent="0.25">
      <c r="B5179"/>
      <c r="K5179"/>
    </row>
    <row r="5180" spans="2:11" x14ac:dyDescent="0.25">
      <c r="B5180"/>
      <c r="K5180"/>
    </row>
    <row r="5181" spans="2:11" x14ac:dyDescent="0.25">
      <c r="B5181"/>
      <c r="K5181"/>
    </row>
    <row r="5182" spans="2:11" x14ac:dyDescent="0.25">
      <c r="B5182"/>
      <c r="K5182"/>
    </row>
    <row r="5183" spans="2:11" x14ac:dyDescent="0.25">
      <c r="B5183"/>
      <c r="K5183"/>
    </row>
    <row r="5184" spans="2:11" x14ac:dyDescent="0.25">
      <c r="B5184"/>
      <c r="K5184"/>
    </row>
    <row r="5185" spans="2:11" x14ac:dyDescent="0.25">
      <c r="B5185"/>
      <c r="K5185"/>
    </row>
    <row r="5186" spans="2:11" x14ac:dyDescent="0.25">
      <c r="B5186"/>
      <c r="K5186"/>
    </row>
    <row r="5187" spans="2:11" x14ac:dyDescent="0.25">
      <c r="B5187"/>
      <c r="K5187"/>
    </row>
    <row r="5188" spans="2:11" x14ac:dyDescent="0.25">
      <c r="B5188"/>
      <c r="K5188"/>
    </row>
    <row r="5189" spans="2:11" x14ac:dyDescent="0.25">
      <c r="B5189"/>
      <c r="K5189"/>
    </row>
    <row r="5190" spans="2:11" x14ac:dyDescent="0.25">
      <c r="B5190"/>
      <c r="K5190"/>
    </row>
    <row r="5191" spans="2:11" x14ac:dyDescent="0.25">
      <c r="B5191"/>
      <c r="K5191"/>
    </row>
    <row r="5192" spans="2:11" x14ac:dyDescent="0.25">
      <c r="B5192"/>
      <c r="K5192"/>
    </row>
    <row r="5193" spans="2:11" x14ac:dyDescent="0.25">
      <c r="B5193"/>
      <c r="K5193"/>
    </row>
    <row r="5194" spans="2:11" x14ac:dyDescent="0.25">
      <c r="B5194"/>
      <c r="K5194"/>
    </row>
    <row r="5195" spans="2:11" x14ac:dyDescent="0.25">
      <c r="B5195"/>
      <c r="K5195"/>
    </row>
    <row r="5196" spans="2:11" x14ac:dyDescent="0.25">
      <c r="B5196"/>
      <c r="K5196"/>
    </row>
    <row r="5197" spans="2:11" x14ac:dyDescent="0.25">
      <c r="B5197"/>
      <c r="K5197"/>
    </row>
    <row r="5198" spans="2:11" x14ac:dyDescent="0.25">
      <c r="B5198"/>
      <c r="K5198"/>
    </row>
    <row r="5199" spans="2:11" x14ac:dyDescent="0.25">
      <c r="B5199"/>
      <c r="K5199"/>
    </row>
    <row r="5200" spans="2:11" x14ac:dyDescent="0.25">
      <c r="B5200"/>
      <c r="K5200"/>
    </row>
    <row r="5201" spans="2:11" x14ac:dyDescent="0.25">
      <c r="B5201"/>
      <c r="K5201"/>
    </row>
    <row r="5202" spans="2:11" x14ac:dyDescent="0.25">
      <c r="B5202"/>
      <c r="K5202"/>
    </row>
    <row r="5203" spans="2:11" x14ac:dyDescent="0.25">
      <c r="B5203"/>
      <c r="K5203"/>
    </row>
    <row r="5204" spans="2:11" x14ac:dyDescent="0.25">
      <c r="B5204"/>
      <c r="K5204"/>
    </row>
    <row r="5205" spans="2:11" x14ac:dyDescent="0.25">
      <c r="B5205"/>
      <c r="K5205"/>
    </row>
    <row r="5206" spans="2:11" x14ac:dyDescent="0.25">
      <c r="B5206"/>
      <c r="K5206"/>
    </row>
    <row r="5207" spans="2:11" x14ac:dyDescent="0.25">
      <c r="B5207"/>
      <c r="K5207"/>
    </row>
    <row r="5208" spans="2:11" x14ac:dyDescent="0.25">
      <c r="B5208"/>
    </row>
  </sheetData>
  <mergeCells count="7">
    <mergeCell ref="A1:C1"/>
    <mergeCell ref="A8:C8"/>
    <mergeCell ref="A4:B4"/>
    <mergeCell ref="A2:B2"/>
    <mergeCell ref="A6:C6"/>
    <mergeCell ref="A7:C7"/>
    <mergeCell ref="A5:C5"/>
  </mergeCells>
  <pageMargins left="0.7" right="0.7" top="0.75" bottom="0.75" header="0.3" footer="0.3"/>
  <pageSetup paperSize="9" orientation="portrait" verticalDpi="0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D4D5-3F0C-45D5-B9F5-EB83F740EFF2}">
  <dimension ref="A1:H42"/>
  <sheetViews>
    <sheetView tabSelected="1" zoomScale="95" workbookViewId="0">
      <pane ySplit="4" topLeftCell="A28" activePane="bottomLeft" state="frozen"/>
      <selection activeCell="F1" sqref="F1:F2"/>
      <selection pane="bottomLeft" activeCell="C34" sqref="C34"/>
    </sheetView>
  </sheetViews>
  <sheetFormatPr baseColWidth="10" defaultColWidth="9.140625" defaultRowHeight="15" x14ac:dyDescent="0.25"/>
  <cols>
    <col min="1" max="1" width="42" customWidth="1"/>
    <col min="2" max="4" width="20" customWidth="1"/>
    <col min="5" max="5" width="6" customWidth="1"/>
    <col min="8" max="8" width="12.5703125" bestFit="1" customWidth="1"/>
  </cols>
  <sheetData>
    <row r="1" spans="1:4" ht="8.1" customHeight="1" x14ac:dyDescent="0.25"/>
    <row r="2" spans="1:4" ht="42" customHeight="1" x14ac:dyDescent="0.25">
      <c r="A2" s="105" t="s">
        <v>524</v>
      </c>
      <c r="B2" s="106"/>
      <c r="C2" s="106"/>
      <c r="D2" s="106"/>
    </row>
    <row r="3" spans="1:4" ht="20.100000000000001" customHeight="1" x14ac:dyDescent="0.25">
      <c r="A3" s="107">
        <f ca="1">TODAY()</f>
        <v>46272</v>
      </c>
      <c r="B3" s="106"/>
      <c r="C3" s="106"/>
      <c r="D3" s="106"/>
    </row>
    <row r="4" spans="1:4" ht="9.9499999999999993" customHeight="1" x14ac:dyDescent="0.25">
      <c r="A4" s="55"/>
      <c r="B4" s="55"/>
      <c r="C4" s="55"/>
      <c r="D4" s="55"/>
    </row>
    <row r="5" spans="1:4" ht="26.1" customHeight="1" x14ac:dyDescent="0.25">
      <c r="A5" s="108" t="s">
        <v>242</v>
      </c>
      <c r="B5" s="106"/>
      <c r="C5" s="106"/>
      <c r="D5" s="106"/>
    </row>
    <row r="6" spans="1:4" ht="21.95" customHeight="1" x14ac:dyDescent="0.25">
      <c r="A6" s="56" t="s">
        <v>243</v>
      </c>
      <c r="B6" s="56" t="s">
        <v>7</v>
      </c>
      <c r="C6" s="56" t="s">
        <v>10</v>
      </c>
      <c r="D6" s="56" t="s">
        <v>17</v>
      </c>
    </row>
    <row r="7" spans="1:4" ht="20.100000000000001" customHeight="1" x14ac:dyDescent="0.25">
      <c r="A7" s="57">
        <f>'cheques a conf'!A2</f>
        <v>97124642</v>
      </c>
      <c r="B7" s="58" t="str">
        <f>'cheques a conf'!B2</f>
        <v>04/09/202</v>
      </c>
      <c r="C7" s="59">
        <f>IF('cheques a conf'!C2&lt;&gt;"",-'cheques a conf'!C2,"")</f>
        <v>44935981.170000002</v>
      </c>
      <c r="D7" s="60" t="str">
        <f>IF('cheques a conf'!C2&lt;&gt;"",'cheques a conf'!E2,"")</f>
        <v>MACRO</v>
      </c>
    </row>
    <row r="8" spans="1:4" ht="20.100000000000001" customHeight="1" x14ac:dyDescent="0.25">
      <c r="A8" s="61">
        <f>'cheques a conf'!A3</f>
        <v>97124643</v>
      </c>
      <c r="B8" s="62" t="str">
        <f>'cheques a conf'!B3</f>
        <v>04/09/202</v>
      </c>
      <c r="C8" s="63">
        <f>IF('cheques a conf'!C3&lt;&gt;"",-'cheques a conf'!C3,"")</f>
        <v>6617092.5</v>
      </c>
      <c r="D8" s="60" t="str">
        <f>IF('cheques a conf'!C3&lt;&gt;"",'cheques a conf'!E3,"")</f>
        <v>MACRO</v>
      </c>
    </row>
    <row r="9" spans="1:4" ht="20.100000000000001" customHeight="1" x14ac:dyDescent="0.25">
      <c r="A9" s="57">
        <f>'cheques a conf'!A4</f>
        <v>97124644</v>
      </c>
      <c r="B9" s="58" t="str">
        <f>'cheques a conf'!B4</f>
        <v>04/09/202</v>
      </c>
      <c r="C9" s="59">
        <f>IF('cheques a conf'!C4&lt;&gt;"",-'cheques a conf'!C4,"")</f>
        <v>9242374.6300000008</v>
      </c>
      <c r="D9" s="60" t="str">
        <f>IF('cheques a conf'!C4&lt;&gt;"",'cheques a conf'!E4,"")</f>
        <v>MACRO</v>
      </c>
    </row>
    <row r="10" spans="1:4" ht="20.100000000000001" customHeight="1" x14ac:dyDescent="0.25">
      <c r="A10" s="61">
        <f>'cheques a conf'!A5</f>
        <v>97124645</v>
      </c>
      <c r="B10" s="62" t="str">
        <f>'cheques a conf'!B5</f>
        <v>04/09/202</v>
      </c>
      <c r="C10" s="63">
        <f>IF('cheques a conf'!C5&lt;&gt;"",-'cheques a conf'!C5,"")</f>
        <v>6838598.46</v>
      </c>
      <c r="D10" s="60" t="str">
        <f>IF('cheques a conf'!C5&lt;&gt;"",'cheques a conf'!E5,"")</f>
        <v>MACRO</v>
      </c>
    </row>
    <row r="11" spans="1:4" ht="20.100000000000001" customHeight="1" x14ac:dyDescent="0.25">
      <c r="A11" s="57">
        <f>'cheques a conf'!A6</f>
        <v>97124646</v>
      </c>
      <c r="B11" s="58" t="str">
        <f>'cheques a conf'!B6</f>
        <v>04/09/202</v>
      </c>
      <c r="C11" s="59">
        <f>IF('cheques a conf'!C6&lt;&gt;"",-'cheques a conf'!C6,"")</f>
        <v>11569820.039999999</v>
      </c>
      <c r="D11" s="60" t="str">
        <f>IF('cheques a conf'!C6&lt;&gt;"",'cheques a conf'!E6,"")</f>
        <v>MACRO</v>
      </c>
    </row>
    <row r="12" spans="1:4" ht="20.100000000000001" customHeight="1" x14ac:dyDescent="0.25">
      <c r="A12" s="61">
        <f>'cheques a conf'!A7</f>
        <v>97124647</v>
      </c>
      <c r="B12" s="62" t="str">
        <f>'cheques a conf'!B7</f>
        <v>04/09/202</v>
      </c>
      <c r="C12" s="63">
        <f>IF('cheques a conf'!C7&lt;&gt;"",-'cheques a conf'!C7,"")</f>
        <v>12163459.77</v>
      </c>
      <c r="D12" s="60" t="str">
        <f>IF('cheques a conf'!C7&lt;&gt;"",'cheques a conf'!E7,"")</f>
        <v>MACRO</v>
      </c>
    </row>
    <row r="13" spans="1:4" ht="20.100000000000001" customHeight="1" x14ac:dyDescent="0.25">
      <c r="A13" s="57">
        <f>'cheques a conf'!A8</f>
        <v>0</v>
      </c>
      <c r="B13" s="58">
        <f>'cheques a conf'!B8</f>
        <v>0</v>
      </c>
      <c r="C13" s="59" t="str">
        <f>IF('cheques a conf'!C8&lt;&gt;"",-'cheques a conf'!C8,"")</f>
        <v/>
      </c>
      <c r="D13" s="60" t="str">
        <f>IF('cheques a conf'!C8&lt;&gt;"",'cheques a conf'!E8,"")</f>
        <v/>
      </c>
    </row>
    <row r="14" spans="1:4" ht="20.100000000000001" customHeight="1" x14ac:dyDescent="0.25">
      <c r="A14" s="57">
        <f>'cheques a conf'!A9</f>
        <v>0</v>
      </c>
      <c r="B14" s="58">
        <f>'cheques a conf'!B9</f>
        <v>0</v>
      </c>
      <c r="C14" s="59" t="str">
        <f>IF('cheques a conf'!C9&lt;&gt;"",-'cheques a conf'!C9,"")</f>
        <v/>
      </c>
      <c r="D14" s="60" t="str">
        <f>IF('cheques a conf'!C9&lt;&gt;"",'cheques a conf'!E9,"")</f>
        <v/>
      </c>
    </row>
    <row r="15" spans="1:4" ht="20.100000000000001" customHeight="1" x14ac:dyDescent="0.25">
      <c r="A15" s="57">
        <f>'cheques a conf'!A10</f>
        <v>0</v>
      </c>
      <c r="B15" s="58">
        <f>'cheques a conf'!B10</f>
        <v>0</v>
      </c>
      <c r="C15" s="59" t="str">
        <f>IF('cheques a conf'!C10&lt;&gt;"",-'cheques a conf'!C10,"")</f>
        <v/>
      </c>
      <c r="D15" s="60" t="str">
        <f>IF('cheques a conf'!C10&lt;&gt;"",'cheques a conf'!E10,"")</f>
        <v/>
      </c>
    </row>
    <row r="16" spans="1:4" ht="20.100000000000001" customHeight="1" x14ac:dyDescent="0.25">
      <c r="A16" s="57">
        <f>'cheques a conf'!A11</f>
        <v>0</v>
      </c>
      <c r="B16" s="58">
        <f>'cheques a conf'!B11</f>
        <v>0</v>
      </c>
      <c r="C16" s="59" t="str">
        <f>IF('cheques a conf'!C11&lt;&gt;"",-'cheques a conf'!C11,"")</f>
        <v/>
      </c>
      <c r="D16" s="60" t="str">
        <f>IF('cheques a conf'!C11&lt;&gt;"",'cheques a conf'!E11,"")</f>
        <v/>
      </c>
    </row>
    <row r="17" spans="1:4" ht="20.100000000000001" customHeight="1" x14ac:dyDescent="0.25">
      <c r="A17" s="57">
        <f>'cheques a conf'!A12</f>
        <v>0</v>
      </c>
      <c r="B17" s="58">
        <f>'cheques a conf'!B12</f>
        <v>0</v>
      </c>
      <c r="C17" s="59" t="str">
        <f>IF('cheques a conf'!C12&lt;&gt;"",-'cheques a conf'!C12,"")</f>
        <v/>
      </c>
      <c r="D17" s="60" t="str">
        <f>IF('cheques a conf'!C12&lt;&gt;"",'cheques a conf'!E12,"")</f>
        <v/>
      </c>
    </row>
    <row r="18" spans="1:4" ht="20.100000000000001" customHeight="1" x14ac:dyDescent="0.25">
      <c r="A18" s="57">
        <f>'cheques a conf'!A13</f>
        <v>0</v>
      </c>
      <c r="B18" s="58">
        <f>'cheques a conf'!B13</f>
        <v>0</v>
      </c>
      <c r="C18" s="59" t="str">
        <f>IF('cheques a conf'!C13&lt;&gt;"",-'cheques a conf'!C13,"")</f>
        <v/>
      </c>
      <c r="D18" s="60" t="str">
        <f>IF('cheques a conf'!C13&lt;&gt;"",'cheques a conf'!E13,"")</f>
        <v/>
      </c>
    </row>
    <row r="19" spans="1:4" ht="20.100000000000001" customHeight="1" x14ac:dyDescent="0.25">
      <c r="A19" s="57">
        <f>'cheques a conf'!A14</f>
        <v>0</v>
      </c>
      <c r="B19" s="58">
        <f>'cheques a conf'!B14</f>
        <v>0</v>
      </c>
      <c r="C19" s="59" t="str">
        <f>IF('cheques a conf'!C14&lt;&gt;"",-'cheques a conf'!C14,"")</f>
        <v/>
      </c>
      <c r="D19" s="60" t="str">
        <f>IF('cheques a conf'!C14&lt;&gt;"",'cheques a conf'!E14,"")</f>
        <v/>
      </c>
    </row>
    <row r="20" spans="1:4" ht="20.100000000000001" customHeight="1" x14ac:dyDescent="0.25">
      <c r="A20" s="57">
        <f>'cheques a conf'!A15</f>
        <v>0</v>
      </c>
      <c r="B20" s="58">
        <f>'cheques a conf'!B15</f>
        <v>0</v>
      </c>
      <c r="C20" s="59" t="str">
        <f>IF('cheques a conf'!C15&lt;&gt;"",-'cheques a conf'!C15,"")</f>
        <v/>
      </c>
      <c r="D20" s="60" t="str">
        <f>IF('cheques a conf'!C15&lt;&gt;"",'cheques a conf'!E15,"")</f>
        <v/>
      </c>
    </row>
    <row r="21" spans="1:4" ht="20.100000000000001" customHeight="1" x14ac:dyDescent="0.25">
      <c r="A21" s="57">
        <f>'cheques a conf'!A16</f>
        <v>0</v>
      </c>
      <c r="B21" s="58">
        <f>'cheques a conf'!B16</f>
        <v>0</v>
      </c>
      <c r="C21" s="59" t="str">
        <f>IF('cheques a conf'!C16&lt;&gt;"",-'cheques a conf'!C16,"")</f>
        <v/>
      </c>
      <c r="D21" s="60" t="str">
        <f>IF('cheques a conf'!C16&lt;&gt;"",'cheques a conf'!E16,"")</f>
        <v/>
      </c>
    </row>
    <row r="22" spans="1:4" ht="20.100000000000001" customHeight="1" x14ac:dyDescent="0.25">
      <c r="A22" s="57">
        <f>'cheques a conf'!A17</f>
        <v>0</v>
      </c>
      <c r="B22" s="58">
        <f>'cheques a conf'!B17</f>
        <v>0</v>
      </c>
      <c r="C22" s="59" t="str">
        <f>IF('cheques a conf'!C17&lt;&gt;"",-'cheques a conf'!C17,"")</f>
        <v/>
      </c>
      <c r="D22" s="60" t="str">
        <f>IF('cheques a conf'!C17&lt;&gt;"",'cheques a conf'!E17,"")</f>
        <v/>
      </c>
    </row>
    <row r="23" spans="1:4" ht="20.100000000000001" customHeight="1" x14ac:dyDescent="0.25">
      <c r="A23" s="57">
        <f>'cheques a conf'!A18</f>
        <v>0</v>
      </c>
      <c r="B23" s="58">
        <f>'cheques a conf'!B18</f>
        <v>0</v>
      </c>
      <c r="C23" s="59" t="str">
        <f>IF('cheques a conf'!C18&lt;&gt;"",-'cheques a conf'!C18,"")</f>
        <v/>
      </c>
      <c r="D23" s="60" t="str">
        <f>IF('cheques a conf'!C18&lt;&gt;"",'cheques a conf'!E18,"")</f>
        <v/>
      </c>
    </row>
    <row r="24" spans="1:4" ht="20.100000000000001" customHeight="1" x14ac:dyDescent="0.25">
      <c r="A24" s="57">
        <f>'cheques a conf'!A19</f>
        <v>0</v>
      </c>
      <c r="B24" s="58">
        <f>'cheques a conf'!B19</f>
        <v>0</v>
      </c>
      <c r="C24" s="59" t="str">
        <f>IF('cheques a conf'!C19&lt;&gt;"",-'cheques a conf'!C19,"")</f>
        <v/>
      </c>
      <c r="D24" s="60" t="str">
        <f>IF('cheques a conf'!C19&lt;&gt;"",'cheques a conf'!E19,"")</f>
        <v/>
      </c>
    </row>
    <row r="25" spans="1:4" ht="20.100000000000001" customHeight="1" x14ac:dyDescent="0.25">
      <c r="A25" s="57">
        <f>'cheques a conf'!A20</f>
        <v>0</v>
      </c>
      <c r="B25" s="58">
        <f>'cheques a conf'!B20</f>
        <v>0</v>
      </c>
      <c r="C25" s="59" t="str">
        <f>IF('cheques a conf'!C20&lt;&gt;"",-'cheques a conf'!C20,"")</f>
        <v/>
      </c>
      <c r="D25" s="60" t="str">
        <f>IF('cheques a conf'!C20&lt;&gt;"",'cheques a conf'!E20,"")</f>
        <v/>
      </c>
    </row>
    <row r="26" spans="1:4" ht="20.100000000000001" customHeight="1" x14ac:dyDescent="0.25">
      <c r="A26" s="57">
        <f>'cheques a conf'!A21</f>
        <v>0</v>
      </c>
      <c r="B26" s="58">
        <f>'cheques a conf'!B21</f>
        <v>0</v>
      </c>
      <c r="C26" s="59" t="str">
        <f>IF('cheques a conf'!C21&lt;&gt;"",-'cheques a conf'!C21,"")</f>
        <v/>
      </c>
      <c r="D26" s="60" t="str">
        <f>IF('cheques a conf'!C21&lt;&gt;"",'cheques a conf'!E21,"")</f>
        <v/>
      </c>
    </row>
    <row r="27" spans="1:4" ht="21.95" customHeight="1" x14ac:dyDescent="0.25">
      <c r="A27" s="64" t="s">
        <v>245</v>
      </c>
      <c r="B27" s="65"/>
      <c r="C27" s="66">
        <f>SUMIF('cheques a conf'!C2:C100,"&lt;0",'cheques a conf'!C2:C100)*-1</f>
        <v>91367326.570000008</v>
      </c>
      <c r="D27" s="65"/>
    </row>
    <row r="28" spans="1:4" ht="9.9499999999999993" customHeight="1" x14ac:dyDescent="0.25">
      <c r="A28" s="55"/>
      <c r="B28" s="55"/>
      <c r="C28" s="55"/>
      <c r="D28" s="55"/>
    </row>
    <row r="29" spans="1:4" ht="26.1" customHeight="1" x14ac:dyDescent="0.25">
      <c r="A29" s="108" t="s">
        <v>278</v>
      </c>
      <c r="B29" s="106"/>
      <c r="C29" s="106"/>
      <c r="D29" s="106"/>
    </row>
    <row r="30" spans="1:4" ht="21.95" customHeight="1" x14ac:dyDescent="0.25">
      <c r="A30" s="56" t="s">
        <v>246</v>
      </c>
      <c r="B30" s="56" t="s">
        <v>28</v>
      </c>
      <c r="C30" s="56" t="s">
        <v>61</v>
      </c>
      <c r="D30" s="56" t="s">
        <v>247</v>
      </c>
    </row>
    <row r="31" spans="1:4" ht="20.100000000000001" customHeight="1" x14ac:dyDescent="0.25">
      <c r="A31" s="67" t="s">
        <v>279</v>
      </c>
      <c r="B31" s="68">
        <f>SUMIF(D7:D26,B30,C7:C26)</f>
        <v>0</v>
      </c>
      <c r="C31" s="68">
        <f>SUMIF(D7:D26,C30,C7:C26)</f>
        <v>91367326.570000008</v>
      </c>
      <c r="D31" s="69">
        <f>B31+C31</f>
        <v>91367326.570000008</v>
      </c>
    </row>
    <row r="32" spans="1:4" ht="20.100000000000001" customHeight="1" x14ac:dyDescent="0.25">
      <c r="A32" s="70" t="s">
        <v>280</v>
      </c>
      <c r="B32" s="71" cm="1">
        <f t="array" aca="1" ref="B32" ca="1">SUMPRODUCT(('sap nuevo'!H$2:H$10000="GALICIA")*('sap nuevo'!J$2:J$10000="en periodo de pago")*('sap nuevo'!G$2:G$10000&lt;=TODAY()-WEEKDAY(TODAY(),2)+5)*('sap nuevo'!F$2:F$10000))-B31</f>
        <v>0</v>
      </c>
      <c r="C32" s="71" cm="1">
        <f t="array" aca="1" ref="C32" ca="1">SUMPRODUCT(('sap nuevo'!H$2:H$10000="MACRO")*('sap nuevo'!J$2:J$10000="en periodo de pago")*('sap nuevo'!G$2:G$10000&lt;=TODAY()-WEEKDAY(TODAY(),2)+5)*('sap nuevo'!F$2:F$10000))-C31</f>
        <v>307038436.04000014</v>
      </c>
      <c r="D32" s="72">
        <f ca="1">B32+C32</f>
        <v>307038436.04000014</v>
      </c>
    </row>
    <row r="33" spans="1:8" ht="20.100000000000001" customHeight="1" x14ac:dyDescent="0.25">
      <c r="A33" s="67" t="s">
        <v>281</v>
      </c>
      <c r="B33" s="68" cm="1">
        <f t="array" aca="1" ref="B33" ca="1">SUMPRODUCT(('sap nuevo'!H$2:H$10000="GALICIA")*('sap nuevo'!J$2:J$10000="en periodo de pago")*('sap nuevo'!G$2:G$10000&gt;=TODAY()-WEEKDAY(TODAY(),2)+8)*('sap nuevo'!G$2:G$10000&lt;=TODAY()-WEEKDAY(TODAY(),2)+14)*('sap nuevo'!F$2:F$10000))</f>
        <v>0</v>
      </c>
      <c r="C33" s="68" cm="1">
        <f t="array" aca="1" ref="C33" ca="1">SUMPRODUCT(('sap nuevo'!H$2:H$10000="MACRO")*('sap nuevo'!J$2:J$10000="en periodo de pago")*('sap nuevo'!G$2:G$10000&gt;=TODAY()-WEEKDAY(TODAY(),2)+8)*('sap nuevo'!G$2:G$10000&lt;=TODAY()-WEEKDAY(TODAY(),2)+14)*('sap nuevo'!F$2:F$10000))</f>
        <v>0</v>
      </c>
      <c r="D33" s="69">
        <f ca="1">B33+C33</f>
        <v>0</v>
      </c>
    </row>
    <row r="34" spans="1:8" ht="20.100000000000001" customHeight="1" x14ac:dyDescent="0.25">
      <c r="A34" s="70" t="s">
        <v>282</v>
      </c>
      <c r="B34" s="71" cm="1">
        <f t="array" aca="1" ref="B34" ca="1">SUMPRODUCT(('sap nuevo'!H$2:H$10000="GALICIA")*('sap nuevo'!J$2:J$10000="en periodo de pago")*('sap nuevo'!G$2:G$10000&gt;TODAY()+15)*('sap nuevo'!F$2:F$10000))</f>
        <v>0</v>
      </c>
      <c r="C34" s="71" cm="1">
        <f t="array" aca="1" ref="C34" ca="1">SUMPRODUCT(('sap nuevo'!H$2:H$10000="MACRO")*('sap nuevo'!J$2:J$10000="en periodo de pago")*('sap nuevo'!G$2:G$10000&gt;=TODAY()-WEEKDAY(TODAY(),2)+15)*('sap nuevo'!F$2:F$10000))</f>
        <v>0</v>
      </c>
      <c r="D34" s="72">
        <f ca="1">B34+C34</f>
        <v>0</v>
      </c>
    </row>
    <row r="35" spans="1:8" ht="21.95" customHeight="1" x14ac:dyDescent="0.25">
      <c r="A35" s="73" t="s">
        <v>248</v>
      </c>
      <c r="B35" s="74">
        <f ca="1">B31+B32+B33+B34</f>
        <v>0</v>
      </c>
      <c r="C35" s="74">
        <f ca="1">C31+C32+C33+C34</f>
        <v>398405762.61000013</v>
      </c>
      <c r="D35" s="74">
        <f ca="1">D31+D32+D33+D34</f>
        <v>398405762.61000013</v>
      </c>
      <c r="H35" s="9"/>
    </row>
    <row r="36" spans="1:8" ht="9.9499999999999993" customHeight="1" x14ac:dyDescent="0.25">
      <c r="A36" s="55"/>
      <c r="B36" s="55"/>
      <c r="C36" s="55"/>
      <c r="D36" s="55"/>
    </row>
    <row r="37" spans="1:8" ht="26.1" customHeight="1" x14ac:dyDescent="0.25">
      <c r="A37" s="109" t="s">
        <v>249</v>
      </c>
      <c r="B37" s="106"/>
      <c r="C37" s="106"/>
      <c r="D37" s="106"/>
    </row>
    <row r="38" spans="1:8" ht="21.95" customHeight="1" x14ac:dyDescent="0.25">
      <c r="A38" s="75" t="s">
        <v>17</v>
      </c>
      <c r="B38" s="75" t="s">
        <v>250</v>
      </c>
      <c r="C38" s="75" t="s">
        <v>251</v>
      </c>
      <c r="D38" s="75" t="s">
        <v>244</v>
      </c>
    </row>
    <row r="39" spans="1:8" ht="20.100000000000001" customHeight="1" x14ac:dyDescent="0.25">
      <c r="A39" s="67" t="s">
        <v>28</v>
      </c>
      <c r="B39" s="76">
        <f>COUNTIFS('sap nuevo'!H$2:H$10000,"GALICIA",'sap nuevo'!J$2:J$10000,"fuera de fecha",'sap nuevo'!F$2:F$10000,"&gt;0")</f>
        <v>0</v>
      </c>
      <c r="C39" s="68" cm="1">
        <f t="array" aca="1" ref="C39" ca="1">SUMPRODUCT(('sap nuevo'!H$2:H$10000="GALICIA")*('sap nuevo'!J$2:J$10000="fuera de fecha")*('sap nuevo'!F$2:F$10000&gt;0)*('sap nuevo'!F$2:F$10000))</f>
        <v>0</v>
      </c>
      <c r="D39" s="60" t="s">
        <v>244</v>
      </c>
    </row>
    <row r="40" spans="1:8" ht="20.100000000000001" customHeight="1" x14ac:dyDescent="0.25">
      <c r="A40" s="77" t="s">
        <v>61</v>
      </c>
      <c r="B40" s="78">
        <f ca="1">COUNTIFS('sap nuevo'!H$2:H$10000,"MACRO",'sap nuevo'!J$2:J$10000,"fuera de fecha",'sap nuevo'!F$2:F$10000,"&gt;0")</f>
        <v>8</v>
      </c>
      <c r="C40" s="79" cm="1">
        <f t="array" aca="1" ref="C40" ca="1">SUMPRODUCT(('sap nuevo'!H$2:H$10000="MACRO")*('sap nuevo'!J$2:J$10000="fuera de fecha")*('sap nuevo'!F$2:F$10000&gt;0)*('sap nuevo'!F$2:F$10000))</f>
        <v>46847803.740000002</v>
      </c>
      <c r="D40" s="80" t="s">
        <v>244</v>
      </c>
    </row>
    <row r="41" spans="1:8" ht="20.100000000000001" customHeight="1" x14ac:dyDescent="0.25">
      <c r="A41" s="67" t="s">
        <v>13</v>
      </c>
      <c r="B41" s="76">
        <f ca="1">COUNTIFS('sap nuevo'!H$2:H$10000,"HSBC",'sap nuevo'!J$2:J$10000,"fuera de fecha",'sap nuevo'!F$2:F$10000,"&gt;0")</f>
        <v>1</v>
      </c>
      <c r="C41" s="68" cm="1">
        <f t="array" aca="1" ref="C41" ca="1">SUMPRODUCT(('sap nuevo'!H$2:H$10000="HSBC")*('sap nuevo'!J$2:J$10000="fuera de fecha")*('sap nuevo'!F$2:F$10000&gt;0)*('sap nuevo'!F$2:F$10000))</f>
        <v>112652.85</v>
      </c>
      <c r="D41" s="60" t="s">
        <v>244</v>
      </c>
    </row>
    <row r="42" spans="1:8" ht="21.95" customHeight="1" x14ac:dyDescent="0.25">
      <c r="A42" s="64" t="s">
        <v>252</v>
      </c>
      <c r="B42" s="65">
        <f ca="1">COUNTIFS('sap nuevo'!J$2:J$10000,"fuera de fecha",'sap nuevo'!F$2:F$10000,"&gt;0")</f>
        <v>9</v>
      </c>
      <c r="C42" s="66" cm="1">
        <f t="array" aca="1" ref="C42" ca="1">SUMPRODUCT(('sap nuevo'!J$2:J$10000="fuera de fecha")*('sap nuevo'!F$2:F$10000&gt;0)*('sap nuevo'!F$2:F$10000))</f>
        <v>46960456.590000004</v>
      </c>
      <c r="D42" s="65"/>
    </row>
  </sheetData>
  <mergeCells count="5">
    <mergeCell ref="A2:D2"/>
    <mergeCell ref="A3:D3"/>
    <mergeCell ref="A5:D5"/>
    <mergeCell ref="A29:D29"/>
    <mergeCell ref="A37:D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38EAD-6FDC-4466-9272-743D597C6747}">
  <dimension ref="B1:L34"/>
  <sheetViews>
    <sheetView zoomScale="90" workbookViewId="0">
      <pane xSplit="1" ySplit="2" topLeftCell="B3" activePane="bottomRight" state="frozen"/>
      <selection activeCell="F1" sqref="F1:F2"/>
      <selection pane="topRight" activeCell="F1" sqref="F1:F2"/>
      <selection pane="bottomLeft" activeCell="F1" sqref="F1:F2"/>
      <selection pane="bottomRight" activeCell="C8" sqref="C8"/>
    </sheetView>
  </sheetViews>
  <sheetFormatPr baseColWidth="10" defaultColWidth="9.140625" defaultRowHeight="15" x14ac:dyDescent="0.25"/>
  <cols>
    <col min="1" max="1" width="3" customWidth="1"/>
    <col min="2" max="2" width="26" customWidth="1"/>
    <col min="3" max="3" width="16" customWidth="1"/>
    <col min="4" max="4" width="26" customWidth="1"/>
    <col min="5" max="5" width="4" customWidth="1"/>
    <col min="6" max="6" width="26" customWidth="1"/>
    <col min="7" max="7" width="16" customWidth="1"/>
    <col min="8" max="8" width="26" customWidth="1"/>
    <col min="9" max="9" width="4" customWidth="1"/>
    <col min="10" max="10" width="26" customWidth="1"/>
    <col min="11" max="11" width="18" customWidth="1"/>
    <col min="12" max="12" width="24" customWidth="1"/>
  </cols>
  <sheetData>
    <row r="1" spans="2:12" ht="42" customHeight="1" x14ac:dyDescent="0.25">
      <c r="B1" s="105" t="s">
        <v>525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</row>
    <row r="2" spans="2:12" ht="20.100000000000001" customHeight="1" x14ac:dyDescent="0.25">
      <c r="B2" s="110">
        <f ca="1">TODAY()</f>
        <v>46272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</row>
    <row r="3" spans="2:12" ht="15" customHeight="1" x14ac:dyDescent="0.25">
      <c r="K3" s="99" t="s">
        <v>332</v>
      </c>
      <c r="L3" s="98">
        <v>2026</v>
      </c>
    </row>
    <row r="4" spans="2:12" ht="26.1" customHeight="1" x14ac:dyDescent="0.25">
      <c r="B4" s="108" t="str">
        <f ca="1">"  EMISIÓN MENSUAL — "&amp;YEAR(TODAY())</f>
        <v xml:space="preserve">  EMISIÓN MENSUAL — 2026</v>
      </c>
      <c r="C4" s="106"/>
      <c r="D4" s="106"/>
      <c r="F4" s="108" t="s">
        <v>253</v>
      </c>
      <c r="G4" s="106"/>
      <c r="H4" s="106"/>
      <c r="J4" s="108" t="str">
        <f>"  PLAZO PROM. COBRO POR MES — "&amp;$L$3&amp;" (días)"</f>
        <v xml:space="preserve">  PLAZO PROM. COBRO POR MES — 2026 (días)</v>
      </c>
      <c r="K4" s="106"/>
      <c r="L4" s="106"/>
    </row>
    <row r="5" spans="2:12" ht="21.95" customHeight="1" x14ac:dyDescent="0.25">
      <c r="B5" s="56" t="s">
        <v>254</v>
      </c>
      <c r="C5" s="56" t="s">
        <v>255</v>
      </c>
      <c r="D5" s="56" t="s">
        <v>256</v>
      </c>
      <c r="F5" s="56" t="s">
        <v>257</v>
      </c>
      <c r="G5" s="56" t="s">
        <v>255</v>
      </c>
      <c r="H5" s="56" t="s">
        <v>256</v>
      </c>
      <c r="J5" s="56" t="s">
        <v>254</v>
      </c>
      <c r="K5" s="56" t="s">
        <v>258</v>
      </c>
      <c r="L5" s="56" t="s">
        <v>259</v>
      </c>
    </row>
    <row r="6" spans="2:12" ht="20.100000000000001" customHeight="1" x14ac:dyDescent="0.25">
      <c r="B6" s="70" t="s">
        <v>260</v>
      </c>
      <c r="C6" s="81" cm="1">
        <f t="array" aca="1" ref="C6" ca="1">SUMPRODUCT(('sap nuevo'!O$2:O$10000=1)*('sap nuevo'!P$2:P$10000=YEAR(TODAY()))*('sap nuevo'!F$2:F$10000&gt;0))</f>
        <v>89</v>
      </c>
      <c r="D6" s="82" cm="1">
        <f t="array" aca="1" ref="D6" ca="1">SUMPRODUCT(('sap nuevo'!O$2:O$10000=1)*('sap nuevo'!P$2:P$10000=YEAR(TODAY()))*('sap nuevo'!F$2:F$10000&gt;0)*('sap nuevo'!F$2:F$10000))</f>
        <v>1366979132.8300002</v>
      </c>
      <c r="F6" s="83">
        <f ca="1">YEAR(TODAY())-2</f>
        <v>2024</v>
      </c>
      <c r="G6" s="81" cm="1">
        <f t="array" aca="1" ref="G6" ca="1">SUMPRODUCT(('sap nuevo'!P$2:P$10000=YEAR(TODAY())-2)*('sap nuevo'!F$2:F$10000&gt;0))</f>
        <v>0</v>
      </c>
      <c r="H6" s="82" cm="1">
        <f t="array" aca="1" ref="H6" ca="1">SUMPRODUCT(('sap nuevo'!P$2:P$10000=YEAR(TODAY())-2)*('sap nuevo'!F$2:F$10000&gt;0)*('sap nuevo'!F$2:F$10000))</f>
        <v>0</v>
      </c>
      <c r="J6" s="70" t="s">
        <v>260</v>
      </c>
      <c r="K6" s="84" cm="1">
        <f t="array" aca="1" ref="K6" ca="1">IFERROR(SUMPRODUCT(('sap nuevo'!O$2:O$10000=1)*('sap nuevo'!P$2:P$10000=$L$3)*('sap nuevo'!J$2:J$10000="pagado")*('sap nuevo'!F$2:F$10000&gt;0)*(IFERROR(DATEVALUE(_xlfn.XLOOKUP('sap nuevo'!E$2:E$10000,extracto!$C$2:$C$10000,extracto!$B$2:$B$10000))-'sap nuevo'!G$2:G$10000,0)))/SUMPRODUCT(('sap nuevo'!O$2:O$10000=1)*('sap nuevo'!P$2:P$10000=$L$3)*('sap nuevo'!J$2:J$10000="pagado")*('sap nuevo'!F$2:F$10000&gt;0)*(ISNUMBER(DATEVALUE(_xlfn.XLOOKUP('sap nuevo'!E$2:E$10000,extracto!$C$2:$C$10000,extracto!$B$2:$B$10000))))),0)</f>
        <v>3.2413793103448274</v>
      </c>
      <c r="L6" s="85" t="str">
        <f t="shared" ref="L6:L17" ca="1" si="0">IF(K6=0,"—",IF(K6&gt;6,"▲ Alto",IF(K6&gt;4,"● Medio","▼ Normal")))</f>
        <v>▼ Normal</v>
      </c>
    </row>
    <row r="7" spans="2:12" ht="20.100000000000001" customHeight="1" x14ac:dyDescent="0.25">
      <c r="B7" s="67" t="s">
        <v>261</v>
      </c>
      <c r="C7" s="76" cm="1">
        <f t="array" aca="1" ref="C7" ca="1">SUMPRODUCT(('sap nuevo'!O$2:O$10000=2)*('sap nuevo'!P$2:P$10000=YEAR(TODAY()))*('sap nuevo'!F$2:F$10000&gt;0))</f>
        <v>96</v>
      </c>
      <c r="D7" s="86" cm="1">
        <f t="array" aca="1" ref="D7" ca="1">SUMPRODUCT(('sap nuevo'!O$2:O$10000=2)*('sap nuevo'!P$2:P$10000=YEAR(TODAY()))*('sap nuevo'!F$2:F$10000&gt;0)*('sap nuevo'!F$2:F$10000))</f>
        <v>953490736.9799993</v>
      </c>
      <c r="F7" s="87">
        <f ca="1">YEAR(TODAY())-1</f>
        <v>2025</v>
      </c>
      <c r="G7" s="76" cm="1">
        <f t="array" aca="1" ref="G7" ca="1">SUMPRODUCT(('sap nuevo'!P$2:P$10000=YEAR(TODAY())-1)*('sap nuevo'!F$2:F$10000&gt;0))</f>
        <v>928</v>
      </c>
      <c r="H7" s="86" cm="1">
        <f t="array" aca="1" ref="H7" ca="1">SUMPRODUCT(('sap nuevo'!P$2:P$10000=YEAR(TODAY())-1)*('sap nuevo'!F$2:F$10000&gt;0)*('sap nuevo'!F$2:F$10000))</f>
        <v>9135932510.0099983</v>
      </c>
      <c r="J7" s="67" t="s">
        <v>261</v>
      </c>
      <c r="K7" s="88" cm="1">
        <f t="array" aca="1" ref="K7" ca="1">IFERROR(SUMPRODUCT(('sap nuevo'!O$2:O$10000=2)*('sap nuevo'!P$2:P$10000=$L$3)*('sap nuevo'!J$2:J$10000="pagado")*('sap nuevo'!F$2:F$10000&gt;0)*(IFERROR(DATEVALUE(_xlfn.XLOOKUP('sap nuevo'!E$2:E$10000,extracto!$C$2:$C$10000,extracto!$B$2:$B$10000))-'sap nuevo'!G$2:G$10000,0)))/SUMPRODUCT(('sap nuevo'!O$2:O$10000=2)*('sap nuevo'!P$2:P$10000=$L$3)*('sap nuevo'!J$2:J$10000="pagado")*('sap nuevo'!F$2:F$10000&gt;0)*(ISNUMBER(DATEVALUE(_xlfn.XLOOKUP('sap nuevo'!E$2:E$10000,extracto!$C$2:$C$10000,extracto!$B$2:$B$10000))))),0)</f>
        <v>5.135416666666667</v>
      </c>
      <c r="L7" s="89" t="str">
        <f t="shared" ca="1" si="0"/>
        <v>● Medio</v>
      </c>
    </row>
    <row r="8" spans="2:12" ht="20.100000000000001" customHeight="1" x14ac:dyDescent="0.25">
      <c r="B8" s="70" t="s">
        <v>262</v>
      </c>
      <c r="C8" s="81" cm="1">
        <f t="array" aca="1" ref="C8" ca="1">SUMPRODUCT(('sap nuevo'!O$2:O$10000=3)*('sap nuevo'!P$2:P$10000=YEAR(TODAY()))*('sap nuevo'!F$2:F$10000&gt;0))</f>
        <v>49</v>
      </c>
      <c r="D8" s="82" cm="1">
        <f t="array" aca="1" ref="D8" ca="1">SUMPRODUCT(('sap nuevo'!O$2:O$10000=3)*('sap nuevo'!P$2:P$10000=YEAR(TODAY()))*('sap nuevo'!F$2:F$10000&gt;0)*('sap nuevo'!F$2:F$10000))</f>
        <v>753907082.48999989</v>
      </c>
      <c r="F8" s="83">
        <f ca="1">YEAR(TODAY())</f>
        <v>2026</v>
      </c>
      <c r="G8" s="81" cm="1">
        <f t="array" aca="1" ref="G8" ca="1">SUMPRODUCT(('sap nuevo'!P$2:P$10000=YEAR(TODAY()))*('sap nuevo'!F$2:F$10000&gt;0))</f>
        <v>543</v>
      </c>
      <c r="H8" s="82" cm="1">
        <f t="array" aca="1" ref="H8" ca="1">SUMPRODUCT(('sap nuevo'!P$2:P$10000=YEAR(TODAY()))*('sap nuevo'!F$2:F$10000&gt;0)*('sap nuevo'!F$2:F$10000))</f>
        <v>8892143522.1999931</v>
      </c>
      <c r="J8" s="70" t="s">
        <v>262</v>
      </c>
      <c r="K8" s="84" cm="1">
        <f t="array" aca="1" ref="K8" ca="1">IFERROR(SUMPRODUCT(('sap nuevo'!O$2:O$10000=3)*('sap nuevo'!P$2:P$10000=$L$3)*('sap nuevo'!J$2:J$10000="pagado")*('sap nuevo'!F$2:F$10000&gt;0)*(IFERROR(DATEVALUE(_xlfn.XLOOKUP('sap nuevo'!E$2:E$10000,extracto!$C$2:$C$10000,extracto!$B$2:$B$10000))-'sap nuevo'!G$2:G$10000,0)))/SUMPRODUCT(('sap nuevo'!O$2:O$10000=3)*('sap nuevo'!P$2:P$10000=$L$3)*('sap nuevo'!J$2:J$10000="pagado")*('sap nuevo'!F$2:F$10000&gt;0)*(ISNUMBER(DATEVALUE(_xlfn.XLOOKUP('sap nuevo'!E$2:E$10000,extracto!$C$2:$C$10000,extracto!$B$2:$B$10000))))),0)</f>
        <v>2.4545454545454546</v>
      </c>
      <c r="L8" s="85" t="str">
        <f t="shared" ca="1" si="0"/>
        <v>▼ Normal</v>
      </c>
    </row>
    <row r="9" spans="2:12" ht="20.100000000000001" customHeight="1" x14ac:dyDescent="0.25">
      <c r="B9" s="67" t="s">
        <v>263</v>
      </c>
      <c r="C9" s="76" cm="1">
        <f t="array" aca="1" ref="C9" ca="1">SUMPRODUCT(('sap nuevo'!O$2:O$10000=4)*('sap nuevo'!P$2:P$10000=YEAR(TODAY()))*('sap nuevo'!F$2:F$10000&gt;0))</f>
        <v>44</v>
      </c>
      <c r="D9" s="86" cm="1">
        <f t="array" aca="1" ref="D9" ca="1">SUMPRODUCT(('sap nuevo'!O$2:O$10000=4)*('sap nuevo'!P$2:P$10000=YEAR(TODAY()))*('sap nuevo'!F$2:F$10000&gt;0)*('sap nuevo'!F$2:F$10000))</f>
        <v>610327936.77999973</v>
      </c>
      <c r="F9" s="73" t="s">
        <v>264</v>
      </c>
      <c r="G9" s="90">
        <f ca="1">SUM(G6:G8)</f>
        <v>1471</v>
      </c>
      <c r="H9" s="91">
        <f ca="1">SUM(H6:H8)</f>
        <v>18028076032.209991</v>
      </c>
      <c r="J9" s="67" t="s">
        <v>263</v>
      </c>
      <c r="K9" s="88" cm="1">
        <f t="array" aca="1" ref="K9" ca="1">IFERROR(SUMPRODUCT(('sap nuevo'!O$2:O$10000=4)*('sap nuevo'!P$2:P$10000=$L$3)*('sap nuevo'!J$2:J$10000="pagado")*('sap nuevo'!F$2:F$10000&gt;0)*(IFERROR(DATEVALUE(_xlfn.XLOOKUP('sap nuevo'!E$2:E$10000,extracto!$C$2:$C$10000,extracto!$B$2:$B$10000))-'sap nuevo'!G$2:G$10000,0)))/SUMPRODUCT(('sap nuevo'!O$2:O$10000=4)*('sap nuevo'!P$2:P$10000=$L$3)*('sap nuevo'!J$2:J$10000="pagado")*('sap nuevo'!F$2:F$10000&gt;0)*(ISNUMBER(DATEVALUE(_xlfn.XLOOKUP('sap nuevo'!E$2:E$10000,extracto!$C$2:$C$10000,extracto!$B$2:$B$10000))))),0)</f>
        <v>0</v>
      </c>
      <c r="L9" s="89" t="str">
        <f t="shared" ca="1" si="0"/>
        <v>—</v>
      </c>
    </row>
    <row r="10" spans="2:12" ht="20.100000000000001" customHeight="1" x14ac:dyDescent="0.25">
      <c r="B10" s="70" t="s">
        <v>265</v>
      </c>
      <c r="C10" s="81" cm="1">
        <f t="array" aca="1" ref="C10" ca="1">SUMPRODUCT(('sap nuevo'!O$2:O$10000=5)*('sap nuevo'!P$2:P$10000=YEAR(TODAY()))*('sap nuevo'!F$2:F$10000&gt;0))</f>
        <v>40</v>
      </c>
      <c r="D10" s="82" cm="1">
        <f t="array" aca="1" ref="D10" ca="1">SUMPRODUCT(('sap nuevo'!O$2:O$10000=5)*('sap nuevo'!P$2:P$10000=YEAR(TODAY()))*('sap nuevo'!F$2:F$10000&gt;0)*('sap nuevo'!F$2:F$10000))</f>
        <v>683525437.12999988</v>
      </c>
      <c r="F10" s="55"/>
      <c r="G10" s="55"/>
      <c r="H10" s="55"/>
      <c r="J10" s="70" t="s">
        <v>265</v>
      </c>
      <c r="K10" s="84" cm="1">
        <f t="array" aca="1" ref="K10" ca="1">IFERROR(SUMPRODUCT(('sap nuevo'!O$2:O$10000=5)*('sap nuevo'!P$2:P$10000=$L$3)*('sap nuevo'!J$2:J$10000="pagado")*('sap nuevo'!F$2:F$10000&gt;0)*(IFERROR(DATEVALUE(_xlfn.XLOOKUP('sap nuevo'!E$2:E$10000,extracto!$C$2:$C$10000,extracto!$B$2:$B$10000))-'sap nuevo'!G$2:G$10000,0)))/SUMPRODUCT(('sap nuevo'!O$2:O$10000=5)*('sap nuevo'!P$2:P$10000=$L$3)*('sap nuevo'!J$2:J$10000="pagado")*('sap nuevo'!F$2:F$10000&gt;0)*(ISNUMBER(DATEVALUE(_xlfn.XLOOKUP('sap nuevo'!E$2:E$10000,extracto!$C$2:$C$10000,extracto!$B$2:$B$10000))))),0)</f>
        <v>0</v>
      </c>
      <c r="L10" s="85" t="str">
        <f t="shared" ca="1" si="0"/>
        <v>—</v>
      </c>
    </row>
    <row r="11" spans="2:12" ht="20.100000000000001" customHeight="1" x14ac:dyDescent="0.25">
      <c r="B11" s="67" t="s">
        <v>266</v>
      </c>
      <c r="C11" s="76" cm="1">
        <f t="array" aca="1" ref="C11" ca="1">SUMPRODUCT(('sap nuevo'!O$2:O$10000=6)*('sap nuevo'!P$2:P$10000=YEAR(TODAY()))*('sap nuevo'!F$2:F$10000&gt;0))</f>
        <v>63</v>
      </c>
      <c r="D11" s="86" cm="1">
        <f t="array" aca="1" ref="D11" ca="1">SUMPRODUCT(('sap nuevo'!O$2:O$10000=6)*('sap nuevo'!P$2:P$10000=YEAR(TODAY()))*('sap nuevo'!F$2:F$10000&gt;0)*('sap nuevo'!F$2:F$10000))</f>
        <v>1408238918.6499999</v>
      </c>
      <c r="F11" s="108" t="s">
        <v>267</v>
      </c>
      <c r="G11" s="106"/>
      <c r="H11" s="106"/>
      <c r="J11" s="67" t="s">
        <v>266</v>
      </c>
      <c r="K11" s="88" cm="1">
        <f t="array" aca="1" ref="K11" ca="1">IFERROR(SUMPRODUCT(('sap nuevo'!O$2:O$10000=6)*('sap nuevo'!P$2:P$10000=$L$3)*('sap nuevo'!J$2:J$10000="pagado")*('sap nuevo'!F$2:F$10000&gt;0)*(IFERROR(DATEVALUE(_xlfn.XLOOKUP('sap nuevo'!E$2:E$10000,extracto!$C$2:$C$10000,extracto!$B$2:$B$10000))-'sap nuevo'!G$2:G$10000,0)))/SUMPRODUCT(('sap nuevo'!O$2:O$10000=6)*('sap nuevo'!P$2:P$10000=$L$3)*('sap nuevo'!J$2:J$10000="pagado")*('sap nuevo'!F$2:F$10000&gt;0)*(ISNUMBER(DATEVALUE(_xlfn.XLOOKUP('sap nuevo'!E$2:E$10000,extracto!$C$2:$C$10000,extracto!$B$2:$B$10000))))),0)</f>
        <v>4.4035087719298245</v>
      </c>
      <c r="L11" s="89" t="str">
        <f t="shared" ca="1" si="0"/>
        <v>● Medio</v>
      </c>
    </row>
    <row r="12" spans="2:12" ht="20.100000000000001" customHeight="1" x14ac:dyDescent="0.25">
      <c r="B12" s="70" t="s">
        <v>268</v>
      </c>
      <c r="C12" s="81" cm="1">
        <f t="array" aca="1" ref="C12" ca="1">SUMPRODUCT(('sap nuevo'!O$2:O$10000=7)*('sap nuevo'!P$2:P$10000=YEAR(TODAY()))*('sap nuevo'!F$2:F$10000&gt;0))</f>
        <v>41</v>
      </c>
      <c r="D12" s="82" cm="1">
        <f t="array" aca="1" ref="D12" ca="1">SUMPRODUCT(('sap nuevo'!O$2:O$10000=7)*('sap nuevo'!P$2:P$10000=YEAR(TODAY()))*('sap nuevo'!F$2:F$10000&gt;0)*('sap nuevo'!F$2:F$10000))</f>
        <v>520143621.58999991</v>
      </c>
      <c r="F12" s="56" t="s">
        <v>17</v>
      </c>
      <c r="G12" s="56" t="s">
        <v>255</v>
      </c>
      <c r="H12" s="56" t="s">
        <v>256</v>
      </c>
      <c r="J12" s="70" t="s">
        <v>268</v>
      </c>
      <c r="K12" s="84" cm="1">
        <f t="array" aca="1" ref="K12" ca="1">IFERROR(SUMPRODUCT(('sap nuevo'!O$2:O$10000=7)*('sap nuevo'!P$2:P$10000=$L$3)*('sap nuevo'!J$2:J$10000="pagado")*('sap nuevo'!F$2:F$10000&gt;0)*(IFERROR(DATEVALUE(_xlfn.XLOOKUP('sap nuevo'!E$2:E$10000,extracto!$C$2:$C$10000,extracto!$B$2:$B$10000))-'sap nuevo'!G$2:G$10000,0)))/SUMPRODUCT(('sap nuevo'!O$2:O$10000=7)*('sap nuevo'!P$2:P$10000=$L$3)*('sap nuevo'!J$2:J$10000="pagado")*('sap nuevo'!F$2:F$10000&gt;0)*(ISNUMBER(DATEVALUE(_xlfn.XLOOKUP('sap nuevo'!E$2:E$10000,extracto!$C$2:$C$10000,extracto!$B$2:$B$10000))))),0)</f>
        <v>3.1707317073170733</v>
      </c>
      <c r="L12" s="85" t="str">
        <f t="shared" ca="1" si="0"/>
        <v>▼ Normal</v>
      </c>
    </row>
    <row r="13" spans="2:12" ht="20.100000000000001" customHeight="1" x14ac:dyDescent="0.25">
      <c r="B13" s="67" t="s">
        <v>269</v>
      </c>
      <c r="C13" s="76" cm="1">
        <f t="array" aca="1" ref="C13" ca="1">SUMPRODUCT(('sap nuevo'!O$2:O$10000=8)*('sap nuevo'!P$2:P$10000=YEAR(TODAY()))*('sap nuevo'!F$2:F$10000&gt;0))</f>
        <v>83</v>
      </c>
      <c r="D13" s="86" cm="1">
        <f t="array" aca="1" ref="D13" ca="1">SUMPRODUCT(('sap nuevo'!O$2:O$10000=8)*('sap nuevo'!P$2:P$10000=YEAR(TODAY()))*('sap nuevo'!F$2:F$10000&gt;0)*('sap nuevo'!F$2:F$10000))</f>
        <v>1961855339.7200007</v>
      </c>
      <c r="F13" s="67" t="s">
        <v>28</v>
      </c>
      <c r="G13" s="76">
        <f>COUNTIFS('sap nuevo'!H$2:H$10000,"GALICIA",'sap nuevo'!F$2:F$10000,"&gt;0")</f>
        <v>0</v>
      </c>
      <c r="H13" s="86">
        <f>SUMIF('sap nuevo'!H$2:H$10000,"GALICIA",'sap nuevo'!F$2:F$10000)</f>
        <v>0</v>
      </c>
      <c r="J13" s="67" t="s">
        <v>269</v>
      </c>
      <c r="K13" s="88" cm="1">
        <f t="array" aca="1" ref="K13" ca="1">IFERROR(SUMPRODUCT(('sap nuevo'!O$2:O$10000=8)*('sap nuevo'!P$2:P$10000=$L$3)*('sap nuevo'!J$2:J$10000="pagado")*('sap nuevo'!F$2:F$10000&gt;0)*(IFERROR(DATEVALUE(_xlfn.XLOOKUP('sap nuevo'!E$2:E$10000,extracto!$C$2:$C$10000,extracto!$B$2:$B$10000))-'sap nuevo'!G$2:G$10000,0)))/SUMPRODUCT(('sap nuevo'!O$2:O$10000=8)*('sap nuevo'!P$2:P$10000=$L$3)*('sap nuevo'!J$2:J$10000="pagado")*('sap nuevo'!F$2:F$10000&gt;0)*(ISNUMBER(DATEVALUE(_xlfn.XLOOKUP('sap nuevo'!E$2:E$10000,extracto!$C$2:$C$10000,extracto!$B$2:$B$10000))))),0)</f>
        <v>2.4634146341463414</v>
      </c>
      <c r="L13" s="89" t="str">
        <f t="shared" ca="1" si="0"/>
        <v>▼ Normal</v>
      </c>
    </row>
    <row r="14" spans="2:12" ht="20.100000000000001" customHeight="1" x14ac:dyDescent="0.25">
      <c r="B14" s="70" t="s">
        <v>270</v>
      </c>
      <c r="C14" s="81" cm="1">
        <f t="array" aca="1" ref="C14" ca="1">SUMPRODUCT(('sap nuevo'!O$2:O$10000=9)*('sap nuevo'!P$2:P$10000=YEAR(TODAY()))*('sap nuevo'!F$2:F$10000&gt;0))</f>
        <v>38</v>
      </c>
      <c r="D14" s="82" cm="1">
        <f t="array" aca="1" ref="D14" ca="1">SUMPRODUCT(('sap nuevo'!O$2:O$10000=9)*('sap nuevo'!P$2:P$10000=YEAR(TODAY()))*('sap nuevo'!F$2:F$10000&gt;0)*('sap nuevo'!F$2:F$10000))</f>
        <v>633675316.02999997</v>
      </c>
      <c r="F14" s="92" t="s">
        <v>61</v>
      </c>
      <c r="G14" s="93">
        <f>COUNTIFS('sap nuevo'!H$2:H$10000,"MACRO",'sap nuevo'!F$2:F$10000,"&gt;0")</f>
        <v>1276</v>
      </c>
      <c r="H14" s="94">
        <f>SUMIF('sap nuevo'!H$2:H$10000,"MACRO",'sap nuevo'!F$2:F$10000)</f>
        <v>16848871814.309986</v>
      </c>
      <c r="J14" s="70" t="s">
        <v>270</v>
      </c>
      <c r="K14" s="84" cm="1">
        <f t="array" aca="1" ref="K14" ca="1">IFERROR(SUMPRODUCT(('sap nuevo'!O$2:O$10000=9)*('sap nuevo'!P$2:P$10000=$L$3)*('sap nuevo'!J$2:J$10000="pagado")*('sap nuevo'!F$2:F$10000&gt;0)*(IFERROR(DATEVALUE(_xlfn.XLOOKUP('sap nuevo'!E$2:E$10000,extracto!$C$2:$C$10000,extracto!$B$2:$B$10000))-'sap nuevo'!G$2:G$10000,0)))/SUMPRODUCT(('sap nuevo'!O$2:O$10000=9)*('sap nuevo'!P$2:P$10000=$L$3)*('sap nuevo'!J$2:J$10000="pagado")*('sap nuevo'!F$2:F$10000&gt;0)*(ISNUMBER(DATEVALUE(_xlfn.XLOOKUP('sap nuevo'!E$2:E$10000,extracto!$C$2:$C$10000,extracto!$B$2:$B$10000))))),0)</f>
        <v>0.95238095238095233</v>
      </c>
      <c r="L14" s="85" t="str">
        <f t="shared" ca="1" si="0"/>
        <v>▼ Normal</v>
      </c>
    </row>
    <row r="15" spans="2:12" ht="20.100000000000001" customHeight="1" x14ac:dyDescent="0.25">
      <c r="B15" s="67" t="s">
        <v>271</v>
      </c>
      <c r="C15" s="76" cm="1">
        <f t="array" aca="1" ref="C15" ca="1">SUMPRODUCT(('sap nuevo'!O$2:O$10000=10)*('sap nuevo'!P$2:P$10000=YEAR(TODAY()))*('sap nuevo'!F$2:F$10000&gt;0))</f>
        <v>0</v>
      </c>
      <c r="D15" s="86" cm="1">
        <f t="array" aca="1" ref="D15" ca="1">SUMPRODUCT(('sap nuevo'!O$2:O$10000=10)*('sap nuevo'!P$2:P$10000=YEAR(TODAY()))*('sap nuevo'!F$2:F$10000&gt;0)*('sap nuevo'!F$2:F$10000))</f>
        <v>0</v>
      </c>
      <c r="F15" s="67" t="s">
        <v>13</v>
      </c>
      <c r="G15" s="76">
        <f>COUNTIFS('sap nuevo'!H$2:H$10000,"HSBC",'sap nuevo'!F$2:F$10000,"&gt;0")</f>
        <v>195</v>
      </c>
      <c r="H15" s="86">
        <f>SUMIF('sap nuevo'!H$2:H$10000,"HSBC",'sap nuevo'!F$2:F$10000)</f>
        <v>1179204217.8999996</v>
      </c>
      <c r="J15" s="67" t="s">
        <v>271</v>
      </c>
      <c r="K15" s="88" cm="1">
        <f t="array" aca="1" ref="K15" ca="1">IFERROR(SUMPRODUCT(('sap nuevo'!O$2:O$10000=10)*('sap nuevo'!P$2:P$10000=$L$3)*('sap nuevo'!J$2:J$10000="pagado")*('sap nuevo'!F$2:F$10000&gt;0)*(IFERROR(DATEVALUE(_xlfn.XLOOKUP('sap nuevo'!E$2:E$10000,extracto!$C$2:$C$10000,extracto!$B$2:$B$10000))-'sap nuevo'!G$2:G$10000,0)))/SUMPRODUCT(('sap nuevo'!O$2:O$10000=10)*('sap nuevo'!P$2:P$10000=$L$3)*('sap nuevo'!J$2:J$10000="pagado")*('sap nuevo'!F$2:F$10000&gt;0)*(ISNUMBER(DATEVALUE(_xlfn.XLOOKUP('sap nuevo'!E$2:E$10000,extracto!$C$2:$C$10000,extracto!$B$2:$B$10000))))),0)</f>
        <v>0</v>
      </c>
      <c r="L15" s="89" t="str">
        <f t="shared" ca="1" si="0"/>
        <v>—</v>
      </c>
    </row>
    <row r="16" spans="2:12" ht="20.100000000000001" customHeight="1" x14ac:dyDescent="0.25">
      <c r="B16" s="70" t="s">
        <v>272</v>
      </c>
      <c r="C16" s="81" cm="1">
        <f t="array" aca="1" ref="C16" ca="1">SUMPRODUCT(('sap nuevo'!O$2:O$10000=11)*('sap nuevo'!P$2:P$10000=YEAR(TODAY()))*('sap nuevo'!F$2:F$10000&gt;0))</f>
        <v>0</v>
      </c>
      <c r="D16" s="82" cm="1">
        <f t="array" aca="1" ref="D16" ca="1">SUMPRODUCT(('sap nuevo'!O$2:O$10000=11)*('sap nuevo'!P$2:P$10000=YEAR(TODAY()))*('sap nuevo'!F$2:F$10000&gt;0)*('sap nuevo'!F$2:F$10000))</f>
        <v>0</v>
      </c>
      <c r="F16" s="73" t="s">
        <v>264</v>
      </c>
      <c r="G16" s="90">
        <f>COUNTIF('sap nuevo'!F$2:F$10000,"&gt;0")</f>
        <v>1471</v>
      </c>
      <c r="H16" s="91">
        <f>SUMIF('sap nuevo'!F$2:F$10000,"&gt;0",'sap nuevo'!F$2:F$10000)</f>
        <v>18028076032.209972</v>
      </c>
      <c r="J16" s="70" t="s">
        <v>272</v>
      </c>
      <c r="K16" s="84" cm="1">
        <f t="array" aca="1" ref="K16" ca="1">IFERROR(SUMPRODUCT(('sap nuevo'!O$2:O$10000=11)*('sap nuevo'!P$2:P$10000=$L$3)*('sap nuevo'!J$2:J$10000="pagado")*('sap nuevo'!F$2:F$10000&gt;0)*(IFERROR(DATEVALUE(_xlfn.XLOOKUP('sap nuevo'!E$2:E$10000,extracto!$C$2:$C$10000,extracto!$B$2:$B$10000))-'sap nuevo'!G$2:G$10000,0)))/SUMPRODUCT(('sap nuevo'!O$2:O$10000=11)*('sap nuevo'!P$2:P$10000=$L$3)*('sap nuevo'!J$2:J$10000="pagado")*('sap nuevo'!F$2:F$10000&gt;0)*(ISNUMBER(DATEVALUE(_xlfn.XLOOKUP('sap nuevo'!E$2:E$10000,extracto!$C$2:$C$10000,extracto!$B$2:$B$10000))))),0)</f>
        <v>0</v>
      </c>
      <c r="L16" s="85" t="str">
        <f t="shared" ca="1" si="0"/>
        <v>—</v>
      </c>
    </row>
    <row r="17" spans="2:12" ht="20.100000000000001" customHeight="1" x14ac:dyDescent="0.25">
      <c r="B17" s="67" t="s">
        <v>273</v>
      </c>
      <c r="C17" s="76" cm="1">
        <f t="array" aca="1" ref="C17" ca="1">SUMPRODUCT(('sap nuevo'!O$2:O$10000=12)*('sap nuevo'!P$2:P$10000=YEAR(TODAY()))*('sap nuevo'!F$2:F$10000&gt;0))</f>
        <v>0</v>
      </c>
      <c r="D17" s="86" cm="1">
        <f t="array" aca="1" ref="D17" ca="1">SUMPRODUCT(('sap nuevo'!O$2:O$10000=12)*('sap nuevo'!P$2:P$10000=YEAR(TODAY()))*('sap nuevo'!F$2:F$10000&gt;0)*('sap nuevo'!F$2:F$10000))</f>
        <v>0</v>
      </c>
      <c r="F17" s="55"/>
      <c r="G17" s="55"/>
      <c r="H17" s="55"/>
      <c r="J17" s="67" t="s">
        <v>273</v>
      </c>
      <c r="K17" s="88" cm="1">
        <f t="array" aca="1" ref="K17" ca="1">IFERROR(SUMPRODUCT(('sap nuevo'!O$2:O$10000=12)*('sap nuevo'!P$2:P$10000=$L$3)*('sap nuevo'!J$2:J$10000="pagado")*('sap nuevo'!F$2:F$10000&gt;0)*(IFERROR(DATEVALUE(_xlfn.XLOOKUP('sap nuevo'!E$2:E$10000,extracto!$C$2:$C$10000,extracto!$B$2:$B$10000))-'sap nuevo'!G$2:G$10000,0)))/SUMPRODUCT(('sap nuevo'!O$2:O$10000=12)*('sap nuevo'!P$2:P$10000=$L$3)*('sap nuevo'!J$2:J$10000="pagado")*('sap nuevo'!F$2:F$10000&gt;0)*(ISNUMBER(DATEVALUE(_xlfn.XLOOKUP('sap nuevo'!E$2:E$10000,extracto!$C$2:$C$10000,extracto!$B$2:$B$10000))))),0)</f>
        <v>0</v>
      </c>
      <c r="L17" s="89" t="str">
        <f t="shared" ca="1" si="0"/>
        <v>—</v>
      </c>
    </row>
    <row r="18" spans="2:12" ht="26.1" customHeight="1" x14ac:dyDescent="0.25">
      <c r="B18" s="73" t="str">
        <f ca="1">"TOTAL "&amp;YEAR(TODAY())</f>
        <v>TOTAL 2026</v>
      </c>
      <c r="C18" s="90">
        <f ca="1">SUM(C6:C17)</f>
        <v>543</v>
      </c>
      <c r="D18" s="91">
        <f ca="1">SUM(D6:D17)</f>
        <v>8892143522.2000008</v>
      </c>
      <c r="F18" s="108" t="s">
        <v>274</v>
      </c>
      <c r="G18" s="106"/>
      <c r="H18" s="106"/>
    </row>
    <row r="19" spans="2:12" ht="26.1" customHeight="1" x14ac:dyDescent="0.25">
      <c r="B19" s="55"/>
      <c r="C19" s="55"/>
      <c r="D19" s="55"/>
      <c r="F19" s="56" t="s">
        <v>17</v>
      </c>
      <c r="G19" s="56" t="s">
        <v>275</v>
      </c>
      <c r="H19" s="56" t="s">
        <v>258</v>
      </c>
      <c r="J19" s="109" t="s">
        <v>276</v>
      </c>
      <c r="K19" s="106"/>
      <c r="L19" s="106"/>
    </row>
    <row r="20" spans="2:12" ht="21.95" customHeight="1" x14ac:dyDescent="0.25">
      <c r="B20" s="108" t="str">
        <f ca="1">"  EMISIÓN MENSUAL — "&amp;(YEAR(TODAY())-1)</f>
        <v xml:space="preserve">  EMISIÓN MENSUAL — 2025</v>
      </c>
      <c r="C20" s="106"/>
      <c r="D20" s="106"/>
      <c r="F20" s="70" t="s">
        <v>28</v>
      </c>
      <c r="G20" s="81">
        <f>COUNTIFS('sap nuevo'!H$2:H$10000,"GALICIA",'sap nuevo'!J$2:J$10000,"pagado",'sap nuevo'!F$2:F$10000,"&gt;0")</f>
        <v>0</v>
      </c>
      <c r="H20" s="95" t="str" cm="1">
        <f t="array" aca="1" ref="H20" ca="1">IFERROR(SUMPRODUCT(('sap nuevo'!H$2:H$10000="GALICIA")*('sap nuevo'!J$2:J$10000="pagado")*('sap nuevo'!F$2:F$10000&gt;0)*('sap nuevo'!G$2:G$10000-'sap nuevo'!B$2:B$10000))/G20,"-")</f>
        <v>-</v>
      </c>
      <c r="J20" s="75" t="s">
        <v>17</v>
      </c>
      <c r="K20" s="75" t="s">
        <v>250</v>
      </c>
      <c r="L20" s="75" t="s">
        <v>256</v>
      </c>
    </row>
    <row r="21" spans="2:12" ht="20.100000000000001" customHeight="1" x14ac:dyDescent="0.25">
      <c r="B21" s="56" t="s">
        <v>254</v>
      </c>
      <c r="C21" s="56" t="s">
        <v>255</v>
      </c>
      <c r="D21" s="56" t="s">
        <v>256</v>
      </c>
      <c r="F21" s="67" t="s">
        <v>61</v>
      </c>
      <c r="G21" s="76">
        <f ca="1">COUNTIFS('sap nuevo'!H$2:H$10000,"MACRO",'sap nuevo'!J$2:J$10000,"pagado",'sap nuevo'!F$2:F$10000,"&gt;0")</f>
        <v>1250</v>
      </c>
      <c r="H21" s="96" cm="1">
        <f t="array" aca="1" ref="H21" ca="1">IFERROR(SUMPRODUCT(('sap nuevo'!H$2:H$10000="MACRO")*('sap nuevo'!J$2:J$10000="pagado")*('sap nuevo'!F$2:F$10000&gt;0)*('sap nuevo'!G$2:G$10000-'sap nuevo'!B$2:B$10000))/G21,"-")</f>
        <v>6.7103999999999999</v>
      </c>
      <c r="J21" s="67" t="s">
        <v>28</v>
      </c>
      <c r="K21" s="76">
        <f>COUNTIFS('sap nuevo'!H$2:H$10000,"GALICIA",'sap nuevo'!J$2:J$10000,"fuera de fecha",'sap nuevo'!F$2:F$10000,"&gt;0")</f>
        <v>0</v>
      </c>
      <c r="L21" s="68" cm="1">
        <f t="array" aca="1" ref="L21" ca="1">SUMPRODUCT(('sap nuevo'!H$2:H$10000="GALICIA")*('sap nuevo'!J$2:J$10000="fuera de fecha")*('sap nuevo'!F$2:F$10000&gt;0)*('sap nuevo'!F$2:F$10000))</f>
        <v>0</v>
      </c>
    </row>
    <row r="22" spans="2:12" ht="20.100000000000001" customHeight="1" x14ac:dyDescent="0.25">
      <c r="B22" s="70" t="s">
        <v>260</v>
      </c>
      <c r="C22" s="81" cm="1">
        <f t="array" aca="1" ref="C22" ca="1">SUMPRODUCT(('sap nuevo'!O$2:O$10000=1)*('sap nuevo'!P$2:P$10000=YEAR(TODAY())-1)*('sap nuevo'!F$2:F$10000&gt;0))</f>
        <v>95</v>
      </c>
      <c r="D22" s="82" cm="1">
        <f t="array" aca="1" ref="D22" ca="1">SUMPRODUCT(('sap nuevo'!O$2:O$10000=1)*('sap nuevo'!P$2:P$10000=YEAR(TODAY())-1)*('sap nuevo'!F$2:F$10000&gt;0)*('sap nuevo'!F$2:F$10000))</f>
        <v>573244474.33999991</v>
      </c>
      <c r="F22" s="70" t="s">
        <v>13</v>
      </c>
      <c r="G22" s="81">
        <f ca="1">COUNTIFS('sap nuevo'!H$2:H$10000,"HSBC",'sap nuevo'!J$2:J$10000,"pagado",'sap nuevo'!F$2:F$10000,"&gt;0")</f>
        <v>194</v>
      </c>
      <c r="H22" s="95" cm="1">
        <f t="array" aca="1" ref="H22" ca="1">IFERROR(SUMPRODUCT(('sap nuevo'!H$2:H$10000="HSBC")*('sap nuevo'!J$2:J$10000="pagado")*('sap nuevo'!F$2:F$10000&gt;0)*('sap nuevo'!G$2:G$10000-'sap nuevo'!B$2:B$10000))/G22,"-")</f>
        <v>3.1597938144329896</v>
      </c>
      <c r="J22" s="77" t="s">
        <v>61</v>
      </c>
      <c r="K22" s="78">
        <f ca="1">COUNTIFS('sap nuevo'!H$2:H$10000,"MACRO",'sap nuevo'!J$2:J$10000,"fuera de fecha",'sap nuevo'!F$2:F$10000,"&gt;0")</f>
        <v>8</v>
      </c>
      <c r="L22" s="79" cm="1">
        <f t="array" aca="1" ref="L22" ca="1">SUMPRODUCT(('sap nuevo'!H$2:H$10000="MACRO")*('sap nuevo'!J$2:J$10000="fuera de fecha")*('sap nuevo'!F$2:F$10000&gt;0)*('sap nuevo'!F$2:F$10000))</f>
        <v>46847803.740000002</v>
      </c>
    </row>
    <row r="23" spans="2:12" ht="20.100000000000001" customHeight="1" x14ac:dyDescent="0.25">
      <c r="B23" s="67" t="s">
        <v>261</v>
      </c>
      <c r="C23" s="76" cm="1">
        <f t="array" aca="1" ref="C23" ca="1">SUMPRODUCT(('sap nuevo'!O$2:O$10000=2)*('sap nuevo'!P$2:P$10000=YEAR(TODAY())-1)*('sap nuevo'!F$2:F$10000&gt;0))</f>
        <v>95</v>
      </c>
      <c r="D23" s="86" cm="1">
        <f t="array" aca="1" ref="D23" ca="1">SUMPRODUCT(('sap nuevo'!O$2:O$10000=2)*('sap nuevo'!P$2:P$10000=YEAR(TODAY())-1)*('sap nuevo'!F$2:F$10000&gt;0)*('sap nuevo'!F$2:F$10000))</f>
        <v>710497922.74999976</v>
      </c>
      <c r="F23" s="73" t="s">
        <v>277</v>
      </c>
      <c r="G23" s="90">
        <f ca="1">COUNTIFS('sap nuevo'!J$2:J$10000,"pagado",'sap nuevo'!F$2:F$10000,"&gt;0")</f>
        <v>1444</v>
      </c>
      <c r="H23" s="97" cm="1">
        <f t="array" aca="1" ref="H23" ca="1">IFERROR(SUMPRODUCT(('sap nuevo'!J$2:J$10000="pagado")*('sap nuevo'!F$2:F$10000&gt;0)*('sap nuevo'!G$2:G$10000-'sap nuevo'!B$2:B$10000))/G23,"-")</f>
        <v>6.2333795013850413</v>
      </c>
      <c r="J23" s="67" t="s">
        <v>13</v>
      </c>
      <c r="K23" s="76">
        <f ca="1">COUNTIFS('sap nuevo'!H$2:H$10000,"HSBC",'sap nuevo'!J$2:J$10000,"fuera de fecha",'sap nuevo'!F$2:F$10000,"&gt;0")</f>
        <v>1</v>
      </c>
      <c r="L23" s="68" cm="1">
        <f t="array" aca="1" ref="L23" ca="1">SUMPRODUCT(('sap nuevo'!H$2:H$10000="HSBC")*('sap nuevo'!J$2:J$10000="fuera de fecha")*('sap nuevo'!F$2:F$10000&gt;0)*('sap nuevo'!F$2:F$10000))</f>
        <v>112652.85</v>
      </c>
    </row>
    <row r="24" spans="2:12" ht="21.95" customHeight="1" x14ac:dyDescent="0.25">
      <c r="B24" s="70" t="s">
        <v>262</v>
      </c>
      <c r="C24" s="81" cm="1">
        <f t="array" aca="1" ref="C24" ca="1">SUMPRODUCT(('sap nuevo'!O$2:O$10000=3)*('sap nuevo'!P$2:P$10000=YEAR(TODAY())-1)*('sap nuevo'!F$2:F$10000&gt;0))</f>
        <v>49</v>
      </c>
      <c r="D24" s="82" cm="1">
        <f t="array" aca="1" ref="D24" ca="1">SUMPRODUCT(('sap nuevo'!O$2:O$10000=3)*('sap nuevo'!P$2:P$10000=YEAR(TODAY())-1)*('sap nuevo'!F$2:F$10000&gt;0)*('sap nuevo'!F$2:F$10000))</f>
        <v>482914141.71999997</v>
      </c>
      <c r="J24" s="64" t="s">
        <v>252</v>
      </c>
      <c r="K24" s="65">
        <f ca="1">SUM(K21:K23)</f>
        <v>9</v>
      </c>
      <c r="L24" s="66">
        <f ca="1">SUM(L21:L23)</f>
        <v>46960456.590000004</v>
      </c>
    </row>
    <row r="25" spans="2:12" ht="20.100000000000001" customHeight="1" x14ac:dyDescent="0.25">
      <c r="B25" s="67" t="s">
        <v>263</v>
      </c>
      <c r="C25" s="76" cm="1">
        <f t="array" aca="1" ref="C25" ca="1">SUMPRODUCT(('sap nuevo'!O$2:O$10000=4)*('sap nuevo'!P$2:P$10000=YEAR(TODAY())-1)*('sap nuevo'!F$2:F$10000&gt;0))</f>
        <v>49</v>
      </c>
      <c r="D25" s="86" cm="1">
        <f t="array" aca="1" ref="D25" ca="1">SUMPRODUCT(('sap nuevo'!O$2:O$10000=4)*('sap nuevo'!P$2:P$10000=YEAR(TODAY())-1)*('sap nuevo'!F$2:F$10000&gt;0)*('sap nuevo'!F$2:F$10000))</f>
        <v>528119142.40999997</v>
      </c>
    </row>
    <row r="26" spans="2:12" ht="20.100000000000001" customHeight="1" x14ac:dyDescent="0.25">
      <c r="B26" s="70" t="s">
        <v>265</v>
      </c>
      <c r="C26" s="81" cm="1">
        <f t="array" aca="1" ref="C26" ca="1">SUMPRODUCT(('sap nuevo'!O$2:O$10000=5)*('sap nuevo'!P$2:P$10000=YEAR(TODAY())-1)*('sap nuevo'!F$2:F$10000&gt;0))</f>
        <v>71</v>
      </c>
      <c r="D26" s="82" cm="1">
        <f t="array" aca="1" ref="D26" ca="1">SUMPRODUCT(('sap nuevo'!O$2:O$10000=5)*('sap nuevo'!P$2:P$10000=YEAR(TODAY())-1)*('sap nuevo'!F$2:F$10000&gt;0)*('sap nuevo'!F$2:F$10000))</f>
        <v>804140220.09000003</v>
      </c>
    </row>
    <row r="27" spans="2:12" ht="20.100000000000001" customHeight="1" x14ac:dyDescent="0.25">
      <c r="B27" s="67" t="s">
        <v>266</v>
      </c>
      <c r="C27" s="76" cm="1">
        <f t="array" aca="1" ref="C27" ca="1">SUMPRODUCT(('sap nuevo'!O$2:O$10000=6)*('sap nuevo'!P$2:P$10000=YEAR(TODAY())-1)*('sap nuevo'!F$2:F$10000&gt;0))</f>
        <v>77</v>
      </c>
      <c r="D27" s="86" cm="1">
        <f t="array" aca="1" ref="D27" ca="1">SUMPRODUCT(('sap nuevo'!O$2:O$10000=6)*('sap nuevo'!P$2:P$10000=YEAR(TODAY())-1)*('sap nuevo'!F$2:F$10000&gt;0)*('sap nuevo'!F$2:F$10000))</f>
        <v>677069349.83999979</v>
      </c>
    </row>
    <row r="28" spans="2:12" ht="20.100000000000001" customHeight="1" x14ac:dyDescent="0.25">
      <c r="B28" s="70" t="s">
        <v>268</v>
      </c>
      <c r="C28" s="81" cm="1">
        <f t="array" aca="1" ref="C28" ca="1">SUMPRODUCT(('sap nuevo'!O$2:O$10000=7)*('sap nuevo'!P$2:P$10000=YEAR(TODAY())-1)*('sap nuevo'!F$2:F$10000&gt;0))</f>
        <v>60</v>
      </c>
      <c r="D28" s="82" cm="1">
        <f t="array" aca="1" ref="D28" ca="1">SUMPRODUCT(('sap nuevo'!O$2:O$10000=7)*('sap nuevo'!P$2:P$10000=YEAR(TODAY())-1)*('sap nuevo'!F$2:F$10000&gt;0)*('sap nuevo'!F$2:F$10000))</f>
        <v>626918661.05000007</v>
      </c>
    </row>
    <row r="29" spans="2:12" ht="20.100000000000001" customHeight="1" x14ac:dyDescent="0.25">
      <c r="B29" s="67" t="s">
        <v>269</v>
      </c>
      <c r="C29" s="76" cm="1">
        <f t="array" aca="1" ref="C29" ca="1">SUMPRODUCT(('sap nuevo'!O$2:O$10000=8)*('sap nuevo'!P$2:P$10000=YEAR(TODAY())-1)*('sap nuevo'!F$2:F$10000&gt;0))</f>
        <v>81</v>
      </c>
      <c r="D29" s="86" cm="1">
        <f t="array" aca="1" ref="D29" ca="1">SUMPRODUCT(('sap nuevo'!O$2:O$10000=8)*('sap nuevo'!P$2:P$10000=YEAR(TODAY())-1)*('sap nuevo'!F$2:F$10000&gt;0)*('sap nuevo'!F$2:F$10000))</f>
        <v>867901603.56000006</v>
      </c>
    </row>
    <row r="30" spans="2:12" ht="20.100000000000001" customHeight="1" x14ac:dyDescent="0.25">
      <c r="B30" s="70" t="s">
        <v>270</v>
      </c>
      <c r="C30" s="81" cm="1">
        <f t="array" aca="1" ref="C30" ca="1">SUMPRODUCT(('sap nuevo'!O$2:O$10000=9)*('sap nuevo'!P$2:P$10000=YEAR(TODAY())-1)*('sap nuevo'!F$2:F$10000&gt;0))</f>
        <v>74</v>
      </c>
      <c r="D30" s="82" cm="1">
        <f t="array" aca="1" ref="D30" ca="1">SUMPRODUCT(('sap nuevo'!O$2:O$10000=9)*('sap nuevo'!P$2:P$10000=YEAR(TODAY())-1)*('sap nuevo'!F$2:F$10000&gt;0)*('sap nuevo'!F$2:F$10000))</f>
        <v>811553564.25999963</v>
      </c>
    </row>
    <row r="31" spans="2:12" ht="20.100000000000001" customHeight="1" x14ac:dyDescent="0.25">
      <c r="B31" s="67" t="s">
        <v>271</v>
      </c>
      <c r="C31" s="76" cm="1">
        <f t="array" aca="1" ref="C31" ca="1">SUMPRODUCT(('sap nuevo'!O$2:O$10000=10)*('sap nuevo'!P$2:P$10000=YEAR(TODAY())-1)*('sap nuevo'!F$2:F$10000&gt;0))</f>
        <v>67</v>
      </c>
      <c r="D31" s="86" cm="1">
        <f t="array" aca="1" ref="D31" ca="1">SUMPRODUCT(('sap nuevo'!O$2:O$10000=10)*('sap nuevo'!P$2:P$10000=YEAR(TODAY())-1)*('sap nuevo'!F$2:F$10000&gt;0)*('sap nuevo'!F$2:F$10000))</f>
        <v>555751765.81999981</v>
      </c>
    </row>
    <row r="32" spans="2:12" ht="20.100000000000001" customHeight="1" x14ac:dyDescent="0.25">
      <c r="B32" s="70" t="s">
        <v>272</v>
      </c>
      <c r="C32" s="81" cm="1">
        <f t="array" aca="1" ref="C32" ca="1">SUMPRODUCT(('sap nuevo'!O$2:O$10000=11)*('sap nuevo'!P$2:P$10000=YEAR(TODAY())-1)*('sap nuevo'!F$2:F$10000&gt;0))</f>
        <v>123</v>
      </c>
      <c r="D32" s="82" cm="1">
        <f t="array" aca="1" ref="D32" ca="1">SUMPRODUCT(('sap nuevo'!O$2:O$10000=11)*('sap nuevo'!P$2:P$10000=YEAR(TODAY())-1)*('sap nuevo'!F$2:F$10000&gt;0)*('sap nuevo'!F$2:F$10000))</f>
        <v>1213683309.7699997</v>
      </c>
    </row>
    <row r="33" spans="2:4" ht="20.100000000000001" customHeight="1" x14ac:dyDescent="0.25">
      <c r="B33" s="67" t="s">
        <v>273</v>
      </c>
      <c r="C33" s="76" cm="1">
        <f t="array" aca="1" ref="C33" ca="1">SUMPRODUCT(('sap nuevo'!O$2:O$10000=12)*('sap nuevo'!P$2:P$10000=YEAR(TODAY())-1)*('sap nuevo'!F$2:F$10000&gt;0))</f>
        <v>87</v>
      </c>
      <c r="D33" s="86" cm="1">
        <f t="array" aca="1" ref="D33" ca="1">SUMPRODUCT(('sap nuevo'!O$2:O$10000=12)*('sap nuevo'!P$2:P$10000=YEAR(TODAY())-1)*('sap nuevo'!F$2:F$10000&gt;0)*('sap nuevo'!F$2:F$10000))</f>
        <v>1284138354.4000001</v>
      </c>
    </row>
    <row r="34" spans="2:4" ht="21.95" customHeight="1" x14ac:dyDescent="0.25">
      <c r="B34" s="73" t="str">
        <f ca="1">"TOTAL "&amp;(YEAR(TODAY())-1)</f>
        <v>TOTAL 2025</v>
      </c>
      <c r="C34" s="90">
        <f ca="1">SUM(C22:C33)</f>
        <v>928</v>
      </c>
      <c r="D34" s="91">
        <f ca="1">SUM(D22:D33)</f>
        <v>9135932510.0099983</v>
      </c>
    </row>
  </sheetData>
  <mergeCells count="9">
    <mergeCell ref="F18:H18"/>
    <mergeCell ref="J19:L19"/>
    <mergeCell ref="B20:D20"/>
    <mergeCell ref="B1:L1"/>
    <mergeCell ref="B2:L2"/>
    <mergeCell ref="B4:D4"/>
    <mergeCell ref="F4:H4"/>
    <mergeCell ref="J4:L4"/>
    <mergeCell ref="F11:H11"/>
  </mergeCells>
  <dataValidations count="1">
    <dataValidation type="list" allowBlank="1" showInputMessage="1" showErrorMessage="1" promptTitle="Selección de año" prompt="Elija el año para visualizar el plazo promedio de cobro" sqref="L3" xr:uid="{88BFBED4-0DAB-4B7F-B9FA-21EA1F66264D}">
      <formula1>"2024,2025,2026,2027,2028"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sap nuevo</vt:lpstr>
      <vt:lpstr>extracto</vt:lpstr>
      <vt:lpstr>cheques a conf</vt:lpstr>
      <vt:lpstr>resumen viejo</vt:lpstr>
      <vt:lpstr>RESUMEN</vt:lpstr>
      <vt:lpstr>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Jimenez Quiroga</dc:creator>
  <cp:lastModifiedBy>Alicia Maribel Diaz</cp:lastModifiedBy>
  <dcterms:created xsi:type="dcterms:W3CDTF">2022-01-31T14:57:47Z</dcterms:created>
  <dcterms:modified xsi:type="dcterms:W3CDTF">2026-09-07T11:31:34Z</dcterms:modified>
</cp:coreProperties>
</file>